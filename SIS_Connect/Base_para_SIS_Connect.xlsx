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Veronica\Desktop\"/>
    </mc:Choice>
  </mc:AlternateContent>
  <xr:revisionPtr revIDLastSave="0" documentId="13_ncr:1_{D6CB01A6-ABCA-4F39-A440-B0EDC04464A0}" xr6:coauthVersionLast="47" xr6:coauthVersionMax="47" xr10:uidLastSave="{00000000-0000-0000-0000-000000000000}"/>
  <bookViews>
    <workbookView xWindow="-108" yWindow="-108" windowWidth="23256" windowHeight="12456" tabRatio="888" firstSheet="2" activeTab="2" xr2:uid="{00000000-000D-0000-FFFF-FFFF00000000}"/>
  </bookViews>
  <sheets>
    <sheet name="README" sheetId="1" r:id="rId1"/>
    <sheet name="SIS DETAILS" sheetId="2" r:id="rId2"/>
    <sheet name="BASE MAESTRA" sheetId="5" r:id="rId3"/>
    <sheet name="references" sheetId="6" r:id="rId4"/>
    <sheet name="credits" sheetId="7" r:id="rId5"/>
    <sheet name="allfields" sheetId="8" r:id="rId6"/>
    <sheet name="assessments" sheetId="9" r:id="rId7"/>
    <sheet name="commonnames" sheetId="10" r:id="rId8"/>
    <sheet name="conservationneeded" sheetId="11" r:id="rId9"/>
    <sheet name="countries" sheetId="12" r:id="rId10"/>
    <sheet name="habitats" sheetId="13" r:id="rId11"/>
    <sheet name="plantspecific" sheetId="14" r:id="rId12"/>
    <sheet name="researchneeded" sheetId="15" r:id="rId13"/>
    <sheet name="synonyms" sheetId="16" r:id="rId14"/>
    <sheet name="taxonomy" sheetId="17" r:id="rId15"/>
    <sheet name="threats" sheetId="18" r:id="rId16"/>
    <sheet name="usetrade" sheetId="19" r:id="rId17"/>
  </sheets>
  <externalReferences>
    <externalReference r:id="rId18"/>
  </externalReferences>
  <definedNames>
    <definedName name="_xlnm._FilterDatabase" localSheetId="5" hidden="1">allfields!$A$1:$FN$65</definedName>
    <definedName name="_xlnm._FilterDatabase" localSheetId="2" hidden="1">'BASE MAESTRA'!#REF!</definedName>
    <definedName name="_xlnm._FilterDatabase" localSheetId="4" hidden="1">credits!$A$1:$L$715</definedName>
    <definedName name="_xlnm._FilterDatabase" localSheetId="3" hidden="1">references!$A$1:$Z$382</definedName>
    <definedName name="_xlnm._FilterDatabase" localSheetId="1" hidden="1">'SIS DETAILS'!$A$1:$I$372</definedName>
    <definedName name="aut">#REF!</definedName>
    <definedName name="CamposSIS">README!$A$24:$B$131</definedName>
    <definedName name="ConR">#REF!</definedName>
    <definedName name="Cris">#REF!</definedName>
    <definedName name="DatosEspecies">'BASE MAESTRA'!$B$7:$DU$208</definedName>
    <definedName name="DisContHab">#REF!</definedName>
    <definedName name="DisContSubp">#REF!</definedName>
    <definedName name="EB_PotLC_need_Assessment">#REF!</definedName>
    <definedName name="FragSev">#REF!</definedName>
    <definedName name="iws">'BASE MAESTRA'!#REF!</definedName>
    <definedName name="orden">#REF!</definedName>
    <definedName name="Paula">#REF!</definedName>
    <definedName name="ref">#REF!</definedName>
    <definedName name="RL">#REF!</definedName>
    <definedName name="Sin">#REF!</definedName>
    <definedName name="SISdetails">'SIS DETAILS'!$A$1:$I$8</definedName>
    <definedName name="solotipo">#REF!</definedName>
    <definedName name="Taxonomy">'[1]ConR +Tax'!$A$1:$M$318</definedName>
    <definedName name="Z_03A28D0E_D221_430C_9036_787CFB666EE7_.wvu.FilterData" localSheetId="5" hidden="1">allfields!$A$1:$FN$65</definedName>
    <definedName name="Z_03A28D0E_D221_430C_9036_787CFB666EE7_.wvu.FilterData" localSheetId="2" hidden="1">'BASE MAESTRA'!#REF!</definedName>
    <definedName name="Z_03A28D0E_D221_430C_9036_787CFB666EE7_.wvu.FilterData" localSheetId="4" hidden="1">credits!$A$1:$K$6</definedName>
    <definedName name="Z_03A28D0E_D221_430C_9036_787CFB666EE7_.wvu.FilterData" localSheetId="3" hidden="1">references!$A$1:$Z$5</definedName>
    <definedName name="Z_03A28D0E_D221_430C_9036_787CFB666EE7_.wvu.FilterData" localSheetId="1" hidden="1">'SIS DETAILS'!$A$1:$I$8</definedName>
  </definedNames>
  <calcPr calcId="191029"/>
  <customWorkbookViews>
    <customWorkbookView name="PaulaMorales - Vista personalizada" guid="{03A28D0E-D221-430C-9036-787CFB666EE7}" mergeInterval="0" personalView="1" maximized="1" xWindow="-8" yWindow="-8" windowWidth="1382" windowHeight="744" tabRatio="837" activeSheetId="5"/>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O24" i="5" l="1"/>
  <c r="AO28" i="5"/>
  <c r="AO27" i="5"/>
  <c r="AO26" i="5"/>
  <c r="AO25" i="5"/>
  <c r="AO23" i="5"/>
  <c r="AO22" i="5"/>
  <c r="AO21" i="5"/>
  <c r="AO20" i="5"/>
  <c r="AO19" i="5"/>
  <c r="AO18" i="5"/>
  <c r="AO17" i="5"/>
  <c r="AO16" i="5"/>
  <c r="AO15" i="5"/>
  <c r="AO14" i="5"/>
  <c r="AO9" i="5"/>
  <c r="AO8" i="5"/>
  <c r="AO7" i="5"/>
  <c r="AO13" i="5"/>
  <c r="AO12" i="5"/>
  <c r="AO11" i="5"/>
  <c r="AO5" i="5"/>
  <c r="AO10" i="5"/>
  <c r="AO6" i="5"/>
  <c r="B2" i="11"/>
  <c r="A4" i="19" l="1"/>
  <c r="A5" i="19"/>
  <c r="A6" i="19"/>
  <c r="A7" i="19"/>
  <c r="A8" i="19"/>
  <c r="A9" i="19"/>
  <c r="A10" i="19"/>
  <c r="A11" i="19"/>
  <c r="A12" i="19"/>
  <c r="A13" i="19"/>
  <c r="A14" i="19"/>
  <c r="A15" i="19"/>
  <c r="A16" i="19"/>
  <c r="A17" i="19"/>
  <c r="A18" i="19"/>
  <c r="A19" i="19"/>
  <c r="A20" i="19"/>
  <c r="A21" i="19"/>
  <c r="A22" i="19"/>
  <c r="A23" i="19"/>
  <c r="A24" i="19"/>
  <c r="A25" i="19"/>
  <c r="A26" i="19"/>
  <c r="A27" i="19"/>
  <c r="A28" i="19"/>
  <c r="A29" i="19"/>
  <c r="A30" i="19"/>
  <c r="A31" i="19"/>
  <c r="A32" i="19"/>
  <c r="A33" i="19"/>
  <c r="A34" i="19"/>
  <c r="A35" i="19"/>
  <c r="A36" i="19"/>
  <c r="A37" i="19"/>
  <c r="A38" i="19"/>
  <c r="A39" i="19"/>
  <c r="A40" i="19"/>
  <c r="A41" i="19"/>
  <c r="A42" i="19"/>
  <c r="A43" i="19"/>
  <c r="A44" i="19"/>
  <c r="A45" i="19"/>
  <c r="A46" i="19"/>
  <c r="A47" i="19"/>
  <c r="A48" i="19"/>
  <c r="A49" i="19"/>
  <c r="A50" i="19"/>
  <c r="A51" i="19"/>
  <c r="A52" i="19"/>
  <c r="A53" i="19"/>
  <c r="A54" i="19"/>
  <c r="A55" i="19"/>
  <c r="A56" i="19"/>
  <c r="A57" i="19"/>
  <c r="A58" i="19"/>
  <c r="A59" i="19"/>
  <c r="A60" i="19"/>
  <c r="A61" i="19"/>
  <c r="A62" i="19"/>
  <c r="A63" i="19"/>
  <c r="A64" i="19"/>
  <c r="A65" i="19"/>
  <c r="A66" i="19"/>
  <c r="A67" i="19"/>
  <c r="A68" i="19"/>
  <c r="A69" i="19"/>
  <c r="A70" i="19"/>
  <c r="A71" i="19"/>
  <c r="A72" i="19"/>
  <c r="A73" i="19"/>
  <c r="A74" i="19"/>
  <c r="A75" i="19"/>
  <c r="A76" i="19"/>
  <c r="A77" i="19"/>
  <c r="A78" i="19"/>
  <c r="A79" i="19"/>
  <c r="A80" i="19"/>
  <c r="A81" i="19"/>
  <c r="A82" i="19"/>
  <c r="A83" i="19"/>
  <c r="A84" i="19"/>
  <c r="A85" i="19"/>
  <c r="A86" i="19"/>
  <c r="A87" i="19"/>
  <c r="A88" i="19"/>
  <c r="A89" i="19"/>
  <c r="A90" i="19"/>
  <c r="A91" i="19"/>
  <c r="A92" i="19"/>
  <c r="A93" i="19"/>
  <c r="A94" i="19"/>
  <c r="A95" i="19"/>
  <c r="A96" i="19"/>
  <c r="A97" i="19"/>
  <c r="A98" i="19"/>
  <c r="A99" i="19"/>
  <c r="A100" i="19"/>
  <c r="A101" i="19"/>
  <c r="A102" i="19"/>
  <c r="A103" i="19"/>
  <c r="A104" i="19"/>
  <c r="A105" i="19"/>
  <c r="A106" i="19"/>
  <c r="A107" i="19"/>
  <c r="A108" i="19"/>
  <c r="A109" i="19"/>
  <c r="A110" i="19"/>
  <c r="A111" i="19"/>
  <c r="A112" i="19"/>
  <c r="A113" i="19"/>
  <c r="A114" i="19"/>
  <c r="A115" i="19"/>
  <c r="A116" i="19"/>
  <c r="A117" i="19"/>
  <c r="A118" i="19"/>
  <c r="A119" i="19"/>
  <c r="A120" i="19"/>
  <c r="A121" i="19"/>
  <c r="A122" i="19"/>
  <c r="A123" i="19"/>
  <c r="A124" i="19"/>
  <c r="A125" i="19"/>
  <c r="A126" i="19"/>
  <c r="A127" i="19"/>
  <c r="A128" i="19"/>
  <c r="A129" i="19"/>
  <c r="A130" i="19"/>
  <c r="A131" i="19"/>
  <c r="A132" i="19"/>
  <c r="A133" i="19"/>
  <c r="A134" i="19"/>
  <c r="A135" i="19"/>
  <c r="A136" i="19"/>
  <c r="A137" i="19"/>
  <c r="A138" i="19"/>
  <c r="A139" i="19"/>
  <c r="A140" i="19"/>
  <c r="A141" i="19"/>
  <c r="A142" i="19"/>
  <c r="A143" i="19"/>
  <c r="A144" i="19"/>
  <c r="A145" i="19"/>
  <c r="A146" i="19"/>
  <c r="A147" i="19"/>
  <c r="A148" i="19"/>
  <c r="A149" i="19"/>
  <c r="A150" i="19"/>
  <c r="A151" i="19"/>
  <c r="A152" i="19"/>
  <c r="A153" i="19"/>
  <c r="A154" i="19"/>
  <c r="A155" i="19"/>
  <c r="A156" i="19"/>
  <c r="A157" i="19"/>
  <c r="A158" i="19"/>
  <c r="A159" i="19"/>
  <c r="A160" i="19"/>
  <c r="A161" i="19"/>
  <c r="A162" i="19"/>
  <c r="A163" i="19"/>
  <c r="A164" i="19"/>
  <c r="A165" i="19"/>
  <c r="A166" i="19"/>
  <c r="A167" i="19"/>
  <c r="A168" i="19"/>
  <c r="A169" i="19"/>
  <c r="A170" i="19"/>
  <c r="A171" i="19"/>
  <c r="A172" i="19"/>
  <c r="A173" i="19"/>
  <c r="A174" i="19"/>
  <c r="A175" i="19"/>
  <c r="A176" i="19"/>
  <c r="A177" i="19"/>
  <c r="A178" i="19"/>
  <c r="A179" i="19"/>
  <c r="A180" i="19"/>
  <c r="A181" i="19"/>
  <c r="A182" i="19"/>
  <c r="A183" i="19"/>
  <c r="A184" i="19"/>
  <c r="A185" i="19"/>
  <c r="A186" i="19"/>
  <c r="A187" i="19"/>
  <c r="A188" i="19"/>
  <c r="A189" i="19"/>
  <c r="A190" i="19"/>
  <c r="A191" i="19"/>
  <c r="A192" i="19"/>
  <c r="A193" i="19"/>
  <c r="A194" i="19"/>
  <c r="A195" i="19"/>
  <c r="A196" i="19"/>
  <c r="A197" i="19"/>
  <c r="A198" i="19"/>
  <c r="A199" i="19"/>
  <c r="A200" i="19"/>
  <c r="A201" i="19"/>
  <c r="A202" i="19"/>
  <c r="A3" i="19"/>
  <c r="H2" i="19"/>
  <c r="I2" i="18"/>
  <c r="J2" i="18"/>
  <c r="L2" i="18"/>
  <c r="N2" i="18"/>
  <c r="B2" i="18"/>
  <c r="A4" i="18"/>
  <c r="B4" i="18" s="1"/>
  <c r="A5" i="18"/>
  <c r="B5" i="18" s="1"/>
  <c r="A6" i="18"/>
  <c r="A7" i="18"/>
  <c r="A8" i="18"/>
  <c r="B8" i="18" s="1"/>
  <c r="A9" i="18"/>
  <c r="N9" i="18" s="1"/>
  <c r="A10" i="18"/>
  <c r="A11" i="18"/>
  <c r="A12" i="18"/>
  <c r="A13" i="18"/>
  <c r="B13" i="18" s="1"/>
  <c r="A14" i="18"/>
  <c r="A15" i="18"/>
  <c r="A16" i="18"/>
  <c r="A17" i="18"/>
  <c r="I17" i="18" s="1"/>
  <c r="A18" i="18"/>
  <c r="A19" i="18"/>
  <c r="A20" i="18"/>
  <c r="A21" i="18"/>
  <c r="A22" i="18"/>
  <c r="A23" i="18"/>
  <c r="A24" i="18"/>
  <c r="A25" i="18"/>
  <c r="A26" i="18"/>
  <c r="A27" i="18"/>
  <c r="A28" i="18"/>
  <c r="A29" i="18"/>
  <c r="B29" i="18" s="1"/>
  <c r="A30" i="18"/>
  <c r="A31" i="18"/>
  <c r="A32" i="18"/>
  <c r="A33" i="18"/>
  <c r="A34" i="18"/>
  <c r="A35" i="18"/>
  <c r="A36" i="18"/>
  <c r="A37" i="18"/>
  <c r="A38" i="18"/>
  <c r="A39" i="18"/>
  <c r="A40" i="18"/>
  <c r="A41" i="18"/>
  <c r="A42" i="18"/>
  <c r="A43" i="18"/>
  <c r="A44" i="18"/>
  <c r="A45" i="18"/>
  <c r="B45" i="18" s="1"/>
  <c r="A46" i="18"/>
  <c r="A47" i="18"/>
  <c r="A48" i="18"/>
  <c r="A49" i="18"/>
  <c r="A50" i="18"/>
  <c r="A51" i="18"/>
  <c r="A52" i="18"/>
  <c r="A53" i="18"/>
  <c r="A54" i="18"/>
  <c r="A55" i="18"/>
  <c r="A56" i="18"/>
  <c r="A57" i="18"/>
  <c r="A58" i="18"/>
  <c r="A59" i="18"/>
  <c r="A60" i="18"/>
  <c r="A61" i="18"/>
  <c r="B61" i="18" s="1"/>
  <c r="A62" i="18"/>
  <c r="A63" i="18"/>
  <c r="A64" i="18"/>
  <c r="A65" i="18"/>
  <c r="N65" i="18" s="1"/>
  <c r="A66" i="18"/>
  <c r="A67" i="18"/>
  <c r="A68" i="18"/>
  <c r="A69" i="18"/>
  <c r="A70" i="18"/>
  <c r="A71" i="18"/>
  <c r="A72" i="18"/>
  <c r="A73" i="18"/>
  <c r="A74" i="18"/>
  <c r="A75" i="18"/>
  <c r="A76" i="18"/>
  <c r="A77" i="18"/>
  <c r="B77" i="18" s="1"/>
  <c r="A78" i="18"/>
  <c r="A79" i="18"/>
  <c r="A80" i="18"/>
  <c r="A81" i="18"/>
  <c r="I81" i="18" s="1"/>
  <c r="A82" i="18"/>
  <c r="A83" i="18"/>
  <c r="A84" i="18"/>
  <c r="A85" i="18"/>
  <c r="A86" i="18"/>
  <c r="A87" i="18"/>
  <c r="A88" i="18"/>
  <c r="A89" i="18"/>
  <c r="A90" i="18"/>
  <c r="A91" i="18"/>
  <c r="A92" i="18"/>
  <c r="A93" i="18"/>
  <c r="B93" i="18" s="1"/>
  <c r="A94" i="18"/>
  <c r="A95" i="18"/>
  <c r="A96" i="18"/>
  <c r="A97" i="18"/>
  <c r="N97" i="18" s="1"/>
  <c r="A98" i="18"/>
  <c r="A99" i="18"/>
  <c r="A100" i="18"/>
  <c r="A101" i="18"/>
  <c r="A102" i="18"/>
  <c r="A103" i="18"/>
  <c r="A104" i="18"/>
  <c r="A105" i="18"/>
  <c r="A106" i="18"/>
  <c r="A107" i="18"/>
  <c r="A108" i="18"/>
  <c r="A109" i="18"/>
  <c r="B109" i="18" s="1"/>
  <c r="A110" i="18"/>
  <c r="A111" i="18"/>
  <c r="I111" i="18" s="1"/>
  <c r="A112" i="18"/>
  <c r="A113" i="18"/>
  <c r="A114" i="18"/>
  <c r="A115" i="18"/>
  <c r="A116" i="18"/>
  <c r="A117" i="18"/>
  <c r="A118" i="18"/>
  <c r="A119" i="18"/>
  <c r="I119" i="18" s="1"/>
  <c r="A120" i="18"/>
  <c r="A121" i="18"/>
  <c r="A122" i="18"/>
  <c r="A123" i="18"/>
  <c r="A124" i="18"/>
  <c r="A125" i="18"/>
  <c r="B125" i="18" s="1"/>
  <c r="A126" i="18"/>
  <c r="A127" i="18"/>
  <c r="I127" i="18" s="1"/>
  <c r="A128" i="18"/>
  <c r="A129" i="18"/>
  <c r="A130" i="18"/>
  <c r="A131" i="18"/>
  <c r="N131" i="18" s="1"/>
  <c r="A132" i="18"/>
  <c r="A133" i="18"/>
  <c r="A134" i="18"/>
  <c r="A135" i="18"/>
  <c r="A136" i="18"/>
  <c r="A137" i="18"/>
  <c r="A138" i="18"/>
  <c r="A139" i="18"/>
  <c r="A140" i="18"/>
  <c r="A141" i="18"/>
  <c r="B141" i="18" s="1"/>
  <c r="A142" i="18"/>
  <c r="A143" i="18"/>
  <c r="I143" i="18" s="1"/>
  <c r="A144" i="18"/>
  <c r="A145" i="18"/>
  <c r="A146" i="18"/>
  <c r="A147" i="18"/>
  <c r="A148" i="18"/>
  <c r="A149" i="18"/>
  <c r="A150" i="18"/>
  <c r="A151" i="18"/>
  <c r="I151" i="18" s="1"/>
  <c r="A152" i="18"/>
  <c r="J152" i="18" s="1"/>
  <c r="A153" i="18"/>
  <c r="A154" i="18"/>
  <c r="A155" i="18"/>
  <c r="A156" i="18"/>
  <c r="A157" i="18"/>
  <c r="B157" i="18" s="1"/>
  <c r="A158" i="18"/>
  <c r="A159" i="18"/>
  <c r="I159" i="18" s="1"/>
  <c r="A160" i="18"/>
  <c r="A161" i="18"/>
  <c r="A162" i="18"/>
  <c r="A163" i="18"/>
  <c r="A164" i="18"/>
  <c r="A165" i="18"/>
  <c r="A166" i="18"/>
  <c r="A167" i="18"/>
  <c r="A168" i="18"/>
  <c r="A169" i="18"/>
  <c r="A170" i="18"/>
  <c r="A171" i="18"/>
  <c r="I171" i="18" s="1"/>
  <c r="A172" i="18"/>
  <c r="A173" i="18"/>
  <c r="B173" i="18" s="1"/>
  <c r="A174" i="18"/>
  <c r="A175" i="18"/>
  <c r="A176" i="18"/>
  <c r="A177" i="18"/>
  <c r="A178" i="18"/>
  <c r="A179" i="18"/>
  <c r="A180" i="18"/>
  <c r="A181" i="18"/>
  <c r="I181" i="18" s="1"/>
  <c r="A182" i="18"/>
  <c r="A183" i="18"/>
  <c r="A184" i="18"/>
  <c r="A185" i="18"/>
  <c r="A186" i="18"/>
  <c r="A187" i="18"/>
  <c r="A188" i="18"/>
  <c r="A189" i="18"/>
  <c r="B189" i="18" s="1"/>
  <c r="A190" i="18"/>
  <c r="A191" i="18"/>
  <c r="A192" i="18"/>
  <c r="A193" i="18"/>
  <c r="A194" i="18"/>
  <c r="A195" i="18"/>
  <c r="N195" i="18" s="1"/>
  <c r="A196" i="18"/>
  <c r="A197" i="18"/>
  <c r="I197" i="18" s="1"/>
  <c r="A198" i="18"/>
  <c r="A199" i="18"/>
  <c r="A200" i="18"/>
  <c r="J200" i="18" s="1"/>
  <c r="A201" i="18"/>
  <c r="A202" i="18"/>
  <c r="A3" i="18"/>
  <c r="J3" i="18" s="1"/>
  <c r="E2" i="17"/>
  <c r="F2" i="17"/>
  <c r="J2" i="17"/>
  <c r="K2" i="17"/>
  <c r="L2" i="17"/>
  <c r="M2" i="17"/>
  <c r="N2" i="17"/>
  <c r="O2" i="17"/>
  <c r="A4" i="17"/>
  <c r="A5" i="17"/>
  <c r="A6" i="17"/>
  <c r="A7" i="17"/>
  <c r="A8" i="17"/>
  <c r="A9" i="17"/>
  <c r="A10" i="17"/>
  <c r="A11" i="17"/>
  <c r="A12" i="17"/>
  <c r="A13" i="17"/>
  <c r="A14" i="17"/>
  <c r="A15" i="17"/>
  <c r="A16" i="17"/>
  <c r="A17" i="17"/>
  <c r="A18" i="17"/>
  <c r="A19" i="17"/>
  <c r="A20" i="17"/>
  <c r="A21" i="17"/>
  <c r="A22" i="17"/>
  <c r="A23" i="17"/>
  <c r="A24" i="17"/>
  <c r="A25" i="17"/>
  <c r="A26" i="17"/>
  <c r="A27" i="17"/>
  <c r="A28" i="17"/>
  <c r="A29" i="17"/>
  <c r="A30" i="17"/>
  <c r="A31" i="17"/>
  <c r="A32" i="17"/>
  <c r="A33" i="17"/>
  <c r="A34" i="17"/>
  <c r="A35" i="17"/>
  <c r="A36" i="17"/>
  <c r="A37" i="17"/>
  <c r="A38" i="17"/>
  <c r="A39" i="17"/>
  <c r="A40" i="17"/>
  <c r="A41" i="17"/>
  <c r="A42" i="17"/>
  <c r="A43" i="17"/>
  <c r="A44" i="17"/>
  <c r="A45" i="17"/>
  <c r="A46" i="17"/>
  <c r="A47" i="17"/>
  <c r="A48" i="17"/>
  <c r="A49" i="17"/>
  <c r="A50" i="17"/>
  <c r="A51" i="17"/>
  <c r="A52" i="17"/>
  <c r="A53" i="17"/>
  <c r="A54" i="17"/>
  <c r="A55" i="17"/>
  <c r="A56" i="17"/>
  <c r="A57" i="17"/>
  <c r="A58" i="17"/>
  <c r="A59" i="17"/>
  <c r="A60" i="17"/>
  <c r="A61" i="17"/>
  <c r="A62" i="17"/>
  <c r="A63" i="17"/>
  <c r="A64" i="17"/>
  <c r="A65" i="17"/>
  <c r="A66" i="17"/>
  <c r="A67" i="17"/>
  <c r="A68" i="17"/>
  <c r="A69" i="17"/>
  <c r="A70" i="17"/>
  <c r="A71" i="17"/>
  <c r="A72" i="17"/>
  <c r="A73" i="17"/>
  <c r="A74" i="17"/>
  <c r="A75" i="17"/>
  <c r="A76" i="17"/>
  <c r="A77" i="17"/>
  <c r="A78" i="17"/>
  <c r="A79" i="17"/>
  <c r="A80" i="17"/>
  <c r="A81" i="17"/>
  <c r="A82" i="17"/>
  <c r="A83" i="17"/>
  <c r="A84" i="17"/>
  <c r="A85" i="17"/>
  <c r="A86" i="17"/>
  <c r="A87" i="17"/>
  <c r="A88" i="17"/>
  <c r="A89" i="17"/>
  <c r="A90" i="17"/>
  <c r="A91" i="17"/>
  <c r="A92" i="17"/>
  <c r="A93" i="17"/>
  <c r="A94" i="17"/>
  <c r="A95" i="17"/>
  <c r="A96" i="17"/>
  <c r="A97" i="17"/>
  <c r="A98" i="17"/>
  <c r="A99" i="17"/>
  <c r="A100" i="17"/>
  <c r="A101" i="17"/>
  <c r="A102" i="17"/>
  <c r="A103" i="17"/>
  <c r="A104" i="17"/>
  <c r="A105" i="17"/>
  <c r="A106" i="17"/>
  <c r="A107" i="17"/>
  <c r="A108" i="17"/>
  <c r="A109" i="17"/>
  <c r="A110" i="17"/>
  <c r="A111" i="17"/>
  <c r="A112" i="17"/>
  <c r="A113" i="17"/>
  <c r="A114" i="17"/>
  <c r="A115" i="17"/>
  <c r="A116" i="17"/>
  <c r="A117" i="17"/>
  <c r="A118" i="17"/>
  <c r="A119" i="17"/>
  <c r="A120" i="17"/>
  <c r="A121" i="17"/>
  <c r="A122" i="17"/>
  <c r="A123" i="17"/>
  <c r="A124" i="17"/>
  <c r="A125" i="17"/>
  <c r="A126" i="17"/>
  <c r="A127" i="17"/>
  <c r="A128" i="17"/>
  <c r="A129" i="17"/>
  <c r="A130" i="17"/>
  <c r="A131" i="17"/>
  <c r="A132" i="17"/>
  <c r="A133" i="17"/>
  <c r="A134" i="17"/>
  <c r="A135" i="17"/>
  <c r="A136" i="17"/>
  <c r="A137" i="17"/>
  <c r="A138" i="17"/>
  <c r="A139" i="17"/>
  <c r="A140" i="17"/>
  <c r="A141" i="17"/>
  <c r="A142" i="17"/>
  <c r="A143" i="17"/>
  <c r="A144" i="17"/>
  <c r="A145" i="17"/>
  <c r="A146" i="17"/>
  <c r="A147" i="17"/>
  <c r="A148" i="17"/>
  <c r="A149" i="17"/>
  <c r="A150" i="17"/>
  <c r="A151" i="17"/>
  <c r="A152" i="17"/>
  <c r="A153" i="17"/>
  <c r="A154" i="17"/>
  <c r="A155" i="17"/>
  <c r="A156" i="17"/>
  <c r="A157" i="17"/>
  <c r="A158" i="17"/>
  <c r="A159" i="17"/>
  <c r="A160" i="17"/>
  <c r="A161" i="17"/>
  <c r="A162" i="17"/>
  <c r="A163" i="17"/>
  <c r="A164" i="17"/>
  <c r="A165" i="17"/>
  <c r="A166" i="17"/>
  <c r="A167" i="17"/>
  <c r="A168" i="17"/>
  <c r="A169" i="17"/>
  <c r="A170" i="17"/>
  <c r="A171" i="17"/>
  <c r="A172" i="17"/>
  <c r="A173" i="17"/>
  <c r="A174" i="17"/>
  <c r="A175" i="17"/>
  <c r="A176" i="17"/>
  <c r="A177" i="17"/>
  <c r="A178" i="17"/>
  <c r="A179" i="17"/>
  <c r="A180" i="17"/>
  <c r="A181" i="17"/>
  <c r="A182" i="17"/>
  <c r="A183" i="17"/>
  <c r="A184" i="17"/>
  <c r="A185" i="17"/>
  <c r="A186" i="17"/>
  <c r="A187" i="17"/>
  <c r="A188" i="17"/>
  <c r="A189" i="17"/>
  <c r="A190" i="17"/>
  <c r="A191" i="17"/>
  <c r="A192" i="17"/>
  <c r="A193" i="17"/>
  <c r="A194" i="17"/>
  <c r="A195" i="17"/>
  <c r="A196" i="17"/>
  <c r="A197" i="17"/>
  <c r="A198" i="17"/>
  <c r="A199" i="17"/>
  <c r="A200" i="17"/>
  <c r="A201" i="17"/>
  <c r="A202" i="17"/>
  <c r="A3" i="17"/>
  <c r="A4" i="16"/>
  <c r="A5" i="16"/>
  <c r="A6" i="16"/>
  <c r="A7" i="16"/>
  <c r="A8" i="16"/>
  <c r="A9" i="16"/>
  <c r="A10" i="16"/>
  <c r="A11" i="16"/>
  <c r="A12" i="16"/>
  <c r="A13" i="16"/>
  <c r="A14" i="16"/>
  <c r="A15" i="16"/>
  <c r="A16" i="16"/>
  <c r="A17" i="16"/>
  <c r="A18" i="16"/>
  <c r="A19" i="16"/>
  <c r="A20" i="16"/>
  <c r="A21" i="16"/>
  <c r="A22" i="16"/>
  <c r="A23" i="16"/>
  <c r="A24" i="16"/>
  <c r="A25" i="16"/>
  <c r="A26" i="16"/>
  <c r="A27" i="16"/>
  <c r="A28" i="16"/>
  <c r="A29" i="16"/>
  <c r="A30" i="16"/>
  <c r="A31" i="16"/>
  <c r="A32" i="16"/>
  <c r="A33" i="16"/>
  <c r="A34" i="16"/>
  <c r="A35" i="16"/>
  <c r="A36" i="16"/>
  <c r="A37" i="16"/>
  <c r="A38" i="16"/>
  <c r="A39" i="16"/>
  <c r="A40" i="16"/>
  <c r="A41" i="16"/>
  <c r="A42" i="16"/>
  <c r="A43" i="16"/>
  <c r="A44" i="16"/>
  <c r="A45" i="16"/>
  <c r="A46" i="16"/>
  <c r="A47" i="16"/>
  <c r="A48" i="16"/>
  <c r="A49" i="16"/>
  <c r="A50" i="16"/>
  <c r="A51" i="16"/>
  <c r="A52" i="16"/>
  <c r="A53" i="16"/>
  <c r="A54" i="16"/>
  <c r="A55" i="16"/>
  <c r="A56" i="16"/>
  <c r="A57" i="16"/>
  <c r="A58" i="16"/>
  <c r="A59" i="16"/>
  <c r="A60" i="16"/>
  <c r="A61" i="16"/>
  <c r="A62" i="16"/>
  <c r="A63" i="16"/>
  <c r="A64" i="16"/>
  <c r="A65" i="16"/>
  <c r="A66" i="16"/>
  <c r="A67" i="16"/>
  <c r="A68" i="16"/>
  <c r="A69" i="16"/>
  <c r="A70" i="16"/>
  <c r="A71" i="16"/>
  <c r="A72" i="16"/>
  <c r="A73" i="16"/>
  <c r="A74" i="16"/>
  <c r="A75" i="16"/>
  <c r="A76" i="16"/>
  <c r="A77" i="16"/>
  <c r="A78" i="16"/>
  <c r="A79" i="16"/>
  <c r="A80" i="16"/>
  <c r="A81" i="16"/>
  <c r="A82" i="16"/>
  <c r="A83" i="16"/>
  <c r="A84" i="16"/>
  <c r="A85" i="16"/>
  <c r="A86" i="16"/>
  <c r="A87" i="16"/>
  <c r="A88" i="16"/>
  <c r="A89" i="16"/>
  <c r="A90" i="16"/>
  <c r="A91" i="16"/>
  <c r="A92" i="16"/>
  <c r="A93" i="16"/>
  <c r="A94" i="16"/>
  <c r="A95" i="16"/>
  <c r="A96" i="16"/>
  <c r="A97" i="16"/>
  <c r="A98" i="16"/>
  <c r="A99" i="16"/>
  <c r="A100" i="16"/>
  <c r="A101" i="16"/>
  <c r="A102" i="16"/>
  <c r="A103" i="16"/>
  <c r="A104" i="16"/>
  <c r="A105" i="16"/>
  <c r="A106" i="16"/>
  <c r="A107" i="16"/>
  <c r="A108" i="16"/>
  <c r="A109" i="16"/>
  <c r="A110" i="16"/>
  <c r="A111" i="16"/>
  <c r="A112" i="16"/>
  <c r="A113" i="16"/>
  <c r="A114" i="16"/>
  <c r="A115" i="16"/>
  <c r="A116" i="16"/>
  <c r="A117" i="16"/>
  <c r="A118" i="16"/>
  <c r="A119" i="16"/>
  <c r="A120" i="16"/>
  <c r="A121" i="16"/>
  <c r="A122" i="16"/>
  <c r="A123" i="16"/>
  <c r="A124" i="16"/>
  <c r="A125" i="16"/>
  <c r="A126" i="16"/>
  <c r="A127" i="16"/>
  <c r="A128" i="16"/>
  <c r="A129" i="16"/>
  <c r="A130" i="16"/>
  <c r="A131" i="16"/>
  <c r="A132" i="16"/>
  <c r="A133" i="16"/>
  <c r="A134" i="16"/>
  <c r="A135" i="16"/>
  <c r="A136" i="16"/>
  <c r="A137" i="16"/>
  <c r="A138" i="16"/>
  <c r="A139" i="16"/>
  <c r="A140" i="16"/>
  <c r="A141" i="16"/>
  <c r="A142" i="16"/>
  <c r="A143" i="16"/>
  <c r="A144" i="16"/>
  <c r="A145" i="16"/>
  <c r="A146" i="16"/>
  <c r="A147" i="16"/>
  <c r="A148" i="16"/>
  <c r="A149" i="16"/>
  <c r="A150" i="16"/>
  <c r="A151" i="16"/>
  <c r="A152" i="16"/>
  <c r="A153" i="16"/>
  <c r="A154" i="16"/>
  <c r="A155" i="16"/>
  <c r="A156" i="16"/>
  <c r="A157" i="16"/>
  <c r="A158" i="16"/>
  <c r="A159" i="16"/>
  <c r="A160" i="16"/>
  <c r="A161" i="16"/>
  <c r="A162" i="16"/>
  <c r="A163" i="16"/>
  <c r="A164" i="16"/>
  <c r="A165" i="16"/>
  <c r="A166" i="16"/>
  <c r="A167" i="16"/>
  <c r="A168" i="16"/>
  <c r="A169" i="16"/>
  <c r="A170" i="16"/>
  <c r="A171" i="16"/>
  <c r="A172" i="16"/>
  <c r="A173" i="16"/>
  <c r="A174" i="16"/>
  <c r="A175" i="16"/>
  <c r="A176" i="16"/>
  <c r="A177" i="16"/>
  <c r="A178" i="16"/>
  <c r="A179" i="16"/>
  <c r="A180" i="16"/>
  <c r="A181" i="16"/>
  <c r="A182" i="16"/>
  <c r="A183" i="16"/>
  <c r="A184" i="16"/>
  <c r="A185" i="16"/>
  <c r="A186" i="16"/>
  <c r="A187" i="16"/>
  <c r="A188" i="16"/>
  <c r="A189" i="16"/>
  <c r="A190" i="16"/>
  <c r="A191" i="16"/>
  <c r="A192" i="16"/>
  <c r="A193" i="16"/>
  <c r="A194" i="16"/>
  <c r="A195" i="16"/>
  <c r="A196" i="16"/>
  <c r="A197" i="16"/>
  <c r="A198" i="16"/>
  <c r="A199" i="16"/>
  <c r="A200" i="16"/>
  <c r="A201" i="16"/>
  <c r="A202" i="16"/>
  <c r="A3" i="16"/>
  <c r="E2" i="15"/>
  <c r="A4" i="15"/>
  <c r="A5" i="15"/>
  <c r="A6" i="15"/>
  <c r="A7" i="15"/>
  <c r="A8" i="15"/>
  <c r="A9" i="15"/>
  <c r="A10" i="15"/>
  <c r="A11" i="15"/>
  <c r="A12" i="15"/>
  <c r="A13" i="15"/>
  <c r="A14" i="15"/>
  <c r="A15" i="15"/>
  <c r="A16" i="15"/>
  <c r="A17" i="15"/>
  <c r="A18" i="15"/>
  <c r="A19" i="15"/>
  <c r="A20" i="15"/>
  <c r="A21" i="15"/>
  <c r="A22" i="15"/>
  <c r="A23" i="15"/>
  <c r="A24" i="15"/>
  <c r="A25" i="15"/>
  <c r="A26" i="15"/>
  <c r="A27" i="15"/>
  <c r="A28" i="15"/>
  <c r="A29" i="15"/>
  <c r="A30" i="15"/>
  <c r="A31" i="15"/>
  <c r="A32" i="15"/>
  <c r="A33" i="15"/>
  <c r="A34" i="15"/>
  <c r="A35" i="15"/>
  <c r="A36" i="15"/>
  <c r="A37" i="15"/>
  <c r="A38" i="15"/>
  <c r="A39" i="15"/>
  <c r="A40" i="15"/>
  <c r="A41" i="15"/>
  <c r="A42" i="15"/>
  <c r="A43" i="15"/>
  <c r="A44" i="15"/>
  <c r="A45" i="15"/>
  <c r="A46" i="15"/>
  <c r="A47" i="15"/>
  <c r="A48" i="15"/>
  <c r="A49" i="15"/>
  <c r="A50" i="15"/>
  <c r="A51" i="15"/>
  <c r="A52" i="15"/>
  <c r="A53" i="15"/>
  <c r="A54" i="15"/>
  <c r="A55" i="15"/>
  <c r="A56" i="15"/>
  <c r="A57" i="15"/>
  <c r="A58" i="15"/>
  <c r="A59" i="15"/>
  <c r="A60" i="15"/>
  <c r="A61" i="15"/>
  <c r="A62" i="15"/>
  <c r="A63" i="15"/>
  <c r="A64" i="15"/>
  <c r="A65" i="15"/>
  <c r="A66" i="15"/>
  <c r="A67" i="15"/>
  <c r="A68" i="15"/>
  <c r="A69" i="15"/>
  <c r="A70" i="15"/>
  <c r="A71" i="15"/>
  <c r="A72" i="15"/>
  <c r="A73" i="15"/>
  <c r="A74" i="15"/>
  <c r="A75" i="15"/>
  <c r="A76" i="15"/>
  <c r="A77" i="15"/>
  <c r="A78" i="15"/>
  <c r="A79" i="15"/>
  <c r="A80" i="15"/>
  <c r="A81" i="15"/>
  <c r="A82" i="15"/>
  <c r="A83" i="15"/>
  <c r="A84" i="15"/>
  <c r="A85" i="15"/>
  <c r="A86" i="15"/>
  <c r="A87" i="15"/>
  <c r="A88" i="15"/>
  <c r="A89" i="15"/>
  <c r="A90" i="15"/>
  <c r="A91" i="15"/>
  <c r="A92" i="15"/>
  <c r="A93" i="15"/>
  <c r="A94" i="15"/>
  <c r="A95" i="15"/>
  <c r="A96" i="15"/>
  <c r="A97" i="15"/>
  <c r="A98" i="15"/>
  <c r="A99" i="15"/>
  <c r="A100" i="15"/>
  <c r="A101" i="15"/>
  <c r="A102" i="15"/>
  <c r="A103" i="15"/>
  <c r="A104" i="15"/>
  <c r="A105" i="15"/>
  <c r="A106" i="15"/>
  <c r="A107" i="15"/>
  <c r="A108" i="15"/>
  <c r="A109" i="15"/>
  <c r="A110" i="15"/>
  <c r="A111" i="15"/>
  <c r="A112" i="15"/>
  <c r="A113" i="15"/>
  <c r="A114" i="15"/>
  <c r="A115" i="15"/>
  <c r="A116" i="15"/>
  <c r="A117" i="15"/>
  <c r="A118" i="15"/>
  <c r="A119" i="15"/>
  <c r="A120" i="15"/>
  <c r="A121" i="15"/>
  <c r="A122" i="15"/>
  <c r="A123" i="15"/>
  <c r="A124" i="15"/>
  <c r="A125" i="15"/>
  <c r="A126" i="15"/>
  <c r="A127" i="15"/>
  <c r="A128" i="15"/>
  <c r="A129" i="15"/>
  <c r="A130" i="15"/>
  <c r="A131" i="15"/>
  <c r="A132" i="15"/>
  <c r="A133" i="15"/>
  <c r="A134" i="15"/>
  <c r="A135" i="15"/>
  <c r="A136" i="15"/>
  <c r="A137" i="15"/>
  <c r="A138" i="15"/>
  <c r="A139" i="15"/>
  <c r="A140" i="15"/>
  <c r="A141" i="15"/>
  <c r="A142" i="15"/>
  <c r="A143" i="15"/>
  <c r="A144" i="15"/>
  <c r="A145" i="15"/>
  <c r="A146" i="15"/>
  <c r="A147" i="15"/>
  <c r="A148" i="15"/>
  <c r="A149" i="15"/>
  <c r="A150" i="15"/>
  <c r="A151" i="15"/>
  <c r="A152" i="15"/>
  <c r="A153" i="15"/>
  <c r="A154" i="15"/>
  <c r="A155" i="15"/>
  <c r="A156" i="15"/>
  <c r="A157" i="15"/>
  <c r="A158" i="15"/>
  <c r="A159" i="15"/>
  <c r="A160" i="15"/>
  <c r="A161" i="15"/>
  <c r="A162" i="15"/>
  <c r="A163" i="15"/>
  <c r="A164" i="15"/>
  <c r="A165" i="15"/>
  <c r="A166" i="15"/>
  <c r="A167" i="15"/>
  <c r="A168" i="15"/>
  <c r="A169" i="15"/>
  <c r="A170" i="15"/>
  <c r="A171" i="15"/>
  <c r="A172" i="15"/>
  <c r="A173" i="15"/>
  <c r="A174" i="15"/>
  <c r="A175" i="15"/>
  <c r="A176" i="15"/>
  <c r="A177" i="15"/>
  <c r="A178" i="15"/>
  <c r="A179" i="15"/>
  <c r="A180" i="15"/>
  <c r="A181" i="15"/>
  <c r="A182" i="15"/>
  <c r="A183" i="15"/>
  <c r="A184" i="15"/>
  <c r="A185" i="15"/>
  <c r="A186" i="15"/>
  <c r="A187" i="15"/>
  <c r="A188" i="15"/>
  <c r="A189" i="15"/>
  <c r="A190" i="15"/>
  <c r="A191" i="15"/>
  <c r="A192" i="15"/>
  <c r="A193" i="15"/>
  <c r="A194" i="15"/>
  <c r="A195" i="15"/>
  <c r="A196" i="15"/>
  <c r="A197" i="15"/>
  <c r="A198" i="15"/>
  <c r="A199" i="15"/>
  <c r="A200" i="15"/>
  <c r="A201" i="15"/>
  <c r="A202" i="15"/>
  <c r="A3" i="15"/>
  <c r="C2" i="14"/>
  <c r="D2" i="14"/>
  <c r="A4" i="14"/>
  <c r="A5" i="14"/>
  <c r="A6" i="14"/>
  <c r="A7" i="14"/>
  <c r="A8" i="14"/>
  <c r="A9" i="14"/>
  <c r="A10" i="14"/>
  <c r="A11" i="14"/>
  <c r="A12" i="14"/>
  <c r="A13" i="14"/>
  <c r="A14" i="14"/>
  <c r="A15" i="14"/>
  <c r="A16" i="14"/>
  <c r="A17" i="14"/>
  <c r="A18" i="14"/>
  <c r="A19" i="14"/>
  <c r="A20" i="14"/>
  <c r="A21" i="14"/>
  <c r="A22" i="14"/>
  <c r="A23" i="14"/>
  <c r="A24" i="14"/>
  <c r="A25" i="14"/>
  <c r="A26" i="14"/>
  <c r="A27" i="14"/>
  <c r="A28" i="14"/>
  <c r="A29" i="14"/>
  <c r="A30" i="14"/>
  <c r="A31" i="14"/>
  <c r="A32" i="14"/>
  <c r="A33" i="14"/>
  <c r="A34" i="14"/>
  <c r="A35" i="14"/>
  <c r="A36" i="14"/>
  <c r="A37" i="14"/>
  <c r="A38" i="14"/>
  <c r="A39" i="14"/>
  <c r="A40" i="14"/>
  <c r="A41" i="14"/>
  <c r="A42" i="14"/>
  <c r="A43" i="14"/>
  <c r="A44" i="14"/>
  <c r="A45" i="14"/>
  <c r="A46" i="14"/>
  <c r="A47" i="14"/>
  <c r="A48" i="14"/>
  <c r="A49" i="14"/>
  <c r="A50" i="14"/>
  <c r="A51" i="14"/>
  <c r="A52" i="14"/>
  <c r="A53" i="14"/>
  <c r="A54" i="14"/>
  <c r="A55" i="14"/>
  <c r="A56" i="14"/>
  <c r="A57" i="14"/>
  <c r="A58" i="14"/>
  <c r="A59" i="14"/>
  <c r="A60" i="14"/>
  <c r="A61" i="14"/>
  <c r="A62" i="14"/>
  <c r="A63" i="14"/>
  <c r="A64" i="14"/>
  <c r="A65" i="14"/>
  <c r="A66" i="14"/>
  <c r="A67" i="14"/>
  <c r="A68" i="14"/>
  <c r="A69" i="14"/>
  <c r="A70" i="14"/>
  <c r="A71" i="14"/>
  <c r="A72" i="14"/>
  <c r="A73" i="14"/>
  <c r="A74" i="14"/>
  <c r="A75" i="14"/>
  <c r="A76" i="14"/>
  <c r="A77" i="14"/>
  <c r="A78" i="14"/>
  <c r="A79" i="14"/>
  <c r="A80" i="14"/>
  <c r="A81" i="14"/>
  <c r="A82" i="14"/>
  <c r="A83" i="14"/>
  <c r="A84" i="14"/>
  <c r="A85" i="14"/>
  <c r="A86" i="14"/>
  <c r="A87" i="14"/>
  <c r="A88" i="14"/>
  <c r="A89" i="14"/>
  <c r="A90" i="14"/>
  <c r="A91" i="14"/>
  <c r="A92" i="14"/>
  <c r="A93" i="14"/>
  <c r="A94" i="14"/>
  <c r="A95" i="14"/>
  <c r="A96" i="14"/>
  <c r="A97" i="14"/>
  <c r="A98" i="14"/>
  <c r="A99" i="14"/>
  <c r="A100" i="14"/>
  <c r="A101" i="14"/>
  <c r="A102" i="14"/>
  <c r="A103" i="14"/>
  <c r="A104" i="14"/>
  <c r="A105" i="14"/>
  <c r="A106" i="14"/>
  <c r="A107" i="14"/>
  <c r="A108" i="14"/>
  <c r="A109" i="14"/>
  <c r="A110" i="14"/>
  <c r="A111" i="14"/>
  <c r="A112" i="14"/>
  <c r="A113" i="14"/>
  <c r="A114" i="14"/>
  <c r="A115" i="14"/>
  <c r="A116" i="14"/>
  <c r="A117" i="14"/>
  <c r="A118" i="14"/>
  <c r="A119" i="14"/>
  <c r="A120" i="14"/>
  <c r="A121" i="14"/>
  <c r="A122" i="14"/>
  <c r="A123" i="14"/>
  <c r="A124" i="14"/>
  <c r="A125" i="14"/>
  <c r="A126" i="14"/>
  <c r="A127" i="14"/>
  <c r="A128" i="14"/>
  <c r="A129" i="14"/>
  <c r="A130" i="14"/>
  <c r="A131" i="14"/>
  <c r="A132" i="14"/>
  <c r="A133" i="14"/>
  <c r="A134" i="14"/>
  <c r="A135" i="14"/>
  <c r="A136" i="14"/>
  <c r="A137" i="14"/>
  <c r="A138" i="14"/>
  <c r="A139" i="14"/>
  <c r="A140" i="14"/>
  <c r="A141" i="14"/>
  <c r="A142" i="14"/>
  <c r="A143" i="14"/>
  <c r="A144" i="14"/>
  <c r="A145" i="14"/>
  <c r="A146" i="14"/>
  <c r="A147" i="14"/>
  <c r="A148" i="14"/>
  <c r="A149" i="14"/>
  <c r="A150" i="14"/>
  <c r="A151" i="14"/>
  <c r="A152" i="14"/>
  <c r="A153" i="14"/>
  <c r="A154" i="14"/>
  <c r="A155" i="14"/>
  <c r="A156" i="14"/>
  <c r="A157" i="14"/>
  <c r="A158" i="14"/>
  <c r="A159" i="14"/>
  <c r="A160" i="14"/>
  <c r="A161" i="14"/>
  <c r="A162" i="14"/>
  <c r="A163" i="14"/>
  <c r="A164" i="14"/>
  <c r="A165" i="14"/>
  <c r="A166" i="14"/>
  <c r="A167" i="14"/>
  <c r="A168" i="14"/>
  <c r="A169" i="14"/>
  <c r="A170" i="14"/>
  <c r="A171" i="14"/>
  <c r="A172" i="14"/>
  <c r="A173" i="14"/>
  <c r="A174" i="14"/>
  <c r="A175" i="14"/>
  <c r="A176" i="14"/>
  <c r="A177" i="14"/>
  <c r="A178" i="14"/>
  <c r="A179" i="14"/>
  <c r="A180" i="14"/>
  <c r="A181" i="14"/>
  <c r="A182" i="14"/>
  <c r="A183" i="14"/>
  <c r="A184" i="14"/>
  <c r="A185" i="14"/>
  <c r="A186" i="14"/>
  <c r="A187" i="14"/>
  <c r="A188" i="14"/>
  <c r="A189" i="14"/>
  <c r="A190" i="14"/>
  <c r="A191" i="14"/>
  <c r="A192" i="14"/>
  <c r="A193" i="14"/>
  <c r="A194" i="14"/>
  <c r="A195" i="14"/>
  <c r="A196" i="14"/>
  <c r="A197" i="14"/>
  <c r="A198" i="14"/>
  <c r="A199" i="14"/>
  <c r="A200" i="14"/>
  <c r="A201" i="14"/>
  <c r="A202" i="14"/>
  <c r="A3" i="14"/>
  <c r="E2" i="13"/>
  <c r="F2" i="13"/>
  <c r="G2" i="13"/>
  <c r="A4" i="13"/>
  <c r="A5" i="13"/>
  <c r="A6" i="13"/>
  <c r="A7" i="13"/>
  <c r="A8" i="13"/>
  <c r="A9" i="13"/>
  <c r="A10" i="13"/>
  <c r="A11" i="13"/>
  <c r="A12" i="13"/>
  <c r="A13" i="13"/>
  <c r="A14" i="13"/>
  <c r="A15" i="13"/>
  <c r="A16" i="13"/>
  <c r="A17" i="13"/>
  <c r="A18" i="13"/>
  <c r="A19" i="13"/>
  <c r="A20" i="13"/>
  <c r="A21" i="13"/>
  <c r="A22" i="13"/>
  <c r="A23" i="13"/>
  <c r="A24" i="13"/>
  <c r="A25" i="13"/>
  <c r="A26" i="13"/>
  <c r="A27" i="13"/>
  <c r="A28" i="13"/>
  <c r="A29" i="13"/>
  <c r="A30" i="13"/>
  <c r="A31" i="13"/>
  <c r="A32" i="13"/>
  <c r="A33" i="13"/>
  <c r="A34" i="13"/>
  <c r="A35" i="13"/>
  <c r="A36" i="13"/>
  <c r="A37" i="13"/>
  <c r="A38" i="13"/>
  <c r="A39" i="13"/>
  <c r="A40" i="13"/>
  <c r="A41" i="13"/>
  <c r="A42" i="13"/>
  <c r="A43" i="13"/>
  <c r="A44" i="13"/>
  <c r="A45" i="13"/>
  <c r="A46" i="13"/>
  <c r="A47" i="13"/>
  <c r="A48" i="13"/>
  <c r="A49" i="13"/>
  <c r="A50" i="13"/>
  <c r="A51" i="13"/>
  <c r="A52" i="13"/>
  <c r="A53" i="13"/>
  <c r="A54" i="13"/>
  <c r="A55" i="13"/>
  <c r="A56" i="13"/>
  <c r="A57" i="13"/>
  <c r="A58" i="13"/>
  <c r="A59" i="13"/>
  <c r="A60" i="13"/>
  <c r="A61" i="13"/>
  <c r="A62" i="13"/>
  <c r="A63" i="13"/>
  <c r="A64" i="13"/>
  <c r="A65" i="13"/>
  <c r="A66" i="13"/>
  <c r="A67" i="13"/>
  <c r="A68" i="13"/>
  <c r="A69" i="13"/>
  <c r="A70" i="13"/>
  <c r="A71" i="13"/>
  <c r="A72" i="13"/>
  <c r="A73" i="13"/>
  <c r="A74" i="13"/>
  <c r="A75" i="13"/>
  <c r="A76" i="13"/>
  <c r="A77" i="13"/>
  <c r="A78" i="13"/>
  <c r="A79" i="13"/>
  <c r="A80" i="13"/>
  <c r="A81" i="13"/>
  <c r="A82" i="13"/>
  <c r="A83" i="13"/>
  <c r="A84" i="13"/>
  <c r="A85" i="13"/>
  <c r="A86" i="13"/>
  <c r="A87" i="13"/>
  <c r="A88" i="13"/>
  <c r="A89" i="13"/>
  <c r="A90" i="13"/>
  <c r="A91" i="13"/>
  <c r="A92" i="13"/>
  <c r="A93" i="13"/>
  <c r="A94" i="13"/>
  <c r="A95" i="13"/>
  <c r="A96" i="13"/>
  <c r="A97" i="13"/>
  <c r="A98" i="13"/>
  <c r="A99" i="13"/>
  <c r="A100" i="13"/>
  <c r="A101" i="13"/>
  <c r="A102" i="13"/>
  <c r="A103" i="13"/>
  <c r="A104" i="13"/>
  <c r="A105" i="13"/>
  <c r="A106" i="13"/>
  <c r="A107" i="13"/>
  <c r="A108" i="13"/>
  <c r="A109" i="13"/>
  <c r="A110" i="13"/>
  <c r="A111" i="13"/>
  <c r="A112" i="13"/>
  <c r="A113" i="13"/>
  <c r="A114" i="13"/>
  <c r="A115" i="13"/>
  <c r="A116" i="13"/>
  <c r="A117" i="13"/>
  <c r="A118" i="13"/>
  <c r="A119" i="13"/>
  <c r="A120" i="13"/>
  <c r="A121" i="13"/>
  <c r="A122" i="13"/>
  <c r="A123" i="13"/>
  <c r="A124" i="13"/>
  <c r="A125" i="13"/>
  <c r="A126" i="13"/>
  <c r="A127" i="13"/>
  <c r="A128" i="13"/>
  <c r="A129" i="13"/>
  <c r="A130" i="13"/>
  <c r="A131" i="13"/>
  <c r="A132" i="13"/>
  <c r="A133" i="13"/>
  <c r="A134" i="13"/>
  <c r="A135" i="13"/>
  <c r="A136" i="13"/>
  <c r="A137" i="13"/>
  <c r="A138" i="13"/>
  <c r="A139" i="13"/>
  <c r="A140" i="13"/>
  <c r="A141" i="13"/>
  <c r="A142" i="13"/>
  <c r="A143" i="13"/>
  <c r="A144" i="13"/>
  <c r="A145" i="13"/>
  <c r="A146" i="13"/>
  <c r="A147" i="13"/>
  <c r="A148" i="13"/>
  <c r="A149" i="13"/>
  <c r="A150" i="13"/>
  <c r="A151" i="13"/>
  <c r="A152" i="13"/>
  <c r="A153" i="13"/>
  <c r="A154" i="13"/>
  <c r="A155" i="13"/>
  <c r="A156" i="13"/>
  <c r="A157" i="13"/>
  <c r="A158" i="13"/>
  <c r="A159" i="13"/>
  <c r="A160" i="13"/>
  <c r="A161" i="13"/>
  <c r="A162" i="13"/>
  <c r="A163" i="13"/>
  <c r="A164" i="13"/>
  <c r="A165" i="13"/>
  <c r="A166" i="13"/>
  <c r="A167" i="13"/>
  <c r="A168" i="13"/>
  <c r="A169" i="13"/>
  <c r="A170" i="13"/>
  <c r="A171" i="13"/>
  <c r="A172" i="13"/>
  <c r="A173" i="13"/>
  <c r="A174" i="13"/>
  <c r="A175" i="13"/>
  <c r="A176" i="13"/>
  <c r="A177" i="13"/>
  <c r="A178" i="13"/>
  <c r="A179" i="13"/>
  <c r="A180" i="13"/>
  <c r="A181" i="13"/>
  <c r="A182" i="13"/>
  <c r="A183" i="13"/>
  <c r="A184" i="13"/>
  <c r="A185" i="13"/>
  <c r="A186" i="13"/>
  <c r="A187" i="13"/>
  <c r="A188" i="13"/>
  <c r="A189" i="13"/>
  <c r="A190" i="13"/>
  <c r="A191" i="13"/>
  <c r="A192" i="13"/>
  <c r="A193" i="13"/>
  <c r="A194" i="13"/>
  <c r="A195" i="13"/>
  <c r="A196" i="13"/>
  <c r="A197" i="13"/>
  <c r="A198" i="13"/>
  <c r="A199" i="13"/>
  <c r="A200" i="13"/>
  <c r="A201" i="13"/>
  <c r="A202" i="13"/>
  <c r="A3" i="13"/>
  <c r="H2" i="12"/>
  <c r="C2" i="12"/>
  <c r="E2" i="12"/>
  <c r="F2" i="12"/>
  <c r="A4" i="12"/>
  <c r="A5" i="12"/>
  <c r="A6" i="12"/>
  <c r="A7" i="12"/>
  <c r="A8" i="12"/>
  <c r="A9" i="12"/>
  <c r="A10" i="12"/>
  <c r="A11" i="12"/>
  <c r="A12" i="12"/>
  <c r="A13" i="12"/>
  <c r="A14" i="12"/>
  <c r="A15" i="12"/>
  <c r="A16" i="12"/>
  <c r="A17" i="12"/>
  <c r="A18" i="12"/>
  <c r="A19" i="12"/>
  <c r="A20" i="12"/>
  <c r="A21" i="12"/>
  <c r="A22" i="12"/>
  <c r="A23" i="12"/>
  <c r="A24" i="12"/>
  <c r="A25" i="12"/>
  <c r="A26" i="12"/>
  <c r="A27" i="12"/>
  <c r="A28" i="12"/>
  <c r="A29" i="12"/>
  <c r="A30" i="12"/>
  <c r="A31" i="12"/>
  <c r="A32" i="12"/>
  <c r="A33" i="12"/>
  <c r="A34" i="12"/>
  <c r="A35" i="12"/>
  <c r="A36" i="12"/>
  <c r="A37" i="12"/>
  <c r="A38" i="12"/>
  <c r="A39" i="12"/>
  <c r="A40" i="12"/>
  <c r="A41" i="12"/>
  <c r="A42" i="12"/>
  <c r="A43" i="12"/>
  <c r="A44" i="12"/>
  <c r="A45" i="12"/>
  <c r="A46" i="12"/>
  <c r="A47" i="12"/>
  <c r="A48" i="12"/>
  <c r="A49" i="12"/>
  <c r="A50" i="12"/>
  <c r="A51" i="12"/>
  <c r="A52" i="12"/>
  <c r="A53" i="12"/>
  <c r="A54" i="12"/>
  <c r="A55" i="12"/>
  <c r="A56" i="12"/>
  <c r="A57" i="12"/>
  <c r="A58" i="12"/>
  <c r="A59" i="12"/>
  <c r="A60" i="12"/>
  <c r="A61" i="12"/>
  <c r="A62" i="12"/>
  <c r="A63" i="12"/>
  <c r="A64" i="12"/>
  <c r="A65" i="12"/>
  <c r="A66" i="12"/>
  <c r="A67" i="12"/>
  <c r="A68" i="12"/>
  <c r="A69" i="12"/>
  <c r="A70" i="12"/>
  <c r="A71" i="12"/>
  <c r="A72" i="12"/>
  <c r="A73" i="12"/>
  <c r="A74" i="12"/>
  <c r="A75" i="12"/>
  <c r="A76" i="12"/>
  <c r="A77" i="12"/>
  <c r="A78" i="12"/>
  <c r="A79" i="12"/>
  <c r="A80" i="12"/>
  <c r="A81" i="12"/>
  <c r="A82" i="12"/>
  <c r="A83" i="12"/>
  <c r="A84" i="12"/>
  <c r="A85" i="12"/>
  <c r="A86" i="12"/>
  <c r="A87" i="12"/>
  <c r="A88" i="12"/>
  <c r="A89" i="12"/>
  <c r="A90" i="12"/>
  <c r="A91" i="12"/>
  <c r="A92" i="12"/>
  <c r="A93" i="12"/>
  <c r="A94" i="12"/>
  <c r="A95" i="12"/>
  <c r="A96" i="12"/>
  <c r="A97" i="12"/>
  <c r="A98" i="12"/>
  <c r="A99" i="12"/>
  <c r="A100" i="12"/>
  <c r="A101" i="12"/>
  <c r="A102" i="12"/>
  <c r="A103" i="12"/>
  <c r="A104" i="12"/>
  <c r="A105" i="12"/>
  <c r="A106" i="12"/>
  <c r="A107" i="12"/>
  <c r="A108" i="12"/>
  <c r="A109" i="12"/>
  <c r="A110" i="12"/>
  <c r="A111" i="12"/>
  <c r="A112" i="12"/>
  <c r="A113" i="12"/>
  <c r="A114" i="12"/>
  <c r="A115" i="12"/>
  <c r="A116" i="12"/>
  <c r="A117" i="12"/>
  <c r="A118" i="12"/>
  <c r="A119" i="12"/>
  <c r="A120" i="12"/>
  <c r="A121" i="12"/>
  <c r="A122" i="12"/>
  <c r="A123" i="12"/>
  <c r="A124" i="12"/>
  <c r="A125" i="12"/>
  <c r="A126" i="12"/>
  <c r="A127" i="12"/>
  <c r="A128" i="12"/>
  <c r="A129" i="12"/>
  <c r="A130" i="12"/>
  <c r="A131" i="12"/>
  <c r="A132" i="12"/>
  <c r="A133" i="12"/>
  <c r="A134" i="12"/>
  <c r="A135" i="12"/>
  <c r="A136" i="12"/>
  <c r="A137" i="12"/>
  <c r="A138" i="12"/>
  <c r="A139" i="12"/>
  <c r="A140" i="12"/>
  <c r="A141" i="12"/>
  <c r="A142" i="12"/>
  <c r="A143" i="12"/>
  <c r="A144" i="12"/>
  <c r="A145" i="12"/>
  <c r="A146" i="12"/>
  <c r="A147" i="12"/>
  <c r="A148" i="12"/>
  <c r="A149" i="12"/>
  <c r="A150" i="12"/>
  <c r="A151" i="12"/>
  <c r="A152" i="12"/>
  <c r="A153" i="12"/>
  <c r="A154" i="12"/>
  <c r="A155" i="12"/>
  <c r="A156" i="12"/>
  <c r="A157" i="12"/>
  <c r="A158" i="12"/>
  <c r="A159" i="12"/>
  <c r="A160" i="12"/>
  <c r="A161" i="12"/>
  <c r="A162" i="12"/>
  <c r="A163" i="12"/>
  <c r="A164" i="12"/>
  <c r="A165" i="12"/>
  <c r="A166" i="12"/>
  <c r="A167" i="12"/>
  <c r="A168" i="12"/>
  <c r="A169" i="12"/>
  <c r="A170" i="12"/>
  <c r="A171" i="12"/>
  <c r="A172" i="12"/>
  <c r="A173" i="12"/>
  <c r="A174" i="12"/>
  <c r="A175" i="12"/>
  <c r="A176" i="12"/>
  <c r="A177" i="12"/>
  <c r="A178" i="12"/>
  <c r="A179" i="12"/>
  <c r="A180" i="12"/>
  <c r="A181" i="12"/>
  <c r="A182" i="12"/>
  <c r="A183" i="12"/>
  <c r="A184" i="12"/>
  <c r="A185" i="12"/>
  <c r="A186" i="12"/>
  <c r="A187" i="12"/>
  <c r="A188" i="12"/>
  <c r="A189" i="12"/>
  <c r="A190" i="12"/>
  <c r="A191" i="12"/>
  <c r="A192" i="12"/>
  <c r="A193" i="12"/>
  <c r="A194" i="12"/>
  <c r="A195" i="12"/>
  <c r="A196" i="12"/>
  <c r="A197" i="12"/>
  <c r="A198" i="12"/>
  <c r="A199" i="12"/>
  <c r="A200" i="12"/>
  <c r="A201" i="12"/>
  <c r="A202" i="12"/>
  <c r="A3" i="12"/>
  <c r="E2" i="11"/>
  <c r="A3" i="11"/>
  <c r="B3" i="11" s="1"/>
  <c r="A4" i="11"/>
  <c r="A5" i="11"/>
  <c r="A6" i="11"/>
  <c r="A7" i="11"/>
  <c r="A8" i="11"/>
  <c r="A9" i="11"/>
  <c r="A10" i="11"/>
  <c r="A11" i="11"/>
  <c r="A12" i="11"/>
  <c r="A13" i="11"/>
  <c r="A14" i="11"/>
  <c r="A15" i="11"/>
  <c r="A16" i="11"/>
  <c r="A17" i="11"/>
  <c r="A18" i="11"/>
  <c r="A19" i="11"/>
  <c r="A20" i="11"/>
  <c r="A21" i="11"/>
  <c r="A22" i="11"/>
  <c r="A23" i="11"/>
  <c r="A24" i="11"/>
  <c r="A25" i="11"/>
  <c r="A26" i="11"/>
  <c r="A27" i="11"/>
  <c r="A28" i="11"/>
  <c r="A29" i="11"/>
  <c r="A30" i="11"/>
  <c r="A31" i="11"/>
  <c r="A32" i="11"/>
  <c r="A33" i="11"/>
  <c r="A34" i="11"/>
  <c r="A35" i="11"/>
  <c r="A36" i="11"/>
  <c r="A37" i="11"/>
  <c r="A38" i="11"/>
  <c r="A39" i="11"/>
  <c r="A40" i="11"/>
  <c r="A41" i="11"/>
  <c r="A42" i="11"/>
  <c r="A43" i="11"/>
  <c r="A44" i="11"/>
  <c r="A45" i="11"/>
  <c r="A46" i="11"/>
  <c r="A47" i="11"/>
  <c r="A48" i="11"/>
  <c r="A49" i="11"/>
  <c r="A50" i="11"/>
  <c r="A51" i="11"/>
  <c r="A52" i="11"/>
  <c r="A53" i="11"/>
  <c r="A54" i="11"/>
  <c r="A55" i="11"/>
  <c r="A56" i="11"/>
  <c r="A57" i="11"/>
  <c r="A58" i="11"/>
  <c r="A59" i="11"/>
  <c r="A60" i="11"/>
  <c r="A61" i="11"/>
  <c r="A62" i="11"/>
  <c r="A63" i="11"/>
  <c r="A64" i="11"/>
  <c r="A65" i="11"/>
  <c r="A66" i="11"/>
  <c r="A67" i="11"/>
  <c r="A68" i="11"/>
  <c r="A69" i="11"/>
  <c r="A70" i="11"/>
  <c r="A71" i="11"/>
  <c r="A72" i="11"/>
  <c r="A73" i="11"/>
  <c r="A74" i="11"/>
  <c r="A75" i="11"/>
  <c r="A76" i="11"/>
  <c r="A77" i="11"/>
  <c r="A78" i="11"/>
  <c r="A79" i="11"/>
  <c r="A80" i="11"/>
  <c r="A81" i="11"/>
  <c r="A82" i="11"/>
  <c r="A83" i="11"/>
  <c r="A84" i="11"/>
  <c r="A85" i="11"/>
  <c r="A86" i="11"/>
  <c r="A87" i="11"/>
  <c r="A88" i="11"/>
  <c r="A89" i="11"/>
  <c r="A90" i="11"/>
  <c r="A91" i="11"/>
  <c r="A92" i="11"/>
  <c r="A93" i="11"/>
  <c r="A94" i="11"/>
  <c r="A95" i="11"/>
  <c r="A96" i="11"/>
  <c r="A97" i="11"/>
  <c r="A98" i="11"/>
  <c r="A99" i="11"/>
  <c r="A100" i="11"/>
  <c r="A101" i="11"/>
  <c r="A102" i="11"/>
  <c r="A103" i="11"/>
  <c r="A104" i="11"/>
  <c r="A105" i="11"/>
  <c r="A106" i="11"/>
  <c r="A107" i="11"/>
  <c r="A108" i="11"/>
  <c r="A109" i="11"/>
  <c r="A110" i="11"/>
  <c r="A111" i="11"/>
  <c r="A112" i="11"/>
  <c r="A113" i="11"/>
  <c r="A114" i="11"/>
  <c r="A115" i="11"/>
  <c r="A116" i="11"/>
  <c r="A117" i="11"/>
  <c r="A118" i="11"/>
  <c r="A119" i="11"/>
  <c r="A120" i="11"/>
  <c r="A121" i="11"/>
  <c r="A122" i="11"/>
  <c r="A123" i="11"/>
  <c r="A124" i="11"/>
  <c r="A125" i="11"/>
  <c r="A126" i="11"/>
  <c r="A127" i="11"/>
  <c r="A128" i="11"/>
  <c r="A129" i="11"/>
  <c r="A130" i="11"/>
  <c r="A131" i="11"/>
  <c r="A132" i="11"/>
  <c r="A133" i="11"/>
  <c r="A134" i="11"/>
  <c r="A135" i="11"/>
  <c r="A136" i="11"/>
  <c r="A137" i="11"/>
  <c r="A138" i="11"/>
  <c r="A139" i="11"/>
  <c r="A140" i="11"/>
  <c r="A141" i="11"/>
  <c r="A142" i="11"/>
  <c r="A143" i="11"/>
  <c r="A144" i="11"/>
  <c r="A145" i="11"/>
  <c r="A146" i="11"/>
  <c r="A147" i="11"/>
  <c r="A148" i="11"/>
  <c r="A149" i="11"/>
  <c r="A150" i="11"/>
  <c r="A151" i="11"/>
  <c r="A152" i="11"/>
  <c r="A153" i="11"/>
  <c r="A154" i="11"/>
  <c r="A155" i="11"/>
  <c r="A156" i="11"/>
  <c r="A157" i="11"/>
  <c r="A158" i="11"/>
  <c r="A159" i="11"/>
  <c r="A160" i="11"/>
  <c r="A161" i="11"/>
  <c r="A162" i="11"/>
  <c r="A163" i="11"/>
  <c r="A164" i="11"/>
  <c r="A165" i="11"/>
  <c r="A166" i="11"/>
  <c r="A167" i="11"/>
  <c r="A168" i="11"/>
  <c r="A169" i="11"/>
  <c r="A170" i="11"/>
  <c r="A171" i="11"/>
  <c r="A172" i="11"/>
  <c r="A173" i="11"/>
  <c r="A174" i="11"/>
  <c r="A175" i="11"/>
  <c r="A176" i="11"/>
  <c r="A177" i="11"/>
  <c r="A178" i="11"/>
  <c r="A179" i="11"/>
  <c r="A180" i="11"/>
  <c r="A181" i="11"/>
  <c r="A182" i="11"/>
  <c r="A183" i="11"/>
  <c r="A184" i="11"/>
  <c r="A185" i="11"/>
  <c r="A186" i="11"/>
  <c r="A187" i="11"/>
  <c r="A188" i="11"/>
  <c r="A189" i="11"/>
  <c r="A190" i="11"/>
  <c r="A191" i="11"/>
  <c r="A192" i="11"/>
  <c r="A193" i="11"/>
  <c r="A194" i="11"/>
  <c r="A195" i="11"/>
  <c r="A196" i="11"/>
  <c r="A197" i="11"/>
  <c r="A198" i="11"/>
  <c r="A199" i="11"/>
  <c r="A200" i="11"/>
  <c r="A201" i="11"/>
  <c r="A202" i="11"/>
  <c r="A4" i="10"/>
  <c r="A5" i="10"/>
  <c r="A6" i="10"/>
  <c r="A7" i="10"/>
  <c r="A8" i="10"/>
  <c r="A9" i="10"/>
  <c r="A10" i="10"/>
  <c r="A11" i="10"/>
  <c r="A12" i="10"/>
  <c r="A13"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A58" i="10"/>
  <c r="A59" i="10"/>
  <c r="A60" i="10"/>
  <c r="A61" i="10"/>
  <c r="A62" i="10"/>
  <c r="A63" i="10"/>
  <c r="A64" i="10"/>
  <c r="A65" i="10"/>
  <c r="A66" i="10"/>
  <c r="A67" i="10"/>
  <c r="A68" i="10"/>
  <c r="A69" i="10"/>
  <c r="A70" i="10"/>
  <c r="A71" i="10"/>
  <c r="A72" i="10"/>
  <c r="A73" i="10"/>
  <c r="A74" i="10"/>
  <c r="A75" i="10"/>
  <c r="A76" i="10"/>
  <c r="A77" i="10"/>
  <c r="A78" i="10"/>
  <c r="A79" i="10"/>
  <c r="A80" i="10"/>
  <c r="A81" i="10"/>
  <c r="A82" i="10"/>
  <c r="A83" i="10"/>
  <c r="A84" i="10"/>
  <c r="A85" i="10"/>
  <c r="A86" i="10"/>
  <c r="A87" i="10"/>
  <c r="A88" i="10"/>
  <c r="A89" i="10"/>
  <c r="A90" i="10"/>
  <c r="A91" i="10"/>
  <c r="A92" i="10"/>
  <c r="A93" i="10"/>
  <c r="A94" i="10"/>
  <c r="A95" i="10"/>
  <c r="A96" i="10"/>
  <c r="A97" i="10"/>
  <c r="A98" i="10"/>
  <c r="A99" i="10"/>
  <c r="A100" i="10"/>
  <c r="A101" i="10"/>
  <c r="A102" i="10"/>
  <c r="A103" i="10"/>
  <c r="A104" i="10"/>
  <c r="A105" i="10"/>
  <c r="A106" i="10"/>
  <c r="A107" i="10"/>
  <c r="A108" i="10"/>
  <c r="A109" i="10"/>
  <c r="A110" i="10"/>
  <c r="A111" i="10"/>
  <c r="A112" i="10"/>
  <c r="A113" i="10"/>
  <c r="A114" i="10"/>
  <c r="A115" i="10"/>
  <c r="A116" i="10"/>
  <c r="A117" i="10"/>
  <c r="A118" i="10"/>
  <c r="A119" i="10"/>
  <c r="A120" i="10"/>
  <c r="A121" i="10"/>
  <c r="A122" i="10"/>
  <c r="A123" i="10"/>
  <c r="A124" i="10"/>
  <c r="A125" i="10"/>
  <c r="A126" i="10"/>
  <c r="A127" i="10"/>
  <c r="A128" i="10"/>
  <c r="A129" i="10"/>
  <c r="A130" i="10"/>
  <c r="A131" i="10"/>
  <c r="A132" i="10"/>
  <c r="A133" i="10"/>
  <c r="A134" i="10"/>
  <c r="A135" i="10"/>
  <c r="A136" i="10"/>
  <c r="A137" i="10"/>
  <c r="A138" i="10"/>
  <c r="A139" i="10"/>
  <c r="A140" i="10"/>
  <c r="A141" i="10"/>
  <c r="A142" i="10"/>
  <c r="A143" i="10"/>
  <c r="A144" i="10"/>
  <c r="A145" i="10"/>
  <c r="A146" i="10"/>
  <c r="A147" i="10"/>
  <c r="A148" i="10"/>
  <c r="A149" i="10"/>
  <c r="A150" i="10"/>
  <c r="A151" i="10"/>
  <c r="A152" i="10"/>
  <c r="A153" i="10"/>
  <c r="A154" i="10"/>
  <c r="A155" i="10"/>
  <c r="A156" i="10"/>
  <c r="A157" i="10"/>
  <c r="A158" i="10"/>
  <c r="A159" i="10"/>
  <c r="A160" i="10"/>
  <c r="A161" i="10"/>
  <c r="A162" i="10"/>
  <c r="A163" i="10"/>
  <c r="A164" i="10"/>
  <c r="A165" i="10"/>
  <c r="A166" i="10"/>
  <c r="A167" i="10"/>
  <c r="A168" i="10"/>
  <c r="A169" i="10"/>
  <c r="A170" i="10"/>
  <c r="A171" i="10"/>
  <c r="A172" i="10"/>
  <c r="A173" i="10"/>
  <c r="A174" i="10"/>
  <c r="A175" i="10"/>
  <c r="A176" i="10"/>
  <c r="A177" i="10"/>
  <c r="A178" i="10"/>
  <c r="A179" i="10"/>
  <c r="A180" i="10"/>
  <c r="A181" i="10"/>
  <c r="A182" i="10"/>
  <c r="A183" i="10"/>
  <c r="A184" i="10"/>
  <c r="A185" i="10"/>
  <c r="A186" i="10"/>
  <c r="A187" i="10"/>
  <c r="A188" i="10"/>
  <c r="A189" i="10"/>
  <c r="A190" i="10"/>
  <c r="A191" i="10"/>
  <c r="A192" i="10"/>
  <c r="A193" i="10"/>
  <c r="A194" i="10"/>
  <c r="A195" i="10"/>
  <c r="A196" i="10"/>
  <c r="A197" i="10"/>
  <c r="A198" i="10"/>
  <c r="A199" i="10"/>
  <c r="A200" i="10"/>
  <c r="A201" i="10"/>
  <c r="A202" i="10"/>
  <c r="A3" i="10"/>
  <c r="C2" i="9"/>
  <c r="D2" i="9"/>
  <c r="E2" i="9"/>
  <c r="F2" i="9"/>
  <c r="G2" i="9"/>
  <c r="H2" i="9"/>
  <c r="I2" i="9"/>
  <c r="J2" i="9"/>
  <c r="K2" i="9"/>
  <c r="L2" i="9"/>
  <c r="M2" i="9"/>
  <c r="N2" i="9"/>
  <c r="Q2" i="9"/>
  <c r="S2" i="9"/>
  <c r="U2" i="9"/>
  <c r="X2" i="9"/>
  <c r="Y2" i="9"/>
  <c r="Z2" i="9"/>
  <c r="AA2" i="9"/>
  <c r="AB2" i="9"/>
  <c r="AC2" i="9"/>
  <c r="EZ2" i="8"/>
  <c r="EP2" i="8"/>
  <c r="EQ2" i="8"/>
  <c r="ER2" i="8"/>
  <c r="ES2" i="8"/>
  <c r="ET2" i="8"/>
  <c r="CV2" i="8"/>
  <c r="CX2" i="8"/>
  <c r="BV2" i="8"/>
  <c r="AY2" i="8"/>
  <c r="AZ2" i="8"/>
  <c r="BA2" i="8"/>
  <c r="BJ2" i="8"/>
  <c r="AH2" i="8"/>
  <c r="A4" i="9"/>
  <c r="A5" i="9"/>
  <c r="A6" i="9"/>
  <c r="A7" i="9"/>
  <c r="A8" i="9"/>
  <c r="A9" i="9"/>
  <c r="A10" i="9"/>
  <c r="A11" i="9"/>
  <c r="A12" i="9"/>
  <c r="A13" i="9"/>
  <c r="A14" i="9"/>
  <c r="A15" i="9"/>
  <c r="A16" i="9"/>
  <c r="A17" i="9"/>
  <c r="A18" i="9"/>
  <c r="A19" i="9"/>
  <c r="A20" i="9"/>
  <c r="A21" i="9"/>
  <c r="A22" i="9"/>
  <c r="A23" i="9"/>
  <c r="A24" i="9"/>
  <c r="A25" i="9"/>
  <c r="A26" i="9"/>
  <c r="A27" i="9"/>
  <c r="A28" i="9"/>
  <c r="A29" i="9"/>
  <c r="A30" i="9"/>
  <c r="A31" i="9"/>
  <c r="A32" i="9"/>
  <c r="A33" i="9"/>
  <c r="A34" i="9"/>
  <c r="A35" i="9"/>
  <c r="A36" i="9"/>
  <c r="A37" i="9"/>
  <c r="A38" i="9"/>
  <c r="A39" i="9"/>
  <c r="A40" i="9"/>
  <c r="A41" i="9"/>
  <c r="A42" i="9"/>
  <c r="A43" i="9"/>
  <c r="A44" i="9"/>
  <c r="A45" i="9"/>
  <c r="A46" i="9"/>
  <c r="A47" i="9"/>
  <c r="A48" i="9"/>
  <c r="A49" i="9"/>
  <c r="A50" i="9"/>
  <c r="A51" i="9"/>
  <c r="A52" i="9"/>
  <c r="A53" i="9"/>
  <c r="A54" i="9"/>
  <c r="A55" i="9"/>
  <c r="A56" i="9"/>
  <c r="A57" i="9"/>
  <c r="A58" i="9"/>
  <c r="A59" i="9"/>
  <c r="A60" i="9"/>
  <c r="A61" i="9"/>
  <c r="A62" i="9"/>
  <c r="A63" i="9"/>
  <c r="A64" i="9"/>
  <c r="A65" i="9"/>
  <c r="A66" i="9"/>
  <c r="A67" i="9"/>
  <c r="A68" i="9"/>
  <c r="A69" i="9"/>
  <c r="A70" i="9"/>
  <c r="A71" i="9"/>
  <c r="A72" i="9"/>
  <c r="A73" i="9"/>
  <c r="A74" i="9"/>
  <c r="A75" i="9"/>
  <c r="A76" i="9"/>
  <c r="A77" i="9"/>
  <c r="A78" i="9"/>
  <c r="A79" i="9"/>
  <c r="A80" i="9"/>
  <c r="A81" i="9"/>
  <c r="A82" i="9"/>
  <c r="A83" i="9"/>
  <c r="A84" i="9"/>
  <c r="A85" i="9"/>
  <c r="A86" i="9"/>
  <c r="A87" i="9"/>
  <c r="A88" i="9"/>
  <c r="A89" i="9"/>
  <c r="A90" i="9"/>
  <c r="A91" i="9"/>
  <c r="A92" i="9"/>
  <c r="A93" i="9"/>
  <c r="A94" i="9"/>
  <c r="A95" i="9"/>
  <c r="A96" i="9"/>
  <c r="A97" i="9"/>
  <c r="A98" i="9"/>
  <c r="A99" i="9"/>
  <c r="A100" i="9"/>
  <c r="A101" i="9"/>
  <c r="A102" i="9"/>
  <c r="A103" i="9"/>
  <c r="A104" i="9"/>
  <c r="A105" i="9"/>
  <c r="A106" i="9"/>
  <c r="A107" i="9"/>
  <c r="A108" i="9"/>
  <c r="A109" i="9"/>
  <c r="A110" i="9"/>
  <c r="A111" i="9"/>
  <c r="A112" i="9"/>
  <c r="A113" i="9"/>
  <c r="A114" i="9"/>
  <c r="A115" i="9"/>
  <c r="A116" i="9"/>
  <c r="A117" i="9"/>
  <c r="A118" i="9"/>
  <c r="A119" i="9"/>
  <c r="A120" i="9"/>
  <c r="A121" i="9"/>
  <c r="A122" i="9"/>
  <c r="A123" i="9"/>
  <c r="A124" i="9"/>
  <c r="A125" i="9"/>
  <c r="A126" i="9"/>
  <c r="A127" i="9"/>
  <c r="A128" i="9"/>
  <c r="A129" i="9"/>
  <c r="A130" i="9"/>
  <c r="A131" i="9"/>
  <c r="A132" i="9"/>
  <c r="A133" i="9"/>
  <c r="A134" i="9"/>
  <c r="A135" i="9"/>
  <c r="A136" i="9"/>
  <c r="A137" i="9"/>
  <c r="A138" i="9"/>
  <c r="A139" i="9"/>
  <c r="A140" i="9"/>
  <c r="A141" i="9"/>
  <c r="A142" i="9"/>
  <c r="A143" i="9"/>
  <c r="A144" i="9"/>
  <c r="A145" i="9"/>
  <c r="A146" i="9"/>
  <c r="A147" i="9"/>
  <c r="A148" i="9"/>
  <c r="A149" i="9"/>
  <c r="A150" i="9"/>
  <c r="A151" i="9"/>
  <c r="A152" i="9"/>
  <c r="A153" i="9"/>
  <c r="A154" i="9"/>
  <c r="A155" i="9"/>
  <c r="A156" i="9"/>
  <c r="A157" i="9"/>
  <c r="A158" i="9"/>
  <c r="A159" i="9"/>
  <c r="A160" i="9"/>
  <c r="A161" i="9"/>
  <c r="A162" i="9"/>
  <c r="A163" i="9"/>
  <c r="A164" i="9"/>
  <c r="A165" i="9"/>
  <c r="A166" i="9"/>
  <c r="A167" i="9"/>
  <c r="A168" i="9"/>
  <c r="A169" i="9"/>
  <c r="A170" i="9"/>
  <c r="A171" i="9"/>
  <c r="A172" i="9"/>
  <c r="A173" i="9"/>
  <c r="A174" i="9"/>
  <c r="A175" i="9"/>
  <c r="A176" i="9"/>
  <c r="A177" i="9"/>
  <c r="A178" i="9"/>
  <c r="A179" i="9"/>
  <c r="A180" i="9"/>
  <c r="A181" i="9"/>
  <c r="A182" i="9"/>
  <c r="A183" i="9"/>
  <c r="A184" i="9"/>
  <c r="A185" i="9"/>
  <c r="A186" i="9"/>
  <c r="A187" i="9"/>
  <c r="A188" i="9"/>
  <c r="A189" i="9"/>
  <c r="A190" i="9"/>
  <c r="A191" i="9"/>
  <c r="A192" i="9"/>
  <c r="A193" i="9"/>
  <c r="A194" i="9"/>
  <c r="A195" i="9"/>
  <c r="A196" i="9"/>
  <c r="A197" i="9"/>
  <c r="A198" i="9"/>
  <c r="A199" i="9"/>
  <c r="A200" i="9"/>
  <c r="A201" i="9"/>
  <c r="A202" i="9"/>
  <c r="A3" i="9"/>
  <c r="U2" i="8"/>
  <c r="Z2" i="8"/>
  <c r="AG2" i="8"/>
  <c r="AX2" i="8"/>
  <c r="BK2" i="8"/>
  <c r="BW2" i="8"/>
  <c r="CJ2" i="8"/>
  <c r="CU2" i="8"/>
  <c r="EX2" i="8"/>
  <c r="FN2" i="8"/>
  <c r="A4" i="8"/>
  <c r="BV4" i="8" s="1"/>
  <c r="A5" i="8"/>
  <c r="BJ5" i="8" s="1"/>
  <c r="A6" i="8"/>
  <c r="A7" i="8"/>
  <c r="A8" i="8"/>
  <c r="BJ8" i="8" s="1"/>
  <c r="A9" i="8"/>
  <c r="BJ9" i="8" s="1"/>
  <c r="A10" i="8"/>
  <c r="BV10" i="8" s="1"/>
  <c r="A11" i="8"/>
  <c r="A12" i="8"/>
  <c r="BJ12" i="8" s="1"/>
  <c r="A13" i="8"/>
  <c r="BJ13" i="8" s="1"/>
  <c r="A14" i="8"/>
  <c r="A15" i="8"/>
  <c r="BV15" i="8" s="1"/>
  <c r="A16" i="8"/>
  <c r="BJ16" i="8" s="1"/>
  <c r="A17" i="8"/>
  <c r="BJ17" i="8" s="1"/>
  <c r="A18" i="8"/>
  <c r="A19" i="8"/>
  <c r="A20" i="8"/>
  <c r="BV20" i="8" s="1"/>
  <c r="A21" i="8"/>
  <c r="BJ21" i="8" s="1"/>
  <c r="A22" i="8"/>
  <c r="A23" i="8"/>
  <c r="A24" i="8"/>
  <c r="BJ24" i="8" s="1"/>
  <c r="A25" i="8"/>
  <c r="BJ25" i="8" s="1"/>
  <c r="A26" i="8"/>
  <c r="BV26" i="8" s="1"/>
  <c r="A27" i="8"/>
  <c r="A28" i="8"/>
  <c r="BJ28" i="8" s="1"/>
  <c r="A29" i="8"/>
  <c r="BJ29" i="8" s="1"/>
  <c r="A30" i="8"/>
  <c r="A31" i="8"/>
  <c r="BV31" i="8" s="1"/>
  <c r="A32" i="8"/>
  <c r="BJ32" i="8" s="1"/>
  <c r="A33" i="8"/>
  <c r="BJ33" i="8" s="1"/>
  <c r="A34" i="8"/>
  <c r="A35" i="8"/>
  <c r="A36" i="8"/>
  <c r="BV36" i="8" s="1"/>
  <c r="A37" i="8"/>
  <c r="BJ37" i="8" s="1"/>
  <c r="A38" i="8"/>
  <c r="A39" i="8"/>
  <c r="A40" i="8"/>
  <c r="BJ40" i="8" s="1"/>
  <c r="A41" i="8"/>
  <c r="BJ41" i="8" s="1"/>
  <c r="A42" i="8"/>
  <c r="BV42" i="8" s="1"/>
  <c r="A43" i="8"/>
  <c r="A44" i="8"/>
  <c r="BJ44" i="8" s="1"/>
  <c r="A45" i="8"/>
  <c r="BJ45" i="8" s="1"/>
  <c r="A46" i="8"/>
  <c r="A47" i="8"/>
  <c r="BV47" i="8" s="1"/>
  <c r="A48" i="8"/>
  <c r="BJ48" i="8" s="1"/>
  <c r="A49" i="8"/>
  <c r="BJ49" i="8" s="1"/>
  <c r="A50" i="8"/>
  <c r="A51" i="8"/>
  <c r="BJ51" i="8" s="1"/>
  <c r="A52" i="8"/>
  <c r="BV52" i="8" s="1"/>
  <c r="A53" i="8"/>
  <c r="BJ53" i="8" s="1"/>
  <c r="A54" i="8"/>
  <c r="A55" i="8"/>
  <c r="A56" i="8"/>
  <c r="BJ56" i="8" s="1"/>
  <c r="A57" i="8"/>
  <c r="BJ57" i="8" s="1"/>
  <c r="A58" i="8"/>
  <c r="BV58" i="8" s="1"/>
  <c r="A59" i="8"/>
  <c r="A60" i="8"/>
  <c r="BJ60" i="8" s="1"/>
  <c r="A61" i="8"/>
  <c r="BJ61" i="8" s="1"/>
  <c r="A62" i="8"/>
  <c r="A63" i="8"/>
  <c r="BV63" i="8" s="1"/>
  <c r="A64" i="8"/>
  <c r="BJ64" i="8" s="1"/>
  <c r="A65" i="8"/>
  <c r="BJ65" i="8" s="1"/>
  <c r="A66" i="8"/>
  <c r="A67" i="8"/>
  <c r="BJ67" i="8" s="1"/>
  <c r="A68" i="8"/>
  <c r="BV68" i="8" s="1"/>
  <c r="A69" i="8"/>
  <c r="BJ69" i="8" s="1"/>
  <c r="A70" i="8"/>
  <c r="A71" i="8"/>
  <c r="A72" i="8"/>
  <c r="BJ72" i="8" s="1"/>
  <c r="A73" i="8"/>
  <c r="BJ73" i="8" s="1"/>
  <c r="A74" i="8"/>
  <c r="BV74" i="8" s="1"/>
  <c r="A75" i="8"/>
  <c r="A76" i="8"/>
  <c r="BJ76" i="8" s="1"/>
  <c r="A77" i="8"/>
  <c r="BJ77" i="8" s="1"/>
  <c r="A78" i="8"/>
  <c r="A79" i="8"/>
  <c r="BV79" i="8" s="1"/>
  <c r="A80" i="8"/>
  <c r="BJ80" i="8" s="1"/>
  <c r="A81" i="8"/>
  <c r="BJ81" i="8" s="1"/>
  <c r="A82" i="8"/>
  <c r="A83" i="8"/>
  <c r="BJ83" i="8" s="1"/>
  <c r="A84" i="8"/>
  <c r="BV84" i="8" s="1"/>
  <c r="A85" i="8"/>
  <c r="BJ85" i="8" s="1"/>
  <c r="A86" i="8"/>
  <c r="A87" i="8"/>
  <c r="A88" i="8"/>
  <c r="BJ88" i="8" s="1"/>
  <c r="A89" i="8"/>
  <c r="BJ89" i="8" s="1"/>
  <c r="A90" i="8"/>
  <c r="BV90" i="8" s="1"/>
  <c r="A91" i="8"/>
  <c r="A92" i="8"/>
  <c r="BJ92" i="8" s="1"/>
  <c r="A93" i="8"/>
  <c r="BJ93" i="8" s="1"/>
  <c r="A94" i="8"/>
  <c r="A95" i="8"/>
  <c r="BV95" i="8" s="1"/>
  <c r="A96" i="8"/>
  <c r="BJ96" i="8" s="1"/>
  <c r="A97" i="8"/>
  <c r="BJ97" i="8" s="1"/>
  <c r="A98" i="8"/>
  <c r="A99" i="8"/>
  <c r="BJ99" i="8" s="1"/>
  <c r="A100" i="8"/>
  <c r="BV100" i="8" s="1"/>
  <c r="A101" i="8"/>
  <c r="BJ101" i="8" s="1"/>
  <c r="A102" i="8"/>
  <c r="A103" i="8"/>
  <c r="A104" i="8"/>
  <c r="BJ104" i="8" s="1"/>
  <c r="A105" i="8"/>
  <c r="BJ105" i="8" s="1"/>
  <c r="A106" i="8"/>
  <c r="BV106" i="8" s="1"/>
  <c r="A107" i="8"/>
  <c r="A108" i="8"/>
  <c r="BJ108" i="8" s="1"/>
  <c r="A109" i="8"/>
  <c r="BJ109" i="8" s="1"/>
  <c r="A110" i="8"/>
  <c r="A111" i="8"/>
  <c r="BV111" i="8" s="1"/>
  <c r="A112" i="8"/>
  <c r="BJ112" i="8" s="1"/>
  <c r="A113" i="8"/>
  <c r="BJ113" i="8" s="1"/>
  <c r="A114" i="8"/>
  <c r="A115" i="8"/>
  <c r="BJ115" i="8" s="1"/>
  <c r="A116" i="8"/>
  <c r="BV116" i="8" s="1"/>
  <c r="A117" i="8"/>
  <c r="BJ117" i="8" s="1"/>
  <c r="A118" i="8"/>
  <c r="A119" i="8"/>
  <c r="A120" i="8"/>
  <c r="BJ120" i="8" s="1"/>
  <c r="A121" i="8"/>
  <c r="BV121" i="8" s="1"/>
  <c r="A122" i="8"/>
  <c r="A123" i="8"/>
  <c r="A124" i="8"/>
  <c r="BV124" i="8" s="1"/>
  <c r="A125" i="8"/>
  <c r="BJ125" i="8" s="1"/>
  <c r="A126" i="8"/>
  <c r="A127" i="8"/>
  <c r="A128" i="8"/>
  <c r="BV128" i="8" s="1"/>
  <c r="A129" i="8"/>
  <c r="BV129" i="8" s="1"/>
  <c r="A130" i="8"/>
  <c r="A131" i="8"/>
  <c r="BJ131" i="8" s="1"/>
  <c r="A132" i="8"/>
  <c r="BV132" i="8" s="1"/>
  <c r="A133" i="8"/>
  <c r="BV133" i="8" s="1"/>
  <c r="A134" i="8"/>
  <c r="A135" i="8"/>
  <c r="A136" i="8"/>
  <c r="BJ136" i="8" s="1"/>
  <c r="A137" i="8"/>
  <c r="BV137" i="8" s="1"/>
  <c r="A138" i="8"/>
  <c r="A139" i="8"/>
  <c r="A140" i="8"/>
  <c r="BV140" i="8" s="1"/>
  <c r="A141" i="8"/>
  <c r="BV141" i="8" s="1"/>
  <c r="A142" i="8"/>
  <c r="A143" i="8"/>
  <c r="A144" i="8"/>
  <c r="BV144" i="8" s="1"/>
  <c r="A145" i="8"/>
  <c r="BV145" i="8" s="1"/>
  <c r="A146" i="8"/>
  <c r="A147" i="8"/>
  <c r="BJ147" i="8" s="1"/>
  <c r="A148" i="8"/>
  <c r="BV148" i="8" s="1"/>
  <c r="A149" i="8"/>
  <c r="BV149" i="8" s="1"/>
  <c r="A150" i="8"/>
  <c r="A151" i="8"/>
  <c r="A152" i="8"/>
  <c r="BJ152" i="8" s="1"/>
  <c r="A153" i="8"/>
  <c r="BV153" i="8" s="1"/>
  <c r="A154" i="8"/>
  <c r="A155" i="8"/>
  <c r="A156" i="8"/>
  <c r="BV156" i="8" s="1"/>
  <c r="A157" i="8"/>
  <c r="BJ157" i="8" s="1"/>
  <c r="A158" i="8"/>
  <c r="A159" i="8"/>
  <c r="A160" i="8"/>
  <c r="BV160" i="8" s="1"/>
  <c r="A161" i="8"/>
  <c r="BV161" i="8" s="1"/>
  <c r="A162" i="8"/>
  <c r="A163" i="8"/>
  <c r="BJ163" i="8" s="1"/>
  <c r="A164" i="8"/>
  <c r="BV164" i="8" s="1"/>
  <c r="A165" i="8"/>
  <c r="BV165" i="8" s="1"/>
  <c r="A166" i="8"/>
  <c r="BV166" i="8" s="1"/>
  <c r="A167" i="8"/>
  <c r="A168" i="8"/>
  <c r="BJ168" i="8" s="1"/>
  <c r="A169" i="8"/>
  <c r="BV169" i="8" s="1"/>
  <c r="A170" i="8"/>
  <c r="BV170" i="8" s="1"/>
  <c r="A171" i="8"/>
  <c r="A172" i="8"/>
  <c r="BV172" i="8" s="1"/>
  <c r="A173" i="8"/>
  <c r="BV173" i="8" s="1"/>
  <c r="A174" i="8"/>
  <c r="BV174" i="8" s="1"/>
  <c r="A175" i="8"/>
  <c r="A176" i="8"/>
  <c r="BV176" i="8" s="1"/>
  <c r="A177" i="8"/>
  <c r="BV177" i="8" s="1"/>
  <c r="A178" i="8"/>
  <c r="BV178" i="8" s="1"/>
  <c r="A179" i="8"/>
  <c r="BJ179" i="8" s="1"/>
  <c r="A180" i="8"/>
  <c r="BV180" i="8" s="1"/>
  <c r="A181" i="8"/>
  <c r="BV181" i="8" s="1"/>
  <c r="A182" i="8"/>
  <c r="BV182" i="8" s="1"/>
  <c r="A183" i="8"/>
  <c r="A184" i="8"/>
  <c r="BJ184" i="8" s="1"/>
  <c r="A185" i="8"/>
  <c r="BV185" i="8" s="1"/>
  <c r="A186" i="8"/>
  <c r="BV186" i="8" s="1"/>
  <c r="A187" i="8"/>
  <c r="A188" i="8"/>
  <c r="BV188" i="8" s="1"/>
  <c r="A189" i="8"/>
  <c r="BJ189" i="8" s="1"/>
  <c r="A190" i="8"/>
  <c r="BV190" i="8" s="1"/>
  <c r="A191" i="8"/>
  <c r="A192" i="8"/>
  <c r="BV192" i="8" s="1"/>
  <c r="A193" i="8"/>
  <c r="BV193" i="8" s="1"/>
  <c r="A194" i="8"/>
  <c r="BV194" i="8" s="1"/>
  <c r="A195" i="8"/>
  <c r="BJ195" i="8" s="1"/>
  <c r="A196" i="8"/>
  <c r="BV196" i="8" s="1"/>
  <c r="A197" i="8"/>
  <c r="BV197" i="8" s="1"/>
  <c r="A198" i="8"/>
  <c r="BV198" i="8" s="1"/>
  <c r="A199" i="8"/>
  <c r="A200" i="8"/>
  <c r="BJ200" i="8" s="1"/>
  <c r="A201" i="8"/>
  <c r="BV201" i="8" s="1"/>
  <c r="A202" i="8"/>
  <c r="BV202" i="8" s="1"/>
  <c r="A3" i="8"/>
  <c r="BJ185" i="8" l="1"/>
  <c r="BJ121" i="8"/>
  <c r="BV77" i="8"/>
  <c r="BJ169" i="8"/>
  <c r="BJ79" i="8"/>
  <c r="BV51" i="8"/>
  <c r="BJ153" i="8"/>
  <c r="BJ201" i="8"/>
  <c r="BJ137" i="8"/>
  <c r="BV109" i="8"/>
  <c r="BV200" i="8"/>
  <c r="BV136" i="8"/>
  <c r="BJ197" i="8"/>
  <c r="BJ181" i="8"/>
  <c r="BJ165" i="8"/>
  <c r="BJ149" i="8"/>
  <c r="BJ133" i="8"/>
  <c r="BJ116" i="8"/>
  <c r="BJ68" i="8"/>
  <c r="BJ15" i="8"/>
  <c r="BV189" i="8"/>
  <c r="BV157" i="8"/>
  <c r="BV125" i="8"/>
  <c r="BV104" i="8"/>
  <c r="BV72" i="8"/>
  <c r="BV45" i="8"/>
  <c r="BV13" i="8"/>
  <c r="BJ193" i="8"/>
  <c r="BJ177" i="8"/>
  <c r="BJ161" i="8"/>
  <c r="BJ145" i="8"/>
  <c r="BJ129" i="8"/>
  <c r="BJ100" i="8"/>
  <c r="BJ52" i="8"/>
  <c r="BJ4" i="8"/>
  <c r="BV184" i="8"/>
  <c r="BV152" i="8"/>
  <c r="BV120" i="8"/>
  <c r="BV93" i="8"/>
  <c r="BV61" i="8"/>
  <c r="BV40" i="8"/>
  <c r="BV8" i="8"/>
  <c r="BJ20" i="8"/>
  <c r="BV168" i="8"/>
  <c r="BV24" i="8"/>
  <c r="BJ173" i="8"/>
  <c r="BJ141" i="8"/>
  <c r="BJ84" i="8"/>
  <c r="BJ36" i="8"/>
  <c r="BV115" i="8"/>
  <c r="BV88" i="8"/>
  <c r="BV56" i="8"/>
  <c r="BV29" i="8"/>
  <c r="BV5" i="8"/>
  <c r="BV154" i="8"/>
  <c r="BJ154" i="8"/>
  <c r="BV146" i="8"/>
  <c r="BJ146" i="8"/>
  <c r="BV138" i="8"/>
  <c r="BJ138" i="8"/>
  <c r="BV130" i="8"/>
  <c r="BJ130" i="8"/>
  <c r="BV122" i="8"/>
  <c r="BJ122" i="8"/>
  <c r="BV114" i="8"/>
  <c r="BJ114" i="8"/>
  <c r="BV102" i="8"/>
  <c r="BJ102" i="8"/>
  <c r="BV94" i="8"/>
  <c r="BJ94" i="8"/>
  <c r="BV70" i="8"/>
  <c r="BJ70" i="8"/>
  <c r="BV66" i="8"/>
  <c r="BJ66" i="8"/>
  <c r="BV62" i="8"/>
  <c r="BJ62" i="8"/>
  <c r="BV54" i="8"/>
  <c r="BJ54" i="8"/>
  <c r="BV46" i="8"/>
  <c r="BJ46" i="8"/>
  <c r="BV38" i="8"/>
  <c r="BJ38" i="8"/>
  <c r="BJ198" i="8"/>
  <c r="BJ182" i="8"/>
  <c r="BJ174" i="8"/>
  <c r="BV179" i="8"/>
  <c r="BJ95" i="8"/>
  <c r="BJ74" i="8"/>
  <c r="BJ31" i="8"/>
  <c r="BJ10" i="8"/>
  <c r="BV195" i="8"/>
  <c r="BV131" i="8"/>
  <c r="BV67" i="8"/>
  <c r="BV162" i="8"/>
  <c r="BJ162" i="8"/>
  <c r="BV150" i="8"/>
  <c r="BJ150" i="8"/>
  <c r="BV142" i="8"/>
  <c r="BJ142" i="8"/>
  <c r="BV134" i="8"/>
  <c r="BJ134" i="8"/>
  <c r="BV126" i="8"/>
  <c r="BJ126" i="8"/>
  <c r="BV118" i="8"/>
  <c r="BJ118" i="8"/>
  <c r="BV110" i="8"/>
  <c r="BJ110" i="8"/>
  <c r="BV86" i="8"/>
  <c r="BJ86" i="8"/>
  <c r="BV78" i="8"/>
  <c r="BJ78" i="8"/>
  <c r="BV50" i="8"/>
  <c r="BJ50" i="8"/>
  <c r="BV18" i="8"/>
  <c r="BJ18" i="8"/>
  <c r="BV6" i="8"/>
  <c r="BJ6" i="8"/>
  <c r="BJ190" i="8"/>
  <c r="BJ58" i="8"/>
  <c r="BJ202" i="8"/>
  <c r="BJ194" i="8"/>
  <c r="BJ186" i="8"/>
  <c r="BJ178" i="8"/>
  <c r="BJ170" i="8"/>
  <c r="BJ111" i="8"/>
  <c r="BJ90" i="8"/>
  <c r="BJ47" i="8"/>
  <c r="BJ26" i="8"/>
  <c r="BV147" i="8"/>
  <c r="BV83" i="8"/>
  <c r="BV158" i="8"/>
  <c r="BJ158" i="8"/>
  <c r="BV98" i="8"/>
  <c r="BJ98" i="8"/>
  <c r="BV82" i="8"/>
  <c r="BJ82" i="8"/>
  <c r="BV34" i="8"/>
  <c r="BJ34" i="8"/>
  <c r="BV30" i="8"/>
  <c r="BJ30" i="8"/>
  <c r="BV22" i="8"/>
  <c r="BJ22" i="8"/>
  <c r="BV14" i="8"/>
  <c r="BJ14" i="8"/>
  <c r="BJ166" i="8"/>
  <c r="BV3" i="8"/>
  <c r="BJ3" i="8"/>
  <c r="BJ199" i="8"/>
  <c r="BV199" i="8"/>
  <c r="BV191" i="8"/>
  <c r="BJ191" i="8"/>
  <c r="BV187" i="8"/>
  <c r="BJ187" i="8"/>
  <c r="BJ183" i="8"/>
  <c r="BV183" i="8"/>
  <c r="BV175" i="8"/>
  <c r="BJ175" i="8"/>
  <c r="BV171" i="8"/>
  <c r="BJ171" i="8"/>
  <c r="BJ167" i="8"/>
  <c r="BV167" i="8"/>
  <c r="BV159" i="8"/>
  <c r="BJ159" i="8"/>
  <c r="BV155" i="8"/>
  <c r="BJ155" i="8"/>
  <c r="BJ151" i="8"/>
  <c r="BV151" i="8"/>
  <c r="BV143" i="8"/>
  <c r="BJ143" i="8"/>
  <c r="BV139" i="8"/>
  <c r="BJ139" i="8"/>
  <c r="BJ135" i="8"/>
  <c r="BV135" i="8"/>
  <c r="BV127" i="8"/>
  <c r="BJ127" i="8"/>
  <c r="BV123" i="8"/>
  <c r="BJ123" i="8"/>
  <c r="BJ119" i="8"/>
  <c r="BV119" i="8"/>
  <c r="BJ107" i="8"/>
  <c r="BV107" i="8"/>
  <c r="BJ103" i="8"/>
  <c r="BV103" i="8"/>
  <c r="BJ91" i="8"/>
  <c r="BV91" i="8"/>
  <c r="BJ87" i="8"/>
  <c r="BV87" i="8"/>
  <c r="BJ75" i="8"/>
  <c r="BV75" i="8"/>
  <c r="BJ71" i="8"/>
  <c r="BV71" i="8"/>
  <c r="BJ59" i="8"/>
  <c r="BV59" i="8"/>
  <c r="BJ55" i="8"/>
  <c r="BV55" i="8"/>
  <c r="BJ43" i="8"/>
  <c r="BV43" i="8"/>
  <c r="BJ39" i="8"/>
  <c r="BV39" i="8"/>
  <c r="BV35" i="8"/>
  <c r="BJ35" i="8"/>
  <c r="BJ27" i="8"/>
  <c r="BV27" i="8"/>
  <c r="BJ23" i="8"/>
  <c r="BV23" i="8"/>
  <c r="BV19" i="8"/>
  <c r="BJ19" i="8"/>
  <c r="BJ11" i="8"/>
  <c r="BV11" i="8"/>
  <c r="BJ7" i="8"/>
  <c r="BV7" i="8"/>
  <c r="BJ106" i="8"/>
  <c r="BJ63" i="8"/>
  <c r="BJ42" i="8"/>
  <c r="BV163" i="8"/>
  <c r="BV99" i="8"/>
  <c r="BJ196" i="8"/>
  <c r="BJ192" i="8"/>
  <c r="BJ188" i="8"/>
  <c r="BJ180" i="8"/>
  <c r="BJ176" i="8"/>
  <c r="BJ172" i="8"/>
  <c r="BJ164" i="8"/>
  <c r="BJ160" i="8"/>
  <c r="BJ156" i="8"/>
  <c r="BJ148" i="8"/>
  <c r="BJ144" i="8"/>
  <c r="BJ140" i="8"/>
  <c r="BJ132" i="8"/>
  <c r="BJ128" i="8"/>
  <c r="BJ124" i="8"/>
  <c r="BV113" i="8"/>
  <c r="BV108" i="8"/>
  <c r="BV97" i="8"/>
  <c r="BV92" i="8"/>
  <c r="BV81" i="8"/>
  <c r="BV76" i="8"/>
  <c r="BV65" i="8"/>
  <c r="BV60" i="8"/>
  <c r="BV49" i="8"/>
  <c r="BV44" i="8"/>
  <c r="BV33" i="8"/>
  <c r="BV28" i="8"/>
  <c r="BV17" i="8"/>
  <c r="BV12" i="8"/>
  <c r="BV117" i="8"/>
  <c r="BV112" i="8"/>
  <c r="BV101" i="8"/>
  <c r="BV96" i="8"/>
  <c r="BV85" i="8"/>
  <c r="BV80" i="8"/>
  <c r="BV69" i="8"/>
  <c r="BV64" i="8"/>
  <c r="BV53" i="8"/>
  <c r="BV48" i="8"/>
  <c r="BV37" i="8"/>
  <c r="BV32" i="8"/>
  <c r="BV21" i="8"/>
  <c r="BV16" i="8"/>
  <c r="N33" i="18"/>
  <c r="J33" i="18"/>
  <c r="BV105" i="8"/>
  <c r="BV89" i="8"/>
  <c r="BV73" i="8"/>
  <c r="BV57" i="8"/>
  <c r="BV41" i="8"/>
  <c r="BV25" i="8"/>
  <c r="BV9" i="8"/>
  <c r="B9" i="18"/>
  <c r="N198" i="18"/>
  <c r="J198" i="18"/>
  <c r="I198" i="18"/>
  <c r="B198" i="18"/>
  <c r="N166" i="18"/>
  <c r="J166" i="18"/>
  <c r="B166" i="18"/>
  <c r="N201" i="18"/>
  <c r="J201" i="18"/>
  <c r="N197" i="18"/>
  <c r="J197" i="18"/>
  <c r="N193" i="18"/>
  <c r="J193" i="18"/>
  <c r="N189" i="18"/>
  <c r="J189" i="18"/>
  <c r="N185" i="18"/>
  <c r="J185" i="18"/>
  <c r="N181" i="18"/>
  <c r="J181" i="18"/>
  <c r="N177" i="18"/>
  <c r="J177" i="18"/>
  <c r="N173" i="18"/>
  <c r="J173" i="18"/>
  <c r="I173" i="18"/>
  <c r="N169" i="18"/>
  <c r="J169" i="18"/>
  <c r="I169" i="18"/>
  <c r="N165" i="18"/>
  <c r="J165" i="18"/>
  <c r="I165" i="18"/>
  <c r="N161" i="18"/>
  <c r="J161" i="18"/>
  <c r="I161" i="18"/>
  <c r="N157" i="18"/>
  <c r="J157" i="18"/>
  <c r="I157" i="18"/>
  <c r="N153" i="18"/>
  <c r="J153" i="18"/>
  <c r="I153" i="18"/>
  <c r="N149" i="18"/>
  <c r="J149" i="18"/>
  <c r="I149" i="18"/>
  <c r="N145" i="18"/>
  <c r="J145" i="18"/>
  <c r="I145" i="18"/>
  <c r="N141" i="18"/>
  <c r="J141" i="18"/>
  <c r="I141" i="18"/>
  <c r="N137" i="18"/>
  <c r="J137" i="18"/>
  <c r="I137" i="18"/>
  <c r="N133" i="18"/>
  <c r="J133" i="18"/>
  <c r="I133" i="18"/>
  <c r="N129" i="18"/>
  <c r="I129" i="18"/>
  <c r="N125" i="18"/>
  <c r="J125" i="18"/>
  <c r="I125" i="18"/>
  <c r="N121" i="18"/>
  <c r="I121" i="18"/>
  <c r="J121" i="18"/>
  <c r="N117" i="18"/>
  <c r="J117" i="18"/>
  <c r="I117" i="18"/>
  <c r="N113" i="18"/>
  <c r="I113" i="18"/>
  <c r="J113" i="18"/>
  <c r="N109" i="18"/>
  <c r="J109" i="18"/>
  <c r="I109" i="18"/>
  <c r="N105" i="18"/>
  <c r="J105" i="18"/>
  <c r="I105" i="18"/>
  <c r="N101" i="18"/>
  <c r="J101" i="18"/>
  <c r="I101" i="18"/>
  <c r="N93" i="18"/>
  <c r="J93" i="18"/>
  <c r="I93" i="18"/>
  <c r="N89" i="18"/>
  <c r="I89" i="18"/>
  <c r="J89" i="18"/>
  <c r="N85" i="18"/>
  <c r="J85" i="18"/>
  <c r="I85" i="18"/>
  <c r="N81" i="18"/>
  <c r="J81" i="18"/>
  <c r="N77" i="18"/>
  <c r="J77" i="18"/>
  <c r="I77" i="18"/>
  <c r="N73" i="18"/>
  <c r="J73" i="18"/>
  <c r="I73" i="18"/>
  <c r="N69" i="18"/>
  <c r="J69" i="18"/>
  <c r="I69" i="18"/>
  <c r="N61" i="18"/>
  <c r="J61" i="18"/>
  <c r="I61" i="18"/>
  <c r="N57" i="18"/>
  <c r="I57" i="18"/>
  <c r="J57" i="18"/>
  <c r="N53" i="18"/>
  <c r="J53" i="18"/>
  <c r="I53" i="18"/>
  <c r="N49" i="18"/>
  <c r="J49" i="18"/>
  <c r="N45" i="18"/>
  <c r="J45" i="18"/>
  <c r="I45" i="18"/>
  <c r="N41" i="18"/>
  <c r="J41" i="18"/>
  <c r="I41" i="18"/>
  <c r="N37" i="18"/>
  <c r="J37" i="18"/>
  <c r="I37" i="18"/>
  <c r="N29" i="18"/>
  <c r="J29" i="18"/>
  <c r="I29" i="18"/>
  <c r="N25" i="18"/>
  <c r="I25" i="18"/>
  <c r="J25" i="18"/>
  <c r="N21" i="18"/>
  <c r="J21" i="18"/>
  <c r="I21" i="18"/>
  <c r="N17" i="18"/>
  <c r="J17" i="18"/>
  <c r="N13" i="18"/>
  <c r="J13" i="18"/>
  <c r="I13" i="18"/>
  <c r="B201" i="18"/>
  <c r="B185" i="18"/>
  <c r="B169" i="18"/>
  <c r="B153" i="18"/>
  <c r="B137" i="18"/>
  <c r="B121" i="18"/>
  <c r="B105" i="18"/>
  <c r="B89" i="18"/>
  <c r="B73" i="18"/>
  <c r="B57" i="18"/>
  <c r="B41" i="18"/>
  <c r="B25" i="18"/>
  <c r="I193" i="18"/>
  <c r="I177" i="18"/>
  <c r="I65" i="18"/>
  <c r="J129" i="18"/>
  <c r="N202" i="18"/>
  <c r="J202" i="18"/>
  <c r="I202" i="18"/>
  <c r="B202" i="18"/>
  <c r="N190" i="18"/>
  <c r="J190" i="18"/>
  <c r="I190" i="18"/>
  <c r="B190" i="18"/>
  <c r="N182" i="18"/>
  <c r="J182" i="18"/>
  <c r="I182" i="18"/>
  <c r="B182" i="18"/>
  <c r="N174" i="18"/>
  <c r="J174" i="18"/>
  <c r="B174" i="18"/>
  <c r="I174" i="18"/>
  <c r="N162" i="18"/>
  <c r="I162" i="18"/>
  <c r="J162" i="18"/>
  <c r="B162" i="18"/>
  <c r="N154" i="18"/>
  <c r="I154" i="18"/>
  <c r="J154" i="18"/>
  <c r="B154" i="18"/>
  <c r="N146" i="18"/>
  <c r="I146" i="18"/>
  <c r="J146" i="18"/>
  <c r="B146" i="18"/>
  <c r="N138" i="18"/>
  <c r="J138" i="18"/>
  <c r="I138" i="18"/>
  <c r="B138" i="18"/>
  <c r="N130" i="18"/>
  <c r="J130" i="18"/>
  <c r="I130" i="18"/>
  <c r="B130" i="18"/>
  <c r="N122" i="18"/>
  <c r="J122" i="18"/>
  <c r="I122" i="18"/>
  <c r="B122" i="18"/>
  <c r="N114" i="18"/>
  <c r="J114" i="18"/>
  <c r="I114" i="18"/>
  <c r="B114" i="18"/>
  <c r="N106" i="18"/>
  <c r="J106" i="18"/>
  <c r="I106" i="18"/>
  <c r="B106" i="18"/>
  <c r="N98" i="18"/>
  <c r="J98" i="18"/>
  <c r="I98" i="18"/>
  <c r="B98" i="18"/>
  <c r="N90" i="18"/>
  <c r="J90" i="18"/>
  <c r="I90" i="18"/>
  <c r="B90" i="18"/>
  <c r="N82" i="18"/>
  <c r="J82" i="18"/>
  <c r="I82" i="18"/>
  <c r="B82" i="18"/>
  <c r="N78" i="18"/>
  <c r="J78" i="18"/>
  <c r="I78" i="18"/>
  <c r="B78" i="18"/>
  <c r="N70" i="18"/>
  <c r="J70" i="18"/>
  <c r="I70" i="18"/>
  <c r="B70" i="18"/>
  <c r="N66" i="18"/>
  <c r="J66" i="18"/>
  <c r="I66" i="18"/>
  <c r="B66" i="18"/>
  <c r="N62" i="18"/>
  <c r="J62" i="18"/>
  <c r="I62" i="18"/>
  <c r="B62" i="18"/>
  <c r="N58" i="18"/>
  <c r="J58" i="18"/>
  <c r="I58" i="18"/>
  <c r="B58" i="18"/>
  <c r="N50" i="18"/>
  <c r="J50" i="18"/>
  <c r="I50" i="18"/>
  <c r="B50" i="18"/>
  <c r="N46" i="18"/>
  <c r="J46" i="18"/>
  <c r="I46" i="18"/>
  <c r="B46" i="18"/>
  <c r="N42" i="18"/>
  <c r="J42" i="18"/>
  <c r="I42" i="18"/>
  <c r="B42" i="18"/>
  <c r="N38" i="18"/>
  <c r="J38" i="18"/>
  <c r="I38" i="18"/>
  <c r="B38" i="18"/>
  <c r="N34" i="18"/>
  <c r="J34" i="18"/>
  <c r="I34" i="18"/>
  <c r="B34" i="18"/>
  <c r="N30" i="18"/>
  <c r="J30" i="18"/>
  <c r="I30" i="18"/>
  <c r="B30" i="18"/>
  <c r="N26" i="18"/>
  <c r="J26" i="18"/>
  <c r="I26" i="18"/>
  <c r="B26" i="18"/>
  <c r="N22" i="18"/>
  <c r="J22" i="18"/>
  <c r="I22" i="18"/>
  <c r="B22" i="18"/>
  <c r="N18" i="18"/>
  <c r="J18" i="18"/>
  <c r="I18" i="18"/>
  <c r="B18" i="18"/>
  <c r="N14" i="18"/>
  <c r="J14" i="18"/>
  <c r="I14" i="18"/>
  <c r="B14" i="18"/>
  <c r="N10" i="18"/>
  <c r="J10" i="18"/>
  <c r="I10" i="18"/>
  <c r="B10" i="18"/>
  <c r="N6" i="18"/>
  <c r="J6" i="18"/>
  <c r="I6" i="18"/>
  <c r="B6" i="18"/>
  <c r="N200" i="18"/>
  <c r="I200" i="18"/>
  <c r="B200" i="18"/>
  <c r="N196" i="18"/>
  <c r="J196" i="18"/>
  <c r="I196" i="18"/>
  <c r="B196" i="18"/>
  <c r="N192" i="18"/>
  <c r="J192" i="18"/>
  <c r="I192" i="18"/>
  <c r="B192" i="18"/>
  <c r="N188" i="18"/>
  <c r="J188" i="18"/>
  <c r="I188" i="18"/>
  <c r="B188" i="18"/>
  <c r="N184" i="18"/>
  <c r="I184" i="18"/>
  <c r="B184" i="18"/>
  <c r="N180" i="18"/>
  <c r="J180" i="18"/>
  <c r="I180" i="18"/>
  <c r="B180" i="18"/>
  <c r="N176" i="18"/>
  <c r="I176" i="18"/>
  <c r="J176" i="18"/>
  <c r="B176" i="18"/>
  <c r="N172" i="18"/>
  <c r="I172" i="18"/>
  <c r="J172" i="18"/>
  <c r="B172" i="18"/>
  <c r="N168" i="18"/>
  <c r="I168" i="18"/>
  <c r="B168" i="18"/>
  <c r="N164" i="18"/>
  <c r="I164" i="18"/>
  <c r="J164" i="18"/>
  <c r="B164" i="18"/>
  <c r="N160" i="18"/>
  <c r="I160" i="18"/>
  <c r="J160" i="18"/>
  <c r="B160" i="18"/>
  <c r="N156" i="18"/>
  <c r="I156" i="18"/>
  <c r="J156" i="18"/>
  <c r="B156" i="18"/>
  <c r="N152" i="18"/>
  <c r="I152" i="18"/>
  <c r="B152" i="18"/>
  <c r="N148" i="18"/>
  <c r="I148" i="18"/>
  <c r="J148" i="18"/>
  <c r="B148" i="18"/>
  <c r="N144" i="18"/>
  <c r="I144" i="18"/>
  <c r="J144" i="18"/>
  <c r="B144" i="18"/>
  <c r="N140" i="18"/>
  <c r="J140" i="18"/>
  <c r="I140" i="18"/>
  <c r="B140" i="18"/>
  <c r="N136" i="18"/>
  <c r="J136" i="18"/>
  <c r="I136" i="18"/>
  <c r="B136" i="18"/>
  <c r="N132" i="18"/>
  <c r="J132" i="18"/>
  <c r="I132" i="18"/>
  <c r="B132" i="18"/>
  <c r="N128" i="18"/>
  <c r="J128" i="18"/>
  <c r="I128" i="18"/>
  <c r="B128" i="18"/>
  <c r="N124" i="18"/>
  <c r="J124" i="18"/>
  <c r="I124" i="18"/>
  <c r="B124" i="18"/>
  <c r="N120" i="18"/>
  <c r="J120" i="18"/>
  <c r="I120" i="18"/>
  <c r="B120" i="18"/>
  <c r="N116" i="18"/>
  <c r="J116" i="18"/>
  <c r="I116" i="18"/>
  <c r="B116" i="18"/>
  <c r="N112" i="18"/>
  <c r="J112" i="18"/>
  <c r="I112" i="18"/>
  <c r="B112" i="18"/>
  <c r="N108" i="18"/>
  <c r="J108" i="18"/>
  <c r="I108" i="18"/>
  <c r="B108" i="18"/>
  <c r="N104" i="18"/>
  <c r="J104" i="18"/>
  <c r="I104" i="18"/>
  <c r="B104" i="18"/>
  <c r="N100" i="18"/>
  <c r="J100" i="18"/>
  <c r="I100" i="18"/>
  <c r="B100" i="18"/>
  <c r="N96" i="18"/>
  <c r="J96" i="18"/>
  <c r="I96" i="18"/>
  <c r="B96" i="18"/>
  <c r="N92" i="18"/>
  <c r="J92" i="18"/>
  <c r="I92" i="18"/>
  <c r="B92" i="18"/>
  <c r="N88" i="18"/>
  <c r="J88" i="18"/>
  <c r="I88" i="18"/>
  <c r="B88" i="18"/>
  <c r="N84" i="18"/>
  <c r="J84" i="18"/>
  <c r="I84" i="18"/>
  <c r="B84" i="18"/>
  <c r="N80" i="18"/>
  <c r="J80" i="18"/>
  <c r="I80" i="18"/>
  <c r="B80" i="18"/>
  <c r="N76" i="18"/>
  <c r="J76" i="18"/>
  <c r="I76" i="18"/>
  <c r="B76" i="18"/>
  <c r="N72" i="18"/>
  <c r="J72" i="18"/>
  <c r="I72" i="18"/>
  <c r="B72" i="18"/>
  <c r="N68" i="18"/>
  <c r="J68" i="18"/>
  <c r="I68" i="18"/>
  <c r="B68" i="18"/>
  <c r="N64" i="18"/>
  <c r="J64" i="18"/>
  <c r="I64" i="18"/>
  <c r="B64" i="18"/>
  <c r="N60" i="18"/>
  <c r="J60" i="18"/>
  <c r="I60" i="18"/>
  <c r="B60" i="18"/>
  <c r="N56" i="18"/>
  <c r="J56" i="18"/>
  <c r="I56" i="18"/>
  <c r="B56" i="18"/>
  <c r="N52" i="18"/>
  <c r="J52" i="18"/>
  <c r="I52" i="18"/>
  <c r="B52" i="18"/>
  <c r="N48" i="18"/>
  <c r="J48" i="18"/>
  <c r="I48" i="18"/>
  <c r="B48" i="18"/>
  <c r="N44" i="18"/>
  <c r="J44" i="18"/>
  <c r="I44" i="18"/>
  <c r="B44" i="18"/>
  <c r="N40" i="18"/>
  <c r="J40" i="18"/>
  <c r="I40" i="18"/>
  <c r="B40" i="18"/>
  <c r="N36" i="18"/>
  <c r="J36" i="18"/>
  <c r="I36" i="18"/>
  <c r="B36" i="18"/>
  <c r="N32" i="18"/>
  <c r="J32" i="18"/>
  <c r="I32" i="18"/>
  <c r="B32" i="18"/>
  <c r="N28" i="18"/>
  <c r="J28" i="18"/>
  <c r="I28" i="18"/>
  <c r="B28" i="18"/>
  <c r="N24" i="18"/>
  <c r="J24" i="18"/>
  <c r="I24" i="18"/>
  <c r="B24" i="18"/>
  <c r="N20" i="18"/>
  <c r="J20" i="18"/>
  <c r="I20" i="18"/>
  <c r="B20" i="18"/>
  <c r="N16" i="18"/>
  <c r="J16" i="18"/>
  <c r="I16" i="18"/>
  <c r="B16" i="18"/>
  <c r="N12" i="18"/>
  <c r="J12" i="18"/>
  <c r="I12" i="18"/>
  <c r="B12" i="18"/>
  <c r="B197" i="18"/>
  <c r="B181" i="18"/>
  <c r="B165" i="18"/>
  <c r="B149" i="18"/>
  <c r="B133" i="18"/>
  <c r="B117" i="18"/>
  <c r="B101" i="18"/>
  <c r="B85" i="18"/>
  <c r="B69" i="18"/>
  <c r="B53" i="18"/>
  <c r="B37" i="18"/>
  <c r="B21" i="18"/>
  <c r="I189" i="18"/>
  <c r="I49" i="18"/>
  <c r="J184" i="18"/>
  <c r="J97" i="18"/>
  <c r="N194" i="18"/>
  <c r="J194" i="18"/>
  <c r="I194" i="18"/>
  <c r="B194" i="18"/>
  <c r="N186" i="18"/>
  <c r="J186" i="18"/>
  <c r="I186" i="18"/>
  <c r="B186" i="18"/>
  <c r="N178" i="18"/>
  <c r="J178" i="18"/>
  <c r="I178" i="18"/>
  <c r="B178" i="18"/>
  <c r="N170" i="18"/>
  <c r="J170" i="18"/>
  <c r="B170" i="18"/>
  <c r="I170" i="18"/>
  <c r="N158" i="18"/>
  <c r="I158" i="18"/>
  <c r="J158" i="18"/>
  <c r="B158" i="18"/>
  <c r="N150" i="18"/>
  <c r="I150" i="18"/>
  <c r="J150" i="18"/>
  <c r="B150" i="18"/>
  <c r="N142" i="18"/>
  <c r="J142" i="18"/>
  <c r="I142" i="18"/>
  <c r="B142" i="18"/>
  <c r="N134" i="18"/>
  <c r="J134" i="18"/>
  <c r="I134" i="18"/>
  <c r="B134" i="18"/>
  <c r="N126" i="18"/>
  <c r="J126" i="18"/>
  <c r="I126" i="18"/>
  <c r="B126" i="18"/>
  <c r="N118" i="18"/>
  <c r="J118" i="18"/>
  <c r="I118" i="18"/>
  <c r="B118" i="18"/>
  <c r="N110" i="18"/>
  <c r="J110" i="18"/>
  <c r="I110" i="18"/>
  <c r="B110" i="18"/>
  <c r="N102" i="18"/>
  <c r="J102" i="18"/>
  <c r="I102" i="18"/>
  <c r="B102" i="18"/>
  <c r="N94" i="18"/>
  <c r="J94" i="18"/>
  <c r="I94" i="18"/>
  <c r="B94" i="18"/>
  <c r="N86" i="18"/>
  <c r="J86" i="18"/>
  <c r="I86" i="18"/>
  <c r="B86" i="18"/>
  <c r="N74" i="18"/>
  <c r="J74" i="18"/>
  <c r="I74" i="18"/>
  <c r="B74" i="18"/>
  <c r="N54" i="18"/>
  <c r="J54" i="18"/>
  <c r="I54" i="18"/>
  <c r="B54" i="18"/>
  <c r="N3" i="18"/>
  <c r="B3" i="18"/>
  <c r="D3" i="18"/>
  <c r="I3" i="18"/>
  <c r="N199" i="18"/>
  <c r="J199" i="18"/>
  <c r="I199" i="18"/>
  <c r="B199" i="18"/>
  <c r="J195" i="18"/>
  <c r="I195" i="18"/>
  <c r="B195" i="18"/>
  <c r="N191" i="18"/>
  <c r="J191" i="18"/>
  <c r="I191" i="18"/>
  <c r="B191" i="18"/>
  <c r="N187" i="18"/>
  <c r="J187" i="18"/>
  <c r="I187" i="18"/>
  <c r="B187" i="18"/>
  <c r="N183" i="18"/>
  <c r="J183" i="18"/>
  <c r="I183" i="18"/>
  <c r="B183" i="18"/>
  <c r="J179" i="18"/>
  <c r="I179" i="18"/>
  <c r="B179" i="18"/>
  <c r="N179" i="18"/>
  <c r="N175" i="18"/>
  <c r="J175" i="18"/>
  <c r="B175" i="18"/>
  <c r="I175" i="18"/>
  <c r="N171" i="18"/>
  <c r="J171" i="18"/>
  <c r="B171" i="18"/>
  <c r="N167" i="18"/>
  <c r="J167" i="18"/>
  <c r="I167" i="18"/>
  <c r="B167" i="18"/>
  <c r="J163" i="18"/>
  <c r="N163" i="18"/>
  <c r="I163" i="18"/>
  <c r="B163" i="18"/>
  <c r="N159" i="18"/>
  <c r="J159" i="18"/>
  <c r="B159" i="18"/>
  <c r="N155" i="18"/>
  <c r="J155" i="18"/>
  <c r="I155" i="18"/>
  <c r="B155" i="18"/>
  <c r="N151" i="18"/>
  <c r="J151" i="18"/>
  <c r="B151" i="18"/>
  <c r="J147" i="18"/>
  <c r="N147" i="18"/>
  <c r="I147" i="18"/>
  <c r="B147" i="18"/>
  <c r="N143" i="18"/>
  <c r="J143" i="18"/>
  <c r="B143" i="18"/>
  <c r="J139" i="18"/>
  <c r="N139" i="18"/>
  <c r="I139" i="18"/>
  <c r="B139" i="18"/>
  <c r="N135" i="18"/>
  <c r="J135" i="18"/>
  <c r="B135" i="18"/>
  <c r="J131" i="18"/>
  <c r="I131" i="18"/>
  <c r="B131" i="18"/>
  <c r="N127" i="18"/>
  <c r="J127" i="18"/>
  <c r="B127" i="18"/>
  <c r="J123" i="18"/>
  <c r="N123" i="18"/>
  <c r="I123" i="18"/>
  <c r="B123" i="18"/>
  <c r="N119" i="18"/>
  <c r="J119" i="18"/>
  <c r="B119" i="18"/>
  <c r="J115" i="18"/>
  <c r="I115" i="18"/>
  <c r="B115" i="18"/>
  <c r="N115" i="18"/>
  <c r="N111" i="18"/>
  <c r="J111" i="18"/>
  <c r="B111" i="18"/>
  <c r="J107" i="18"/>
  <c r="N107" i="18"/>
  <c r="I107" i="18"/>
  <c r="B107" i="18"/>
  <c r="N103" i="18"/>
  <c r="I103" i="18"/>
  <c r="J103" i="18"/>
  <c r="B103" i="18"/>
  <c r="J99" i="18"/>
  <c r="I99" i="18"/>
  <c r="N99" i="18"/>
  <c r="B99" i="18"/>
  <c r="I95" i="18"/>
  <c r="N95" i="18"/>
  <c r="J95" i="18"/>
  <c r="B95" i="18"/>
  <c r="J91" i="18"/>
  <c r="N91" i="18"/>
  <c r="I91" i="18"/>
  <c r="B91" i="18"/>
  <c r="N87" i="18"/>
  <c r="I87" i="18"/>
  <c r="J87" i="18"/>
  <c r="B87" i="18"/>
  <c r="J83" i="18"/>
  <c r="I83" i="18"/>
  <c r="N83" i="18"/>
  <c r="B83" i="18"/>
  <c r="I79" i="18"/>
  <c r="N79" i="18"/>
  <c r="J79" i="18"/>
  <c r="B79" i="18"/>
  <c r="J75" i="18"/>
  <c r="N75" i="18"/>
  <c r="I75" i="18"/>
  <c r="B75" i="18"/>
  <c r="N71" i="18"/>
  <c r="I71" i="18"/>
  <c r="J71" i="18"/>
  <c r="B71" i="18"/>
  <c r="J67" i="18"/>
  <c r="I67" i="18"/>
  <c r="B67" i="18"/>
  <c r="I63" i="18"/>
  <c r="N63" i="18"/>
  <c r="J63" i="18"/>
  <c r="B63" i="18"/>
  <c r="J59" i="18"/>
  <c r="N59" i="18"/>
  <c r="I59" i="18"/>
  <c r="B59" i="18"/>
  <c r="N55" i="18"/>
  <c r="I55" i="18"/>
  <c r="J55" i="18"/>
  <c r="B55" i="18"/>
  <c r="J51" i="18"/>
  <c r="I51" i="18"/>
  <c r="B51" i="18"/>
  <c r="N51" i="18"/>
  <c r="I47" i="18"/>
  <c r="N47" i="18"/>
  <c r="J47" i="18"/>
  <c r="B47" i="18"/>
  <c r="J43" i="18"/>
  <c r="N43" i="18"/>
  <c r="I43" i="18"/>
  <c r="B43" i="18"/>
  <c r="N39" i="18"/>
  <c r="I39" i="18"/>
  <c r="J39" i="18"/>
  <c r="B39" i="18"/>
  <c r="J35" i="18"/>
  <c r="I35" i="18"/>
  <c r="N35" i="18"/>
  <c r="B35" i="18"/>
  <c r="I31" i="18"/>
  <c r="N31" i="18"/>
  <c r="J31" i="18"/>
  <c r="B31" i="18"/>
  <c r="J27" i="18"/>
  <c r="N27" i="18"/>
  <c r="I27" i="18"/>
  <c r="B27" i="18"/>
  <c r="N23" i="18"/>
  <c r="I23" i="18"/>
  <c r="J23" i="18"/>
  <c r="B23" i="18"/>
  <c r="J19" i="18"/>
  <c r="I19" i="18"/>
  <c r="N19" i="18"/>
  <c r="B19" i="18"/>
  <c r="I15" i="18"/>
  <c r="N15" i="18"/>
  <c r="J15" i="18"/>
  <c r="B15" i="18"/>
  <c r="J11" i="18"/>
  <c r="N11" i="18"/>
  <c r="I11" i="18"/>
  <c r="B11" i="18"/>
  <c r="N7" i="18"/>
  <c r="I7" i="18"/>
  <c r="J7" i="18"/>
  <c r="B7" i="18"/>
  <c r="B193" i="18"/>
  <c r="B177" i="18"/>
  <c r="B161" i="18"/>
  <c r="B145" i="18"/>
  <c r="B129" i="18"/>
  <c r="B113" i="18"/>
  <c r="B97" i="18"/>
  <c r="B81" i="18"/>
  <c r="B65" i="18"/>
  <c r="B49" i="18"/>
  <c r="B33" i="18"/>
  <c r="B17" i="18"/>
  <c r="I201" i="18"/>
  <c r="I185" i="18"/>
  <c r="I166" i="18"/>
  <c r="I135" i="18"/>
  <c r="I97" i="18"/>
  <c r="I33" i="18"/>
  <c r="J168" i="18"/>
  <c r="J65" i="18"/>
  <c r="N67" i="18"/>
  <c r="N5" i="18"/>
  <c r="J5" i="18"/>
  <c r="N8" i="18"/>
  <c r="J8" i="18"/>
  <c r="I8" i="18"/>
  <c r="N4" i="18"/>
  <c r="J4" i="18"/>
  <c r="I4" i="18"/>
  <c r="I9" i="18"/>
  <c r="I5" i="18"/>
  <c r="J9" i="18"/>
  <c r="B7" i="13"/>
  <c r="G11" i="13"/>
  <c r="G14" i="13"/>
  <c r="G15" i="13"/>
  <c r="G19" i="13"/>
  <c r="G23" i="13"/>
  <c r="F27" i="13"/>
  <c r="G31" i="13"/>
  <c r="G39" i="13"/>
  <c r="G43" i="13"/>
  <c r="B47" i="13"/>
  <c r="G51" i="13"/>
  <c r="G55" i="13"/>
  <c r="F59" i="13"/>
  <c r="B63" i="13"/>
  <c r="F67" i="13"/>
  <c r="B71" i="13"/>
  <c r="B75" i="13"/>
  <c r="F79" i="13"/>
  <c r="B83" i="13"/>
  <c r="F87" i="13"/>
  <c r="B91" i="13"/>
  <c r="F95" i="13"/>
  <c r="B103" i="13"/>
  <c r="F107" i="13"/>
  <c r="B111" i="13"/>
  <c r="F119" i="13"/>
  <c r="G123" i="13"/>
  <c r="B131" i="13"/>
  <c r="B135" i="13"/>
  <c r="B139" i="13"/>
  <c r="F143" i="13"/>
  <c r="B147" i="13"/>
  <c r="F151" i="13"/>
  <c r="F155" i="13"/>
  <c r="F159" i="13"/>
  <c r="F163" i="13"/>
  <c r="F167" i="13"/>
  <c r="F171" i="13"/>
  <c r="F175" i="13"/>
  <c r="F179" i="13"/>
  <c r="F183" i="13"/>
  <c r="F187" i="13"/>
  <c r="F191" i="13"/>
  <c r="C4" i="10"/>
  <c r="D6" i="10"/>
  <c r="C8" i="10"/>
  <c r="D9" i="10"/>
  <c r="E10" i="10"/>
  <c r="E12" i="10"/>
  <c r="E14" i="10"/>
  <c r="B15" i="10"/>
  <c r="D16" i="10"/>
  <c r="E17" i="10"/>
  <c r="C18" i="10"/>
  <c r="E19" i="10"/>
  <c r="C20" i="10"/>
  <c r="D21" i="10"/>
  <c r="D22" i="10"/>
  <c r="C24" i="10"/>
  <c r="E28" i="10"/>
  <c r="C30" i="10"/>
  <c r="E34" i="10"/>
  <c r="C36" i="10"/>
  <c r="C40" i="10"/>
  <c r="C41" i="10"/>
  <c r="E44" i="10"/>
  <c r="C45" i="10"/>
  <c r="D46" i="10"/>
  <c r="D48" i="10"/>
  <c r="E49" i="10"/>
  <c r="D50" i="10"/>
  <c r="D53" i="10"/>
  <c r="E54" i="10"/>
  <c r="E55" i="10"/>
  <c r="C56" i="10"/>
  <c r="E59" i="10"/>
  <c r="E60" i="10"/>
  <c r="D61" i="10"/>
  <c r="C62" i="10"/>
  <c r="E63" i="10"/>
  <c r="D64" i="10"/>
  <c r="C65" i="10"/>
  <c r="E67" i="10"/>
  <c r="C68" i="10"/>
  <c r="C72" i="10"/>
  <c r="C73" i="10"/>
  <c r="E75" i="10"/>
  <c r="E77" i="10"/>
  <c r="B79" i="10"/>
  <c r="D80" i="10"/>
  <c r="D81" i="10"/>
  <c r="D82" i="10"/>
  <c r="E83" i="10"/>
  <c r="C84" i="10"/>
  <c r="E86" i="10"/>
  <c r="E89" i="10"/>
  <c r="D90" i="10"/>
  <c r="E91" i="10"/>
  <c r="E92" i="10"/>
  <c r="C93" i="10"/>
  <c r="C94" i="10"/>
  <c r="E95" i="10"/>
  <c r="B96" i="10"/>
  <c r="C97" i="10"/>
  <c r="D98" i="10"/>
  <c r="C100" i="10"/>
  <c r="E101" i="10"/>
  <c r="E102" i="10"/>
  <c r="D103" i="10"/>
  <c r="C105" i="10"/>
  <c r="D106" i="10"/>
  <c r="E108" i="10"/>
  <c r="E109" i="10"/>
  <c r="D110" i="10"/>
  <c r="E111" i="10"/>
  <c r="D112" i="10"/>
  <c r="C113" i="10"/>
  <c r="D114" i="10"/>
  <c r="E115" i="10"/>
  <c r="C116" i="10"/>
  <c r="C117" i="10"/>
  <c r="C120" i="10"/>
  <c r="D121" i="10"/>
  <c r="E122" i="10"/>
  <c r="C123" i="10"/>
  <c r="C124" i="10"/>
  <c r="E126" i="10"/>
  <c r="C128" i="10"/>
  <c r="D129" i="10"/>
  <c r="E130" i="10"/>
  <c r="C131" i="10"/>
  <c r="C132" i="10"/>
  <c r="D133" i="10"/>
  <c r="E134" i="10"/>
  <c r="C135" i="10"/>
  <c r="C136" i="10"/>
  <c r="B138" i="10"/>
  <c r="D139" i="10"/>
  <c r="D142" i="10"/>
  <c r="D143" i="10"/>
  <c r="D145" i="10"/>
  <c r="B146" i="10"/>
  <c r="B147" i="10"/>
  <c r="B149" i="10"/>
  <c r="D150" i="10"/>
  <c r="C2" i="10"/>
  <c r="E24" i="10"/>
  <c r="D44" i="10"/>
  <c r="E20" i="10"/>
  <c r="D60" i="10"/>
  <c r="C16" i="10"/>
  <c r="C80" i="10"/>
  <c r="C60" i="10"/>
  <c r="C44" i="10"/>
  <c r="E36" i="10"/>
  <c r="D24" i="10"/>
  <c r="E56" i="10"/>
  <c r="E40" i="10"/>
  <c r="D12" i="10"/>
  <c r="D108" i="10"/>
  <c r="E68" i="10"/>
  <c r="D56" i="10"/>
  <c r="D40" i="10"/>
  <c r="C12" i="10"/>
  <c r="D89" i="10"/>
  <c r="C77" i="10"/>
  <c r="E53" i="10"/>
  <c r="C37" i="10"/>
  <c r="E37" i="10"/>
  <c r="C33" i="10"/>
  <c r="D33" i="10"/>
  <c r="C25" i="10"/>
  <c r="D25" i="10"/>
  <c r="E25" i="10"/>
  <c r="C17" i="10"/>
  <c r="C13" i="10"/>
  <c r="D13" i="10"/>
  <c r="E13" i="10"/>
  <c r="C9" i="10"/>
  <c r="C5" i="10"/>
  <c r="E5" i="10"/>
  <c r="E93" i="10"/>
  <c r="D37" i="10"/>
  <c r="E33" i="10"/>
  <c r="D5" i="10"/>
  <c r="C102" i="10"/>
  <c r="D94" i="10"/>
  <c r="D86" i="10"/>
  <c r="E82" i="10"/>
  <c r="D30" i="10"/>
  <c r="D18" i="10"/>
  <c r="D10" i="10"/>
  <c r="D117" i="10"/>
  <c r="E81" i="10"/>
  <c r="E80" i="10"/>
  <c r="D68" i="10"/>
  <c r="D52" i="10"/>
  <c r="D36" i="10"/>
  <c r="D20" i="10"/>
  <c r="E16" i="10"/>
  <c r="ET91" i="8"/>
  <c r="B2" i="19"/>
  <c r="H6" i="19"/>
  <c r="B7" i="19"/>
  <c r="H9" i="19"/>
  <c r="H10" i="19"/>
  <c r="B11" i="19"/>
  <c r="H13" i="19"/>
  <c r="H14" i="19"/>
  <c r="B15" i="19"/>
  <c r="B16" i="19"/>
  <c r="B19" i="19"/>
  <c r="B20" i="19"/>
  <c r="B23" i="19"/>
  <c r="H24" i="19"/>
  <c r="H25" i="19"/>
  <c r="B27" i="19"/>
  <c r="B31" i="19"/>
  <c r="B32" i="19"/>
  <c r="H34" i="19"/>
  <c r="B35" i="19"/>
  <c r="H37" i="19"/>
  <c r="H38" i="19"/>
  <c r="B40" i="19"/>
  <c r="H42" i="19"/>
  <c r="B43" i="19"/>
  <c r="H45" i="19"/>
  <c r="B47" i="19"/>
  <c r="B48" i="19"/>
  <c r="B51" i="19"/>
  <c r="H53" i="19"/>
  <c r="H54" i="19"/>
  <c r="B55" i="19"/>
  <c r="H56" i="19"/>
  <c r="B59" i="19"/>
  <c r="B60" i="19"/>
  <c r="H61" i="19"/>
  <c r="B63" i="19"/>
  <c r="B64" i="19"/>
  <c r="H65" i="19"/>
  <c r="B67" i="19"/>
  <c r="H71" i="19"/>
  <c r="B79" i="19"/>
  <c r="B80" i="19"/>
  <c r="B83" i="19"/>
  <c r="B84" i="19"/>
  <c r="H87" i="19"/>
  <c r="H88" i="19"/>
  <c r="B95" i="19"/>
  <c r="B96" i="19"/>
  <c r="B99" i="19"/>
  <c r="H103" i="19"/>
  <c r="H104" i="19"/>
  <c r="B111" i="19"/>
  <c r="B112" i="19"/>
  <c r="B115" i="19"/>
  <c r="B116" i="19"/>
  <c r="H119" i="19"/>
  <c r="H120" i="19"/>
  <c r="B128" i="19"/>
  <c r="B144" i="19"/>
  <c r="B148" i="19"/>
  <c r="H152" i="19"/>
  <c r="B160" i="19"/>
  <c r="B176" i="19"/>
  <c r="B180" i="19"/>
  <c r="H184" i="19"/>
  <c r="B3" i="19"/>
  <c r="L5" i="18"/>
  <c r="L7" i="18"/>
  <c r="L10" i="18"/>
  <c r="L15" i="18"/>
  <c r="D18" i="18"/>
  <c r="L34" i="18"/>
  <c r="L35" i="18"/>
  <c r="L39" i="18"/>
  <c r="L43" i="18"/>
  <c r="L46" i="18"/>
  <c r="L54" i="18"/>
  <c r="L55" i="18"/>
  <c r="D59" i="18"/>
  <c r="L71" i="18"/>
  <c r="L74" i="18"/>
  <c r="L75" i="18"/>
  <c r="D82" i="18"/>
  <c r="D86" i="18"/>
  <c r="L98" i="18"/>
  <c r="L99" i="18"/>
  <c r="L102" i="18"/>
  <c r="L103" i="18"/>
  <c r="L110" i="18"/>
  <c r="L111" i="18"/>
  <c r="L119" i="18"/>
  <c r="L131" i="18"/>
  <c r="L139" i="18"/>
  <c r="L151" i="18"/>
  <c r="L155" i="18"/>
  <c r="L163" i="18"/>
  <c r="L167" i="18"/>
  <c r="L171" i="18"/>
  <c r="L183" i="18"/>
  <c r="L187" i="18"/>
  <c r="D4" i="17"/>
  <c r="M6" i="17"/>
  <c r="D8" i="17"/>
  <c r="D11" i="17"/>
  <c r="M14" i="17"/>
  <c r="E18" i="17"/>
  <c r="M22" i="17"/>
  <c r="D24" i="17"/>
  <c r="E26" i="17"/>
  <c r="D27" i="17"/>
  <c r="M30" i="17"/>
  <c r="E34" i="17"/>
  <c r="K37" i="17"/>
  <c r="M38" i="17"/>
  <c r="D40" i="17"/>
  <c r="D43" i="17"/>
  <c r="M46" i="17"/>
  <c r="D49" i="17"/>
  <c r="E54" i="17"/>
  <c r="M58" i="17"/>
  <c r="M62" i="17"/>
  <c r="D63" i="17"/>
  <c r="E66" i="17"/>
  <c r="D67" i="17"/>
  <c r="M70" i="17"/>
  <c r="D87" i="17"/>
  <c r="F94" i="17"/>
  <c r="E98" i="17"/>
  <c r="D103" i="17"/>
  <c r="N109" i="17"/>
  <c r="D119" i="17"/>
  <c r="F126" i="17"/>
  <c r="D128" i="17"/>
  <c r="E130" i="17"/>
  <c r="D132" i="17"/>
  <c r="D135" i="17"/>
  <c r="D144" i="17"/>
  <c r="D148" i="17"/>
  <c r="K150" i="17"/>
  <c r="F158" i="17"/>
  <c r="E162" i="17"/>
  <c r="J182" i="17"/>
  <c r="F190" i="17"/>
  <c r="E194" i="17"/>
  <c r="E8" i="16"/>
  <c r="E12" i="16"/>
  <c r="H20" i="16"/>
  <c r="E24" i="16"/>
  <c r="E28" i="16"/>
  <c r="E32" i="16"/>
  <c r="G37" i="16"/>
  <c r="G44" i="16"/>
  <c r="F48" i="16"/>
  <c r="G56" i="16"/>
  <c r="G57" i="16"/>
  <c r="G65" i="16"/>
  <c r="H72" i="16"/>
  <c r="G76" i="16"/>
  <c r="H81" i="16"/>
  <c r="H92" i="16"/>
  <c r="F93" i="16"/>
  <c r="H105" i="16"/>
  <c r="G108" i="16"/>
  <c r="G125" i="16"/>
  <c r="E133" i="16"/>
  <c r="E169" i="16"/>
  <c r="H173" i="16"/>
  <c r="G193" i="16"/>
  <c r="E6" i="15"/>
  <c r="B8" i="15"/>
  <c r="E10" i="15"/>
  <c r="B12" i="15"/>
  <c r="E13" i="15"/>
  <c r="B16" i="15"/>
  <c r="E18" i="15"/>
  <c r="B19" i="15"/>
  <c r="E20" i="15"/>
  <c r="E21" i="15"/>
  <c r="B23" i="15"/>
  <c r="B24" i="15"/>
  <c r="E25" i="15"/>
  <c r="E26" i="15"/>
  <c r="B27" i="15"/>
  <c r="E29" i="15"/>
  <c r="E30" i="15"/>
  <c r="B31" i="15"/>
  <c r="E32" i="15"/>
  <c r="B35" i="15"/>
  <c r="B36" i="15"/>
  <c r="E37" i="15"/>
  <c r="E38" i="15"/>
  <c r="B39" i="15"/>
  <c r="E42" i="15"/>
  <c r="B44" i="15"/>
  <c r="B47" i="15"/>
  <c r="B48" i="15"/>
  <c r="E53" i="15"/>
  <c r="E54" i="15"/>
  <c r="B56" i="15"/>
  <c r="E57" i="15"/>
  <c r="B58" i="15"/>
  <c r="E62" i="15"/>
  <c r="E64" i="15"/>
  <c r="B67" i="15"/>
  <c r="B79" i="15"/>
  <c r="B107" i="15"/>
  <c r="B123" i="15"/>
  <c r="B135" i="15"/>
  <c r="B143" i="15"/>
  <c r="B147" i="15"/>
  <c r="B148" i="15"/>
  <c r="B155" i="15"/>
  <c r="B160" i="15"/>
  <c r="B163" i="15"/>
  <c r="B171" i="15"/>
  <c r="B195" i="15"/>
  <c r="B199" i="15"/>
  <c r="B3" i="15"/>
  <c r="C5" i="14"/>
  <c r="C6" i="14"/>
  <c r="B7" i="14"/>
  <c r="D10" i="14"/>
  <c r="D11" i="14"/>
  <c r="D15" i="14"/>
  <c r="D18" i="14"/>
  <c r="D19" i="14"/>
  <c r="D22" i="14"/>
  <c r="B23" i="14"/>
  <c r="C27" i="14"/>
  <c r="D30" i="14"/>
  <c r="D31" i="14"/>
  <c r="D34" i="14"/>
  <c r="D35" i="14"/>
  <c r="B39" i="14"/>
  <c r="D42" i="14"/>
  <c r="C43" i="14"/>
  <c r="D46" i="14"/>
  <c r="D47" i="14"/>
  <c r="D50" i="14"/>
  <c r="D51" i="14"/>
  <c r="D54" i="14"/>
  <c r="D55" i="14"/>
  <c r="C59" i="14"/>
  <c r="D60" i="14"/>
  <c r="D62" i="14"/>
  <c r="D63" i="14"/>
  <c r="B65" i="14"/>
  <c r="B67" i="14"/>
  <c r="C69" i="14"/>
  <c r="B75" i="14"/>
  <c r="C80" i="14"/>
  <c r="B83" i="14"/>
  <c r="C84" i="14"/>
  <c r="C88" i="14"/>
  <c r="B91" i="14"/>
  <c r="C92" i="14"/>
  <c r="C96" i="14"/>
  <c r="B99" i="14"/>
  <c r="C100" i="14"/>
  <c r="C104" i="14"/>
  <c r="C108" i="14"/>
  <c r="B111" i="14"/>
  <c r="B115" i="14"/>
  <c r="C117" i="14"/>
  <c r="C120" i="14"/>
  <c r="C121" i="14"/>
  <c r="C122" i="14"/>
  <c r="C124" i="14"/>
  <c r="C126" i="14"/>
  <c r="B127" i="14"/>
  <c r="C128" i="14"/>
  <c r="C129" i="14"/>
  <c r="D130" i="14"/>
  <c r="C132" i="14"/>
  <c r="C133" i="14"/>
  <c r="C134" i="14"/>
  <c r="C136" i="14"/>
  <c r="C138" i="14"/>
  <c r="B139" i="14"/>
  <c r="C141" i="14"/>
  <c r="C142" i="14"/>
  <c r="C144" i="14"/>
  <c r="C145" i="14"/>
  <c r="B147" i="14"/>
  <c r="C148" i="14"/>
  <c r="C149" i="14"/>
  <c r="C150" i="14"/>
  <c r="C153" i="14"/>
  <c r="C154" i="14"/>
  <c r="C156" i="14"/>
  <c r="C157" i="14"/>
  <c r="C158" i="14"/>
  <c r="B159" i="14"/>
  <c r="C164" i="14"/>
  <c r="C166" i="14"/>
  <c r="C168" i="14"/>
  <c r="C169" i="14"/>
  <c r="C170" i="14"/>
  <c r="C172" i="14"/>
  <c r="C174" i="14"/>
  <c r="B175" i="14"/>
  <c r="B179" i="14"/>
  <c r="C180" i="14"/>
  <c r="C181" i="14"/>
  <c r="C182" i="14"/>
  <c r="C185" i="14"/>
  <c r="C186" i="14"/>
  <c r="C188" i="14"/>
  <c r="C190" i="14"/>
  <c r="B191" i="14"/>
  <c r="C193" i="14"/>
  <c r="C194" i="14"/>
  <c r="B195" i="14"/>
  <c r="C196" i="14"/>
  <c r="C198" i="14"/>
  <c r="D200" i="14"/>
  <c r="C202" i="14"/>
  <c r="D3" i="14"/>
  <c r="B193" i="13"/>
  <c r="B197" i="13"/>
  <c r="B201" i="13"/>
  <c r="H4" i="12"/>
  <c r="H5" i="12"/>
  <c r="H6" i="12"/>
  <c r="H12" i="12"/>
  <c r="H16" i="12"/>
  <c r="F21" i="12"/>
  <c r="B22" i="12"/>
  <c r="E24" i="12"/>
  <c r="H25" i="12"/>
  <c r="H28" i="12"/>
  <c r="H30" i="12"/>
  <c r="H32" i="12"/>
  <c r="H34" i="12"/>
  <c r="H36" i="12"/>
  <c r="H40" i="12"/>
  <c r="H42" i="12"/>
  <c r="H44" i="12"/>
  <c r="F45" i="12"/>
  <c r="H48" i="12"/>
  <c r="H50" i="12"/>
  <c r="H52" i="12"/>
  <c r="H56" i="12"/>
  <c r="E60" i="12"/>
  <c r="H62" i="12"/>
  <c r="H64" i="12"/>
  <c r="B67" i="12"/>
  <c r="B71" i="12"/>
  <c r="B83" i="12"/>
  <c r="C84" i="12"/>
  <c r="F87" i="12"/>
  <c r="F90" i="12"/>
  <c r="B95" i="12"/>
  <c r="F99" i="12"/>
  <c r="B102" i="12"/>
  <c r="F111" i="12"/>
  <c r="B115" i="12"/>
  <c r="F119" i="12"/>
  <c r="B120" i="12"/>
  <c r="B123" i="12"/>
  <c r="B124" i="12"/>
  <c r="B127" i="12"/>
  <c r="B131" i="12"/>
  <c r="H134" i="12"/>
  <c r="B135" i="12"/>
  <c r="F136" i="12"/>
  <c r="B139" i="12"/>
  <c r="B140" i="12"/>
  <c r="B142" i="12"/>
  <c r="B143" i="12"/>
  <c r="B147" i="12"/>
  <c r="F148" i="12"/>
  <c r="F155" i="12"/>
  <c r="B159" i="12"/>
  <c r="B163" i="12"/>
  <c r="B167" i="12"/>
  <c r="B168" i="12"/>
  <c r="B171" i="12"/>
  <c r="B174" i="12"/>
  <c r="B175" i="12"/>
  <c r="B179" i="12"/>
  <c r="B180" i="12"/>
  <c r="B183" i="12"/>
  <c r="B187" i="12"/>
  <c r="F191" i="12"/>
  <c r="F192" i="12"/>
  <c r="B195" i="12"/>
  <c r="B199" i="12"/>
  <c r="H3" i="12"/>
  <c r="B10" i="11"/>
  <c r="E13" i="11"/>
  <c r="B17" i="11"/>
  <c r="E18" i="11"/>
  <c r="B24" i="11"/>
  <c r="B25" i="11"/>
  <c r="B27" i="11"/>
  <c r="B28" i="11"/>
  <c r="E29" i="11"/>
  <c r="E30" i="11"/>
  <c r="B31" i="11"/>
  <c r="B32" i="11"/>
  <c r="E33" i="11"/>
  <c r="E34" i="11"/>
  <c r="B36" i="11"/>
  <c r="B38" i="11"/>
  <c r="B39" i="11"/>
  <c r="E41" i="11"/>
  <c r="E42" i="11"/>
  <c r="B43" i="11"/>
  <c r="E46" i="11"/>
  <c r="B47" i="11"/>
  <c r="E49" i="11"/>
  <c r="E50" i="11"/>
  <c r="B51" i="11"/>
  <c r="B52" i="11"/>
  <c r="B59" i="11"/>
  <c r="E61" i="11"/>
  <c r="B62" i="11"/>
  <c r="B63" i="11"/>
  <c r="B64" i="11"/>
  <c r="E65" i="11"/>
  <c r="B79" i="11"/>
  <c r="E83" i="11"/>
  <c r="E84" i="11"/>
  <c r="E87" i="11"/>
  <c r="B88" i="11"/>
  <c r="B99" i="11"/>
  <c r="B107" i="11"/>
  <c r="E115" i="11"/>
  <c r="E116" i="11"/>
  <c r="E119" i="11"/>
  <c r="E123" i="11"/>
  <c r="E127" i="11"/>
  <c r="E131" i="11"/>
  <c r="B132" i="11"/>
  <c r="E135" i="11"/>
  <c r="E139" i="11"/>
  <c r="E143" i="11"/>
  <c r="E147" i="11"/>
  <c r="E148" i="11"/>
  <c r="E151" i="11"/>
  <c r="E155" i="11"/>
  <c r="E159" i="11"/>
  <c r="E163" i="11"/>
  <c r="B167" i="11"/>
  <c r="E171" i="11"/>
  <c r="B179" i="11"/>
  <c r="E180" i="11"/>
  <c r="E183" i="11"/>
  <c r="E187" i="11"/>
  <c r="E191" i="11"/>
  <c r="E195" i="11"/>
  <c r="B199" i="11"/>
  <c r="D158" i="10"/>
  <c r="D159" i="10"/>
  <c r="E160" i="10"/>
  <c r="D163" i="10"/>
  <c r="E164" i="10"/>
  <c r="D166" i="10"/>
  <c r="D167" i="10"/>
  <c r="E168" i="10"/>
  <c r="B169" i="10"/>
  <c r="D170" i="10"/>
  <c r="B171" i="10"/>
  <c r="E172" i="10"/>
  <c r="D173" i="10"/>
  <c r="D174" i="10"/>
  <c r="D175" i="10"/>
  <c r="D177" i="10"/>
  <c r="B178" i="10"/>
  <c r="D179" i="10"/>
  <c r="B182" i="10"/>
  <c r="B183" i="10"/>
  <c r="E184" i="10"/>
  <c r="B185" i="10"/>
  <c r="D186" i="10"/>
  <c r="D187" i="10"/>
  <c r="E188" i="10"/>
  <c r="D189" i="10"/>
  <c r="B190" i="10"/>
  <c r="B191" i="10"/>
  <c r="B193" i="10"/>
  <c r="D194" i="10"/>
  <c r="B195" i="10"/>
  <c r="B197" i="10"/>
  <c r="B198" i="10"/>
  <c r="B199" i="10"/>
  <c r="E200" i="10"/>
  <c r="C3" i="10"/>
  <c r="M5" i="9"/>
  <c r="K12" i="9"/>
  <c r="J13" i="9"/>
  <c r="AC17" i="9"/>
  <c r="AC20" i="9"/>
  <c r="E22" i="9"/>
  <c r="E24" i="9"/>
  <c r="M25" i="9"/>
  <c r="J32" i="9"/>
  <c r="D36" i="9"/>
  <c r="J41" i="9"/>
  <c r="L43" i="9"/>
  <c r="H45" i="9"/>
  <c r="J51" i="9"/>
  <c r="I52" i="9"/>
  <c r="Q53" i="9"/>
  <c r="Z57" i="9"/>
  <c r="J60" i="9"/>
  <c r="M65" i="9"/>
  <c r="AB66" i="9"/>
  <c r="M67" i="9"/>
  <c r="K69" i="9"/>
  <c r="E70" i="9"/>
  <c r="S72" i="9"/>
  <c r="N74" i="9"/>
  <c r="K77" i="9"/>
  <c r="AC78" i="9"/>
  <c r="M79" i="9"/>
  <c r="D81" i="9"/>
  <c r="L84" i="9"/>
  <c r="M87" i="9"/>
  <c r="K89" i="9"/>
  <c r="E91" i="9"/>
  <c r="AA93" i="9"/>
  <c r="K97" i="9"/>
  <c r="D101" i="9"/>
  <c r="K105" i="9"/>
  <c r="M107" i="9"/>
  <c r="K109" i="9"/>
  <c r="E110" i="9"/>
  <c r="S113" i="9"/>
  <c r="G114" i="9"/>
  <c r="AA117" i="9"/>
  <c r="AB118" i="9"/>
  <c r="H119" i="9"/>
  <c r="K129" i="9"/>
  <c r="D133" i="9"/>
  <c r="U136" i="9"/>
  <c r="K137" i="9"/>
  <c r="M143" i="9"/>
  <c r="F147" i="9"/>
  <c r="AA149" i="9"/>
  <c r="K157" i="9"/>
  <c r="D161" i="9"/>
  <c r="M163" i="9"/>
  <c r="D165" i="9"/>
  <c r="L168" i="9"/>
  <c r="D169" i="9"/>
  <c r="S173" i="9"/>
  <c r="M175" i="9"/>
  <c r="AA177" i="9"/>
  <c r="AA181" i="9"/>
  <c r="S185" i="9"/>
  <c r="K189" i="9"/>
  <c r="D193" i="9"/>
  <c r="M195" i="9"/>
  <c r="L196" i="9"/>
  <c r="S197" i="9"/>
  <c r="N199" i="9"/>
  <c r="AA201" i="9"/>
  <c r="C2" i="8"/>
  <c r="AX5" i="8"/>
  <c r="C10" i="8"/>
  <c r="ET14" i="8"/>
  <c r="ET18" i="8"/>
  <c r="AZ30" i="8"/>
  <c r="ET38" i="8"/>
  <c r="C58" i="8"/>
  <c r="C62" i="8"/>
  <c r="AZ66" i="8"/>
  <c r="Z78" i="8"/>
  <c r="AZ90" i="8"/>
  <c r="AZ94" i="8"/>
  <c r="Z102" i="8"/>
  <c r="ET118" i="8"/>
  <c r="ET121" i="8"/>
  <c r="ET122" i="8"/>
  <c r="ET126" i="8"/>
  <c r="AZ128" i="8"/>
  <c r="ET129" i="8"/>
  <c r="ET130" i="8"/>
  <c r="AZ132" i="8"/>
  <c r="BA134" i="8"/>
  <c r="ET135" i="8"/>
  <c r="ET138" i="8"/>
  <c r="AZ140" i="8"/>
  <c r="BA141" i="8"/>
  <c r="ET142" i="8"/>
  <c r="ET143" i="8"/>
  <c r="AZ144" i="8"/>
  <c r="ET146" i="8"/>
  <c r="ET147" i="8"/>
  <c r="ET149" i="8"/>
  <c r="BA150" i="8"/>
  <c r="ET151" i="8"/>
  <c r="ET153" i="8"/>
  <c r="CJ154" i="8"/>
  <c r="AZ155" i="8"/>
  <c r="Z157" i="8"/>
  <c r="EX158" i="8"/>
  <c r="AZ159" i="8"/>
  <c r="ET161" i="8"/>
  <c r="EP162" i="8"/>
  <c r="FN165" i="8"/>
  <c r="AZ166" i="8"/>
  <c r="ES168" i="8"/>
  <c r="ET169" i="8"/>
  <c r="FN170" i="8"/>
  <c r="C172" i="8"/>
  <c r="AZ173" i="8"/>
  <c r="AZ174" i="8"/>
  <c r="ET176" i="8"/>
  <c r="ET177" i="8"/>
  <c r="AZ178" i="8"/>
  <c r="AZ180" i="8"/>
  <c r="ET181" i="8"/>
  <c r="FN182" i="8"/>
  <c r="ET184" i="8"/>
  <c r="ET185" i="8"/>
  <c r="AZ186" i="8"/>
  <c r="ES187" i="8"/>
  <c r="AZ188" i="8"/>
  <c r="ET189" i="8"/>
  <c r="BW190" i="8"/>
  <c r="AZ191" i="8"/>
  <c r="AZ192" i="8"/>
  <c r="EX193" i="8"/>
  <c r="CV194" i="8"/>
  <c r="AZ195" i="8"/>
  <c r="ET197" i="8"/>
  <c r="ER198" i="8"/>
  <c r="C199" i="8"/>
  <c r="BA156" i="8"/>
  <c r="BA161" i="8"/>
  <c r="BA180" i="8"/>
  <c r="C144" i="8"/>
  <c r="C184" i="8"/>
  <c r="C185" i="8"/>
  <c r="C192" i="8"/>
  <c r="EX200" i="8"/>
  <c r="U201" i="8"/>
  <c r="ES202" i="8"/>
  <c r="AZ56" i="8"/>
  <c r="AZ44" i="8"/>
  <c r="AZ119" i="8"/>
  <c r="AZ75" i="8"/>
  <c r="AZ67" i="8"/>
  <c r="AZ35" i="8"/>
  <c r="AZ27" i="8"/>
  <c r="C77" i="8"/>
  <c r="C23" i="8"/>
  <c r="C31" i="8"/>
  <c r="BA163" i="8"/>
  <c r="BA159" i="8"/>
  <c r="C159" i="8"/>
  <c r="BA155" i="8"/>
  <c r="C155" i="8"/>
  <c r="C151" i="8"/>
  <c r="BA147" i="8"/>
  <c r="C147" i="8"/>
  <c r="C131" i="8"/>
  <c r="C119" i="8"/>
  <c r="C87" i="8"/>
  <c r="C43" i="8"/>
  <c r="B2" i="12"/>
  <c r="FN144" i="8"/>
  <c r="FN181" i="8"/>
  <c r="FN188" i="8"/>
  <c r="FN192" i="8"/>
  <c r="FN195" i="8"/>
  <c r="FN197" i="8"/>
  <c r="B77" i="10"/>
  <c r="B81" i="10"/>
  <c r="B89" i="10"/>
  <c r="B93" i="10"/>
  <c r="B101" i="10"/>
  <c r="B109" i="10"/>
  <c r="B113" i="10"/>
  <c r="B117" i="10"/>
  <c r="B132" i="10"/>
  <c r="B136" i="10"/>
  <c r="D138" i="10"/>
  <c r="B140" i="10"/>
  <c r="B144" i="10"/>
  <c r="D146" i="10"/>
  <c r="B148" i="10"/>
  <c r="B152" i="10"/>
  <c r="D154" i="10"/>
  <c r="B156" i="10"/>
  <c r="B186" i="10"/>
  <c r="B105" i="10"/>
  <c r="B82" i="10"/>
  <c r="D144" i="10"/>
  <c r="B126" i="10"/>
  <c r="B94" i="10"/>
  <c r="B98" i="10"/>
  <c r="D156" i="10"/>
  <c r="D140" i="10"/>
  <c r="B122" i="10"/>
  <c r="B118" i="10"/>
  <c r="B106" i="10"/>
  <c r="B102" i="10"/>
  <c r="B90" i="10"/>
  <c r="B86" i="10"/>
  <c r="FN159" i="8"/>
  <c r="FN163" i="8"/>
  <c r="FN155" i="8"/>
  <c r="FN149" i="8"/>
  <c r="FN147" i="8"/>
  <c r="B128" i="10"/>
  <c r="B112" i="10"/>
  <c r="B80" i="10"/>
  <c r="B170" i="10"/>
  <c r="B154" i="10"/>
  <c r="D152" i="10"/>
  <c r="B116" i="10"/>
  <c r="B124" i="10"/>
  <c r="B108" i="10"/>
  <c r="B166" i="10"/>
  <c r="B150" i="10"/>
  <c r="D148" i="10"/>
  <c r="B134" i="10"/>
  <c r="B120" i="10"/>
  <c r="B72" i="10"/>
  <c r="B91" i="12"/>
  <c r="B107" i="12"/>
  <c r="B99" i="12"/>
  <c r="B79" i="12"/>
  <c r="U11" i="8"/>
  <c r="AG23" i="8"/>
  <c r="AH23" i="8"/>
  <c r="AX45" i="8"/>
  <c r="BA11" i="8"/>
  <c r="BK19" i="8"/>
  <c r="BW25" i="8"/>
  <c r="CJ7" i="8"/>
  <c r="CU51" i="8"/>
  <c r="CV23" i="8"/>
  <c r="EQ116" i="8"/>
  <c r="ER35" i="8"/>
  <c r="ES23" i="8"/>
  <c r="EZ51" i="8"/>
  <c r="FN67" i="8"/>
  <c r="FN100" i="8"/>
  <c r="B53" i="10"/>
  <c r="B49" i="10"/>
  <c r="B45" i="10"/>
  <c r="B21" i="10"/>
  <c r="B13" i="10"/>
  <c r="B9" i="10"/>
  <c r="D115" i="1"/>
  <c r="E2" i="10"/>
  <c r="D2" i="17"/>
  <c r="E2" i="16"/>
  <c r="B2" i="10"/>
  <c r="B2" i="9"/>
  <c r="D2" i="18"/>
  <c r="F2" i="16"/>
  <c r="G2" i="16"/>
  <c r="H2" i="16"/>
  <c r="B2" i="15"/>
  <c r="B2" i="14"/>
  <c r="B2" i="13"/>
  <c r="B38" i="13"/>
  <c r="FN7" i="8"/>
  <c r="FN15" i="8"/>
  <c r="FN23" i="8"/>
  <c r="FN31" i="8"/>
  <c r="FN43" i="8"/>
  <c r="FN44" i="8"/>
  <c r="FN51" i="8"/>
  <c r="FN63" i="8"/>
  <c r="Q37" i="9"/>
  <c r="L33" i="9"/>
  <c r="AH15" i="8"/>
  <c r="AH39" i="8"/>
  <c r="AH60" i="8"/>
  <c r="CV11" i="8"/>
  <c r="CV15" i="8"/>
  <c r="CV47" i="8"/>
  <c r="CV48" i="8"/>
  <c r="CV52" i="8"/>
  <c r="CV56" i="8"/>
  <c r="CV64" i="8"/>
  <c r="D9" i="14"/>
  <c r="G45" i="13"/>
  <c r="E50" i="15"/>
  <c r="H5" i="19"/>
  <c r="H29" i="19"/>
  <c r="H57" i="19"/>
  <c r="H22" i="19"/>
  <c r="H30" i="19"/>
  <c r="H46" i="19"/>
  <c r="H62" i="19"/>
  <c r="H18" i="19"/>
  <c r="H26" i="19"/>
  <c r="H50" i="19"/>
  <c r="H58" i="19"/>
  <c r="G42" i="13"/>
  <c r="G6" i="13"/>
  <c r="G49" i="13"/>
  <c r="G57" i="13"/>
  <c r="G10" i="13"/>
  <c r="G18" i="13"/>
  <c r="G5" i="13"/>
  <c r="G22" i="13"/>
  <c r="CJ63" i="8"/>
  <c r="E22" i="15"/>
  <c r="E10" i="11"/>
  <c r="Z15" i="8"/>
  <c r="CJ52" i="8"/>
  <c r="CJ15" i="8"/>
  <c r="Z51" i="8"/>
  <c r="Z61" i="8"/>
  <c r="Z7" i="8"/>
  <c r="Q65" i="9"/>
  <c r="AY72" i="8"/>
  <c r="E46" i="15"/>
  <c r="E14" i="15"/>
  <c r="CJ59" i="8"/>
  <c r="CJ23" i="8"/>
  <c r="E34" i="15"/>
  <c r="E58" i="15"/>
  <c r="CJ51" i="8"/>
  <c r="CJ11" i="8"/>
  <c r="CJ35" i="8"/>
  <c r="CJ64" i="8"/>
  <c r="CJ48" i="8"/>
  <c r="CJ27" i="8"/>
  <c r="CJ44" i="8"/>
  <c r="CJ31" i="8"/>
  <c r="CJ19" i="8"/>
  <c r="CJ43" i="8"/>
  <c r="Z88" i="8"/>
  <c r="Z104" i="8"/>
  <c r="Z48" i="8"/>
  <c r="Z23" i="8"/>
  <c r="Z55" i="8"/>
  <c r="Z63" i="8"/>
  <c r="Z120" i="8"/>
  <c r="Z11" i="8"/>
  <c r="Z19" i="8"/>
  <c r="Z52" i="8"/>
  <c r="Z27" i="8"/>
  <c r="Z31" i="8"/>
  <c r="Z64" i="8"/>
  <c r="Z13" i="8"/>
  <c r="Z56" i="8"/>
  <c r="Z39" i="8"/>
  <c r="Z35" i="8"/>
  <c r="G17" i="13"/>
  <c r="G50" i="13"/>
  <c r="G56" i="13"/>
  <c r="G60" i="13"/>
  <c r="G62" i="13"/>
  <c r="G16" i="13"/>
  <c r="G41" i="13"/>
  <c r="G61" i="13"/>
  <c r="G25" i="13"/>
  <c r="G29" i="13"/>
  <c r="G33" i="13"/>
  <c r="F61" i="13"/>
  <c r="F54" i="13"/>
  <c r="B58" i="11"/>
  <c r="AY68" i="8"/>
  <c r="AY11" i="8"/>
  <c r="K113" i="9"/>
  <c r="K201" i="9"/>
  <c r="K117" i="9"/>
  <c r="K173" i="9"/>
  <c r="K161" i="9"/>
  <c r="AA193" i="9"/>
  <c r="AA169" i="9"/>
  <c r="AA189" i="9"/>
  <c r="AA161" i="9"/>
  <c r="D89" i="9"/>
  <c r="D189" i="9"/>
  <c r="D93" i="9"/>
  <c r="D197" i="9"/>
  <c r="D109" i="9"/>
  <c r="D105" i="9"/>
  <c r="D113" i="9"/>
  <c r="D69" i="9"/>
  <c r="F71" i="12"/>
  <c r="F95" i="12"/>
  <c r="F139" i="12"/>
  <c r="F67" i="12"/>
  <c r="F171" i="12"/>
  <c r="F135" i="12"/>
  <c r="F147" i="12"/>
  <c r="F179" i="12"/>
  <c r="F79" i="12"/>
  <c r="F163" i="12"/>
  <c r="F187" i="12"/>
  <c r="F83" i="12"/>
  <c r="F91" i="12"/>
  <c r="F199" i="12"/>
  <c r="F175" i="12"/>
  <c r="F115" i="12"/>
  <c r="F159" i="12"/>
  <c r="F107" i="12"/>
  <c r="B10" i="15"/>
  <c r="C152" i="14"/>
  <c r="C160" i="14"/>
  <c r="C176" i="14"/>
  <c r="C184" i="14"/>
  <c r="C200" i="14"/>
  <c r="C93" i="14"/>
  <c r="C72" i="14"/>
  <c r="C97" i="14"/>
  <c r="C76" i="14"/>
  <c r="C109" i="14"/>
  <c r="C101" i="14"/>
  <c r="C116" i="14"/>
  <c r="C73" i="14"/>
  <c r="C137" i="14"/>
  <c r="C105" i="14"/>
  <c r="C113" i="14"/>
  <c r="C77" i="14"/>
  <c r="C112" i="14"/>
  <c r="C81" i="14"/>
  <c r="C125" i="14"/>
  <c r="C85" i="14"/>
  <c r="C89" i="14"/>
  <c r="C68" i="14"/>
  <c r="C177" i="14"/>
  <c r="C161" i="14"/>
  <c r="C189" i="14"/>
  <c r="C201" i="14"/>
  <c r="C173" i="14"/>
  <c r="C165" i="14"/>
  <c r="C140" i="14"/>
  <c r="C197" i="14"/>
  <c r="S81" i="9"/>
  <c r="S97" i="9"/>
  <c r="S156" i="9"/>
  <c r="S149" i="9"/>
  <c r="S89" i="9"/>
  <c r="S136" i="9"/>
  <c r="S85" i="9"/>
  <c r="S196" i="9"/>
  <c r="S101" i="9"/>
  <c r="S69" i="9"/>
  <c r="S193" i="9"/>
  <c r="S189" i="9"/>
  <c r="S169" i="9"/>
  <c r="S133" i="9"/>
  <c r="S121" i="9"/>
  <c r="S108" i="9"/>
  <c r="S73" i="9"/>
  <c r="D12" i="17"/>
  <c r="D16" i="17"/>
  <c r="D20" i="17"/>
  <c r="D28" i="17"/>
  <c r="D32" i="17"/>
  <c r="D36" i="17"/>
  <c r="D44" i="17"/>
  <c r="D7" i="17"/>
  <c r="D15" i="17"/>
  <c r="D19" i="17"/>
  <c r="D23" i="17"/>
  <c r="D31" i="17"/>
  <c r="D35" i="17"/>
  <c r="D39" i="17"/>
  <c r="D48" i="17"/>
  <c r="D51" i="17"/>
  <c r="D64" i="17"/>
  <c r="D47" i="17"/>
  <c r="D60" i="17"/>
  <c r="D75" i="17"/>
  <c r="D79" i="17"/>
  <c r="D83" i="17"/>
  <c r="D91" i="17"/>
  <c r="D95" i="17"/>
  <c r="D99" i="17"/>
  <c r="D107" i="17"/>
  <c r="D111" i="17"/>
  <c r="D115" i="17"/>
  <c r="D123" i="17"/>
  <c r="D127" i="17"/>
  <c r="D131" i="17"/>
  <c r="D139" i="17"/>
  <c r="D143" i="17"/>
  <c r="D147" i="17"/>
  <c r="D151" i="17"/>
  <c r="D155" i="17"/>
  <c r="D159" i="17"/>
  <c r="D163" i="17"/>
  <c r="D167" i="17"/>
  <c r="D171" i="17"/>
  <c r="D175" i="17"/>
  <c r="D179" i="17"/>
  <c r="D183" i="17"/>
  <c r="D187" i="17"/>
  <c r="D191" i="17"/>
  <c r="D195" i="17"/>
  <c r="D199" i="17"/>
  <c r="D56" i="17"/>
  <c r="D59" i="17"/>
  <c r="D72" i="17"/>
  <c r="D76" i="17"/>
  <c r="D80" i="17"/>
  <c r="D84" i="17"/>
  <c r="D88" i="17"/>
  <c r="D92" i="17"/>
  <c r="D96" i="17"/>
  <c r="D100" i="17"/>
  <c r="D104" i="17"/>
  <c r="D108" i="17"/>
  <c r="D112" i="17"/>
  <c r="D116" i="17"/>
  <c r="D120" i="17"/>
  <c r="D124" i="17"/>
  <c r="D136" i="17"/>
  <c r="D140" i="17"/>
  <c r="D152" i="17"/>
  <c r="D156" i="17"/>
  <c r="D160" i="17"/>
  <c r="D164" i="17"/>
  <c r="D168" i="17"/>
  <c r="D172" i="17"/>
  <c r="D176" i="17"/>
  <c r="D180" i="17"/>
  <c r="D184" i="17"/>
  <c r="D188" i="17"/>
  <c r="D192" i="17"/>
  <c r="D196" i="17"/>
  <c r="D200" i="17"/>
  <c r="D52" i="17"/>
  <c r="D55" i="17"/>
  <c r="D68" i="17"/>
  <c r="D71" i="17"/>
  <c r="L7" i="17"/>
  <c r="L11" i="17"/>
  <c r="L15" i="17"/>
  <c r="L19" i="17"/>
  <c r="L23" i="17"/>
  <c r="L27" i="17"/>
  <c r="L31" i="17"/>
  <c r="L35" i="17"/>
  <c r="L39" i="17"/>
  <c r="L43" i="17"/>
  <c r="L8" i="17"/>
  <c r="L12" i="17"/>
  <c r="L16" i="17"/>
  <c r="L20" i="17"/>
  <c r="L24" i="17"/>
  <c r="L28" i="17"/>
  <c r="L32" i="17"/>
  <c r="L36" i="17"/>
  <c r="L40" i="17"/>
  <c r="L44" i="17"/>
  <c r="L48" i="17"/>
  <c r="L51" i="17"/>
  <c r="L64" i="17"/>
  <c r="L67" i="17"/>
  <c r="L165" i="17"/>
  <c r="L47" i="17"/>
  <c r="L60" i="17"/>
  <c r="L63" i="17"/>
  <c r="L56" i="17"/>
  <c r="L59" i="17"/>
  <c r="L72" i="17"/>
  <c r="L75" i="17"/>
  <c r="L79" i="17"/>
  <c r="L83" i="17"/>
  <c r="L87" i="17"/>
  <c r="L91" i="17"/>
  <c r="L95" i="17"/>
  <c r="L99" i="17"/>
  <c r="L103" i="17"/>
  <c r="L107" i="17"/>
  <c r="L111" i="17"/>
  <c r="L115" i="17"/>
  <c r="L119" i="17"/>
  <c r="L123" i="17"/>
  <c r="L127" i="17"/>
  <c r="L131" i="17"/>
  <c r="L135" i="17"/>
  <c r="L139" i="17"/>
  <c r="L143" i="17"/>
  <c r="L147" i="17"/>
  <c r="L151" i="17"/>
  <c r="L155" i="17"/>
  <c r="L159" i="17"/>
  <c r="L163" i="17"/>
  <c r="L167" i="17"/>
  <c r="L171" i="17"/>
  <c r="L175" i="17"/>
  <c r="L179" i="17"/>
  <c r="L183" i="17"/>
  <c r="L187" i="17"/>
  <c r="L191" i="17"/>
  <c r="L195" i="17"/>
  <c r="L199" i="17"/>
  <c r="L52" i="17"/>
  <c r="L55" i="17"/>
  <c r="L68" i="17"/>
  <c r="L71" i="17"/>
  <c r="L76" i="17"/>
  <c r="L80" i="17"/>
  <c r="L84" i="17"/>
  <c r="L88" i="17"/>
  <c r="L92" i="17"/>
  <c r="L96" i="17"/>
  <c r="L100" i="17"/>
  <c r="L104" i="17"/>
  <c r="L108" i="17"/>
  <c r="L112" i="17"/>
  <c r="L116" i="17"/>
  <c r="L120" i="17"/>
  <c r="L124" i="17"/>
  <c r="L136" i="17"/>
  <c r="L140" i="17"/>
  <c r="L152" i="17"/>
  <c r="L156" i="17"/>
  <c r="L160" i="17"/>
  <c r="L164" i="17"/>
  <c r="L168" i="17"/>
  <c r="L172" i="17"/>
  <c r="L176" i="17"/>
  <c r="L180" i="17"/>
  <c r="L184" i="17"/>
  <c r="L188" i="17"/>
  <c r="L192" i="17"/>
  <c r="L196" i="17"/>
  <c r="L200" i="17"/>
  <c r="L3" i="17"/>
  <c r="U73" i="9"/>
  <c r="U89" i="9"/>
  <c r="U69" i="9"/>
  <c r="U120" i="9"/>
  <c r="U137" i="9"/>
  <c r="U113" i="9"/>
  <c r="U129" i="9"/>
  <c r="U93" i="9"/>
  <c r="U133" i="9"/>
  <c r="U128" i="9"/>
  <c r="U141" i="9"/>
  <c r="U161" i="9"/>
  <c r="U169" i="9"/>
  <c r="U193" i="9"/>
  <c r="U197" i="9"/>
  <c r="U149" i="9"/>
  <c r="U157" i="9"/>
  <c r="U160" i="9"/>
  <c r="U165" i="9"/>
  <c r="U173" i="9"/>
  <c r="U177" i="9"/>
  <c r="U196" i="9"/>
  <c r="U144" i="9"/>
  <c r="U181" i="9"/>
  <c r="U185" i="9"/>
  <c r="U189" i="9"/>
  <c r="U180" i="9"/>
  <c r="U168" i="9"/>
  <c r="U172" i="9"/>
  <c r="U201" i="9"/>
  <c r="U105" i="9"/>
  <c r="U84" i="9"/>
  <c r="U81" i="9"/>
  <c r="U77" i="9"/>
  <c r="U109" i="9"/>
  <c r="U145" i="9"/>
  <c r="U117" i="9"/>
  <c r="U97" i="9"/>
  <c r="U85" i="9"/>
  <c r="U101" i="9"/>
  <c r="L77" i="9"/>
  <c r="L81" i="9"/>
  <c r="L92" i="9"/>
  <c r="L101" i="9"/>
  <c r="L89" i="9"/>
  <c r="L100" i="9"/>
  <c r="L93" i="9"/>
  <c r="L153" i="9"/>
  <c r="L181" i="9"/>
  <c r="L185" i="9"/>
  <c r="L189" i="9"/>
  <c r="L201" i="9"/>
  <c r="L165" i="9"/>
  <c r="L145" i="9"/>
  <c r="L149" i="9"/>
  <c r="L157" i="9"/>
  <c r="L188" i="9"/>
  <c r="L169" i="9"/>
  <c r="L161" i="9"/>
  <c r="L173" i="9"/>
  <c r="L177" i="9"/>
  <c r="L193" i="9"/>
  <c r="L197" i="9"/>
  <c r="L105" i="9"/>
  <c r="L129" i="9"/>
  <c r="L113" i="9"/>
  <c r="L97" i="9"/>
  <c r="L133" i="9"/>
  <c r="L121" i="9"/>
  <c r="L85" i="9"/>
  <c r="L80" i="9"/>
  <c r="L108" i="9"/>
  <c r="L109" i="9"/>
  <c r="L72" i="9"/>
  <c r="L117" i="9"/>
  <c r="L141" i="9"/>
  <c r="L136" i="9"/>
  <c r="L120" i="9"/>
  <c r="L73" i="9"/>
  <c r="L69" i="9"/>
  <c r="L76" i="9"/>
  <c r="S45" i="9"/>
  <c r="F18" i="12"/>
  <c r="H35" i="12"/>
  <c r="B5" i="13"/>
  <c r="B21" i="13"/>
  <c r="G26" i="13"/>
  <c r="G36" i="13"/>
  <c r="B42" i="13"/>
  <c r="D25" i="14"/>
  <c r="C37" i="14"/>
  <c r="C48" i="14"/>
  <c r="C53" i="14"/>
  <c r="B21" i="15"/>
  <c r="B25" i="15"/>
  <c r="B29" i="15"/>
  <c r="B34" i="15"/>
  <c r="B38" i="15"/>
  <c r="B57" i="15"/>
  <c r="EX140" i="8"/>
  <c r="EX151" i="8"/>
  <c r="EX144" i="8"/>
  <c r="EX147" i="8"/>
  <c r="EX168" i="8"/>
  <c r="EX177" i="8"/>
  <c r="EX188" i="8"/>
  <c r="EX172" i="8"/>
  <c r="EX192" i="8"/>
  <c r="EX196" i="8"/>
  <c r="EX195" i="8"/>
  <c r="EX155" i="8"/>
  <c r="EX165" i="8"/>
  <c r="EX159" i="8"/>
  <c r="EX163" i="8"/>
  <c r="EP140" i="8"/>
  <c r="EP147" i="8"/>
  <c r="EP144" i="8"/>
  <c r="EP152" i="8"/>
  <c r="EP139" i="8"/>
  <c r="EP151" i="8"/>
  <c r="EP167" i="8"/>
  <c r="EP173" i="8"/>
  <c r="EP143" i="8"/>
  <c r="EP177" i="8"/>
  <c r="EP188" i="8"/>
  <c r="EP192" i="8"/>
  <c r="EP157" i="8"/>
  <c r="EP159" i="8"/>
  <c r="EP187" i="8"/>
  <c r="EP163" i="8"/>
  <c r="EP155" i="8"/>
  <c r="EP196" i="8"/>
  <c r="EP202" i="8"/>
  <c r="CJ139" i="8"/>
  <c r="CJ140" i="8"/>
  <c r="CJ161" i="8"/>
  <c r="CJ143" i="8"/>
  <c r="CJ151" i="8"/>
  <c r="CJ144" i="8"/>
  <c r="CJ167" i="8"/>
  <c r="CJ173" i="8"/>
  <c r="CJ188" i="8"/>
  <c r="CJ191" i="8"/>
  <c r="CJ185" i="8"/>
  <c r="CJ187" i="8"/>
  <c r="CJ192" i="8"/>
  <c r="CJ147" i="8"/>
  <c r="CJ200" i="8"/>
  <c r="CJ163" i="8"/>
  <c r="CJ155" i="8"/>
  <c r="CJ159" i="8"/>
  <c r="CJ196" i="8"/>
  <c r="AY140" i="8"/>
  <c r="AY157" i="8"/>
  <c r="AY139" i="8"/>
  <c r="AY147" i="8"/>
  <c r="AY144" i="8"/>
  <c r="AY161" i="8"/>
  <c r="AY143" i="8"/>
  <c r="AY176" i="8"/>
  <c r="AY151" i="8"/>
  <c r="AY187" i="8"/>
  <c r="AY188" i="8"/>
  <c r="AY192" i="8"/>
  <c r="AY163" i="8"/>
  <c r="AY155" i="8"/>
  <c r="AY159" i="8"/>
  <c r="AY196" i="8"/>
  <c r="AY165" i="8"/>
  <c r="Z140" i="8"/>
  <c r="Z149" i="8"/>
  <c r="Z143" i="8"/>
  <c r="Z151" i="8"/>
  <c r="Z139" i="8"/>
  <c r="Z144" i="8"/>
  <c r="Z153" i="8"/>
  <c r="Z147" i="8"/>
  <c r="Z177" i="8"/>
  <c r="Z188" i="8"/>
  <c r="Z189" i="8"/>
  <c r="Z187" i="8"/>
  <c r="Z192" i="8"/>
  <c r="Z196" i="8"/>
  <c r="Z164" i="8"/>
  <c r="Z155" i="8"/>
  <c r="Z159" i="8"/>
  <c r="Z202" i="8"/>
  <c r="Z163" i="8"/>
  <c r="D68" i="14"/>
  <c r="D72" i="14"/>
  <c r="D76" i="14"/>
  <c r="D80" i="14"/>
  <c r="D84" i="14"/>
  <c r="D88" i="14"/>
  <c r="D92" i="14"/>
  <c r="D96" i="14"/>
  <c r="D100" i="14"/>
  <c r="D105" i="14"/>
  <c r="D121" i="14"/>
  <c r="D117" i="14"/>
  <c r="D125" i="14"/>
  <c r="D129" i="14"/>
  <c r="D69" i="14"/>
  <c r="D77" i="14"/>
  <c r="D85" i="14"/>
  <c r="D93" i="14"/>
  <c r="D101" i="14"/>
  <c r="D109" i="14"/>
  <c r="D113" i="14"/>
  <c r="D145" i="14"/>
  <c r="D137" i="14"/>
  <c r="D141" i="14"/>
  <c r="D73" i="14"/>
  <c r="D81" i="14"/>
  <c r="D89" i="14"/>
  <c r="D97" i="14"/>
  <c r="D122" i="14"/>
  <c r="D133" i="14"/>
  <c r="D197" i="14"/>
  <c r="D149" i="14"/>
  <c r="D128" i="14"/>
  <c r="D189" i="14"/>
  <c r="D173" i="14"/>
  <c r="D157" i="14"/>
  <c r="D148" i="14"/>
  <c r="D140" i="14"/>
  <c r="D120" i="14"/>
  <c r="D104" i="14"/>
  <c r="D188" i="14"/>
  <c r="D172" i="14"/>
  <c r="D156" i="14"/>
  <c r="D185" i="14"/>
  <c r="D153" i="14"/>
  <c r="D132" i="14"/>
  <c r="D165" i="14"/>
  <c r="D196" i="14"/>
  <c r="D180" i="14"/>
  <c r="D164" i="14"/>
  <c r="D144" i="14"/>
  <c r="D201" i="14"/>
  <c r="D169" i="14"/>
  <c r="D116" i="14"/>
  <c r="D181" i="14"/>
  <c r="D136" i="14"/>
  <c r="D112" i="14"/>
  <c r="D160" i="14"/>
  <c r="D161" i="14"/>
  <c r="D152" i="14"/>
  <c r="D184" i="14"/>
  <c r="D124" i="14"/>
  <c r="D176" i="14"/>
  <c r="D193" i="14"/>
  <c r="D108" i="14"/>
  <c r="D168" i="14"/>
  <c r="D177" i="14"/>
  <c r="D57" i="14"/>
  <c r="AC41" i="9"/>
  <c r="Q13" i="9"/>
  <c r="K61" i="9"/>
  <c r="B5" i="11"/>
  <c r="B21" i="11"/>
  <c r="B26" i="11"/>
  <c r="B30" i="11"/>
  <c r="B34" i="11"/>
  <c r="B49" i="11"/>
  <c r="B54" i="11"/>
  <c r="H15" i="12"/>
  <c r="E47" i="12"/>
  <c r="G12" i="13"/>
  <c r="B18" i="13"/>
  <c r="B22" i="13"/>
  <c r="G32" i="13"/>
  <c r="D4" i="14"/>
  <c r="D20" i="14"/>
  <c r="D32" i="14"/>
  <c r="D44" i="14"/>
  <c r="B49" i="14"/>
  <c r="D61" i="14"/>
  <c r="B17" i="15"/>
  <c r="B22" i="15"/>
  <c r="B26" i="15"/>
  <c r="B30" i="15"/>
  <c r="B53" i="15"/>
  <c r="ES144" i="8"/>
  <c r="ES140" i="8"/>
  <c r="ES172" i="8"/>
  <c r="ES195" i="8"/>
  <c r="ES192" i="8"/>
  <c r="ES199" i="8"/>
  <c r="ES188" i="8"/>
  <c r="ES159" i="8"/>
  <c r="ES196" i="8"/>
  <c r="ES163" i="8"/>
  <c r="ES173" i="8"/>
  <c r="ES171" i="8"/>
  <c r="ES165" i="8"/>
  <c r="ES147" i="8"/>
  <c r="ES139" i="8"/>
  <c r="ES189" i="8"/>
  <c r="ES153" i="8"/>
  <c r="ES181" i="8"/>
  <c r="ES155" i="8"/>
  <c r="ES151" i="8"/>
  <c r="ES143" i="8"/>
  <c r="CX144" i="8"/>
  <c r="CX176" i="8"/>
  <c r="CX172" i="8"/>
  <c r="CX140" i="8"/>
  <c r="CX192" i="8"/>
  <c r="CX180" i="8"/>
  <c r="CX188" i="8"/>
  <c r="CX165" i="8"/>
  <c r="CX151" i="8"/>
  <c r="CX196" i="8"/>
  <c r="CX177" i="8"/>
  <c r="CX181" i="8"/>
  <c r="CX155" i="8"/>
  <c r="CX147" i="8"/>
  <c r="CX139" i="8"/>
  <c r="CX159" i="8"/>
  <c r="CX200" i="8"/>
  <c r="CX163" i="8"/>
  <c r="CX161" i="8"/>
  <c r="CX153" i="8"/>
  <c r="BW144" i="8"/>
  <c r="BW176" i="8"/>
  <c r="BW140" i="8"/>
  <c r="BW192" i="8"/>
  <c r="BW195" i="8"/>
  <c r="BW180" i="8"/>
  <c r="BW188" i="8"/>
  <c r="BW189" i="8"/>
  <c r="BW153" i="8"/>
  <c r="BW187" i="8"/>
  <c r="BW157" i="8"/>
  <c r="BW155" i="8"/>
  <c r="BW151" i="8"/>
  <c r="BW143" i="8"/>
  <c r="BW191" i="8"/>
  <c r="BW159" i="8"/>
  <c r="BW196" i="8"/>
  <c r="BW163" i="8"/>
  <c r="BW169" i="8"/>
  <c r="BW161" i="8"/>
  <c r="BW149" i="8"/>
  <c r="BW141" i="8"/>
  <c r="BW165" i="8"/>
  <c r="BW147" i="8"/>
  <c r="BW139" i="8"/>
  <c r="AX144" i="8"/>
  <c r="AX168" i="8"/>
  <c r="AX176" i="8"/>
  <c r="AX140" i="8"/>
  <c r="AX165" i="8"/>
  <c r="AX160" i="8"/>
  <c r="AX172" i="8"/>
  <c r="AX184" i="8"/>
  <c r="AX192" i="8"/>
  <c r="AX199" i="8"/>
  <c r="AX180" i="8"/>
  <c r="AX195" i="8"/>
  <c r="AX188" i="8"/>
  <c r="AX202" i="8"/>
  <c r="AX187" i="8"/>
  <c r="AX181" i="8"/>
  <c r="AX157" i="8"/>
  <c r="AX155" i="8"/>
  <c r="AX147" i="8"/>
  <c r="AX139" i="8"/>
  <c r="AX191" i="8"/>
  <c r="AX159" i="8"/>
  <c r="AX163" i="8"/>
  <c r="AX161" i="8"/>
  <c r="AX153" i="8"/>
  <c r="AX151" i="8"/>
  <c r="AX196" i="8"/>
  <c r="AX189" i="8"/>
  <c r="AX149" i="8"/>
  <c r="U144" i="8"/>
  <c r="U140" i="8"/>
  <c r="U168" i="8"/>
  <c r="U176" i="8"/>
  <c r="U172" i="8"/>
  <c r="U195" i="8"/>
  <c r="U184" i="8"/>
  <c r="U192" i="8"/>
  <c r="U199" i="8"/>
  <c r="U188" i="8"/>
  <c r="U180" i="8"/>
  <c r="U197" i="8"/>
  <c r="U167" i="8"/>
  <c r="U191" i="8"/>
  <c r="U159" i="8"/>
  <c r="U196" i="8"/>
  <c r="U163" i="8"/>
  <c r="U161" i="8"/>
  <c r="U149" i="8"/>
  <c r="U173" i="8"/>
  <c r="U202" i="8"/>
  <c r="U147" i="8"/>
  <c r="U139" i="8"/>
  <c r="U177" i="8"/>
  <c r="U165" i="8"/>
  <c r="U153" i="8"/>
  <c r="U169" i="8"/>
  <c r="U187" i="8"/>
  <c r="U181" i="8"/>
  <c r="U157" i="8"/>
  <c r="U155" i="8"/>
  <c r="U151" i="8"/>
  <c r="U143" i="8"/>
  <c r="D29" i="14"/>
  <c r="H67" i="12"/>
  <c r="H79" i="12"/>
  <c r="H111" i="12"/>
  <c r="H126" i="12"/>
  <c r="H142" i="12"/>
  <c r="H71" i="12"/>
  <c r="H103" i="12"/>
  <c r="H95" i="12"/>
  <c r="H130" i="12"/>
  <c r="H150" i="12"/>
  <c r="H162" i="12"/>
  <c r="H182" i="12"/>
  <c r="H187" i="12"/>
  <c r="H87" i="12"/>
  <c r="H158" i="12"/>
  <c r="H170" i="12"/>
  <c r="H191" i="12"/>
  <c r="H146" i="12"/>
  <c r="H166" i="12"/>
  <c r="H178" i="12"/>
  <c r="H190" i="12"/>
  <c r="H195" i="12"/>
  <c r="H119" i="12"/>
  <c r="H154" i="12"/>
  <c r="H174" i="12"/>
  <c r="H186" i="12"/>
  <c r="H199" i="12"/>
  <c r="H202" i="12"/>
  <c r="H159" i="12"/>
  <c r="H98" i="12"/>
  <c r="H179" i="12"/>
  <c r="H107" i="12"/>
  <c r="H75" i="12"/>
  <c r="H110" i="12"/>
  <c r="H78" i="12"/>
  <c r="H175" i="12"/>
  <c r="H114" i="12"/>
  <c r="H82" i="12"/>
  <c r="H163" i="12"/>
  <c r="H91" i="12"/>
  <c r="H94" i="12"/>
  <c r="H155" i="12"/>
  <c r="H147" i="12"/>
  <c r="H131" i="12"/>
  <c r="H183" i="12"/>
  <c r="H151" i="12"/>
  <c r="H106" i="12"/>
  <c r="H74" i="12"/>
  <c r="H115" i="12"/>
  <c r="H83" i="12"/>
  <c r="H139" i="12"/>
  <c r="H123" i="12"/>
  <c r="H102" i="12"/>
  <c r="H70" i="12"/>
  <c r="H66" i="12"/>
  <c r="H99" i="12"/>
  <c r="H143" i="12"/>
  <c r="H118" i="12"/>
  <c r="H167" i="12"/>
  <c r="H90" i="12"/>
  <c r="H135" i="12"/>
  <c r="H86" i="12"/>
  <c r="H127" i="12"/>
  <c r="H171" i="12"/>
  <c r="Y84" i="9"/>
  <c r="Y81" i="9"/>
  <c r="Y89" i="9"/>
  <c r="Y160" i="9"/>
  <c r="Y161" i="9"/>
  <c r="Y165" i="9"/>
  <c r="Y169" i="9"/>
  <c r="Y100" i="9"/>
  <c r="Y101" i="9"/>
  <c r="Y153" i="9"/>
  <c r="Y168" i="9"/>
  <c r="Y180" i="9"/>
  <c r="Y184" i="9"/>
  <c r="Y188" i="9"/>
  <c r="Y201" i="9"/>
  <c r="Y93" i="9"/>
  <c r="Y145" i="9"/>
  <c r="Y148" i="9"/>
  <c r="Y156" i="9"/>
  <c r="Y77" i="9"/>
  <c r="Y149" i="9"/>
  <c r="Y157" i="9"/>
  <c r="Y164" i="9"/>
  <c r="Y172" i="9"/>
  <c r="Y181" i="9"/>
  <c r="Y185" i="9"/>
  <c r="Y189" i="9"/>
  <c r="Y152" i="9"/>
  <c r="Y173" i="9"/>
  <c r="Y174" i="9"/>
  <c r="Y176" i="9"/>
  <c r="Y177" i="9"/>
  <c r="Y178" i="9"/>
  <c r="Y192" i="9"/>
  <c r="Y193" i="9"/>
  <c r="Y196" i="9"/>
  <c r="Y197" i="9"/>
  <c r="Y117" i="9"/>
  <c r="Y109" i="9"/>
  <c r="Y92" i="9"/>
  <c r="Y73" i="9"/>
  <c r="Y69" i="9"/>
  <c r="Y112" i="9"/>
  <c r="Y200" i="9"/>
  <c r="Y80" i="9"/>
  <c r="Y141" i="9"/>
  <c r="Y97" i="9"/>
  <c r="Y144" i="9"/>
  <c r="Y140" i="9"/>
  <c r="Y136" i="9"/>
  <c r="Y132" i="9"/>
  <c r="Y128" i="9"/>
  <c r="Y124" i="9"/>
  <c r="Y120" i="9"/>
  <c r="Y76" i="9"/>
  <c r="Y85" i="9"/>
  <c r="Y129" i="9"/>
  <c r="Y125" i="9"/>
  <c r="Y113" i="9"/>
  <c r="Y88" i="9"/>
  <c r="Y105" i="9"/>
  <c r="Y137" i="9"/>
  <c r="Y133" i="9"/>
  <c r="Y121" i="9"/>
  <c r="Y116" i="9"/>
  <c r="Y108" i="9"/>
  <c r="Y104" i="9"/>
  <c r="Y96" i="9"/>
  <c r="Y72" i="9"/>
  <c r="Y68" i="9"/>
  <c r="C120" i="9"/>
  <c r="C132" i="9"/>
  <c r="C149" i="9"/>
  <c r="C153" i="9"/>
  <c r="C157" i="9"/>
  <c r="C108" i="9"/>
  <c r="C113" i="9"/>
  <c r="C116" i="9"/>
  <c r="C124" i="9"/>
  <c r="C136" i="9"/>
  <c r="C144" i="9"/>
  <c r="C152" i="9"/>
  <c r="C128" i="9"/>
  <c r="C140" i="9"/>
  <c r="C148" i="9"/>
  <c r="C200" i="9"/>
  <c r="C156" i="9"/>
  <c r="C161" i="9"/>
  <c r="C117" i="9"/>
  <c r="C177" i="9"/>
  <c r="C176" i="9"/>
  <c r="C173" i="9"/>
  <c r="C165" i="9"/>
  <c r="C164" i="9"/>
  <c r="C201" i="9"/>
  <c r="C197" i="9"/>
  <c r="C196" i="9"/>
  <c r="C193" i="9"/>
  <c r="C192" i="9"/>
  <c r="C180" i="9"/>
  <c r="C172" i="9"/>
  <c r="C169" i="9"/>
  <c r="C168" i="9"/>
  <c r="C105" i="9"/>
  <c r="C185" i="9"/>
  <c r="C184" i="9"/>
  <c r="C181" i="9"/>
  <c r="C160" i="9"/>
  <c r="C101" i="9"/>
  <c r="C145" i="9"/>
  <c r="C141" i="9"/>
  <c r="C137" i="9"/>
  <c r="C133" i="9"/>
  <c r="C129" i="9"/>
  <c r="C125" i="9"/>
  <c r="C121" i="9"/>
  <c r="C77" i="9"/>
  <c r="C73" i="9"/>
  <c r="C69" i="9"/>
  <c r="C76" i="9"/>
  <c r="C84" i="9"/>
  <c r="C188" i="9"/>
  <c r="C85" i="9"/>
  <c r="C97" i="9"/>
  <c r="C88" i="9"/>
  <c r="C80" i="9"/>
  <c r="C189" i="9"/>
  <c r="C112" i="9"/>
  <c r="C109" i="9"/>
  <c r="C92" i="9"/>
  <c r="C104" i="9"/>
  <c r="C100" i="9"/>
  <c r="C96" i="9"/>
  <c r="C93" i="9"/>
  <c r="C89" i="9"/>
  <c r="C81" i="9"/>
  <c r="C72" i="9"/>
  <c r="C68" i="9"/>
  <c r="AB108" i="9"/>
  <c r="AB116" i="9"/>
  <c r="AB121" i="9"/>
  <c r="AB129" i="9"/>
  <c r="AB141" i="9"/>
  <c r="AB125" i="9"/>
  <c r="AB117" i="9"/>
  <c r="AB133" i="9"/>
  <c r="AB149" i="9"/>
  <c r="AB152" i="9"/>
  <c r="AB157" i="9"/>
  <c r="AB200" i="9"/>
  <c r="AB137" i="9"/>
  <c r="AB145" i="9"/>
  <c r="AB148" i="9"/>
  <c r="AB153" i="9"/>
  <c r="AB156" i="9"/>
  <c r="AB201" i="9"/>
  <c r="AB197" i="9"/>
  <c r="AB196" i="9"/>
  <c r="AB193" i="9"/>
  <c r="AB192" i="9"/>
  <c r="AB172" i="9"/>
  <c r="AB169" i="9"/>
  <c r="AB168" i="9"/>
  <c r="AB162" i="9"/>
  <c r="AB180" i="9"/>
  <c r="AB177" i="9"/>
  <c r="AB176" i="9"/>
  <c r="AB173" i="9"/>
  <c r="AB165" i="9"/>
  <c r="AB164" i="9"/>
  <c r="AB105" i="9"/>
  <c r="AB113" i="9"/>
  <c r="AB92" i="9"/>
  <c r="AB104" i="9"/>
  <c r="AB100" i="9"/>
  <c r="AB96" i="9"/>
  <c r="AB93" i="9"/>
  <c r="AB89" i="9"/>
  <c r="AB81" i="9"/>
  <c r="AB72" i="9"/>
  <c r="AB68" i="9"/>
  <c r="AB69" i="9"/>
  <c r="AB101" i="9"/>
  <c r="AB73" i="9"/>
  <c r="AB76" i="9"/>
  <c r="AB189" i="9"/>
  <c r="AB112" i="9"/>
  <c r="AB109" i="9"/>
  <c r="AB85" i="9"/>
  <c r="AB97" i="9"/>
  <c r="AB88" i="9"/>
  <c r="AB84" i="9"/>
  <c r="AB77" i="9"/>
  <c r="AB161" i="9"/>
  <c r="AB188" i="9"/>
  <c r="AB185" i="9"/>
  <c r="AB184" i="9"/>
  <c r="AB181" i="9"/>
  <c r="AB160" i="9"/>
  <c r="AB80" i="9"/>
  <c r="AB144" i="9"/>
  <c r="AB140" i="9"/>
  <c r="AB136" i="9"/>
  <c r="AB132" i="9"/>
  <c r="AB128" i="9"/>
  <c r="AB124" i="9"/>
  <c r="AB120" i="9"/>
  <c r="E70" i="12"/>
  <c r="E102" i="12"/>
  <c r="E123" i="12"/>
  <c r="E130" i="12"/>
  <c r="E131" i="12"/>
  <c r="E138" i="12"/>
  <c r="E139" i="12"/>
  <c r="E94" i="12"/>
  <c r="E66" i="12"/>
  <c r="E86" i="12"/>
  <c r="E118" i="12"/>
  <c r="E126" i="12"/>
  <c r="E127" i="12"/>
  <c r="E134" i="12"/>
  <c r="E135" i="12"/>
  <c r="E143" i="12"/>
  <c r="E146" i="12"/>
  <c r="E147" i="12"/>
  <c r="E166" i="12"/>
  <c r="E167" i="12"/>
  <c r="E178" i="12"/>
  <c r="E179" i="12"/>
  <c r="E190" i="12"/>
  <c r="E195" i="12"/>
  <c r="E78" i="12"/>
  <c r="E142" i="12"/>
  <c r="E154" i="12"/>
  <c r="E155" i="12"/>
  <c r="E174" i="12"/>
  <c r="E175" i="12"/>
  <c r="E180" i="12"/>
  <c r="E186" i="12"/>
  <c r="E202" i="12"/>
  <c r="E150" i="12"/>
  <c r="E151" i="12"/>
  <c r="E162" i="12"/>
  <c r="E163" i="12"/>
  <c r="E182" i="12"/>
  <c r="E183" i="12"/>
  <c r="E187" i="12"/>
  <c r="E198" i="12"/>
  <c r="E110" i="12"/>
  <c r="E158" i="12"/>
  <c r="E159" i="12"/>
  <c r="E170" i="12"/>
  <c r="E171" i="12"/>
  <c r="E194" i="12"/>
  <c r="E71" i="12"/>
  <c r="E111" i="12"/>
  <c r="E67" i="12"/>
  <c r="E79" i="12"/>
  <c r="E119" i="12"/>
  <c r="E87" i="12"/>
  <c r="E95" i="12"/>
  <c r="E103" i="12"/>
  <c r="E114" i="12"/>
  <c r="E82" i="12"/>
  <c r="E199" i="12"/>
  <c r="E98" i="12"/>
  <c r="E115" i="12"/>
  <c r="E107" i="12"/>
  <c r="E191" i="12"/>
  <c r="E91" i="12"/>
  <c r="E75" i="12"/>
  <c r="E122" i="12"/>
  <c r="E90" i="12"/>
  <c r="E106" i="12"/>
  <c r="E74" i="12"/>
  <c r="E83" i="12"/>
  <c r="E99" i="12"/>
  <c r="B152" i="13"/>
  <c r="B153" i="13"/>
  <c r="B154" i="13"/>
  <c r="B156" i="13"/>
  <c r="B157" i="13"/>
  <c r="B158" i="13"/>
  <c r="B160" i="13"/>
  <c r="B161" i="13"/>
  <c r="B162" i="13"/>
  <c r="B164" i="13"/>
  <c r="B165" i="13"/>
  <c r="B166" i="13"/>
  <c r="B168" i="13"/>
  <c r="B169" i="13"/>
  <c r="B170" i="13"/>
  <c r="B172" i="13"/>
  <c r="B173" i="13"/>
  <c r="B174" i="13"/>
  <c r="B176" i="13"/>
  <c r="B177" i="13"/>
  <c r="B178" i="13"/>
  <c r="B180" i="13"/>
  <c r="B181" i="13"/>
  <c r="B182" i="13"/>
  <c r="B184" i="13"/>
  <c r="B185" i="13"/>
  <c r="B186" i="13"/>
  <c r="B188" i="13"/>
  <c r="B189" i="13"/>
  <c r="B190" i="13"/>
  <c r="B192" i="13"/>
  <c r="B195" i="13"/>
  <c r="B196" i="13"/>
  <c r="B199" i="13"/>
  <c r="B200" i="13"/>
  <c r="B149" i="13"/>
  <c r="B133" i="13"/>
  <c r="B104" i="13"/>
  <c r="B96" i="13"/>
  <c r="B88" i="13"/>
  <c r="B80" i="13"/>
  <c r="B72" i="13"/>
  <c r="B148" i="13"/>
  <c r="B140" i="13"/>
  <c r="B132" i="13"/>
  <c r="B124" i="13"/>
  <c r="B101" i="13"/>
  <c r="B93" i="13"/>
  <c r="B85" i="13"/>
  <c r="B77" i="13"/>
  <c r="B69" i="13"/>
  <c r="B145" i="13"/>
  <c r="B129" i="13"/>
  <c r="B102" i="13"/>
  <c r="B94" i="13"/>
  <c r="B86" i="13"/>
  <c r="B78" i="13"/>
  <c r="B70" i="13"/>
  <c r="B146" i="13"/>
  <c r="B138" i="13"/>
  <c r="B130" i="13"/>
  <c r="B122" i="13"/>
  <c r="B141" i="13"/>
  <c r="B125" i="13"/>
  <c r="B100" i="13"/>
  <c r="B92" i="13"/>
  <c r="B84" i="13"/>
  <c r="B76" i="13"/>
  <c r="B68" i="13"/>
  <c r="B144" i="13"/>
  <c r="B136" i="13"/>
  <c r="B128" i="13"/>
  <c r="B120" i="13"/>
  <c r="B105" i="13"/>
  <c r="B97" i="13"/>
  <c r="B89" i="13"/>
  <c r="B81" i="13"/>
  <c r="B73" i="13"/>
  <c r="B137" i="13"/>
  <c r="B121" i="13"/>
  <c r="B106" i="13"/>
  <c r="B98" i="13"/>
  <c r="B90" i="13"/>
  <c r="B82" i="13"/>
  <c r="B74" i="13"/>
  <c r="B66" i="13"/>
  <c r="B150" i="13"/>
  <c r="B142" i="13"/>
  <c r="B134" i="13"/>
  <c r="B126" i="13"/>
  <c r="B117" i="13"/>
  <c r="B113" i="13"/>
  <c r="B109" i="13"/>
  <c r="B118" i="13"/>
  <c r="B114" i="13"/>
  <c r="B110" i="13"/>
  <c r="B116" i="13"/>
  <c r="B112" i="13"/>
  <c r="B108" i="13"/>
  <c r="B77" i="15"/>
  <c r="B81" i="15"/>
  <c r="B86" i="15"/>
  <c r="B90" i="15"/>
  <c r="B109" i="15"/>
  <c r="B113" i="15"/>
  <c r="B118" i="15"/>
  <c r="B122" i="15"/>
  <c r="B141" i="15"/>
  <c r="B145" i="15"/>
  <c r="B150" i="15"/>
  <c r="B154" i="15"/>
  <c r="B173" i="15"/>
  <c r="B177" i="15"/>
  <c r="B189" i="15"/>
  <c r="B194" i="15"/>
  <c r="B201" i="15"/>
  <c r="B66" i="15"/>
  <c r="B85" i="15"/>
  <c r="B89" i="15"/>
  <c r="B94" i="15"/>
  <c r="B98" i="15"/>
  <c r="B117" i="15"/>
  <c r="B121" i="15"/>
  <c r="B126" i="15"/>
  <c r="B130" i="15"/>
  <c r="B149" i="15"/>
  <c r="B153" i="15"/>
  <c r="B158" i="15"/>
  <c r="B162" i="15"/>
  <c r="B181" i="15"/>
  <c r="B186" i="15"/>
  <c r="B193" i="15"/>
  <c r="B198" i="15"/>
  <c r="B70" i="15"/>
  <c r="B74" i="15"/>
  <c r="B93" i="15"/>
  <c r="B97" i="15"/>
  <c r="B102" i="15"/>
  <c r="B106" i="15"/>
  <c r="B125" i="15"/>
  <c r="B129" i="15"/>
  <c r="B134" i="15"/>
  <c r="B138" i="15"/>
  <c r="B157" i="15"/>
  <c r="B161" i="15"/>
  <c r="B166" i="15"/>
  <c r="B170" i="15"/>
  <c r="B185" i="15"/>
  <c r="B190" i="15"/>
  <c r="B69" i="15"/>
  <c r="B73" i="15"/>
  <c r="B78" i="15"/>
  <c r="B82" i="15"/>
  <c r="B101" i="15"/>
  <c r="B105" i="15"/>
  <c r="B110" i="15"/>
  <c r="B114" i="15"/>
  <c r="B133" i="15"/>
  <c r="B137" i="15"/>
  <c r="B142" i="15"/>
  <c r="B146" i="15"/>
  <c r="B165" i="15"/>
  <c r="B169" i="15"/>
  <c r="B174" i="15"/>
  <c r="B178" i="15"/>
  <c r="B182" i="15"/>
  <c r="B197" i="15"/>
  <c r="B202" i="15"/>
  <c r="O8" i="17"/>
  <c r="O12" i="17"/>
  <c r="O16" i="17"/>
  <c r="O20" i="17"/>
  <c r="O24" i="17"/>
  <c r="O28" i="17"/>
  <c r="O32" i="17"/>
  <c r="O36" i="17"/>
  <c r="O40" i="17"/>
  <c r="O44" i="17"/>
  <c r="O7" i="17"/>
  <c r="O11" i="17"/>
  <c r="O15" i="17"/>
  <c r="O19" i="17"/>
  <c r="O23" i="17"/>
  <c r="O27" i="17"/>
  <c r="O31" i="17"/>
  <c r="O35" i="17"/>
  <c r="O39" i="17"/>
  <c r="O43" i="17"/>
  <c r="O56" i="17"/>
  <c r="O59" i="17"/>
  <c r="O72" i="17"/>
  <c r="O52" i="17"/>
  <c r="O55" i="17"/>
  <c r="O68" i="17"/>
  <c r="O71" i="17"/>
  <c r="O75" i="17"/>
  <c r="O79" i="17"/>
  <c r="O83" i="17"/>
  <c r="O87" i="17"/>
  <c r="O91" i="17"/>
  <c r="O95" i="17"/>
  <c r="O99" i="17"/>
  <c r="O103" i="17"/>
  <c r="O107" i="17"/>
  <c r="O111" i="17"/>
  <c r="O115" i="17"/>
  <c r="O119" i="17"/>
  <c r="O123" i="17"/>
  <c r="O127" i="17"/>
  <c r="O131" i="17"/>
  <c r="O135" i="17"/>
  <c r="O139" i="17"/>
  <c r="O143" i="17"/>
  <c r="O147" i="17"/>
  <c r="O151" i="17"/>
  <c r="O155" i="17"/>
  <c r="O159" i="17"/>
  <c r="O163" i="17"/>
  <c r="O167" i="17"/>
  <c r="O171" i="17"/>
  <c r="O175" i="17"/>
  <c r="O179" i="17"/>
  <c r="O183" i="17"/>
  <c r="O187" i="17"/>
  <c r="O191" i="17"/>
  <c r="O195" i="17"/>
  <c r="O199" i="17"/>
  <c r="O48" i="17"/>
  <c r="O51" i="17"/>
  <c r="O64" i="17"/>
  <c r="O67" i="17"/>
  <c r="O76" i="17"/>
  <c r="O80" i="17"/>
  <c r="O84" i="17"/>
  <c r="O88" i="17"/>
  <c r="O92" i="17"/>
  <c r="O96" i="17"/>
  <c r="O100" i="17"/>
  <c r="O104" i="17"/>
  <c r="O108" i="17"/>
  <c r="O112" i="17"/>
  <c r="O116" i="17"/>
  <c r="O120" i="17"/>
  <c r="O124" i="17"/>
  <c r="O128" i="17"/>
  <c r="O132" i="17"/>
  <c r="O136" i="17"/>
  <c r="O140" i="17"/>
  <c r="O144" i="17"/>
  <c r="O148" i="17"/>
  <c r="O152" i="17"/>
  <c r="O156" i="17"/>
  <c r="O160" i="17"/>
  <c r="O164" i="17"/>
  <c r="O168" i="17"/>
  <c r="O172" i="17"/>
  <c r="O176" i="17"/>
  <c r="O180" i="17"/>
  <c r="O184" i="17"/>
  <c r="O188" i="17"/>
  <c r="O192" i="17"/>
  <c r="O196" i="17"/>
  <c r="O200" i="17"/>
  <c r="O47" i="17"/>
  <c r="O60" i="17"/>
  <c r="O63" i="17"/>
  <c r="O137" i="17"/>
  <c r="O153" i="17"/>
  <c r="O201" i="17"/>
  <c r="O3" i="17"/>
  <c r="K8" i="17"/>
  <c r="K12" i="17"/>
  <c r="K16" i="17"/>
  <c r="K20" i="17"/>
  <c r="K24" i="17"/>
  <c r="K28" i="17"/>
  <c r="K32" i="17"/>
  <c r="K36" i="17"/>
  <c r="K40" i="17"/>
  <c r="K44" i="17"/>
  <c r="K7" i="17"/>
  <c r="K11" i="17"/>
  <c r="K15" i="17"/>
  <c r="K19" i="17"/>
  <c r="K23" i="17"/>
  <c r="K27" i="17"/>
  <c r="K31" i="17"/>
  <c r="K35" i="17"/>
  <c r="K39" i="17"/>
  <c r="K43" i="17"/>
  <c r="K47" i="17"/>
  <c r="K60" i="17"/>
  <c r="K63" i="17"/>
  <c r="K56" i="17"/>
  <c r="K59" i="17"/>
  <c r="K72" i="17"/>
  <c r="K75" i="17"/>
  <c r="K79" i="17"/>
  <c r="K83" i="17"/>
  <c r="K87" i="17"/>
  <c r="K91" i="17"/>
  <c r="K95" i="17"/>
  <c r="K99" i="17"/>
  <c r="K103" i="17"/>
  <c r="K107" i="17"/>
  <c r="K111" i="17"/>
  <c r="K115" i="17"/>
  <c r="K119" i="17"/>
  <c r="K123" i="17"/>
  <c r="K127" i="17"/>
  <c r="K131" i="17"/>
  <c r="K135" i="17"/>
  <c r="K139" i="17"/>
  <c r="K143" i="17"/>
  <c r="K147" i="17"/>
  <c r="K151" i="17"/>
  <c r="K155" i="17"/>
  <c r="K159" i="17"/>
  <c r="K163" i="17"/>
  <c r="K167" i="17"/>
  <c r="K171" i="17"/>
  <c r="K175" i="17"/>
  <c r="K179" i="17"/>
  <c r="K183" i="17"/>
  <c r="K187" i="17"/>
  <c r="K191" i="17"/>
  <c r="K195" i="17"/>
  <c r="K199" i="17"/>
  <c r="K52" i="17"/>
  <c r="K55" i="17"/>
  <c r="K68" i="17"/>
  <c r="K71" i="17"/>
  <c r="K76" i="17"/>
  <c r="K80" i="17"/>
  <c r="K84" i="17"/>
  <c r="K88" i="17"/>
  <c r="K92" i="17"/>
  <c r="K96" i="17"/>
  <c r="K100" i="17"/>
  <c r="K104" i="17"/>
  <c r="K108" i="17"/>
  <c r="K112" i="17"/>
  <c r="K116" i="17"/>
  <c r="K120" i="17"/>
  <c r="K124" i="17"/>
  <c r="K128" i="17"/>
  <c r="K132" i="17"/>
  <c r="K136" i="17"/>
  <c r="K140" i="17"/>
  <c r="K144" i="17"/>
  <c r="K148" i="17"/>
  <c r="K152" i="17"/>
  <c r="K156" i="17"/>
  <c r="K160" i="17"/>
  <c r="K164" i="17"/>
  <c r="K168" i="17"/>
  <c r="K172" i="17"/>
  <c r="K176" i="17"/>
  <c r="K180" i="17"/>
  <c r="K184" i="17"/>
  <c r="K188" i="17"/>
  <c r="K192" i="17"/>
  <c r="K196" i="17"/>
  <c r="K200" i="17"/>
  <c r="K48" i="17"/>
  <c r="K51" i="17"/>
  <c r="K64" i="17"/>
  <c r="K67" i="17"/>
  <c r="K129" i="17"/>
  <c r="K137" i="17"/>
  <c r="K161" i="17"/>
  <c r="K169" i="17"/>
  <c r="K193" i="17"/>
  <c r="K201" i="17"/>
  <c r="K3" i="17"/>
  <c r="J7" i="17"/>
  <c r="J11" i="17"/>
  <c r="J15" i="17"/>
  <c r="J19" i="17"/>
  <c r="J23" i="17"/>
  <c r="J27" i="17"/>
  <c r="J31" i="17"/>
  <c r="J35" i="17"/>
  <c r="J39" i="17"/>
  <c r="J43" i="17"/>
  <c r="J47" i="17"/>
  <c r="J51" i="17"/>
  <c r="J55" i="17"/>
  <c r="J59" i="17"/>
  <c r="J63" i="17"/>
  <c r="J67" i="17"/>
  <c r="J71" i="17"/>
  <c r="J8" i="17"/>
  <c r="J12" i="17"/>
  <c r="J16" i="17"/>
  <c r="J20" i="17"/>
  <c r="J24" i="17"/>
  <c r="J28" i="17"/>
  <c r="J32" i="17"/>
  <c r="J36" i="17"/>
  <c r="J40" i="17"/>
  <c r="J44" i="17"/>
  <c r="J56" i="17"/>
  <c r="J72" i="17"/>
  <c r="J75" i="17"/>
  <c r="J79" i="17"/>
  <c r="J83" i="17"/>
  <c r="J87" i="17"/>
  <c r="J91" i="17"/>
  <c r="J95" i="17"/>
  <c r="J99" i="17"/>
  <c r="J103" i="17"/>
  <c r="J107" i="17"/>
  <c r="J111" i="17"/>
  <c r="J115" i="17"/>
  <c r="J119" i="17"/>
  <c r="J123" i="17"/>
  <c r="J127" i="17"/>
  <c r="J131" i="17"/>
  <c r="J135" i="17"/>
  <c r="J139" i="17"/>
  <c r="J143" i="17"/>
  <c r="J147" i="17"/>
  <c r="J151" i="17"/>
  <c r="J155" i="17"/>
  <c r="J159" i="17"/>
  <c r="J163" i="17"/>
  <c r="J167" i="17"/>
  <c r="J171" i="17"/>
  <c r="J175" i="17"/>
  <c r="J179" i="17"/>
  <c r="J183" i="17"/>
  <c r="J187" i="17"/>
  <c r="J191" i="17"/>
  <c r="J195" i="17"/>
  <c r="J199" i="17"/>
  <c r="J52" i="17"/>
  <c r="J68" i="17"/>
  <c r="J76" i="17"/>
  <c r="J80" i="17"/>
  <c r="J84" i="17"/>
  <c r="J88" i="17"/>
  <c r="J92" i="17"/>
  <c r="J96" i="17"/>
  <c r="J100" i="17"/>
  <c r="J104" i="17"/>
  <c r="J108" i="17"/>
  <c r="J112" i="17"/>
  <c r="J116" i="17"/>
  <c r="J120" i="17"/>
  <c r="J124" i="17"/>
  <c r="J128" i="17"/>
  <c r="J132" i="17"/>
  <c r="J136" i="17"/>
  <c r="J140" i="17"/>
  <c r="J144" i="17"/>
  <c r="J148" i="17"/>
  <c r="J152" i="17"/>
  <c r="J156" i="17"/>
  <c r="J160" i="17"/>
  <c r="J164" i="17"/>
  <c r="J168" i="17"/>
  <c r="J172" i="17"/>
  <c r="J176" i="17"/>
  <c r="J180" i="17"/>
  <c r="J184" i="17"/>
  <c r="J188" i="17"/>
  <c r="J192" i="17"/>
  <c r="J196" i="17"/>
  <c r="J200" i="17"/>
  <c r="J48" i="17"/>
  <c r="J64" i="17"/>
  <c r="J133" i="17"/>
  <c r="J141" i="17"/>
  <c r="J165" i="17"/>
  <c r="J173" i="17"/>
  <c r="J197" i="17"/>
  <c r="J60" i="17"/>
  <c r="J3" i="17"/>
  <c r="D33" i="14"/>
  <c r="D49" i="14"/>
  <c r="D21" i="14"/>
  <c r="D24" i="14"/>
  <c r="G38" i="13"/>
  <c r="G30" i="13"/>
  <c r="G48" i="13"/>
  <c r="G37" i="13"/>
  <c r="G65" i="13"/>
  <c r="G9" i="13"/>
  <c r="H14" i="12"/>
  <c r="H54" i="12"/>
  <c r="H46" i="12"/>
  <c r="E69" i="15"/>
  <c r="E73" i="15"/>
  <c r="E78" i="15"/>
  <c r="E82" i="15"/>
  <c r="E101" i="15"/>
  <c r="E105" i="15"/>
  <c r="E110" i="15"/>
  <c r="E114" i="15"/>
  <c r="E133" i="15"/>
  <c r="E137" i="15"/>
  <c r="E142" i="15"/>
  <c r="E146" i="15"/>
  <c r="E165" i="15"/>
  <c r="E169" i="15"/>
  <c r="E174" i="15"/>
  <c r="E178" i="15"/>
  <c r="E182" i="15"/>
  <c r="E199" i="15"/>
  <c r="E202" i="15"/>
  <c r="E77" i="15"/>
  <c r="E81" i="15"/>
  <c r="E86" i="15"/>
  <c r="E90" i="15"/>
  <c r="E109" i="15"/>
  <c r="E113" i="15"/>
  <c r="E118" i="15"/>
  <c r="E122" i="15"/>
  <c r="E141" i="15"/>
  <c r="E145" i="15"/>
  <c r="E150" i="15"/>
  <c r="E154" i="15"/>
  <c r="E173" i="15"/>
  <c r="E177" i="15"/>
  <c r="E194" i="15"/>
  <c r="E201" i="15"/>
  <c r="E66" i="15"/>
  <c r="E85" i="15"/>
  <c r="E89" i="15"/>
  <c r="E94" i="15"/>
  <c r="E98" i="15"/>
  <c r="E117" i="15"/>
  <c r="E121" i="15"/>
  <c r="E126" i="15"/>
  <c r="E130" i="15"/>
  <c r="E149" i="15"/>
  <c r="E153" i="15"/>
  <c r="E158" i="15"/>
  <c r="E162" i="15"/>
  <c r="E186" i="15"/>
  <c r="E193" i="15"/>
  <c r="E198" i="15"/>
  <c r="E70" i="15"/>
  <c r="E74" i="15"/>
  <c r="E93" i="15"/>
  <c r="E97" i="15"/>
  <c r="E102" i="15"/>
  <c r="E106" i="15"/>
  <c r="E125" i="15"/>
  <c r="E129" i="15"/>
  <c r="E134" i="15"/>
  <c r="E138" i="15"/>
  <c r="E157" i="15"/>
  <c r="E161" i="15"/>
  <c r="E166" i="15"/>
  <c r="E170" i="15"/>
  <c r="E185" i="15"/>
  <c r="E190" i="15"/>
  <c r="E195" i="15"/>
  <c r="E181" i="15"/>
  <c r="E189" i="15"/>
  <c r="E197" i="15"/>
  <c r="E171" i="15"/>
  <c r="E163" i="15"/>
  <c r="E123" i="15"/>
  <c r="E155" i="15"/>
  <c r="C61" i="9"/>
  <c r="C25" i="9"/>
  <c r="Y57" i="9"/>
  <c r="L48" i="9"/>
  <c r="J89" i="9"/>
  <c r="J101" i="9"/>
  <c r="J120" i="9"/>
  <c r="J132" i="9"/>
  <c r="J113" i="9"/>
  <c r="J124" i="9"/>
  <c r="J93" i="9"/>
  <c r="J136" i="9"/>
  <c r="J144" i="9"/>
  <c r="J138" i="9"/>
  <c r="J140" i="9"/>
  <c r="J128" i="9"/>
  <c r="J200" i="9"/>
  <c r="J117" i="9"/>
  <c r="J197" i="9"/>
  <c r="J196" i="9"/>
  <c r="J193" i="9"/>
  <c r="J192" i="9"/>
  <c r="J180" i="9"/>
  <c r="J177" i="9"/>
  <c r="J176" i="9"/>
  <c r="J173" i="9"/>
  <c r="J172" i="9"/>
  <c r="J169" i="9"/>
  <c r="J168" i="9"/>
  <c r="J165" i="9"/>
  <c r="J164" i="9"/>
  <c r="J112" i="9"/>
  <c r="J109" i="9"/>
  <c r="J85" i="9"/>
  <c r="J154" i="9"/>
  <c r="J88" i="9"/>
  <c r="J77" i="9"/>
  <c r="J84" i="9"/>
  <c r="J73" i="9"/>
  <c r="J69" i="9"/>
  <c r="J76" i="9"/>
  <c r="J81" i="9"/>
  <c r="J161" i="9"/>
  <c r="J189" i="9"/>
  <c r="J188" i="9"/>
  <c r="J185" i="9"/>
  <c r="J184" i="9"/>
  <c r="J181" i="9"/>
  <c r="J201" i="9"/>
  <c r="J80" i="9"/>
  <c r="J157" i="9"/>
  <c r="J153" i="9"/>
  <c r="J149" i="9"/>
  <c r="J145" i="9"/>
  <c r="J141" i="9"/>
  <c r="J137" i="9"/>
  <c r="J133" i="9"/>
  <c r="J129" i="9"/>
  <c r="J125" i="9"/>
  <c r="J121" i="9"/>
  <c r="J97" i="9"/>
  <c r="J160" i="9"/>
  <c r="J156" i="9"/>
  <c r="J152" i="9"/>
  <c r="J148" i="9"/>
  <c r="J116" i="9"/>
  <c r="J108" i="9"/>
  <c r="J92" i="9"/>
  <c r="J104" i="9"/>
  <c r="J100" i="9"/>
  <c r="J96" i="9"/>
  <c r="J105" i="9"/>
  <c r="J72" i="9"/>
  <c r="J68" i="9"/>
  <c r="Z81" i="9"/>
  <c r="Z89" i="9"/>
  <c r="Z93" i="9"/>
  <c r="Z136" i="9"/>
  <c r="Z148" i="9"/>
  <c r="Z152" i="9"/>
  <c r="Z156" i="9"/>
  <c r="Z97" i="9"/>
  <c r="Z128" i="9"/>
  <c r="Z120" i="9"/>
  <c r="Z132" i="9"/>
  <c r="Z113" i="9"/>
  <c r="Z140" i="9"/>
  <c r="Z144" i="9"/>
  <c r="Z153" i="9"/>
  <c r="Z124" i="9"/>
  <c r="Z149" i="9"/>
  <c r="Z201" i="9"/>
  <c r="Z157" i="9"/>
  <c r="Z160" i="9"/>
  <c r="Z197" i="9"/>
  <c r="Z193" i="9"/>
  <c r="Z189" i="9"/>
  <c r="Z185" i="9"/>
  <c r="Z181" i="9"/>
  <c r="Z177" i="9"/>
  <c r="Z173" i="9"/>
  <c r="Z169" i="9"/>
  <c r="Z165" i="9"/>
  <c r="Z161" i="9"/>
  <c r="Z105" i="9"/>
  <c r="Z116" i="9"/>
  <c r="Z108" i="9"/>
  <c r="Z92" i="9"/>
  <c r="Z145" i="9"/>
  <c r="Z104" i="9"/>
  <c r="Z100" i="9"/>
  <c r="Z96" i="9"/>
  <c r="Z77" i="9"/>
  <c r="Z117" i="9"/>
  <c r="Z198" i="9"/>
  <c r="Z101" i="9"/>
  <c r="Z85" i="9"/>
  <c r="Z200" i="9"/>
  <c r="Z112" i="9"/>
  <c r="Z88" i="9"/>
  <c r="Z84" i="9"/>
  <c r="Z76" i="9"/>
  <c r="Z72" i="9"/>
  <c r="Z68" i="9"/>
  <c r="Z196" i="9"/>
  <c r="Z192" i="9"/>
  <c r="Z188" i="9"/>
  <c r="Z184" i="9"/>
  <c r="Z180" i="9"/>
  <c r="Z176" i="9"/>
  <c r="Z172" i="9"/>
  <c r="Z168" i="9"/>
  <c r="Z164" i="9"/>
  <c r="Z109" i="9"/>
  <c r="Z80" i="9"/>
  <c r="Z141" i="9"/>
  <c r="Z137" i="9"/>
  <c r="Z133" i="9"/>
  <c r="Z129" i="9"/>
  <c r="Z125" i="9"/>
  <c r="Z121" i="9"/>
  <c r="Z73" i="9"/>
  <c r="Z69" i="9"/>
  <c r="I72" i="9"/>
  <c r="I68" i="9"/>
  <c r="I76" i="9"/>
  <c r="I104" i="9"/>
  <c r="I108" i="9"/>
  <c r="I113" i="9"/>
  <c r="I116" i="9"/>
  <c r="I124" i="9"/>
  <c r="I144" i="9"/>
  <c r="I89" i="9"/>
  <c r="I93" i="9"/>
  <c r="I96" i="9"/>
  <c r="I130" i="9"/>
  <c r="I77" i="9"/>
  <c r="I81" i="9"/>
  <c r="I97" i="9"/>
  <c r="I128" i="9"/>
  <c r="I140" i="9"/>
  <c r="I132" i="9"/>
  <c r="I149" i="9"/>
  <c r="I157" i="9"/>
  <c r="I164" i="9"/>
  <c r="I165" i="9"/>
  <c r="I172" i="9"/>
  <c r="I173" i="9"/>
  <c r="I177" i="9"/>
  <c r="I192" i="9"/>
  <c r="I196" i="9"/>
  <c r="I120" i="9"/>
  <c r="I152" i="9"/>
  <c r="I150" i="9"/>
  <c r="I153" i="9"/>
  <c r="I161" i="9"/>
  <c r="I168" i="9"/>
  <c r="I169" i="9"/>
  <c r="I176" i="9"/>
  <c r="I193" i="9"/>
  <c r="I197" i="9"/>
  <c r="I201" i="9"/>
  <c r="I136" i="9"/>
  <c r="I148" i="9"/>
  <c r="I184" i="9"/>
  <c r="I188" i="9"/>
  <c r="I160" i="9"/>
  <c r="I156" i="9"/>
  <c r="I181" i="9"/>
  <c r="I185" i="9"/>
  <c r="I189" i="9"/>
  <c r="I109" i="9"/>
  <c r="I117" i="9"/>
  <c r="I112" i="9"/>
  <c r="I101" i="9"/>
  <c r="I88" i="9"/>
  <c r="I73" i="9"/>
  <c r="I69" i="9"/>
  <c r="I105" i="9"/>
  <c r="I85" i="9"/>
  <c r="I80" i="9"/>
  <c r="I92" i="9"/>
  <c r="I100" i="9"/>
  <c r="I180" i="9"/>
  <c r="I200" i="9"/>
  <c r="I145" i="9"/>
  <c r="I141" i="9"/>
  <c r="I137" i="9"/>
  <c r="I133" i="9"/>
  <c r="I129" i="9"/>
  <c r="I125" i="9"/>
  <c r="I121" i="9"/>
  <c r="I84" i="9"/>
  <c r="C95" i="12"/>
  <c r="C124" i="12"/>
  <c r="C87" i="12"/>
  <c r="C119" i="12"/>
  <c r="C126" i="12"/>
  <c r="C134" i="12"/>
  <c r="C142" i="12"/>
  <c r="C67" i="12"/>
  <c r="C79" i="12"/>
  <c r="C111" i="12"/>
  <c r="C71" i="12"/>
  <c r="C136" i="12"/>
  <c r="C154" i="12"/>
  <c r="C174" i="12"/>
  <c r="C180" i="12"/>
  <c r="C186" i="12"/>
  <c r="C202" i="12"/>
  <c r="C103" i="12"/>
  <c r="C150" i="12"/>
  <c r="C162" i="12"/>
  <c r="C182" i="12"/>
  <c r="C198" i="12"/>
  <c r="C138" i="12"/>
  <c r="C158" i="12"/>
  <c r="C170" i="12"/>
  <c r="C194" i="12"/>
  <c r="C130" i="12"/>
  <c r="C146" i="12"/>
  <c r="C166" i="12"/>
  <c r="C178" i="12"/>
  <c r="C190" i="12"/>
  <c r="C187" i="12"/>
  <c r="C94" i="12"/>
  <c r="C102" i="12"/>
  <c r="C110" i="12"/>
  <c r="C195" i="12"/>
  <c r="C199" i="12"/>
  <c r="C70" i="12"/>
  <c r="C78" i="12"/>
  <c r="C118" i="12"/>
  <c r="C191" i="12"/>
  <c r="C86" i="12"/>
  <c r="C183" i="12"/>
  <c r="C151" i="12"/>
  <c r="C106" i="12"/>
  <c r="C74" i="12"/>
  <c r="C115" i="12"/>
  <c r="C107" i="12"/>
  <c r="C155" i="12"/>
  <c r="C143" i="12"/>
  <c r="C135" i="12"/>
  <c r="C127" i="12"/>
  <c r="C167" i="12"/>
  <c r="C122" i="12"/>
  <c r="C90" i="12"/>
  <c r="C171" i="12"/>
  <c r="C147" i="12"/>
  <c r="C139" i="12"/>
  <c r="C131" i="12"/>
  <c r="C123" i="12"/>
  <c r="C66" i="12"/>
  <c r="C83" i="12"/>
  <c r="C163" i="12"/>
  <c r="C175" i="12"/>
  <c r="C114" i="12"/>
  <c r="C82" i="12"/>
  <c r="C99" i="12"/>
  <c r="C75" i="12"/>
  <c r="C179" i="12"/>
  <c r="C91" i="12"/>
  <c r="C159" i="12"/>
  <c r="C98" i="12"/>
  <c r="F121" i="13"/>
  <c r="F125" i="13"/>
  <c r="F129" i="13"/>
  <c r="F133" i="13"/>
  <c r="F137" i="13"/>
  <c r="F141" i="13"/>
  <c r="F145" i="13"/>
  <c r="F149" i="13"/>
  <c r="F152" i="13"/>
  <c r="F153" i="13"/>
  <c r="F154" i="13"/>
  <c r="F156" i="13"/>
  <c r="F157" i="13"/>
  <c r="F158" i="13"/>
  <c r="F160" i="13"/>
  <c r="F161" i="13"/>
  <c r="F162" i="13"/>
  <c r="F164" i="13"/>
  <c r="F165" i="13"/>
  <c r="F166" i="13"/>
  <c r="F168" i="13"/>
  <c r="F169" i="13"/>
  <c r="F170" i="13"/>
  <c r="F172" i="13"/>
  <c r="F173" i="13"/>
  <c r="F174" i="13"/>
  <c r="F176" i="13"/>
  <c r="F177" i="13"/>
  <c r="F178" i="13"/>
  <c r="F180" i="13"/>
  <c r="F181" i="13"/>
  <c r="F182" i="13"/>
  <c r="F184" i="13"/>
  <c r="F185" i="13"/>
  <c r="F186" i="13"/>
  <c r="F188" i="13"/>
  <c r="F189" i="13"/>
  <c r="F190" i="13"/>
  <c r="F192" i="13"/>
  <c r="F195" i="13"/>
  <c r="F196" i="13"/>
  <c r="F199" i="13"/>
  <c r="F200" i="13"/>
  <c r="F150" i="13"/>
  <c r="F134" i="13"/>
  <c r="F106" i="13"/>
  <c r="F102" i="13"/>
  <c r="F98" i="13"/>
  <c r="F94" i="13"/>
  <c r="F90" i="13"/>
  <c r="F86" i="13"/>
  <c r="F82" i="13"/>
  <c r="F78" i="13"/>
  <c r="F74" i="13"/>
  <c r="F70" i="13"/>
  <c r="F66" i="13"/>
  <c r="F142" i="13"/>
  <c r="F126" i="13"/>
  <c r="F104" i="13"/>
  <c r="F100" i="13"/>
  <c r="F96" i="13"/>
  <c r="F92" i="13"/>
  <c r="F88" i="13"/>
  <c r="F84" i="13"/>
  <c r="F80" i="13"/>
  <c r="F76" i="13"/>
  <c r="F72" i="13"/>
  <c r="F68" i="13"/>
  <c r="F144" i="13"/>
  <c r="F128" i="13"/>
  <c r="F122" i="13"/>
  <c r="F112" i="13"/>
  <c r="F136" i="13"/>
  <c r="F120" i="13"/>
  <c r="F138" i="13"/>
  <c r="F116" i="13"/>
  <c r="F108" i="13"/>
  <c r="F124" i="13"/>
  <c r="F118" i="13"/>
  <c r="F101" i="13"/>
  <c r="F85" i="13"/>
  <c r="F69" i="13"/>
  <c r="F148" i="13"/>
  <c r="F117" i="13"/>
  <c r="F114" i="13"/>
  <c r="F97" i="13"/>
  <c r="F81" i="13"/>
  <c r="F140" i="13"/>
  <c r="F113" i="13"/>
  <c r="F146" i="13"/>
  <c r="F110" i="13"/>
  <c r="F93" i="13"/>
  <c r="F77" i="13"/>
  <c r="F132" i="13"/>
  <c r="F109" i="13"/>
  <c r="F130" i="13"/>
  <c r="F105" i="13"/>
  <c r="F89" i="13"/>
  <c r="F73" i="13"/>
  <c r="G125" i="9"/>
  <c r="G145" i="9"/>
  <c r="G112" i="9"/>
  <c r="G117" i="9"/>
  <c r="G121" i="9"/>
  <c r="G129" i="9"/>
  <c r="G141" i="9"/>
  <c r="G116" i="9"/>
  <c r="G108" i="9"/>
  <c r="G133" i="9"/>
  <c r="G148" i="9"/>
  <c r="G153" i="9"/>
  <c r="G156" i="9"/>
  <c r="G137" i="9"/>
  <c r="G154" i="9"/>
  <c r="G200" i="9"/>
  <c r="G149" i="9"/>
  <c r="G152" i="9"/>
  <c r="G201" i="9"/>
  <c r="G157" i="9"/>
  <c r="G161" i="9"/>
  <c r="G197" i="9"/>
  <c r="G196" i="9"/>
  <c r="G193" i="9"/>
  <c r="G192" i="9"/>
  <c r="G180" i="9"/>
  <c r="G172" i="9"/>
  <c r="G169" i="9"/>
  <c r="G168" i="9"/>
  <c r="G177" i="9"/>
  <c r="G176" i="9"/>
  <c r="G173" i="9"/>
  <c r="G166" i="9"/>
  <c r="G165" i="9"/>
  <c r="G164" i="9"/>
  <c r="G190" i="9"/>
  <c r="G188" i="9"/>
  <c r="G92" i="9"/>
  <c r="G104" i="9"/>
  <c r="G100" i="9"/>
  <c r="G96" i="9"/>
  <c r="G93" i="9"/>
  <c r="G89" i="9"/>
  <c r="G81" i="9"/>
  <c r="G72" i="9"/>
  <c r="G68" i="9"/>
  <c r="G73" i="9"/>
  <c r="G105" i="9"/>
  <c r="G189" i="9"/>
  <c r="G185" i="9"/>
  <c r="G184" i="9"/>
  <c r="G181" i="9"/>
  <c r="G101" i="9"/>
  <c r="G113" i="9"/>
  <c r="G77" i="9"/>
  <c r="G162" i="9"/>
  <c r="G85" i="9"/>
  <c r="G144" i="9"/>
  <c r="G140" i="9"/>
  <c r="G136" i="9"/>
  <c r="G132" i="9"/>
  <c r="G128" i="9"/>
  <c r="G124" i="9"/>
  <c r="G120" i="9"/>
  <c r="G97" i="9"/>
  <c r="G88" i="9"/>
  <c r="G84" i="9"/>
  <c r="G109" i="9"/>
  <c r="G160" i="9"/>
  <c r="G80" i="9"/>
  <c r="G69" i="9"/>
  <c r="G76" i="9"/>
  <c r="B88" i="9"/>
  <c r="B108" i="9"/>
  <c r="B116" i="9"/>
  <c r="B129" i="9"/>
  <c r="B141" i="9"/>
  <c r="B121" i="9"/>
  <c r="B96" i="9"/>
  <c r="B125" i="9"/>
  <c r="B133" i="9"/>
  <c r="B137" i="9"/>
  <c r="B145" i="9"/>
  <c r="B156" i="9"/>
  <c r="B136" i="9"/>
  <c r="B149" i="9"/>
  <c r="B84" i="9"/>
  <c r="B146" i="9"/>
  <c r="B153" i="9"/>
  <c r="B89" i="9"/>
  <c r="B160" i="9"/>
  <c r="B120" i="9"/>
  <c r="B128" i="9"/>
  <c r="B144" i="9"/>
  <c r="B197" i="9"/>
  <c r="B196" i="9"/>
  <c r="B193" i="9"/>
  <c r="B192" i="9"/>
  <c r="B180" i="9"/>
  <c r="B177" i="9"/>
  <c r="B176" i="9"/>
  <c r="B173" i="9"/>
  <c r="B172" i="9"/>
  <c r="B169" i="9"/>
  <c r="B168" i="9"/>
  <c r="B165" i="9"/>
  <c r="B164" i="9"/>
  <c r="B161" i="9"/>
  <c r="B132" i="9"/>
  <c r="B148" i="9"/>
  <c r="B157" i="9"/>
  <c r="B93" i="9"/>
  <c r="B122" i="9"/>
  <c r="B152" i="9"/>
  <c r="B140" i="9"/>
  <c r="B104" i="9"/>
  <c r="B124" i="9"/>
  <c r="B200" i="9"/>
  <c r="B113" i="9"/>
  <c r="B72" i="9"/>
  <c r="B117" i="9"/>
  <c r="B105" i="9"/>
  <c r="B80" i="9"/>
  <c r="B92" i="9"/>
  <c r="B68" i="9"/>
  <c r="B109" i="9"/>
  <c r="B101" i="9"/>
  <c r="B77" i="9"/>
  <c r="B73" i="9"/>
  <c r="B69" i="9"/>
  <c r="B76" i="9"/>
  <c r="B81" i="9"/>
  <c r="B189" i="9"/>
  <c r="B188" i="9"/>
  <c r="B185" i="9"/>
  <c r="B184" i="9"/>
  <c r="B181" i="9"/>
  <c r="B112" i="9"/>
  <c r="B201" i="9"/>
  <c r="B85" i="9"/>
  <c r="B97" i="9"/>
  <c r="B100" i="9"/>
  <c r="E69" i="11"/>
  <c r="E73" i="11"/>
  <c r="E77" i="11"/>
  <c r="E81" i="11"/>
  <c r="E85" i="11"/>
  <c r="E89" i="11"/>
  <c r="E93" i="11"/>
  <c r="E97" i="11"/>
  <c r="E101" i="11"/>
  <c r="E105" i="11"/>
  <c r="E109" i="11"/>
  <c r="E113" i="11"/>
  <c r="E117" i="11"/>
  <c r="E121" i="11"/>
  <c r="E125" i="11"/>
  <c r="E129" i="11"/>
  <c r="E133" i="11"/>
  <c r="E137" i="11"/>
  <c r="E141" i="11"/>
  <c r="E145" i="11"/>
  <c r="E149" i="11"/>
  <c r="E153" i="11"/>
  <c r="E157" i="11"/>
  <c r="E161" i="11"/>
  <c r="E165" i="11"/>
  <c r="E169" i="11"/>
  <c r="E173" i="11"/>
  <c r="E177" i="11"/>
  <c r="E181" i="11"/>
  <c r="E185" i="11"/>
  <c r="E189" i="11"/>
  <c r="E193" i="11"/>
  <c r="E197" i="11"/>
  <c r="E201" i="11"/>
  <c r="E198" i="11"/>
  <c r="E182" i="11"/>
  <c r="E166" i="11"/>
  <c r="E150" i="11"/>
  <c r="E134" i="11"/>
  <c r="E118" i="11"/>
  <c r="E102" i="11"/>
  <c r="E86" i="11"/>
  <c r="E70" i="11"/>
  <c r="E194" i="11"/>
  <c r="E178" i="11"/>
  <c r="E162" i="11"/>
  <c r="E146" i="11"/>
  <c r="E130" i="11"/>
  <c r="E114" i="11"/>
  <c r="E98" i="11"/>
  <c r="E82" i="11"/>
  <c r="E66" i="11"/>
  <c r="E190" i="11"/>
  <c r="E174" i="11"/>
  <c r="E158" i="11"/>
  <c r="E142" i="11"/>
  <c r="E126" i="11"/>
  <c r="E110" i="11"/>
  <c r="E94" i="11"/>
  <c r="E78" i="11"/>
  <c r="E202" i="11"/>
  <c r="E186" i="11"/>
  <c r="E170" i="11"/>
  <c r="E154" i="11"/>
  <c r="E138" i="11"/>
  <c r="E122" i="11"/>
  <c r="E106" i="11"/>
  <c r="E90" i="11"/>
  <c r="E74" i="11"/>
  <c r="E175" i="11"/>
  <c r="E199" i="11"/>
  <c r="E167" i="11"/>
  <c r="E179" i="11"/>
  <c r="N17" i="17"/>
  <c r="N7" i="17"/>
  <c r="N11" i="17"/>
  <c r="N15" i="17"/>
  <c r="N19" i="17"/>
  <c r="N23" i="17"/>
  <c r="N27" i="17"/>
  <c r="N31" i="17"/>
  <c r="N35" i="17"/>
  <c r="N39" i="17"/>
  <c r="N43" i="17"/>
  <c r="N47" i="17"/>
  <c r="N51" i="17"/>
  <c r="N55" i="17"/>
  <c r="N59" i="17"/>
  <c r="N63" i="17"/>
  <c r="N67" i="17"/>
  <c r="N71" i="17"/>
  <c r="N8" i="17"/>
  <c r="N12" i="17"/>
  <c r="N16" i="17"/>
  <c r="N20" i="17"/>
  <c r="N24" i="17"/>
  <c r="N28" i="17"/>
  <c r="N32" i="17"/>
  <c r="N36" i="17"/>
  <c r="N40" i="17"/>
  <c r="N52" i="17"/>
  <c r="N68" i="17"/>
  <c r="N75" i="17"/>
  <c r="N79" i="17"/>
  <c r="N83" i="17"/>
  <c r="N87" i="17"/>
  <c r="N91" i="17"/>
  <c r="N95" i="17"/>
  <c r="N99" i="17"/>
  <c r="N103" i="17"/>
  <c r="N107" i="17"/>
  <c r="N111" i="17"/>
  <c r="N115" i="17"/>
  <c r="N119" i="17"/>
  <c r="N123" i="17"/>
  <c r="N127" i="17"/>
  <c r="N131" i="17"/>
  <c r="N135" i="17"/>
  <c r="N139" i="17"/>
  <c r="N143" i="17"/>
  <c r="N147" i="17"/>
  <c r="N151" i="17"/>
  <c r="N155" i="17"/>
  <c r="N159" i="17"/>
  <c r="N163" i="17"/>
  <c r="N167" i="17"/>
  <c r="N171" i="17"/>
  <c r="N175" i="17"/>
  <c r="N179" i="17"/>
  <c r="N183" i="17"/>
  <c r="N187" i="17"/>
  <c r="N191" i="17"/>
  <c r="N195" i="17"/>
  <c r="N199" i="17"/>
  <c r="N48" i="17"/>
  <c r="N64" i="17"/>
  <c r="N76" i="17"/>
  <c r="N80" i="17"/>
  <c r="N84" i="17"/>
  <c r="N88" i="17"/>
  <c r="N92" i="17"/>
  <c r="N96" i="17"/>
  <c r="N100" i="17"/>
  <c r="N104" i="17"/>
  <c r="N108" i="17"/>
  <c r="N112" i="17"/>
  <c r="N116" i="17"/>
  <c r="N120" i="17"/>
  <c r="N124" i="17"/>
  <c r="N128" i="17"/>
  <c r="N132" i="17"/>
  <c r="N136" i="17"/>
  <c r="N140" i="17"/>
  <c r="N144" i="17"/>
  <c r="N148" i="17"/>
  <c r="N152" i="17"/>
  <c r="N156" i="17"/>
  <c r="N160" i="17"/>
  <c r="N164" i="17"/>
  <c r="N168" i="17"/>
  <c r="N172" i="17"/>
  <c r="N176" i="17"/>
  <c r="N180" i="17"/>
  <c r="N184" i="17"/>
  <c r="N188" i="17"/>
  <c r="N192" i="17"/>
  <c r="N196" i="17"/>
  <c r="N200" i="17"/>
  <c r="N60" i="17"/>
  <c r="N121" i="17"/>
  <c r="N129" i="17"/>
  <c r="N137" i="17"/>
  <c r="N145" i="17"/>
  <c r="N153" i="17"/>
  <c r="N161" i="17"/>
  <c r="N169" i="17"/>
  <c r="N177" i="17"/>
  <c r="N185" i="17"/>
  <c r="N193" i="17"/>
  <c r="N201" i="17"/>
  <c r="N44" i="17"/>
  <c r="N56" i="17"/>
  <c r="N72" i="17"/>
  <c r="N3" i="17"/>
  <c r="X128" i="9"/>
  <c r="X134" i="9"/>
  <c r="X140" i="9"/>
  <c r="X149" i="9"/>
  <c r="X153" i="9"/>
  <c r="X157" i="9"/>
  <c r="X120" i="9"/>
  <c r="X132" i="9"/>
  <c r="X108" i="9"/>
  <c r="X113" i="9"/>
  <c r="X116" i="9"/>
  <c r="X124" i="9"/>
  <c r="X144" i="9"/>
  <c r="X145" i="9"/>
  <c r="X148" i="9"/>
  <c r="X156" i="9"/>
  <c r="X136" i="9"/>
  <c r="X152" i="9"/>
  <c r="X200" i="9"/>
  <c r="X158" i="9"/>
  <c r="X180" i="9"/>
  <c r="X177" i="9"/>
  <c r="X176" i="9"/>
  <c r="X173" i="9"/>
  <c r="X165" i="9"/>
  <c r="X164" i="9"/>
  <c r="X161" i="9"/>
  <c r="X197" i="9"/>
  <c r="X196" i="9"/>
  <c r="X193" i="9"/>
  <c r="X192" i="9"/>
  <c r="X172" i="9"/>
  <c r="X169" i="9"/>
  <c r="X168" i="9"/>
  <c r="X112" i="9"/>
  <c r="X109" i="9"/>
  <c r="X160" i="9"/>
  <c r="X101" i="9"/>
  <c r="X77" i="9"/>
  <c r="X73" i="9"/>
  <c r="X69" i="9"/>
  <c r="X76" i="9"/>
  <c r="X88" i="9"/>
  <c r="X189" i="9"/>
  <c r="X85" i="9"/>
  <c r="X97" i="9"/>
  <c r="X141" i="9"/>
  <c r="X137" i="9"/>
  <c r="X133" i="9"/>
  <c r="X129" i="9"/>
  <c r="X125" i="9"/>
  <c r="X121" i="9"/>
  <c r="X188" i="9"/>
  <c r="X186" i="9"/>
  <c r="X185" i="9"/>
  <c r="X184" i="9"/>
  <c r="X182" i="9"/>
  <c r="X181" i="9"/>
  <c r="X80" i="9"/>
  <c r="X84" i="9"/>
  <c r="X117" i="9"/>
  <c r="X105" i="9"/>
  <c r="X201" i="9"/>
  <c r="X92" i="9"/>
  <c r="X104" i="9"/>
  <c r="X100" i="9"/>
  <c r="X96" i="9"/>
  <c r="X93" i="9"/>
  <c r="X89" i="9"/>
  <c r="X81" i="9"/>
  <c r="X72" i="9"/>
  <c r="X68" i="9"/>
  <c r="F7" i="17"/>
  <c r="F11" i="17"/>
  <c r="F15" i="17"/>
  <c r="F19" i="17"/>
  <c r="F23" i="17"/>
  <c r="F27" i="17"/>
  <c r="F31" i="17"/>
  <c r="F35" i="17"/>
  <c r="F39" i="17"/>
  <c r="F43" i="17"/>
  <c r="F8" i="17"/>
  <c r="F12" i="17"/>
  <c r="F16" i="17"/>
  <c r="F20" i="17"/>
  <c r="F24" i="17"/>
  <c r="F28" i="17"/>
  <c r="F32" i="17"/>
  <c r="F36" i="17"/>
  <c r="F40" i="17"/>
  <c r="F44" i="17"/>
  <c r="F48" i="17"/>
  <c r="F52" i="17"/>
  <c r="F56" i="17"/>
  <c r="F60" i="17"/>
  <c r="F64" i="17"/>
  <c r="F68" i="17"/>
  <c r="F72" i="17"/>
  <c r="F25" i="17"/>
  <c r="F59" i="17"/>
  <c r="F76" i="17"/>
  <c r="F80" i="17"/>
  <c r="F84" i="17"/>
  <c r="F88" i="17"/>
  <c r="F92" i="17"/>
  <c r="F96" i="17"/>
  <c r="F100" i="17"/>
  <c r="F104" i="17"/>
  <c r="F108" i="17"/>
  <c r="F112" i="17"/>
  <c r="F116" i="17"/>
  <c r="F120" i="17"/>
  <c r="F124" i="17"/>
  <c r="F128" i="17"/>
  <c r="F132" i="17"/>
  <c r="F136" i="17"/>
  <c r="F140" i="17"/>
  <c r="F144" i="17"/>
  <c r="F148" i="17"/>
  <c r="F152" i="17"/>
  <c r="F156" i="17"/>
  <c r="F160" i="17"/>
  <c r="F164" i="17"/>
  <c r="F168" i="17"/>
  <c r="F172" i="17"/>
  <c r="F176" i="17"/>
  <c r="F180" i="17"/>
  <c r="F184" i="17"/>
  <c r="F188" i="17"/>
  <c r="F192" i="17"/>
  <c r="F196" i="17"/>
  <c r="F200" i="17"/>
  <c r="F55" i="17"/>
  <c r="F71" i="17"/>
  <c r="F85" i="17"/>
  <c r="F121" i="17"/>
  <c r="F125" i="17"/>
  <c r="F129" i="17"/>
  <c r="F133" i="17"/>
  <c r="F137" i="17"/>
  <c r="F141" i="17"/>
  <c r="F145" i="17"/>
  <c r="F149" i="17"/>
  <c r="F153" i="17"/>
  <c r="F157" i="17"/>
  <c r="F161" i="17"/>
  <c r="F165" i="17"/>
  <c r="F169" i="17"/>
  <c r="F173" i="17"/>
  <c r="F177" i="17"/>
  <c r="F181" i="17"/>
  <c r="F185" i="17"/>
  <c r="F189" i="17"/>
  <c r="F193" i="17"/>
  <c r="F197" i="17"/>
  <c r="F201" i="17"/>
  <c r="F51" i="17"/>
  <c r="F67" i="17"/>
  <c r="F47" i="17"/>
  <c r="F63" i="17"/>
  <c r="F75" i="17"/>
  <c r="F79" i="17"/>
  <c r="F83" i="17"/>
  <c r="F87" i="17"/>
  <c r="F91" i="17"/>
  <c r="F95" i="17"/>
  <c r="F99" i="17"/>
  <c r="F103" i="17"/>
  <c r="F107" i="17"/>
  <c r="F111" i="17"/>
  <c r="F115" i="17"/>
  <c r="F119" i="17"/>
  <c r="F123" i="17"/>
  <c r="F127" i="17"/>
  <c r="F131" i="17"/>
  <c r="F135" i="17"/>
  <c r="F139" i="17"/>
  <c r="F143" i="17"/>
  <c r="F147" i="17"/>
  <c r="F151" i="17"/>
  <c r="F155" i="17"/>
  <c r="F159" i="17"/>
  <c r="F163" i="17"/>
  <c r="F167" i="17"/>
  <c r="F171" i="17"/>
  <c r="F175" i="17"/>
  <c r="F179" i="17"/>
  <c r="F183" i="17"/>
  <c r="F187" i="17"/>
  <c r="F191" i="17"/>
  <c r="F195" i="17"/>
  <c r="F199" i="17"/>
  <c r="F3" i="17"/>
  <c r="B84" i="11"/>
  <c r="B66" i="11"/>
  <c r="B70" i="11"/>
  <c r="B74" i="11"/>
  <c r="B78" i="11"/>
  <c r="B82" i="11"/>
  <c r="B86" i="11"/>
  <c r="B90" i="11"/>
  <c r="B94" i="11"/>
  <c r="B98" i="11"/>
  <c r="B102" i="11"/>
  <c r="B106" i="11"/>
  <c r="B110" i="11"/>
  <c r="B114" i="11"/>
  <c r="B118" i="11"/>
  <c r="B122" i="11"/>
  <c r="B126" i="11"/>
  <c r="B130" i="11"/>
  <c r="B134" i="11"/>
  <c r="B138" i="11"/>
  <c r="B142" i="11"/>
  <c r="B146" i="11"/>
  <c r="B150" i="11"/>
  <c r="B154" i="11"/>
  <c r="B158" i="11"/>
  <c r="B162" i="11"/>
  <c r="B166" i="11"/>
  <c r="B170" i="11"/>
  <c r="B174" i="11"/>
  <c r="B178" i="11"/>
  <c r="B182" i="11"/>
  <c r="B186" i="11"/>
  <c r="B190" i="11"/>
  <c r="B194" i="11"/>
  <c r="B198" i="11"/>
  <c r="B202" i="11"/>
  <c r="B197" i="11"/>
  <c r="B189" i="11"/>
  <c r="B181" i="11"/>
  <c r="B173" i="11"/>
  <c r="B165" i="11"/>
  <c r="B157" i="11"/>
  <c r="B149" i="11"/>
  <c r="B141" i="11"/>
  <c r="B133" i="11"/>
  <c r="B125" i="11"/>
  <c r="B117" i="11"/>
  <c r="B109" i="11"/>
  <c r="B101" i="11"/>
  <c r="B93" i="11"/>
  <c r="B85" i="11"/>
  <c r="B77" i="11"/>
  <c r="B69" i="11"/>
  <c r="B195" i="11"/>
  <c r="B187" i="11"/>
  <c r="B163" i="11"/>
  <c r="B155" i="11"/>
  <c r="B131" i="11"/>
  <c r="B123" i="11"/>
  <c r="B201" i="11"/>
  <c r="B193" i="11"/>
  <c r="B185" i="11"/>
  <c r="B177" i="11"/>
  <c r="B169" i="11"/>
  <c r="B161" i="11"/>
  <c r="B153" i="11"/>
  <c r="B145" i="11"/>
  <c r="B137" i="11"/>
  <c r="B129" i="11"/>
  <c r="B121" i="11"/>
  <c r="B113" i="11"/>
  <c r="B105" i="11"/>
  <c r="B97" i="11"/>
  <c r="B89" i="11"/>
  <c r="B81" i="11"/>
  <c r="B73" i="11"/>
  <c r="B183" i="11"/>
  <c r="B175" i="11"/>
  <c r="B151" i="11"/>
  <c r="B143" i="11"/>
  <c r="C157" i="10"/>
  <c r="C165" i="10"/>
  <c r="C169" i="10"/>
  <c r="C170" i="10"/>
  <c r="C189" i="10"/>
  <c r="C197" i="10"/>
  <c r="C137" i="10"/>
  <c r="C138" i="10"/>
  <c r="C158" i="10"/>
  <c r="C161" i="10"/>
  <c r="C141" i="10"/>
  <c r="C144" i="10"/>
  <c r="C149" i="10"/>
  <c r="C153" i="10"/>
  <c r="C154" i="10"/>
  <c r="C173" i="10"/>
  <c r="C181" i="10"/>
  <c r="C185" i="10"/>
  <c r="C193" i="10"/>
  <c r="C201" i="10"/>
  <c r="C142" i="10"/>
  <c r="C145" i="10"/>
  <c r="C148" i="10"/>
  <c r="C174" i="10"/>
  <c r="C177" i="10"/>
  <c r="C175" i="10"/>
  <c r="C198" i="10"/>
  <c r="C202" i="10"/>
  <c r="C190" i="10"/>
  <c r="C194" i="10"/>
  <c r="C179" i="10"/>
  <c r="C159" i="10"/>
  <c r="C186" i="10"/>
  <c r="C167" i="10"/>
  <c r="C182" i="10"/>
  <c r="C152" i="10"/>
  <c r="C195" i="10"/>
  <c r="C166" i="10"/>
  <c r="C156" i="10"/>
  <c r="C150" i="10"/>
  <c r="C140" i="10"/>
  <c r="C146" i="10"/>
  <c r="C183" i="10"/>
  <c r="C162" i="10"/>
  <c r="C178" i="10"/>
  <c r="N84" i="9"/>
  <c r="N89" i="9"/>
  <c r="N93" i="9"/>
  <c r="N122" i="9"/>
  <c r="N136" i="9"/>
  <c r="N142" i="9"/>
  <c r="N104" i="9"/>
  <c r="N128" i="9"/>
  <c r="N112" i="9"/>
  <c r="N120" i="9"/>
  <c r="N132" i="9"/>
  <c r="N97" i="9"/>
  <c r="N100" i="9"/>
  <c r="N116" i="9"/>
  <c r="N124" i="9"/>
  <c r="N81" i="9"/>
  <c r="N96" i="9"/>
  <c r="N108" i="9"/>
  <c r="N138" i="9"/>
  <c r="N140" i="9"/>
  <c r="N144" i="9"/>
  <c r="N113" i="9"/>
  <c r="N202" i="9"/>
  <c r="N197" i="9"/>
  <c r="N196" i="9"/>
  <c r="N194" i="9"/>
  <c r="N193" i="9"/>
  <c r="N192" i="9"/>
  <c r="N180" i="9"/>
  <c r="N177" i="9"/>
  <c r="N176" i="9"/>
  <c r="N173" i="9"/>
  <c r="N172" i="9"/>
  <c r="N169" i="9"/>
  <c r="N168" i="9"/>
  <c r="N165" i="9"/>
  <c r="N164" i="9"/>
  <c r="N161" i="9"/>
  <c r="N200" i="9"/>
  <c r="N101" i="9"/>
  <c r="N85" i="9"/>
  <c r="N80" i="9"/>
  <c r="N157" i="9"/>
  <c r="N153" i="9"/>
  <c r="N149" i="9"/>
  <c r="N145" i="9"/>
  <c r="N72" i="9"/>
  <c r="N68" i="9"/>
  <c r="N198" i="9"/>
  <c r="N160" i="9"/>
  <c r="N156" i="9"/>
  <c r="N152" i="9"/>
  <c r="N148" i="9"/>
  <c r="N69" i="9"/>
  <c r="N117" i="9"/>
  <c r="N105" i="9"/>
  <c r="N190" i="9"/>
  <c r="N189" i="9"/>
  <c r="N188" i="9"/>
  <c r="N186" i="9"/>
  <c r="N185" i="9"/>
  <c r="N184" i="9"/>
  <c r="N182" i="9"/>
  <c r="N181" i="9"/>
  <c r="N201" i="9"/>
  <c r="N109" i="9"/>
  <c r="N141" i="9"/>
  <c r="N137" i="9"/>
  <c r="N133" i="9"/>
  <c r="N129" i="9"/>
  <c r="N125" i="9"/>
  <c r="N121" i="9"/>
  <c r="N88" i="9"/>
  <c r="N73" i="9"/>
  <c r="N76" i="9"/>
  <c r="N158" i="9"/>
  <c r="N154" i="9"/>
  <c r="N92" i="9"/>
  <c r="N77" i="9"/>
  <c r="B6" i="19"/>
  <c r="B10" i="19"/>
  <c r="B14" i="19"/>
  <c r="B18" i="19"/>
  <c r="B22" i="19"/>
  <c r="B26" i="19"/>
  <c r="B30" i="19"/>
  <c r="B34" i="19"/>
  <c r="B38" i="19"/>
  <c r="B42" i="19"/>
  <c r="B46" i="19"/>
  <c r="B50" i="19"/>
  <c r="B54" i="19"/>
  <c r="B58" i="19"/>
  <c r="B62" i="19"/>
  <c r="B66" i="19"/>
  <c r="B70" i="19"/>
  <c r="B74" i="19"/>
  <c r="B78" i="19"/>
  <c r="B82" i="19"/>
  <c r="B86" i="19"/>
  <c r="B90" i="19"/>
  <c r="B94" i="19"/>
  <c r="B98" i="19"/>
  <c r="B102" i="19"/>
  <c r="B106" i="19"/>
  <c r="B110" i="19"/>
  <c r="B114" i="19"/>
  <c r="B118" i="19"/>
  <c r="B122" i="19"/>
  <c r="B126" i="19"/>
  <c r="B130" i="19"/>
  <c r="B134" i="19"/>
  <c r="B138" i="19"/>
  <c r="B142" i="19"/>
  <c r="B146" i="19"/>
  <c r="B150" i="19"/>
  <c r="B154" i="19"/>
  <c r="B158" i="19"/>
  <c r="B162" i="19"/>
  <c r="B166" i="19"/>
  <c r="B170" i="19"/>
  <c r="B174" i="19"/>
  <c r="B178" i="19"/>
  <c r="B182" i="19"/>
  <c r="B186" i="19"/>
  <c r="B190" i="19"/>
  <c r="B194" i="19"/>
  <c r="B198" i="19"/>
  <c r="B202" i="19"/>
  <c r="B39" i="19"/>
  <c r="B103" i="19"/>
  <c r="B123" i="19"/>
  <c r="B127" i="19"/>
  <c r="B131" i="19"/>
  <c r="B135" i="19"/>
  <c r="B139" i="19"/>
  <c r="B143" i="19"/>
  <c r="B147" i="19"/>
  <c r="B151" i="19"/>
  <c r="B155" i="19"/>
  <c r="B159" i="19"/>
  <c r="B163" i="19"/>
  <c r="B167" i="19"/>
  <c r="B171" i="19"/>
  <c r="B175" i="19"/>
  <c r="B179" i="19"/>
  <c r="B183" i="19"/>
  <c r="B187" i="19"/>
  <c r="B191" i="19"/>
  <c r="B195" i="19"/>
  <c r="B199" i="19"/>
  <c r="B104" i="19"/>
  <c r="B5" i="19"/>
  <c r="B9" i="19"/>
  <c r="B13" i="19"/>
  <c r="B17" i="19"/>
  <c r="B21" i="19"/>
  <c r="B25" i="19"/>
  <c r="B29" i="19"/>
  <c r="B33" i="19"/>
  <c r="B37" i="19"/>
  <c r="B41" i="19"/>
  <c r="B45" i="19"/>
  <c r="B49" i="19"/>
  <c r="B53" i="19"/>
  <c r="B57" i="19"/>
  <c r="B61" i="19"/>
  <c r="B65" i="19"/>
  <c r="B69" i="19"/>
  <c r="B73" i="19"/>
  <c r="B77" i="19"/>
  <c r="B81" i="19"/>
  <c r="B85" i="19"/>
  <c r="B89" i="19"/>
  <c r="B93" i="19"/>
  <c r="B97" i="19"/>
  <c r="B101" i="19"/>
  <c r="B105" i="19"/>
  <c r="B109" i="19"/>
  <c r="B113" i="19"/>
  <c r="B117" i="19"/>
  <c r="B121" i="19"/>
  <c r="B125" i="19"/>
  <c r="B129" i="19"/>
  <c r="B133" i="19"/>
  <c r="B137" i="19"/>
  <c r="B141" i="19"/>
  <c r="B145" i="19"/>
  <c r="B149" i="19"/>
  <c r="B153" i="19"/>
  <c r="B157" i="19"/>
  <c r="B161" i="19"/>
  <c r="B165" i="19"/>
  <c r="B169" i="19"/>
  <c r="B173" i="19"/>
  <c r="B177" i="19"/>
  <c r="B181" i="19"/>
  <c r="B185" i="19"/>
  <c r="B189" i="19"/>
  <c r="B193" i="19"/>
  <c r="B197" i="19"/>
  <c r="B201" i="19"/>
  <c r="B9" i="9"/>
  <c r="C21" i="9"/>
  <c r="AA28" i="9"/>
  <c r="Y33" i="9"/>
  <c r="S49" i="9"/>
  <c r="K53" i="9"/>
  <c r="L57" i="9"/>
  <c r="B6" i="11"/>
  <c r="B13" i="11"/>
  <c r="B18" i="11"/>
  <c r="B22" i="11"/>
  <c r="B41" i="11"/>
  <c r="B45" i="11"/>
  <c r="B50" i="11"/>
  <c r="H10" i="12"/>
  <c r="H27" i="12"/>
  <c r="C38" i="12"/>
  <c r="F42" i="12"/>
  <c r="H58" i="12"/>
  <c r="F62" i="12"/>
  <c r="G3" i="13"/>
  <c r="G8" i="13"/>
  <c r="B13" i="13"/>
  <c r="G28" i="13"/>
  <c r="G34" i="13"/>
  <c r="G44" i="13"/>
  <c r="G52" i="13"/>
  <c r="D12" i="14"/>
  <c r="D16" i="14"/>
  <c r="C21" i="14"/>
  <c r="D45" i="14"/>
  <c r="D56" i="14"/>
  <c r="B5" i="15"/>
  <c r="B13" i="15"/>
  <c r="B18" i="15"/>
  <c r="B49" i="15"/>
  <c r="B54" i="15"/>
  <c r="ER144" i="8"/>
  <c r="ER152" i="8"/>
  <c r="ER139" i="8"/>
  <c r="ER140" i="8"/>
  <c r="ER148" i="8"/>
  <c r="ER160" i="8"/>
  <c r="ER172" i="8"/>
  <c r="ER177" i="8"/>
  <c r="ER175" i="8"/>
  <c r="ER164" i="8"/>
  <c r="ER168" i="8"/>
  <c r="ER184" i="8"/>
  <c r="ER192" i="8"/>
  <c r="ER179" i="8"/>
  <c r="ER193" i="8"/>
  <c r="ER199" i="8"/>
  <c r="ER180" i="8"/>
  <c r="ER187" i="8"/>
  <c r="ER188" i="8"/>
  <c r="ER173" i="8"/>
  <c r="ER195" i="8"/>
  <c r="ER176" i="8"/>
  <c r="ER165" i="8"/>
  <c r="ER196" i="8"/>
  <c r="ER147" i="8"/>
  <c r="ER202" i="8"/>
  <c r="ER157" i="8"/>
  <c r="ER155" i="8"/>
  <c r="ER153" i="8"/>
  <c r="ER145" i="8"/>
  <c r="ER159" i="8"/>
  <c r="ER191" i="8"/>
  <c r="ER163" i="8"/>
  <c r="ER161" i="8"/>
  <c r="ER151" i="8"/>
  <c r="ER143" i="8"/>
  <c r="ER183" i="8"/>
  <c r="ER149" i="8"/>
  <c r="ER141" i="8"/>
  <c r="CV144" i="8"/>
  <c r="CV152" i="8"/>
  <c r="CV156" i="8"/>
  <c r="CV139" i="8"/>
  <c r="CV140" i="8"/>
  <c r="CV148" i="8"/>
  <c r="CV160" i="8"/>
  <c r="CV171" i="8"/>
  <c r="CV172" i="8"/>
  <c r="CV167" i="8"/>
  <c r="CV184" i="8"/>
  <c r="CV187" i="8"/>
  <c r="CV192" i="8"/>
  <c r="CV195" i="8"/>
  <c r="CV181" i="8"/>
  <c r="CV189" i="8"/>
  <c r="CV176" i="8"/>
  <c r="CV179" i="8"/>
  <c r="CV180" i="8"/>
  <c r="CV188" i="8"/>
  <c r="CV199" i="8"/>
  <c r="CV193" i="8"/>
  <c r="CV175" i="8"/>
  <c r="CV168" i="8"/>
  <c r="CV164" i="8"/>
  <c r="CV191" i="8"/>
  <c r="CV185" i="8"/>
  <c r="CV157" i="8"/>
  <c r="CV155" i="8"/>
  <c r="CV149" i="8"/>
  <c r="CV141" i="8"/>
  <c r="CV159" i="8"/>
  <c r="CV183" i="8"/>
  <c r="CV196" i="8"/>
  <c r="CV163" i="8"/>
  <c r="CV161" i="8"/>
  <c r="CV147" i="8"/>
  <c r="CV202" i="8"/>
  <c r="CV153" i="8"/>
  <c r="CV145" i="8"/>
  <c r="CV165" i="8"/>
  <c r="CV151" i="8"/>
  <c r="BK144" i="8"/>
  <c r="BK152" i="8"/>
  <c r="BK156" i="8"/>
  <c r="BK140" i="8"/>
  <c r="BK148" i="8"/>
  <c r="BK160" i="8"/>
  <c r="BK164" i="8"/>
  <c r="BK167" i="8"/>
  <c r="BK175" i="8"/>
  <c r="BK172" i="8"/>
  <c r="BK173" i="8"/>
  <c r="BK171" i="8"/>
  <c r="BK184" i="8"/>
  <c r="BK192" i="8"/>
  <c r="BK197" i="8"/>
  <c r="BK176" i="8"/>
  <c r="BK195" i="8"/>
  <c r="BK168" i="8"/>
  <c r="BK180" i="8"/>
  <c r="BK188" i="8"/>
  <c r="BK189" i="8"/>
  <c r="BK199" i="8"/>
  <c r="BK177" i="8"/>
  <c r="BK159" i="8"/>
  <c r="BK191" i="8"/>
  <c r="BK163" i="8"/>
  <c r="BK161" i="8"/>
  <c r="BK151" i="8"/>
  <c r="BK143" i="8"/>
  <c r="BK183" i="8"/>
  <c r="BK187" i="8"/>
  <c r="BK149" i="8"/>
  <c r="BK141" i="8"/>
  <c r="BK165" i="8"/>
  <c r="BK196" i="8"/>
  <c r="BK147" i="8"/>
  <c r="BK202" i="8"/>
  <c r="BK157" i="8"/>
  <c r="BK155" i="8"/>
  <c r="BK153" i="8"/>
  <c r="BK145" i="8"/>
  <c r="AH139" i="8"/>
  <c r="AH144" i="8"/>
  <c r="AH152" i="8"/>
  <c r="AH156" i="8"/>
  <c r="AH140" i="8"/>
  <c r="AH148" i="8"/>
  <c r="AH160" i="8"/>
  <c r="AH169" i="8"/>
  <c r="AH177" i="8"/>
  <c r="AH164" i="8"/>
  <c r="AH167" i="8"/>
  <c r="AH172" i="8"/>
  <c r="AH175" i="8"/>
  <c r="AH173" i="8"/>
  <c r="AH171" i="8"/>
  <c r="AH176" i="8"/>
  <c r="AH179" i="8"/>
  <c r="AH184" i="8"/>
  <c r="AH192" i="8"/>
  <c r="AH199" i="8"/>
  <c r="AH168" i="8"/>
  <c r="AH197" i="8"/>
  <c r="AH180" i="8"/>
  <c r="AH188" i="8"/>
  <c r="AH195" i="8"/>
  <c r="AH185" i="8"/>
  <c r="AH193" i="8"/>
  <c r="AH181" i="8"/>
  <c r="AH183" i="8"/>
  <c r="AH189" i="8"/>
  <c r="AH187" i="8"/>
  <c r="AH191" i="8"/>
  <c r="AH202" i="8"/>
  <c r="AH153" i="8"/>
  <c r="AH145" i="8"/>
  <c r="AH165" i="8"/>
  <c r="AH151" i="8"/>
  <c r="AH157" i="8"/>
  <c r="AH155" i="8"/>
  <c r="AH149" i="8"/>
  <c r="AH141" i="8"/>
  <c r="AH159" i="8"/>
  <c r="AH196" i="8"/>
  <c r="AH163" i="8"/>
  <c r="AH161" i="8"/>
  <c r="AH147" i="8"/>
  <c r="AC77" i="9"/>
  <c r="AC88" i="9"/>
  <c r="AC73" i="9"/>
  <c r="AC76" i="9"/>
  <c r="AC104" i="9"/>
  <c r="AC145" i="9"/>
  <c r="AC149" i="9"/>
  <c r="AC153" i="9"/>
  <c r="AC157" i="9"/>
  <c r="AC154" i="9"/>
  <c r="AC160" i="9"/>
  <c r="AC152" i="9"/>
  <c r="AC150" i="9"/>
  <c r="AC69" i="9"/>
  <c r="AC96" i="9"/>
  <c r="AC148" i="9"/>
  <c r="AC156" i="9"/>
  <c r="AC200" i="9"/>
  <c r="AC117" i="9"/>
  <c r="AC196" i="9"/>
  <c r="AC192" i="9"/>
  <c r="AC188" i="9"/>
  <c r="AC184" i="9"/>
  <c r="AC180" i="9"/>
  <c r="AC176" i="9"/>
  <c r="AC172" i="9"/>
  <c r="AC168" i="9"/>
  <c r="AC164" i="9"/>
  <c r="AC137" i="9"/>
  <c r="AC133" i="9"/>
  <c r="AC121" i="9"/>
  <c r="AC116" i="9"/>
  <c r="AC108" i="9"/>
  <c r="AC142" i="9"/>
  <c r="AC138" i="9"/>
  <c r="AC126" i="9"/>
  <c r="AC122" i="9"/>
  <c r="AC100" i="9"/>
  <c r="AC93" i="9"/>
  <c r="AC89" i="9"/>
  <c r="AC68" i="9"/>
  <c r="AC105" i="9"/>
  <c r="AC197" i="9"/>
  <c r="AC193" i="9"/>
  <c r="AC189" i="9"/>
  <c r="AC185" i="9"/>
  <c r="AC181" i="9"/>
  <c r="AC177" i="9"/>
  <c r="AC173" i="9"/>
  <c r="AC169" i="9"/>
  <c r="AC165" i="9"/>
  <c r="AC161" i="9"/>
  <c r="AC109" i="9"/>
  <c r="AC81" i="9"/>
  <c r="AC201" i="9"/>
  <c r="AC198" i="9"/>
  <c r="AC194" i="9"/>
  <c r="AC182" i="9"/>
  <c r="AC178" i="9"/>
  <c r="AC166" i="9"/>
  <c r="AC162" i="9"/>
  <c r="AC112" i="9"/>
  <c r="AC101" i="9"/>
  <c r="AC141" i="9"/>
  <c r="AC144" i="9"/>
  <c r="AC140" i="9"/>
  <c r="AC136" i="9"/>
  <c r="AC132" i="9"/>
  <c r="AC128" i="9"/>
  <c r="AC124" i="9"/>
  <c r="AC120" i="9"/>
  <c r="AC85" i="9"/>
  <c r="AC80" i="9"/>
  <c r="AC129" i="9"/>
  <c r="AC125" i="9"/>
  <c r="AC113" i="9"/>
  <c r="AC97" i="9"/>
  <c r="AC92" i="9"/>
  <c r="AC84" i="9"/>
  <c r="AC72" i="9"/>
  <c r="D37" i="14"/>
  <c r="D6" i="14"/>
  <c r="D40" i="14"/>
  <c r="D17" i="14"/>
  <c r="AC57" i="9"/>
  <c r="H22" i="12"/>
  <c r="AC37" i="9"/>
  <c r="AC24" i="9"/>
  <c r="G109" i="13"/>
  <c r="G117" i="13"/>
  <c r="G69" i="13"/>
  <c r="G73" i="13"/>
  <c r="G77" i="13"/>
  <c r="G81" i="13"/>
  <c r="G85" i="13"/>
  <c r="G89" i="13"/>
  <c r="G93" i="13"/>
  <c r="G97" i="13"/>
  <c r="G101" i="13"/>
  <c r="G105" i="13"/>
  <c r="G152" i="13"/>
  <c r="G153" i="13"/>
  <c r="G154" i="13"/>
  <c r="G156" i="13"/>
  <c r="G157" i="13"/>
  <c r="G158" i="13"/>
  <c r="G160" i="13"/>
  <c r="G161" i="13"/>
  <c r="G162" i="13"/>
  <c r="G164" i="13"/>
  <c r="G165" i="13"/>
  <c r="G166" i="13"/>
  <c r="G168" i="13"/>
  <c r="G169" i="13"/>
  <c r="G170" i="13"/>
  <c r="G172" i="13"/>
  <c r="G173" i="13"/>
  <c r="G174" i="13"/>
  <c r="G176" i="13"/>
  <c r="G177" i="13"/>
  <c r="G178" i="13"/>
  <c r="G180" i="13"/>
  <c r="G181" i="13"/>
  <c r="G182" i="13"/>
  <c r="G184" i="13"/>
  <c r="G185" i="13"/>
  <c r="G186" i="13"/>
  <c r="G188" i="13"/>
  <c r="G189" i="13"/>
  <c r="G190" i="13"/>
  <c r="G192" i="13"/>
  <c r="G193" i="13"/>
  <c r="G195" i="13"/>
  <c r="G196" i="13"/>
  <c r="G197" i="13"/>
  <c r="G199" i="13"/>
  <c r="G200" i="13"/>
  <c r="G201" i="13"/>
  <c r="G113" i="13"/>
  <c r="G120" i="13"/>
  <c r="G124" i="13"/>
  <c r="G128" i="13"/>
  <c r="G132" i="13"/>
  <c r="G136" i="13"/>
  <c r="G140" i="13"/>
  <c r="G144" i="13"/>
  <c r="G148" i="13"/>
  <c r="G66" i="13"/>
  <c r="G68" i="13"/>
  <c r="G70" i="13"/>
  <c r="G72" i="13"/>
  <c r="G74" i="13"/>
  <c r="G76" i="13"/>
  <c r="G78" i="13"/>
  <c r="G80" i="13"/>
  <c r="G82" i="13"/>
  <c r="G84" i="13"/>
  <c r="G86" i="13"/>
  <c r="G88" i="13"/>
  <c r="G90" i="13"/>
  <c r="G92" i="13"/>
  <c r="G94" i="13"/>
  <c r="G96" i="13"/>
  <c r="G98" i="13"/>
  <c r="G100" i="13"/>
  <c r="G102" i="13"/>
  <c r="G104" i="13"/>
  <c r="G106" i="13"/>
  <c r="G114" i="13"/>
  <c r="G110" i="13"/>
  <c r="G116" i="13"/>
  <c r="G112" i="13"/>
  <c r="G108" i="13"/>
  <c r="G118" i="13"/>
  <c r="G149" i="13"/>
  <c r="G141" i="13"/>
  <c r="G133" i="13"/>
  <c r="G125" i="13"/>
  <c r="G150" i="13"/>
  <c r="G134" i="13"/>
  <c r="G145" i="13"/>
  <c r="G137" i="13"/>
  <c r="G129" i="13"/>
  <c r="G121" i="13"/>
  <c r="G142" i="13"/>
  <c r="G126" i="13"/>
  <c r="G122" i="13"/>
  <c r="G138" i="13"/>
  <c r="G146" i="13"/>
  <c r="G130" i="13"/>
  <c r="C26" i="9"/>
  <c r="C24" i="9"/>
  <c r="Q113" i="9"/>
  <c r="Q124" i="9"/>
  <c r="Q138" i="9"/>
  <c r="Q144" i="9"/>
  <c r="Q122" i="9"/>
  <c r="Q130" i="9"/>
  <c r="Q128" i="9"/>
  <c r="Q140" i="9"/>
  <c r="Q126" i="9"/>
  <c r="Q152" i="9"/>
  <c r="Q132" i="9"/>
  <c r="Q136" i="9"/>
  <c r="Q153" i="9"/>
  <c r="Q158" i="9"/>
  <c r="Q120" i="9"/>
  <c r="Q148" i="9"/>
  <c r="Q156" i="9"/>
  <c r="Q145" i="9"/>
  <c r="Q149" i="9"/>
  <c r="Q157" i="9"/>
  <c r="Q201" i="9"/>
  <c r="Q178" i="9"/>
  <c r="Q177" i="9"/>
  <c r="Q176" i="9"/>
  <c r="Q174" i="9"/>
  <c r="Q173" i="9"/>
  <c r="Q165" i="9"/>
  <c r="Q164" i="9"/>
  <c r="Q109" i="9"/>
  <c r="Q105" i="9"/>
  <c r="Q197" i="9"/>
  <c r="Q196" i="9"/>
  <c r="Q193" i="9"/>
  <c r="Q192" i="9"/>
  <c r="Q180" i="9"/>
  <c r="Q172" i="9"/>
  <c r="Q169" i="9"/>
  <c r="Q168" i="9"/>
  <c r="Q117" i="9"/>
  <c r="Q198" i="9"/>
  <c r="Q85" i="9"/>
  <c r="Q141" i="9"/>
  <c r="Q137" i="9"/>
  <c r="Q133" i="9"/>
  <c r="Q129" i="9"/>
  <c r="Q125" i="9"/>
  <c r="Q121" i="9"/>
  <c r="Q97" i="9"/>
  <c r="Q88" i="9"/>
  <c r="Q84" i="9"/>
  <c r="Q70" i="9"/>
  <c r="Q161" i="9"/>
  <c r="Q187" i="9"/>
  <c r="Q112" i="9"/>
  <c r="Q160" i="9"/>
  <c r="Q80" i="9"/>
  <c r="Q189" i="9"/>
  <c r="Q188" i="9"/>
  <c r="Q186" i="9"/>
  <c r="Q185" i="9"/>
  <c r="Q184" i="9"/>
  <c r="Q182" i="9"/>
  <c r="Q181" i="9"/>
  <c r="Q200" i="9"/>
  <c r="Q92" i="9"/>
  <c r="Q104" i="9"/>
  <c r="Q100" i="9"/>
  <c r="Q96" i="9"/>
  <c r="Q93" i="9"/>
  <c r="Q89" i="9"/>
  <c r="Q81" i="9"/>
  <c r="Q72" i="9"/>
  <c r="Q68" i="9"/>
  <c r="Q101" i="9"/>
  <c r="Q116" i="9"/>
  <c r="Q108" i="9"/>
  <c r="Q77" i="9"/>
  <c r="Q73" i="9"/>
  <c r="Q69" i="9"/>
  <c r="Q76" i="9"/>
  <c r="E93" i="9"/>
  <c r="E89" i="9"/>
  <c r="E128" i="9"/>
  <c r="E134" i="9"/>
  <c r="E140" i="9"/>
  <c r="E148" i="9"/>
  <c r="E150" i="9"/>
  <c r="E152" i="9"/>
  <c r="E156" i="9"/>
  <c r="E158" i="9"/>
  <c r="E81" i="9"/>
  <c r="E120" i="9"/>
  <c r="E126" i="9"/>
  <c r="E132" i="9"/>
  <c r="E113" i="9"/>
  <c r="E124" i="9"/>
  <c r="E138" i="9"/>
  <c r="E122" i="9"/>
  <c r="E153" i="9"/>
  <c r="E201" i="9"/>
  <c r="E160" i="9"/>
  <c r="E136" i="9"/>
  <c r="E144" i="9"/>
  <c r="E149" i="9"/>
  <c r="E157" i="9"/>
  <c r="E117" i="9"/>
  <c r="E85" i="9"/>
  <c r="E80" i="9"/>
  <c r="E76" i="9"/>
  <c r="E72" i="9"/>
  <c r="E68" i="9"/>
  <c r="E105" i="9"/>
  <c r="E202" i="9"/>
  <c r="E200" i="9"/>
  <c r="E196" i="9"/>
  <c r="E192" i="9"/>
  <c r="E188" i="9"/>
  <c r="E184" i="9"/>
  <c r="E180" i="9"/>
  <c r="E176" i="9"/>
  <c r="E172" i="9"/>
  <c r="E168" i="9"/>
  <c r="E164" i="9"/>
  <c r="E116" i="9"/>
  <c r="E108" i="9"/>
  <c r="E92" i="9"/>
  <c r="E104" i="9"/>
  <c r="E96" i="9"/>
  <c r="E197" i="9"/>
  <c r="E193" i="9"/>
  <c r="E189" i="9"/>
  <c r="E185" i="9"/>
  <c r="E181" i="9"/>
  <c r="E177" i="9"/>
  <c r="E173" i="9"/>
  <c r="E169" i="9"/>
  <c r="E165" i="9"/>
  <c r="E161" i="9"/>
  <c r="E109" i="9"/>
  <c r="E145" i="9"/>
  <c r="E141" i="9"/>
  <c r="E137" i="9"/>
  <c r="E133" i="9"/>
  <c r="E129" i="9"/>
  <c r="E125" i="9"/>
  <c r="E121" i="9"/>
  <c r="E101" i="9"/>
  <c r="E77" i="9"/>
  <c r="E100" i="9"/>
  <c r="E69" i="9"/>
  <c r="E112" i="9"/>
  <c r="E194" i="9"/>
  <c r="E190" i="9"/>
  <c r="E178" i="9"/>
  <c r="E174" i="9"/>
  <c r="E162" i="9"/>
  <c r="E97" i="9"/>
  <c r="E88" i="9"/>
  <c r="E84" i="9"/>
  <c r="E73" i="9"/>
  <c r="H92" i="9"/>
  <c r="H84" i="9"/>
  <c r="H96" i="9"/>
  <c r="H149" i="9"/>
  <c r="H153" i="9"/>
  <c r="H157" i="9"/>
  <c r="H100" i="9"/>
  <c r="H80" i="9"/>
  <c r="H152" i="9"/>
  <c r="H104" i="9"/>
  <c r="H148" i="9"/>
  <c r="H156" i="9"/>
  <c r="H160" i="9"/>
  <c r="H202" i="9"/>
  <c r="H154" i="9"/>
  <c r="H200" i="9"/>
  <c r="H69" i="9"/>
  <c r="H72" i="9"/>
  <c r="H68" i="9"/>
  <c r="H73" i="9"/>
  <c r="H76" i="9"/>
  <c r="H194" i="9"/>
  <c r="H190" i="9"/>
  <c r="H178" i="9"/>
  <c r="H174" i="9"/>
  <c r="H162" i="9"/>
  <c r="H137" i="9"/>
  <c r="H133" i="9"/>
  <c r="H121" i="9"/>
  <c r="H85" i="9"/>
  <c r="H116" i="9"/>
  <c r="H108" i="9"/>
  <c r="H97" i="9"/>
  <c r="H134" i="9"/>
  <c r="H130" i="9"/>
  <c r="H201" i="9"/>
  <c r="H109" i="9"/>
  <c r="H88" i="9"/>
  <c r="H117" i="9"/>
  <c r="H105" i="9"/>
  <c r="H196" i="9"/>
  <c r="H192" i="9"/>
  <c r="H188" i="9"/>
  <c r="H184" i="9"/>
  <c r="H180" i="9"/>
  <c r="H176" i="9"/>
  <c r="H172" i="9"/>
  <c r="H168" i="9"/>
  <c r="H164" i="9"/>
  <c r="H112" i="9"/>
  <c r="H145" i="9"/>
  <c r="H141" i="9"/>
  <c r="H144" i="9"/>
  <c r="H140" i="9"/>
  <c r="H136" i="9"/>
  <c r="H132" i="9"/>
  <c r="H128" i="9"/>
  <c r="H124" i="9"/>
  <c r="H120" i="9"/>
  <c r="H81" i="9"/>
  <c r="H197" i="9"/>
  <c r="H193" i="9"/>
  <c r="H189" i="9"/>
  <c r="H185" i="9"/>
  <c r="H181" i="9"/>
  <c r="H177" i="9"/>
  <c r="H173" i="9"/>
  <c r="H169" i="9"/>
  <c r="H165" i="9"/>
  <c r="H161" i="9"/>
  <c r="H101" i="9"/>
  <c r="H129" i="9"/>
  <c r="H125" i="9"/>
  <c r="H113" i="9"/>
  <c r="H93" i="9"/>
  <c r="H89" i="9"/>
  <c r="H77" i="9"/>
  <c r="E50" i="12"/>
  <c r="B42" i="15"/>
  <c r="B109" i="14"/>
  <c r="B116" i="14"/>
  <c r="B125" i="14"/>
  <c r="B130" i="14"/>
  <c r="B134" i="14"/>
  <c r="B136" i="14"/>
  <c r="B146" i="14"/>
  <c r="B69" i="14"/>
  <c r="B72" i="14"/>
  <c r="B77" i="14"/>
  <c r="B80" i="14"/>
  <c r="B85" i="14"/>
  <c r="B88" i="14"/>
  <c r="B93" i="14"/>
  <c r="B96" i="14"/>
  <c r="B101" i="14"/>
  <c r="B113" i="14"/>
  <c r="B121" i="14"/>
  <c r="B138" i="14"/>
  <c r="B142" i="14"/>
  <c r="B150" i="14"/>
  <c r="B105" i="14"/>
  <c r="B128" i="14"/>
  <c r="B137" i="14"/>
  <c r="B141" i="14"/>
  <c r="B68" i="14"/>
  <c r="B73" i="14"/>
  <c r="B76" i="14"/>
  <c r="B81" i="14"/>
  <c r="B84" i="14"/>
  <c r="B89" i="14"/>
  <c r="B92" i="14"/>
  <c r="B97" i="14"/>
  <c r="B100" i="14"/>
  <c r="B112" i="14"/>
  <c r="B120" i="14"/>
  <c r="B122" i="14"/>
  <c r="B124" i="14"/>
  <c r="B126" i="14"/>
  <c r="B133" i="14"/>
  <c r="B78" i="14"/>
  <c r="B104" i="14"/>
  <c r="B108" i="14"/>
  <c r="B110" i="14"/>
  <c r="B117" i="14"/>
  <c r="B129" i="14"/>
  <c r="B190" i="14"/>
  <c r="B174" i="14"/>
  <c r="B158" i="14"/>
  <c r="B148" i="14"/>
  <c r="B192" i="14"/>
  <c r="B176" i="14"/>
  <c r="B160" i="14"/>
  <c r="B202" i="14"/>
  <c r="B186" i="14"/>
  <c r="B170" i="14"/>
  <c r="B154" i="14"/>
  <c r="B188" i="14"/>
  <c r="B172" i="14"/>
  <c r="B156" i="14"/>
  <c r="B197" i="14"/>
  <c r="B189" i="14"/>
  <c r="B181" i="14"/>
  <c r="B173" i="14"/>
  <c r="B165" i="14"/>
  <c r="B157" i="14"/>
  <c r="B198" i="14"/>
  <c r="B182" i="14"/>
  <c r="B166" i="14"/>
  <c r="B200" i="14"/>
  <c r="B184" i="14"/>
  <c r="B168" i="14"/>
  <c r="B152" i="14"/>
  <c r="B163" i="14"/>
  <c r="B194" i="14"/>
  <c r="B178" i="14"/>
  <c r="B162" i="14"/>
  <c r="B201" i="14"/>
  <c r="B196" i="14"/>
  <c r="B180" i="14"/>
  <c r="B164" i="14"/>
  <c r="B193" i="14"/>
  <c r="B185" i="14"/>
  <c r="B177" i="14"/>
  <c r="B169" i="14"/>
  <c r="B161" i="14"/>
  <c r="B153" i="14"/>
  <c r="B140" i="14"/>
  <c r="B144" i="14"/>
  <c r="B145" i="14"/>
  <c r="B119" i="14"/>
  <c r="B149" i="14"/>
  <c r="B132" i="14"/>
  <c r="F81" i="9"/>
  <c r="F84" i="9"/>
  <c r="F89" i="9"/>
  <c r="F88" i="9"/>
  <c r="F93" i="9"/>
  <c r="F100" i="9"/>
  <c r="F122" i="9"/>
  <c r="F130" i="9"/>
  <c r="F136" i="9"/>
  <c r="F137" i="9"/>
  <c r="F142" i="9"/>
  <c r="F97" i="9"/>
  <c r="F128" i="9"/>
  <c r="F129" i="9"/>
  <c r="F108" i="9"/>
  <c r="F116" i="9"/>
  <c r="F120" i="9"/>
  <c r="F126" i="9"/>
  <c r="F132" i="9"/>
  <c r="F133" i="9"/>
  <c r="F124" i="9"/>
  <c r="F125" i="9"/>
  <c r="F138" i="9"/>
  <c r="F140" i="9"/>
  <c r="F145" i="9"/>
  <c r="F115" i="9"/>
  <c r="F113" i="9"/>
  <c r="F141" i="9"/>
  <c r="F134" i="9"/>
  <c r="F144" i="9"/>
  <c r="F200" i="9"/>
  <c r="F117" i="9"/>
  <c r="F202" i="9"/>
  <c r="F197" i="9"/>
  <c r="F196" i="9"/>
  <c r="F194" i="9"/>
  <c r="F193" i="9"/>
  <c r="F192" i="9"/>
  <c r="F180" i="9"/>
  <c r="F178" i="9"/>
  <c r="F177" i="9"/>
  <c r="F176" i="9"/>
  <c r="F174" i="9"/>
  <c r="F173" i="9"/>
  <c r="F172" i="9"/>
  <c r="F170" i="9"/>
  <c r="F169" i="9"/>
  <c r="F168" i="9"/>
  <c r="F166" i="9"/>
  <c r="F165" i="9"/>
  <c r="F164" i="9"/>
  <c r="F161" i="9"/>
  <c r="F105" i="9"/>
  <c r="F190" i="9"/>
  <c r="F189" i="9"/>
  <c r="F188" i="9"/>
  <c r="F186" i="9"/>
  <c r="F185" i="9"/>
  <c r="F184" i="9"/>
  <c r="F182" i="9"/>
  <c r="F181" i="9"/>
  <c r="F201" i="9"/>
  <c r="F92" i="9"/>
  <c r="F66" i="9"/>
  <c r="F109" i="9"/>
  <c r="F158" i="9"/>
  <c r="F154" i="9"/>
  <c r="F150" i="9"/>
  <c r="F146" i="9"/>
  <c r="F114" i="9"/>
  <c r="F104" i="9"/>
  <c r="F96" i="9"/>
  <c r="F162" i="9"/>
  <c r="F112" i="9"/>
  <c r="F121" i="9"/>
  <c r="F157" i="9"/>
  <c r="F153" i="9"/>
  <c r="F149" i="9"/>
  <c r="F72" i="9"/>
  <c r="F68" i="9"/>
  <c r="F198" i="9"/>
  <c r="F101" i="9"/>
  <c r="F85" i="9"/>
  <c r="F80" i="9"/>
  <c r="F160" i="9"/>
  <c r="F156" i="9"/>
  <c r="F152" i="9"/>
  <c r="F148" i="9"/>
  <c r="F77" i="9"/>
  <c r="F73" i="9"/>
  <c r="F69" i="9"/>
  <c r="F76" i="9"/>
  <c r="M7" i="17"/>
  <c r="M11" i="17"/>
  <c r="M15" i="17"/>
  <c r="M19" i="17"/>
  <c r="M23" i="17"/>
  <c r="M27" i="17"/>
  <c r="M31" i="17"/>
  <c r="M35" i="17"/>
  <c r="M39" i="17"/>
  <c r="M43" i="17"/>
  <c r="M8" i="17"/>
  <c r="M12" i="17"/>
  <c r="M16" i="17"/>
  <c r="M20" i="17"/>
  <c r="M24" i="17"/>
  <c r="M28" i="17"/>
  <c r="M32" i="17"/>
  <c r="M36" i="17"/>
  <c r="M40" i="17"/>
  <c r="M44" i="17"/>
  <c r="M48" i="17"/>
  <c r="M52" i="17"/>
  <c r="M56" i="17"/>
  <c r="M60" i="17"/>
  <c r="M64" i="17"/>
  <c r="M68" i="17"/>
  <c r="M72" i="17"/>
  <c r="M29" i="17"/>
  <c r="M55" i="17"/>
  <c r="M71" i="17"/>
  <c r="M76" i="17"/>
  <c r="M80" i="17"/>
  <c r="M84" i="17"/>
  <c r="M88" i="17"/>
  <c r="M92" i="17"/>
  <c r="M96" i="17"/>
  <c r="M100" i="17"/>
  <c r="M104" i="17"/>
  <c r="M108" i="17"/>
  <c r="M112" i="17"/>
  <c r="M116" i="17"/>
  <c r="M120" i="17"/>
  <c r="M124" i="17"/>
  <c r="M128" i="17"/>
  <c r="M132" i="17"/>
  <c r="M136" i="17"/>
  <c r="M140" i="17"/>
  <c r="M144" i="17"/>
  <c r="M148" i="17"/>
  <c r="M152" i="17"/>
  <c r="M156" i="17"/>
  <c r="M160" i="17"/>
  <c r="M164" i="17"/>
  <c r="M168" i="17"/>
  <c r="M172" i="17"/>
  <c r="M176" i="17"/>
  <c r="M180" i="17"/>
  <c r="M184" i="17"/>
  <c r="M188" i="17"/>
  <c r="M192" i="17"/>
  <c r="M196" i="17"/>
  <c r="M200" i="17"/>
  <c r="M51" i="17"/>
  <c r="M57" i="17"/>
  <c r="M67" i="17"/>
  <c r="M81" i="17"/>
  <c r="M113" i="17"/>
  <c r="M121" i="17"/>
  <c r="M125" i="17"/>
  <c r="M129" i="17"/>
  <c r="M133" i="17"/>
  <c r="M137" i="17"/>
  <c r="M141" i="17"/>
  <c r="M145" i="17"/>
  <c r="M149" i="17"/>
  <c r="M153" i="17"/>
  <c r="M157" i="17"/>
  <c r="M161" i="17"/>
  <c r="M165" i="17"/>
  <c r="M169" i="17"/>
  <c r="M173" i="17"/>
  <c r="M177" i="17"/>
  <c r="M181" i="17"/>
  <c r="M185" i="17"/>
  <c r="M189" i="17"/>
  <c r="M193" i="17"/>
  <c r="M197" i="17"/>
  <c r="M201" i="17"/>
  <c r="M47" i="17"/>
  <c r="M63" i="17"/>
  <c r="M162" i="17"/>
  <c r="M59" i="17"/>
  <c r="M75" i="17"/>
  <c r="M79" i="17"/>
  <c r="M83" i="17"/>
  <c r="M87" i="17"/>
  <c r="M91" i="17"/>
  <c r="M95" i="17"/>
  <c r="M99" i="17"/>
  <c r="M103" i="17"/>
  <c r="M107" i="17"/>
  <c r="M111" i="17"/>
  <c r="M115" i="17"/>
  <c r="M119" i="17"/>
  <c r="M123" i="17"/>
  <c r="M127" i="17"/>
  <c r="M131" i="17"/>
  <c r="M135" i="17"/>
  <c r="M139" i="17"/>
  <c r="M143" i="17"/>
  <c r="M147" i="17"/>
  <c r="M151" i="17"/>
  <c r="M155" i="17"/>
  <c r="M159" i="17"/>
  <c r="M163" i="17"/>
  <c r="M167" i="17"/>
  <c r="M171" i="17"/>
  <c r="M175" i="17"/>
  <c r="M179" i="17"/>
  <c r="M183" i="17"/>
  <c r="M187" i="17"/>
  <c r="M191" i="17"/>
  <c r="M195" i="17"/>
  <c r="M199" i="17"/>
  <c r="M3" i="17"/>
  <c r="H67" i="19"/>
  <c r="H99" i="19"/>
  <c r="H123" i="19"/>
  <c r="H127" i="19"/>
  <c r="H131" i="19"/>
  <c r="H135" i="19"/>
  <c r="H139" i="19"/>
  <c r="H143" i="19"/>
  <c r="H147" i="19"/>
  <c r="H151" i="19"/>
  <c r="H155" i="19"/>
  <c r="H159" i="19"/>
  <c r="H163" i="19"/>
  <c r="H167" i="19"/>
  <c r="H171" i="19"/>
  <c r="H175" i="19"/>
  <c r="H179" i="19"/>
  <c r="H183" i="19"/>
  <c r="H187" i="19"/>
  <c r="H191" i="19"/>
  <c r="H195" i="19"/>
  <c r="H199" i="19"/>
  <c r="H84" i="19"/>
  <c r="H180" i="19"/>
  <c r="H69" i="19"/>
  <c r="H73" i="19"/>
  <c r="H77" i="19"/>
  <c r="H81" i="19"/>
  <c r="H85" i="19"/>
  <c r="H89" i="19"/>
  <c r="H93" i="19"/>
  <c r="H97" i="19"/>
  <c r="H101" i="19"/>
  <c r="H105" i="19"/>
  <c r="H109" i="19"/>
  <c r="H113" i="19"/>
  <c r="H117" i="19"/>
  <c r="H121" i="19"/>
  <c r="H125" i="19"/>
  <c r="H129" i="19"/>
  <c r="H133" i="19"/>
  <c r="H137" i="19"/>
  <c r="H141" i="19"/>
  <c r="H145" i="19"/>
  <c r="H149" i="19"/>
  <c r="H153" i="19"/>
  <c r="H157" i="19"/>
  <c r="H161" i="19"/>
  <c r="H165" i="19"/>
  <c r="H169" i="19"/>
  <c r="H173" i="19"/>
  <c r="H177" i="19"/>
  <c r="H181" i="19"/>
  <c r="H185" i="19"/>
  <c r="H189" i="19"/>
  <c r="H193" i="19"/>
  <c r="H197" i="19"/>
  <c r="H201" i="19"/>
  <c r="H66" i="19"/>
  <c r="H70" i="19"/>
  <c r="H74" i="19"/>
  <c r="H78" i="19"/>
  <c r="H82" i="19"/>
  <c r="H86" i="19"/>
  <c r="H90" i="19"/>
  <c r="H94" i="19"/>
  <c r="H98" i="19"/>
  <c r="H102" i="19"/>
  <c r="H106" i="19"/>
  <c r="H110" i="19"/>
  <c r="H114" i="19"/>
  <c r="H118" i="19"/>
  <c r="H122" i="19"/>
  <c r="H126" i="19"/>
  <c r="H130" i="19"/>
  <c r="H134" i="19"/>
  <c r="H138" i="19"/>
  <c r="H142" i="19"/>
  <c r="H146" i="19"/>
  <c r="H150" i="19"/>
  <c r="H154" i="19"/>
  <c r="H158" i="19"/>
  <c r="H162" i="19"/>
  <c r="H166" i="19"/>
  <c r="H170" i="19"/>
  <c r="H174" i="19"/>
  <c r="H178" i="19"/>
  <c r="H182" i="19"/>
  <c r="H186" i="19"/>
  <c r="H190" i="19"/>
  <c r="H194" i="19"/>
  <c r="H198" i="19"/>
  <c r="H202" i="19"/>
  <c r="E7" i="17"/>
  <c r="E11" i="17"/>
  <c r="E15" i="17"/>
  <c r="E19" i="17"/>
  <c r="E23" i="17"/>
  <c r="E27" i="17"/>
  <c r="E31" i="17"/>
  <c r="E35" i="17"/>
  <c r="E39" i="17"/>
  <c r="E43" i="17"/>
  <c r="E8" i="17"/>
  <c r="E12" i="17"/>
  <c r="E16" i="17"/>
  <c r="E20" i="17"/>
  <c r="E24" i="17"/>
  <c r="E28" i="17"/>
  <c r="E32" i="17"/>
  <c r="E36" i="17"/>
  <c r="E40" i="17"/>
  <c r="E44" i="17"/>
  <c r="E33" i="17"/>
  <c r="E65" i="17"/>
  <c r="E52" i="17"/>
  <c r="E55" i="17"/>
  <c r="E68" i="17"/>
  <c r="E71" i="17"/>
  <c r="E105" i="17"/>
  <c r="E121" i="17"/>
  <c r="E125" i="17"/>
  <c r="E129" i="17"/>
  <c r="E133" i="17"/>
  <c r="E137" i="17"/>
  <c r="E141" i="17"/>
  <c r="E145" i="17"/>
  <c r="E149" i="17"/>
  <c r="E153" i="17"/>
  <c r="E157" i="17"/>
  <c r="E161" i="17"/>
  <c r="E165" i="17"/>
  <c r="E169" i="17"/>
  <c r="E173" i="17"/>
  <c r="E177" i="17"/>
  <c r="E181" i="17"/>
  <c r="E185" i="17"/>
  <c r="E189" i="17"/>
  <c r="E193" i="17"/>
  <c r="E197" i="17"/>
  <c r="E201" i="17"/>
  <c r="E48" i="17"/>
  <c r="E51" i="17"/>
  <c r="E64" i="17"/>
  <c r="E67" i="17"/>
  <c r="E146" i="17"/>
  <c r="E47" i="17"/>
  <c r="E60" i="17"/>
  <c r="E63" i="17"/>
  <c r="E75" i="17"/>
  <c r="E79" i="17"/>
  <c r="E83" i="17"/>
  <c r="E87" i="17"/>
  <c r="E91" i="17"/>
  <c r="E95" i="17"/>
  <c r="E99" i="17"/>
  <c r="E103" i="17"/>
  <c r="E107" i="17"/>
  <c r="E111" i="17"/>
  <c r="E115" i="17"/>
  <c r="E119" i="17"/>
  <c r="E123" i="17"/>
  <c r="E127" i="17"/>
  <c r="E131" i="17"/>
  <c r="E135" i="17"/>
  <c r="E139" i="17"/>
  <c r="E143" i="17"/>
  <c r="E147" i="17"/>
  <c r="E151" i="17"/>
  <c r="E155" i="17"/>
  <c r="E159" i="17"/>
  <c r="E163" i="17"/>
  <c r="E167" i="17"/>
  <c r="E171" i="17"/>
  <c r="E175" i="17"/>
  <c r="E179" i="17"/>
  <c r="E183" i="17"/>
  <c r="E187" i="17"/>
  <c r="E191" i="17"/>
  <c r="E195" i="17"/>
  <c r="E199" i="17"/>
  <c r="E56" i="17"/>
  <c r="E59" i="17"/>
  <c r="E72" i="17"/>
  <c r="E76" i="17"/>
  <c r="E80" i="17"/>
  <c r="E84" i="17"/>
  <c r="E88" i="17"/>
  <c r="E92" i="17"/>
  <c r="E96" i="17"/>
  <c r="E100" i="17"/>
  <c r="E104" i="17"/>
  <c r="E108" i="17"/>
  <c r="E112" i="17"/>
  <c r="E116" i="17"/>
  <c r="E120" i="17"/>
  <c r="E124" i="17"/>
  <c r="E128" i="17"/>
  <c r="E132" i="17"/>
  <c r="E136" i="17"/>
  <c r="E140" i="17"/>
  <c r="E144" i="17"/>
  <c r="E148" i="17"/>
  <c r="E152" i="17"/>
  <c r="E156" i="17"/>
  <c r="E160" i="17"/>
  <c r="E164" i="17"/>
  <c r="E168" i="17"/>
  <c r="E172" i="17"/>
  <c r="E176" i="17"/>
  <c r="E180" i="17"/>
  <c r="E184" i="17"/>
  <c r="E188" i="17"/>
  <c r="E192" i="17"/>
  <c r="E196" i="17"/>
  <c r="E200" i="17"/>
  <c r="E3" i="17"/>
  <c r="E138" i="10"/>
  <c r="E141" i="10"/>
  <c r="E142" i="10"/>
  <c r="E144" i="10"/>
  <c r="E149" i="10"/>
  <c r="E153" i="10"/>
  <c r="E171" i="10"/>
  <c r="E173" i="10"/>
  <c r="E174" i="10"/>
  <c r="E175" i="10"/>
  <c r="E181" i="10"/>
  <c r="E185" i="10"/>
  <c r="E193" i="10"/>
  <c r="E201" i="10"/>
  <c r="E145" i="10"/>
  <c r="E156" i="10"/>
  <c r="E170" i="10"/>
  <c r="E177" i="10"/>
  <c r="E187" i="10"/>
  <c r="E190" i="10"/>
  <c r="E195" i="10"/>
  <c r="E198" i="10"/>
  <c r="E157" i="10"/>
  <c r="E158" i="10"/>
  <c r="E159" i="10"/>
  <c r="E165" i="10"/>
  <c r="E169" i="10"/>
  <c r="E189" i="10"/>
  <c r="E197" i="10"/>
  <c r="E137" i="10"/>
  <c r="E140" i="10"/>
  <c r="E154" i="10"/>
  <c r="E161" i="10"/>
  <c r="E183" i="10"/>
  <c r="E186" i="10"/>
  <c r="E191" i="10"/>
  <c r="E194" i="10"/>
  <c r="E199" i="10"/>
  <c r="E202" i="10"/>
  <c r="E162" i="10"/>
  <c r="E167" i="10"/>
  <c r="E166" i="10"/>
  <c r="E179" i="10"/>
  <c r="E182" i="10"/>
  <c r="E152" i="10"/>
  <c r="E150" i="10"/>
  <c r="E178" i="10"/>
  <c r="E163" i="10"/>
  <c r="E148" i="10"/>
  <c r="E146" i="10"/>
  <c r="M121" i="9"/>
  <c r="M129" i="9"/>
  <c r="M141" i="9"/>
  <c r="M149" i="9"/>
  <c r="M153" i="9"/>
  <c r="M157" i="9"/>
  <c r="M84" i="9"/>
  <c r="M88" i="9"/>
  <c r="M82" i="9"/>
  <c r="M108" i="9"/>
  <c r="M116" i="9"/>
  <c r="M125" i="9"/>
  <c r="M150" i="9"/>
  <c r="M158" i="9"/>
  <c r="M160" i="9"/>
  <c r="M202" i="9"/>
  <c r="M148" i="9"/>
  <c r="M156" i="9"/>
  <c r="M133" i="9"/>
  <c r="M146" i="9"/>
  <c r="M154" i="9"/>
  <c r="M137" i="9"/>
  <c r="M152" i="9"/>
  <c r="M200" i="9"/>
  <c r="M201" i="9"/>
  <c r="M199" i="9"/>
  <c r="M196" i="9"/>
  <c r="M192" i="9"/>
  <c r="M188" i="9"/>
  <c r="M184" i="9"/>
  <c r="M180" i="9"/>
  <c r="M176" i="9"/>
  <c r="M172" i="9"/>
  <c r="M168" i="9"/>
  <c r="M164" i="9"/>
  <c r="M109" i="9"/>
  <c r="M101" i="9"/>
  <c r="M80" i="9"/>
  <c r="M114" i="9"/>
  <c r="M96" i="9"/>
  <c r="M78" i="9"/>
  <c r="M76" i="9"/>
  <c r="M72" i="9"/>
  <c r="M197" i="9"/>
  <c r="M193" i="9"/>
  <c r="M189" i="9"/>
  <c r="M185" i="9"/>
  <c r="M181" i="9"/>
  <c r="M177" i="9"/>
  <c r="M173" i="9"/>
  <c r="M169" i="9"/>
  <c r="M165" i="9"/>
  <c r="M161" i="9"/>
  <c r="M85" i="9"/>
  <c r="M144" i="9"/>
  <c r="M142" i="9"/>
  <c r="M140" i="9"/>
  <c r="M138" i="9"/>
  <c r="M136" i="9"/>
  <c r="M134" i="9"/>
  <c r="M132" i="9"/>
  <c r="M130" i="9"/>
  <c r="M128" i="9"/>
  <c r="M126" i="9"/>
  <c r="M124" i="9"/>
  <c r="M122" i="9"/>
  <c r="M120" i="9"/>
  <c r="M97" i="9"/>
  <c r="M198" i="9"/>
  <c r="M194" i="9"/>
  <c r="M190" i="9"/>
  <c r="M186" i="9"/>
  <c r="M182" i="9"/>
  <c r="M178" i="9"/>
  <c r="M174" i="9"/>
  <c r="M170" i="9"/>
  <c r="M166" i="9"/>
  <c r="M162" i="9"/>
  <c r="M113" i="9"/>
  <c r="M100" i="9"/>
  <c r="M92" i="9"/>
  <c r="M145" i="9"/>
  <c r="M104" i="9"/>
  <c r="M86" i="9"/>
  <c r="M93" i="9"/>
  <c r="M89" i="9"/>
  <c r="M73" i="9"/>
  <c r="M69" i="9"/>
  <c r="M105" i="9"/>
  <c r="M112" i="9"/>
  <c r="M179" i="9"/>
  <c r="M117" i="9"/>
  <c r="M77" i="9"/>
  <c r="M81" i="9"/>
  <c r="M66" i="9"/>
  <c r="M68" i="9"/>
  <c r="I4" i="9"/>
  <c r="AB16" i="9"/>
  <c r="B22" i="9"/>
  <c r="AB29" i="9"/>
  <c r="Q40" i="9"/>
  <c r="E44" i="9"/>
  <c r="AB58" i="9"/>
  <c r="I64" i="9"/>
  <c r="B14" i="11"/>
  <c r="B19" i="11"/>
  <c r="B37" i="11"/>
  <c r="B42" i="11"/>
  <c r="B57" i="11"/>
  <c r="B61" i="11"/>
  <c r="B65" i="11"/>
  <c r="H23" i="12"/>
  <c r="H39" i="12"/>
  <c r="C43" i="12"/>
  <c r="C54" i="12"/>
  <c r="H59" i="12"/>
  <c r="H63" i="12"/>
  <c r="G4" i="13"/>
  <c r="B10" i="13"/>
  <c r="F14" i="13"/>
  <c r="G20" i="13"/>
  <c r="G24" i="13"/>
  <c r="B29" i="13"/>
  <c r="G40" i="13"/>
  <c r="G46" i="13"/>
  <c r="B53" i="13"/>
  <c r="B58" i="13"/>
  <c r="G64" i="13"/>
  <c r="D13" i="14"/>
  <c r="B17" i="14"/>
  <c r="D28" i="14"/>
  <c r="D36" i="14"/>
  <c r="D41" i="14"/>
  <c r="D52" i="14"/>
  <c r="D64" i="14"/>
  <c r="B6" i="15"/>
  <c r="B14" i="15"/>
  <c r="B37" i="15"/>
  <c r="B46" i="15"/>
  <c r="B50" i="15"/>
  <c r="B62" i="15"/>
  <c r="EZ147" i="8"/>
  <c r="EZ156" i="8"/>
  <c r="EZ140" i="8"/>
  <c r="EZ141" i="8"/>
  <c r="EZ148" i="8"/>
  <c r="EZ149" i="8"/>
  <c r="EZ160" i="8"/>
  <c r="EZ161" i="8"/>
  <c r="EZ151" i="8"/>
  <c r="EZ144" i="8"/>
  <c r="EZ163" i="8"/>
  <c r="EZ167" i="8"/>
  <c r="EZ172" i="8"/>
  <c r="EZ175" i="8"/>
  <c r="EZ139" i="8"/>
  <c r="EZ145" i="8"/>
  <c r="EZ155" i="8"/>
  <c r="EZ173" i="8"/>
  <c r="EZ152" i="8"/>
  <c r="EZ164" i="8"/>
  <c r="EZ168" i="8"/>
  <c r="EZ171" i="8"/>
  <c r="EZ176" i="8"/>
  <c r="EZ196" i="8"/>
  <c r="EZ197" i="8"/>
  <c r="EZ153" i="8"/>
  <c r="EZ177" i="8"/>
  <c r="EZ180" i="8"/>
  <c r="EZ188" i="8"/>
  <c r="EZ195" i="8"/>
  <c r="EZ202" i="8"/>
  <c r="EZ169" i="8"/>
  <c r="EZ181" i="8"/>
  <c r="EZ189" i="8"/>
  <c r="EZ201" i="8"/>
  <c r="EZ184" i="8"/>
  <c r="EZ192" i="8"/>
  <c r="EZ199" i="8"/>
  <c r="EZ185" i="8"/>
  <c r="EZ165" i="8"/>
  <c r="EZ157" i="8"/>
  <c r="EZ159" i="8"/>
  <c r="EZ191" i="8"/>
  <c r="EZ193" i="8"/>
  <c r="EZ183" i="8"/>
  <c r="EZ187" i="8"/>
  <c r="EQ139" i="8"/>
  <c r="EQ143" i="8"/>
  <c r="EQ151" i="8"/>
  <c r="EQ156" i="8"/>
  <c r="EQ157" i="8"/>
  <c r="EQ140" i="8"/>
  <c r="EQ145" i="8"/>
  <c r="EQ148" i="8"/>
  <c r="EQ153" i="8"/>
  <c r="EQ160" i="8"/>
  <c r="EQ147" i="8"/>
  <c r="EQ155" i="8"/>
  <c r="EQ141" i="8"/>
  <c r="EQ169" i="8"/>
  <c r="EQ172" i="8"/>
  <c r="EQ177" i="8"/>
  <c r="EQ152" i="8"/>
  <c r="EQ167" i="8"/>
  <c r="EQ175" i="8"/>
  <c r="EQ149" i="8"/>
  <c r="EQ161" i="8"/>
  <c r="EQ164" i="8"/>
  <c r="EQ168" i="8"/>
  <c r="EQ173" i="8"/>
  <c r="EQ176" i="8"/>
  <c r="EQ179" i="8"/>
  <c r="EQ199" i="8"/>
  <c r="EQ202" i="8"/>
  <c r="EQ180" i="8"/>
  <c r="EQ183" i="8"/>
  <c r="EQ187" i="8"/>
  <c r="EQ188" i="8"/>
  <c r="EQ191" i="8"/>
  <c r="EQ197" i="8"/>
  <c r="EQ144" i="8"/>
  <c r="EQ171" i="8"/>
  <c r="EQ195" i="8"/>
  <c r="EQ181" i="8"/>
  <c r="EQ184" i="8"/>
  <c r="EQ163" i="8"/>
  <c r="EQ185" i="8"/>
  <c r="EQ189" i="8"/>
  <c r="EQ192" i="8"/>
  <c r="EQ196" i="8"/>
  <c r="EQ165" i="8"/>
  <c r="EQ159" i="8"/>
  <c r="EQ193" i="8"/>
  <c r="CU147" i="8"/>
  <c r="CU156" i="8"/>
  <c r="CU139" i="8"/>
  <c r="CU140" i="8"/>
  <c r="CU141" i="8"/>
  <c r="CU148" i="8"/>
  <c r="CU149" i="8"/>
  <c r="CU155" i="8"/>
  <c r="CU160" i="8"/>
  <c r="CU161" i="8"/>
  <c r="CU143" i="8"/>
  <c r="CU151" i="8"/>
  <c r="CU145" i="8"/>
  <c r="CU152" i="8"/>
  <c r="CU171" i="8"/>
  <c r="CU172" i="8"/>
  <c r="CU169" i="8"/>
  <c r="CU177" i="8"/>
  <c r="CU144" i="8"/>
  <c r="CU153" i="8"/>
  <c r="CU163" i="8"/>
  <c r="CU164" i="8"/>
  <c r="CU167" i="8"/>
  <c r="CU168" i="8"/>
  <c r="CU175" i="8"/>
  <c r="CU176" i="8"/>
  <c r="CU181" i="8"/>
  <c r="CU189" i="8"/>
  <c r="CU201" i="8"/>
  <c r="CU179" i="8"/>
  <c r="CU180" i="8"/>
  <c r="CU188" i="8"/>
  <c r="CU199" i="8"/>
  <c r="CU173" i="8"/>
  <c r="CU185" i="8"/>
  <c r="CU196" i="8"/>
  <c r="CU197" i="8"/>
  <c r="CU187" i="8"/>
  <c r="CU192" i="8"/>
  <c r="CU195" i="8"/>
  <c r="CU202" i="8"/>
  <c r="CU184" i="8"/>
  <c r="CU165" i="8"/>
  <c r="CU193" i="8"/>
  <c r="CU183" i="8"/>
  <c r="CU159" i="8"/>
  <c r="CU157" i="8"/>
  <c r="CU191" i="8"/>
  <c r="AG146" i="8"/>
  <c r="AG147" i="8"/>
  <c r="AG156" i="8"/>
  <c r="AG140" i="8"/>
  <c r="AG141" i="8"/>
  <c r="AG148" i="8"/>
  <c r="AG149" i="8"/>
  <c r="AG160" i="8"/>
  <c r="AG161" i="8"/>
  <c r="AG143" i="8"/>
  <c r="AG150" i="8"/>
  <c r="AG151" i="8"/>
  <c r="AG144" i="8"/>
  <c r="AG155" i="8"/>
  <c r="AG163" i="8"/>
  <c r="AG164" i="8"/>
  <c r="AG167" i="8"/>
  <c r="AG172" i="8"/>
  <c r="AG175" i="8"/>
  <c r="AG153" i="8"/>
  <c r="AG170" i="8"/>
  <c r="AG173" i="8"/>
  <c r="AG139" i="8"/>
  <c r="AG152" i="8"/>
  <c r="AG162" i="8"/>
  <c r="AG168" i="8"/>
  <c r="AG171" i="8"/>
  <c r="AG176" i="8"/>
  <c r="AG182" i="8"/>
  <c r="AG196" i="8"/>
  <c r="AG197" i="8"/>
  <c r="AG145" i="8"/>
  <c r="AG180" i="8"/>
  <c r="AG188" i="8"/>
  <c r="AG194" i="8"/>
  <c r="AG195" i="8"/>
  <c r="AG202" i="8"/>
  <c r="AG177" i="8"/>
  <c r="AG181" i="8"/>
  <c r="AG189" i="8"/>
  <c r="AG199" i="8"/>
  <c r="AG179" i="8"/>
  <c r="AG184" i="8"/>
  <c r="AG198" i="8"/>
  <c r="AG169" i="8"/>
  <c r="AG192" i="8"/>
  <c r="AG159" i="8"/>
  <c r="AG166" i="8"/>
  <c r="AG191" i="8"/>
  <c r="AG183" i="8"/>
  <c r="AG165" i="8"/>
  <c r="AG193" i="8"/>
  <c r="AG187" i="8"/>
  <c r="AG185" i="8"/>
  <c r="AG157" i="8"/>
  <c r="H143" i="16"/>
  <c r="H151" i="16"/>
  <c r="H159" i="16"/>
  <c r="H167" i="16"/>
  <c r="H175" i="16"/>
  <c r="H183" i="16"/>
  <c r="H142" i="16"/>
  <c r="H150" i="16"/>
  <c r="H158" i="16"/>
  <c r="H166" i="16"/>
  <c r="H174" i="16"/>
  <c r="H182" i="16"/>
  <c r="H146" i="16"/>
  <c r="H178" i="16"/>
  <c r="H154" i="16"/>
  <c r="H188" i="16"/>
  <c r="H162" i="16"/>
  <c r="H187" i="16"/>
  <c r="H192" i="16"/>
  <c r="H170" i="16"/>
  <c r="H196" i="16"/>
  <c r="H199" i="16"/>
  <c r="H191" i="16"/>
  <c r="H70" i="16"/>
  <c r="H74" i="16"/>
  <c r="H78" i="16"/>
  <c r="H82" i="16"/>
  <c r="H86" i="16"/>
  <c r="H90" i="16"/>
  <c r="H98" i="16"/>
  <c r="H102" i="16"/>
  <c r="H56" i="16"/>
  <c r="H94" i="16"/>
  <c r="H28" i="16"/>
  <c r="H99" i="16"/>
  <c r="H79" i="16"/>
  <c r="H96" i="16"/>
  <c r="H15" i="16"/>
  <c r="H50" i="16"/>
  <c r="H34" i="16"/>
  <c r="H10" i="16"/>
  <c r="H6" i="16"/>
  <c r="H103" i="16"/>
  <c r="H83" i="16"/>
  <c r="H66" i="16"/>
  <c r="H198" i="16"/>
  <c r="H47" i="16"/>
  <c r="H135" i="16"/>
  <c r="H131" i="16"/>
  <c r="H127" i="16"/>
  <c r="H123" i="16"/>
  <c r="H119" i="16"/>
  <c r="H115" i="16"/>
  <c r="H111" i="16"/>
  <c r="H107" i="16"/>
  <c r="H14" i="16"/>
  <c r="H39" i="16"/>
  <c r="H24" i="16"/>
  <c r="H200" i="16"/>
  <c r="H194" i="16"/>
  <c r="H155" i="16"/>
  <c r="H179" i="16"/>
  <c r="H100" i="16"/>
  <c r="H27" i="16"/>
  <c r="H54" i="16"/>
  <c r="H38" i="16"/>
  <c r="H91" i="16"/>
  <c r="H71" i="16"/>
  <c r="H58" i="16"/>
  <c r="H55" i="16"/>
  <c r="H65" i="16"/>
  <c r="H138" i="16"/>
  <c r="H134" i="16"/>
  <c r="H130" i="16"/>
  <c r="H126" i="16"/>
  <c r="H122" i="16"/>
  <c r="H118" i="16"/>
  <c r="H114" i="16"/>
  <c r="H110" i="16"/>
  <c r="H106" i="16"/>
  <c r="H163" i="16"/>
  <c r="H51" i="16"/>
  <c r="H7" i="16"/>
  <c r="H12" i="16"/>
  <c r="H8" i="16"/>
  <c r="H32" i="16"/>
  <c r="H195" i="16"/>
  <c r="H148" i="16"/>
  <c r="H190" i="16"/>
  <c r="H172" i="16"/>
  <c r="H87" i="16"/>
  <c r="H43" i="16"/>
  <c r="H42" i="16"/>
  <c r="H18" i="16"/>
  <c r="H67" i="16"/>
  <c r="H19" i="16"/>
  <c r="H11" i="16"/>
  <c r="H63" i="16"/>
  <c r="H23" i="16"/>
  <c r="H62" i="16"/>
  <c r="H48" i="16"/>
  <c r="H202" i="16"/>
  <c r="H147" i="16"/>
  <c r="H171" i="16"/>
  <c r="H84" i="16"/>
  <c r="H59" i="16"/>
  <c r="H46" i="16"/>
  <c r="H30" i="16"/>
  <c r="H26" i="16"/>
  <c r="H22" i="16"/>
  <c r="H95" i="16"/>
  <c r="H75" i="16"/>
  <c r="H68" i="16"/>
  <c r="H35" i="16"/>
  <c r="H37" i="16"/>
  <c r="H136" i="16"/>
  <c r="H132" i="16"/>
  <c r="H128" i="16"/>
  <c r="H124" i="16"/>
  <c r="H120" i="16"/>
  <c r="H108" i="16"/>
  <c r="H140" i="16"/>
  <c r="H160" i="16"/>
  <c r="H168" i="16"/>
  <c r="H186" i="16"/>
  <c r="H31" i="16"/>
  <c r="H176" i="16"/>
  <c r="H144" i="16"/>
  <c r="H156" i="16"/>
  <c r="H180" i="16"/>
  <c r="H164" i="16"/>
  <c r="H139" i="16"/>
  <c r="H184" i="16"/>
  <c r="H152" i="16"/>
  <c r="G188" i="16"/>
  <c r="G196" i="16"/>
  <c r="G147" i="16"/>
  <c r="G155" i="16"/>
  <c r="G163" i="16"/>
  <c r="G171" i="16"/>
  <c r="G179" i="16"/>
  <c r="G144" i="16"/>
  <c r="G159" i="16"/>
  <c r="G176" i="16"/>
  <c r="G152" i="16"/>
  <c r="G167" i="16"/>
  <c r="G184" i="16"/>
  <c r="G143" i="16"/>
  <c r="G160" i="16"/>
  <c r="G175" i="16"/>
  <c r="G168" i="16"/>
  <c r="G151" i="16"/>
  <c r="G93" i="16"/>
  <c r="G183" i="16"/>
  <c r="G119" i="16"/>
  <c r="G47" i="16"/>
  <c r="G23" i="16"/>
  <c r="G134" i="16"/>
  <c r="G118" i="16"/>
  <c r="G136" i="16"/>
  <c r="G62" i="16"/>
  <c r="G54" i="16"/>
  <c r="G38" i="16"/>
  <c r="G14" i="16"/>
  <c r="G94" i="16"/>
  <c r="G74" i="16"/>
  <c r="G19" i="16"/>
  <c r="G11" i="16"/>
  <c r="G67" i="16"/>
  <c r="G91" i="16"/>
  <c r="G55" i="16"/>
  <c r="G28" i="16"/>
  <c r="G12" i="16"/>
  <c r="G195" i="16"/>
  <c r="G148" i="16"/>
  <c r="G172" i="16"/>
  <c r="G192" i="16"/>
  <c r="G139" i="16"/>
  <c r="G68" i="16"/>
  <c r="G115" i="16"/>
  <c r="G95" i="16"/>
  <c r="G71" i="16"/>
  <c r="G39" i="16"/>
  <c r="G135" i="16"/>
  <c r="G130" i="16"/>
  <c r="G114" i="16"/>
  <c r="G128" i="16"/>
  <c r="G105" i="16"/>
  <c r="G42" i="16"/>
  <c r="G26" i="16"/>
  <c r="G22" i="16"/>
  <c r="G18" i="16"/>
  <c r="G102" i="16"/>
  <c r="G82" i="16"/>
  <c r="G99" i="16"/>
  <c r="G79" i="16"/>
  <c r="G48" i="16"/>
  <c r="G72" i="16"/>
  <c r="G131" i="16"/>
  <c r="G111" i="16"/>
  <c r="G63" i="16"/>
  <c r="G35" i="16"/>
  <c r="G132" i="16"/>
  <c r="G123" i="16"/>
  <c r="G126" i="16"/>
  <c r="G110" i="16"/>
  <c r="G124" i="16"/>
  <c r="G27" i="16"/>
  <c r="G15" i="16"/>
  <c r="G66" i="16"/>
  <c r="G58" i="16"/>
  <c r="G46" i="16"/>
  <c r="G30" i="16"/>
  <c r="G98" i="16"/>
  <c r="G90" i="16"/>
  <c r="G78" i="16"/>
  <c r="G70" i="16"/>
  <c r="G33" i="16"/>
  <c r="G87" i="16"/>
  <c r="G7" i="16"/>
  <c r="G20" i="16"/>
  <c r="G156" i="16"/>
  <c r="G199" i="16"/>
  <c r="G191" i="16"/>
  <c r="G180" i="16"/>
  <c r="G173" i="16"/>
  <c r="G140" i="16"/>
  <c r="G200" i="16"/>
  <c r="G164" i="16"/>
  <c r="G157" i="16"/>
  <c r="G127" i="16"/>
  <c r="G107" i="16"/>
  <c r="G83" i="16"/>
  <c r="G51" i="16"/>
  <c r="G31" i="16"/>
  <c r="G120" i="16"/>
  <c r="G138" i="16"/>
  <c r="G122" i="16"/>
  <c r="G106" i="16"/>
  <c r="G50" i="16"/>
  <c r="G34" i="16"/>
  <c r="G10" i="16"/>
  <c r="G6" i="16"/>
  <c r="G86" i="16"/>
  <c r="G5" i="16"/>
  <c r="G103" i="16"/>
  <c r="G59" i="16"/>
  <c r="G187" i="16"/>
  <c r="G198" i="16"/>
  <c r="G190" i="16"/>
  <c r="G182" i="16"/>
  <c r="G174" i="16"/>
  <c r="G166" i="16"/>
  <c r="G158" i="16"/>
  <c r="G150" i="16"/>
  <c r="G142" i="16"/>
  <c r="G24" i="16"/>
  <c r="G75" i="16"/>
  <c r="G64" i="16"/>
  <c r="G43" i="16"/>
  <c r="G202" i="16"/>
  <c r="G194" i="16"/>
  <c r="G186" i="16"/>
  <c r="G178" i="16"/>
  <c r="G170" i="16"/>
  <c r="G162" i="16"/>
  <c r="G154" i="16"/>
  <c r="G146" i="16"/>
  <c r="E72" i="16"/>
  <c r="E76" i="16"/>
  <c r="E92" i="16"/>
  <c r="E104" i="16"/>
  <c r="E27" i="16"/>
  <c r="E42" i="16"/>
  <c r="E26" i="16"/>
  <c r="E22" i="16"/>
  <c r="E18" i="16"/>
  <c r="E136" i="16"/>
  <c r="E132" i="16"/>
  <c r="E128" i="16"/>
  <c r="E124" i="16"/>
  <c r="E120" i="16"/>
  <c r="E55" i="16"/>
  <c r="E49" i="16"/>
  <c r="E102" i="16"/>
  <c r="E82" i="16"/>
  <c r="E74" i="16"/>
  <c r="E51" i="16"/>
  <c r="E7" i="16"/>
  <c r="E52" i="16"/>
  <c r="E95" i="16"/>
  <c r="E79" i="16"/>
  <c r="E181" i="16"/>
  <c r="E156" i="16"/>
  <c r="E180" i="16"/>
  <c r="E173" i="16"/>
  <c r="E190" i="16"/>
  <c r="E140" i="16"/>
  <c r="E164" i="16"/>
  <c r="E43" i="16"/>
  <c r="E66" i="16"/>
  <c r="E58" i="16"/>
  <c r="E46" i="16"/>
  <c r="E30" i="16"/>
  <c r="E135" i="16"/>
  <c r="E131" i="16"/>
  <c r="E127" i="16"/>
  <c r="E123" i="16"/>
  <c r="E119" i="16"/>
  <c r="E115" i="16"/>
  <c r="E111" i="16"/>
  <c r="E107" i="16"/>
  <c r="E67" i="16"/>
  <c r="E19" i="16"/>
  <c r="E11" i="16"/>
  <c r="E90" i="16"/>
  <c r="E70" i="16"/>
  <c r="E63" i="16"/>
  <c r="E23" i="16"/>
  <c r="E68" i="16"/>
  <c r="E99" i="16"/>
  <c r="E83" i="16"/>
  <c r="E202" i="16"/>
  <c r="E199" i="16"/>
  <c r="E191" i="16"/>
  <c r="E200" i="16"/>
  <c r="E175" i="16"/>
  <c r="E59" i="16"/>
  <c r="E50" i="16"/>
  <c r="E34" i="16"/>
  <c r="E10" i="16"/>
  <c r="E6" i="16"/>
  <c r="E138" i="16"/>
  <c r="E134" i="16"/>
  <c r="E130" i="16"/>
  <c r="E126" i="16"/>
  <c r="E122" i="16"/>
  <c r="E118" i="16"/>
  <c r="E114" i="16"/>
  <c r="E110" i="16"/>
  <c r="E106" i="16"/>
  <c r="E35" i="16"/>
  <c r="E98" i="16"/>
  <c r="E78" i="16"/>
  <c r="E31" i="16"/>
  <c r="E56" i="16"/>
  <c r="E4" i="16"/>
  <c r="E103" i="16"/>
  <c r="E87" i="16"/>
  <c r="E71" i="16"/>
  <c r="E148" i="16"/>
  <c r="E187" i="16"/>
  <c r="E172" i="16"/>
  <c r="E196" i="16"/>
  <c r="E183" i="16"/>
  <c r="E170" i="16"/>
  <c r="E15" i="16"/>
  <c r="E62" i="16"/>
  <c r="E54" i="16"/>
  <c r="E38" i="16"/>
  <c r="E14" i="16"/>
  <c r="E125" i="16"/>
  <c r="E47" i="16"/>
  <c r="E65" i="16"/>
  <c r="E75" i="16"/>
  <c r="E159" i="16"/>
  <c r="E146" i="16"/>
  <c r="E184" i="16"/>
  <c r="E152" i="16"/>
  <c r="E182" i="16"/>
  <c r="E171" i="16"/>
  <c r="E150" i="16"/>
  <c r="E139" i="16"/>
  <c r="E94" i="16"/>
  <c r="E39" i="16"/>
  <c r="E48" i="16"/>
  <c r="E91" i="16"/>
  <c r="E194" i="16"/>
  <c r="E198" i="16"/>
  <c r="E188" i="16"/>
  <c r="E154" i="16"/>
  <c r="E176" i="16"/>
  <c r="E144" i="16"/>
  <c r="E179" i="16"/>
  <c r="E158" i="16"/>
  <c r="E147" i="16"/>
  <c r="E86" i="16"/>
  <c r="E195" i="16"/>
  <c r="E186" i="16"/>
  <c r="E167" i="16"/>
  <c r="E143" i="16"/>
  <c r="E168" i="16"/>
  <c r="E192" i="16"/>
  <c r="E166" i="16"/>
  <c r="E155" i="16"/>
  <c r="E178" i="16"/>
  <c r="E162" i="16"/>
  <c r="E151" i="16"/>
  <c r="E160" i="16"/>
  <c r="E174" i="16"/>
  <c r="E163" i="16"/>
  <c r="E142" i="16"/>
  <c r="F188" i="16"/>
  <c r="F192" i="16"/>
  <c r="F196" i="16"/>
  <c r="F185" i="16"/>
  <c r="F42" i="16"/>
  <c r="F62" i="16"/>
  <c r="F106" i="16"/>
  <c r="F114" i="16"/>
  <c r="F118" i="16"/>
  <c r="F122" i="16"/>
  <c r="F126" i="16"/>
  <c r="F130" i="16"/>
  <c r="F134" i="16"/>
  <c r="F138" i="16"/>
  <c r="F18" i="16"/>
  <c r="F105" i="16"/>
  <c r="F120" i="16"/>
  <c r="F124" i="16"/>
  <c r="F128" i="16"/>
  <c r="F132" i="16"/>
  <c r="F136" i="16"/>
  <c r="F108" i="16"/>
  <c r="F110" i="16"/>
  <c r="F117" i="16"/>
  <c r="F91" i="16"/>
  <c r="F59" i="16"/>
  <c r="F102" i="16"/>
  <c r="F86" i="16"/>
  <c r="F70" i="16"/>
  <c r="F79" i="16"/>
  <c r="F35" i="16"/>
  <c r="F123" i="16"/>
  <c r="F65" i="16"/>
  <c r="F71" i="16"/>
  <c r="F31" i="16"/>
  <c r="F88" i="16"/>
  <c r="F72" i="16"/>
  <c r="F32" i="16"/>
  <c r="F68" i="16"/>
  <c r="F38" i="16"/>
  <c r="F7" i="16"/>
  <c r="F75" i="16"/>
  <c r="F15" i="16"/>
  <c r="F98" i="16"/>
  <c r="F82" i="16"/>
  <c r="F14" i="16"/>
  <c r="F10" i="16"/>
  <c r="F6" i="16"/>
  <c r="F176" i="16"/>
  <c r="F47" i="16"/>
  <c r="F135" i="16"/>
  <c r="F119" i="16"/>
  <c r="F37" i="16"/>
  <c r="F50" i="16"/>
  <c r="F39" i="16"/>
  <c r="F84" i="16"/>
  <c r="F52" i="16"/>
  <c r="F54" i="16"/>
  <c r="F156" i="16"/>
  <c r="F180" i="16"/>
  <c r="F160" i="16"/>
  <c r="F140" i="16"/>
  <c r="F184" i="16"/>
  <c r="F164" i="16"/>
  <c r="F94" i="16"/>
  <c r="F78" i="16"/>
  <c r="F26" i="16"/>
  <c r="F22" i="16"/>
  <c r="F46" i="16"/>
  <c r="F99" i="16"/>
  <c r="F55" i="16"/>
  <c r="F131" i="16"/>
  <c r="F115" i="16"/>
  <c r="F81" i="16"/>
  <c r="F66" i="16"/>
  <c r="F34" i="16"/>
  <c r="F95" i="16"/>
  <c r="F51" i="16"/>
  <c r="F96" i="16"/>
  <c r="F24" i="16"/>
  <c r="F16" i="16"/>
  <c r="F27" i="16"/>
  <c r="F200" i="16"/>
  <c r="F144" i="16"/>
  <c r="F103" i="16"/>
  <c r="F43" i="16"/>
  <c r="F107" i="16"/>
  <c r="F90" i="16"/>
  <c r="F74" i="16"/>
  <c r="F30" i="16"/>
  <c r="F87" i="16"/>
  <c r="F67" i="16"/>
  <c r="F19" i="16"/>
  <c r="F11" i="16"/>
  <c r="F127" i="16"/>
  <c r="F111" i="16"/>
  <c r="F9" i="16"/>
  <c r="F58" i="16"/>
  <c r="F63" i="16"/>
  <c r="F20" i="16"/>
  <c r="F168" i="16"/>
  <c r="F152" i="16"/>
  <c r="F199" i="16"/>
  <c r="F191" i="16"/>
  <c r="F183" i="16"/>
  <c r="F175" i="16"/>
  <c r="F167" i="16"/>
  <c r="F159" i="16"/>
  <c r="F151" i="16"/>
  <c r="F143" i="16"/>
  <c r="F190" i="16"/>
  <c r="F174" i="16"/>
  <c r="F158" i="16"/>
  <c r="F142" i="16"/>
  <c r="F154" i="16"/>
  <c r="F92" i="16"/>
  <c r="F28" i="16"/>
  <c r="F8" i="16"/>
  <c r="F148" i="16"/>
  <c r="F172" i="16"/>
  <c r="F202" i="16"/>
  <c r="F186" i="16"/>
  <c r="F170" i="16"/>
  <c r="F76" i="16"/>
  <c r="F44" i="16"/>
  <c r="F195" i="16"/>
  <c r="F187" i="16"/>
  <c r="F179" i="16"/>
  <c r="F171" i="16"/>
  <c r="F163" i="16"/>
  <c r="F155" i="16"/>
  <c r="F147" i="16"/>
  <c r="F139" i="16"/>
  <c r="F198" i="16"/>
  <c r="F182" i="16"/>
  <c r="F166" i="16"/>
  <c r="F150" i="16"/>
  <c r="F83" i="16"/>
  <c r="F23" i="16"/>
  <c r="F194" i="16"/>
  <c r="F178" i="16"/>
  <c r="F162" i="16"/>
  <c r="F146" i="16"/>
  <c r="L117" i="18"/>
  <c r="L125" i="18"/>
  <c r="L133" i="18"/>
  <c r="L141" i="18"/>
  <c r="L149" i="18"/>
  <c r="L157" i="18"/>
  <c r="L165" i="18"/>
  <c r="L173" i="18"/>
  <c r="L181" i="18"/>
  <c r="L189" i="18"/>
  <c r="L197" i="18"/>
  <c r="L202" i="18"/>
  <c r="L190" i="18"/>
  <c r="L174" i="18"/>
  <c r="L158" i="18"/>
  <c r="L142" i="18"/>
  <c r="L126" i="18"/>
  <c r="L86" i="18"/>
  <c r="L199" i="18"/>
  <c r="L127" i="18"/>
  <c r="L194" i="18"/>
  <c r="L178" i="18"/>
  <c r="L162" i="18"/>
  <c r="L146" i="18"/>
  <c r="L130" i="18"/>
  <c r="L106" i="18"/>
  <c r="L90" i="18"/>
  <c r="L58" i="18"/>
  <c r="L42" i="18"/>
  <c r="L26" i="18"/>
  <c r="L101" i="18"/>
  <c r="L89" i="18"/>
  <c r="L69" i="18"/>
  <c r="L57" i="18"/>
  <c r="L37" i="18"/>
  <c r="L192" i="18"/>
  <c r="L176" i="18"/>
  <c r="L160" i="18"/>
  <c r="L144" i="18"/>
  <c r="L128" i="18"/>
  <c r="L116" i="18"/>
  <c r="L104" i="18"/>
  <c r="L88" i="18"/>
  <c r="L72" i="18"/>
  <c r="L56" i="18"/>
  <c r="L40" i="18"/>
  <c r="L24" i="18"/>
  <c r="L8" i="18"/>
  <c r="L79" i="18"/>
  <c r="L47" i="18"/>
  <c r="L29" i="18"/>
  <c r="L13" i="18"/>
  <c r="L170" i="18"/>
  <c r="L138" i="18"/>
  <c r="L122" i="18"/>
  <c r="L114" i="18"/>
  <c r="L82" i="18"/>
  <c r="L198" i="18"/>
  <c r="L182" i="18"/>
  <c r="L166" i="18"/>
  <c r="L150" i="18"/>
  <c r="L134" i="18"/>
  <c r="L118" i="18"/>
  <c r="L94" i="18"/>
  <c r="L78" i="18"/>
  <c r="L62" i="18"/>
  <c r="L30" i="18"/>
  <c r="L14" i="18"/>
  <c r="L113" i="18"/>
  <c r="L93" i="18"/>
  <c r="L81" i="18"/>
  <c r="L61" i="18"/>
  <c r="L49" i="18"/>
  <c r="L188" i="18"/>
  <c r="L172" i="18"/>
  <c r="L156" i="18"/>
  <c r="L140" i="18"/>
  <c r="L124" i="18"/>
  <c r="L108" i="18"/>
  <c r="L92" i="18"/>
  <c r="L76" i="18"/>
  <c r="L60" i="18"/>
  <c r="L44" i="18"/>
  <c r="L28" i="18"/>
  <c r="L12" i="18"/>
  <c r="L193" i="18"/>
  <c r="L177" i="18"/>
  <c r="L161" i="18"/>
  <c r="L145" i="18"/>
  <c r="L129" i="18"/>
  <c r="L59" i="18"/>
  <c r="L27" i="18"/>
  <c r="L21" i="18"/>
  <c r="L175" i="18"/>
  <c r="L186" i="18"/>
  <c r="L154" i="18"/>
  <c r="L66" i="18"/>
  <c r="L70" i="18"/>
  <c r="L85" i="18"/>
  <c r="L73" i="18"/>
  <c r="L184" i="18"/>
  <c r="L152" i="18"/>
  <c r="L120" i="18"/>
  <c r="L96" i="18"/>
  <c r="L64" i="18"/>
  <c r="L32" i="18"/>
  <c r="L195" i="18"/>
  <c r="L17" i="18"/>
  <c r="L38" i="18"/>
  <c r="L6" i="18"/>
  <c r="L153" i="18"/>
  <c r="L22" i="18"/>
  <c r="L109" i="18"/>
  <c r="L97" i="18"/>
  <c r="L45" i="18"/>
  <c r="L33" i="18"/>
  <c r="L180" i="18"/>
  <c r="L148" i="18"/>
  <c r="L84" i="18"/>
  <c r="L52" i="18"/>
  <c r="L20" i="18"/>
  <c r="L201" i="18"/>
  <c r="L169" i="18"/>
  <c r="L137" i="18"/>
  <c r="L200" i="18"/>
  <c r="L19" i="18"/>
  <c r="L77" i="18"/>
  <c r="L164" i="18"/>
  <c r="L132" i="18"/>
  <c r="L68" i="18"/>
  <c r="L36" i="18"/>
  <c r="L4" i="18"/>
  <c r="L121" i="18"/>
  <c r="L147" i="18"/>
  <c r="L25" i="18"/>
  <c r="L50" i="18"/>
  <c r="L18" i="18"/>
  <c r="L105" i="18"/>
  <c r="L53" i="18"/>
  <c r="L41" i="18"/>
  <c r="L168" i="18"/>
  <c r="L136" i="18"/>
  <c r="L112" i="18"/>
  <c r="L80" i="18"/>
  <c r="L48" i="18"/>
  <c r="L16" i="18"/>
  <c r="L65" i="18"/>
  <c r="L196" i="18"/>
  <c r="L100" i="18"/>
  <c r="L185" i="18"/>
  <c r="L9" i="18"/>
  <c r="D17" i="18"/>
  <c r="D160" i="18"/>
  <c r="D192" i="18"/>
  <c r="D9" i="18"/>
  <c r="D176" i="18"/>
  <c r="D184" i="18"/>
  <c r="D200" i="18"/>
  <c r="D25" i="18"/>
  <c r="D57" i="18"/>
  <c r="D89" i="18"/>
  <c r="D120" i="18"/>
  <c r="D128" i="18"/>
  <c r="D136" i="18"/>
  <c r="D144" i="18"/>
  <c r="D152" i="18"/>
  <c r="D168" i="18"/>
  <c r="D186" i="18"/>
  <c r="D170" i="18"/>
  <c r="D154" i="18"/>
  <c r="D138" i="18"/>
  <c r="D122" i="18"/>
  <c r="D106" i="18"/>
  <c r="D90" i="18"/>
  <c r="D202" i="18"/>
  <c r="D190" i="18"/>
  <c r="D174" i="18"/>
  <c r="D158" i="18"/>
  <c r="D142" i="18"/>
  <c r="D126" i="18"/>
  <c r="D94" i="18"/>
  <c r="D78" i="18"/>
  <c r="D62" i="18"/>
  <c r="D30" i="18"/>
  <c r="D14" i="18"/>
  <c r="D197" i="18"/>
  <c r="D189" i="18"/>
  <c r="D181" i="18"/>
  <c r="D173" i="18"/>
  <c r="D165" i="18"/>
  <c r="D157" i="18"/>
  <c r="D149" i="18"/>
  <c r="D141" i="18"/>
  <c r="D133" i="18"/>
  <c r="D125" i="18"/>
  <c r="D117" i="18"/>
  <c r="D85" i="18"/>
  <c r="D53" i="18"/>
  <c r="D33" i="18"/>
  <c r="D108" i="18"/>
  <c r="D92" i="18"/>
  <c r="D76" i="18"/>
  <c r="D60" i="18"/>
  <c r="D44" i="18"/>
  <c r="D28" i="18"/>
  <c r="D12" i="18"/>
  <c r="D196" i="18"/>
  <c r="D180" i="18"/>
  <c r="D164" i="18"/>
  <c r="D148" i="18"/>
  <c r="D132" i="18"/>
  <c r="D105" i="18"/>
  <c r="D103" i="18"/>
  <c r="D91" i="18"/>
  <c r="D71" i="18"/>
  <c r="D39" i="18"/>
  <c r="D27" i="18"/>
  <c r="D7" i="18"/>
  <c r="D194" i="18"/>
  <c r="D182" i="18"/>
  <c r="D162" i="18"/>
  <c r="D150" i="18"/>
  <c r="D70" i="18"/>
  <c r="D178" i="18"/>
  <c r="D146" i="18"/>
  <c r="D130" i="18"/>
  <c r="D114" i="18"/>
  <c r="D98" i="18"/>
  <c r="D66" i="18"/>
  <c r="D50" i="18"/>
  <c r="D34" i="18"/>
  <c r="D109" i="18"/>
  <c r="D77" i="18"/>
  <c r="D45" i="18"/>
  <c r="D29" i="18"/>
  <c r="D112" i="18"/>
  <c r="D96" i="18"/>
  <c r="D80" i="18"/>
  <c r="D64" i="18"/>
  <c r="D48" i="18"/>
  <c r="D32" i="18"/>
  <c r="D16" i="18"/>
  <c r="D73" i="18"/>
  <c r="D187" i="18"/>
  <c r="D179" i="18"/>
  <c r="D155" i="18"/>
  <c r="D147" i="18"/>
  <c r="D139" i="18"/>
  <c r="D123" i="18"/>
  <c r="D115" i="18"/>
  <c r="D95" i="18"/>
  <c r="D63" i="18"/>
  <c r="D51" i="18"/>
  <c r="D31" i="18"/>
  <c r="D81" i="18"/>
  <c r="D198" i="18"/>
  <c r="D166" i="18"/>
  <c r="D134" i="18"/>
  <c r="D118" i="18"/>
  <c r="D54" i="18"/>
  <c r="D22" i="18"/>
  <c r="D193" i="18"/>
  <c r="D177" i="18"/>
  <c r="D161" i="18"/>
  <c r="D145" i="18"/>
  <c r="D129" i="18"/>
  <c r="D101" i="18"/>
  <c r="D37" i="18"/>
  <c r="D97" i="18"/>
  <c r="D84" i="18"/>
  <c r="D52" i="18"/>
  <c r="D20" i="18"/>
  <c r="D172" i="18"/>
  <c r="D140" i="18"/>
  <c r="D41" i="18"/>
  <c r="D87" i="18"/>
  <c r="D23" i="18"/>
  <c r="D11" i="18"/>
  <c r="D35" i="18"/>
  <c r="D49" i="18"/>
  <c r="D21" i="18"/>
  <c r="D107" i="18"/>
  <c r="D55" i="18"/>
  <c r="D26" i="18"/>
  <c r="D56" i="18"/>
  <c r="D24" i="18"/>
  <c r="D151" i="18"/>
  <c r="D113" i="18"/>
  <c r="D42" i="18"/>
  <c r="D10" i="18"/>
  <c r="D61" i="18"/>
  <c r="D65" i="18"/>
  <c r="D116" i="18"/>
  <c r="D104" i="18"/>
  <c r="D72" i="18"/>
  <c r="D40" i="18"/>
  <c r="D8" i="18"/>
  <c r="D175" i="18"/>
  <c r="D159" i="18"/>
  <c r="D143" i="18"/>
  <c r="D111" i="18"/>
  <c r="D99" i="18"/>
  <c r="D47" i="18"/>
  <c r="D58" i="18"/>
  <c r="D183" i="18"/>
  <c r="D135" i="18"/>
  <c r="D15" i="18"/>
  <c r="D38" i="18"/>
  <c r="D6" i="18"/>
  <c r="D201" i="18"/>
  <c r="D185" i="18"/>
  <c r="D169" i="18"/>
  <c r="D153" i="18"/>
  <c r="D137" i="18"/>
  <c r="D121" i="18"/>
  <c r="D69" i="18"/>
  <c r="D13" i="18"/>
  <c r="D100" i="18"/>
  <c r="D68" i="18"/>
  <c r="D36" i="18"/>
  <c r="D4" i="18"/>
  <c r="D188" i="18"/>
  <c r="D156" i="18"/>
  <c r="D124" i="18"/>
  <c r="D93" i="18"/>
  <c r="D88" i="18"/>
  <c r="D167" i="18"/>
  <c r="D119" i="18"/>
  <c r="E5" i="11"/>
  <c r="E17" i="11"/>
  <c r="AC53" i="9"/>
  <c r="AC61" i="9"/>
  <c r="Q41" i="9"/>
  <c r="Q61" i="9"/>
  <c r="Q33" i="9"/>
  <c r="C45" i="9"/>
  <c r="AA45" i="9"/>
  <c r="E21" i="11"/>
  <c r="E37" i="11"/>
  <c r="AC65" i="9"/>
  <c r="AC21" i="9"/>
  <c r="E41" i="9"/>
  <c r="E21" i="9"/>
  <c r="C53" i="9"/>
  <c r="M45" i="9"/>
  <c r="M9" i="9"/>
  <c r="AA29" i="9"/>
  <c r="E31" i="15"/>
  <c r="AC30" i="9"/>
  <c r="J34" i="9"/>
  <c r="J58" i="9"/>
  <c r="Q38" i="9"/>
  <c r="Q22" i="9"/>
  <c r="Q54" i="9"/>
  <c r="E30" i="9"/>
  <c r="E50" i="9"/>
  <c r="E38" i="9"/>
  <c r="C22" i="9"/>
  <c r="C38" i="9"/>
  <c r="C10" i="9"/>
  <c r="M54" i="9"/>
  <c r="M14" i="9"/>
  <c r="Y54" i="9"/>
  <c r="Y46" i="9"/>
  <c r="Y18" i="9"/>
  <c r="Z10" i="9"/>
  <c r="Z62" i="9"/>
  <c r="K30" i="9"/>
  <c r="L18" i="9"/>
  <c r="L54" i="9"/>
  <c r="I54" i="9"/>
  <c r="H34" i="9"/>
  <c r="S42" i="9"/>
  <c r="S6" i="9"/>
  <c r="D30" i="9"/>
  <c r="C58" i="12"/>
  <c r="C26" i="14"/>
  <c r="G54" i="13"/>
  <c r="E62" i="11"/>
  <c r="E54" i="11"/>
  <c r="AC26" i="9"/>
  <c r="AC22" i="9"/>
  <c r="G58" i="13"/>
  <c r="E14" i="11"/>
  <c r="E22" i="11"/>
  <c r="E26" i="11"/>
  <c r="E58" i="11"/>
  <c r="E6" i="11"/>
  <c r="AC50" i="9"/>
  <c r="AC62" i="9"/>
  <c r="H18" i="12"/>
  <c r="E38" i="11"/>
  <c r="AC10" i="9"/>
  <c r="AC54" i="9"/>
  <c r="H38" i="12"/>
  <c r="H43" i="19"/>
  <c r="J26" i="9"/>
  <c r="J46" i="9"/>
  <c r="J54" i="9"/>
  <c r="Q14" i="9"/>
  <c r="Q42" i="9"/>
  <c r="E26" i="9"/>
  <c r="E18" i="9"/>
  <c r="E42" i="9"/>
  <c r="C6" i="9"/>
  <c r="C62" i="9"/>
  <c r="C14" i="9"/>
  <c r="M62" i="9"/>
  <c r="M42" i="9"/>
  <c r="Y58" i="9"/>
  <c r="Y62" i="9"/>
  <c r="AA18" i="9"/>
  <c r="AA62" i="9"/>
  <c r="Z22" i="9"/>
  <c r="K34" i="9"/>
  <c r="K6" i="9"/>
  <c r="L22" i="9"/>
  <c r="I50" i="9"/>
  <c r="I22" i="9"/>
  <c r="H26" i="9"/>
  <c r="S30" i="9"/>
  <c r="AB14" i="9"/>
  <c r="B58" i="9"/>
  <c r="B22" i="10"/>
  <c r="E36" i="15"/>
  <c r="E52" i="11"/>
  <c r="E32" i="11"/>
  <c r="E44" i="15"/>
  <c r="AC28" i="9"/>
  <c r="AC64" i="9"/>
  <c r="AC12" i="9"/>
  <c r="AC32" i="9"/>
  <c r="Q56" i="9"/>
  <c r="C60" i="9"/>
  <c r="AA60" i="9"/>
  <c r="L28" i="9"/>
  <c r="D12" i="9"/>
  <c r="D48" i="14"/>
  <c r="E64" i="11"/>
  <c r="E24" i="15"/>
  <c r="E56" i="9"/>
  <c r="E40" i="9"/>
  <c r="L40" i="9"/>
  <c r="S40" i="9"/>
  <c r="E36" i="11"/>
  <c r="E24" i="11"/>
  <c r="AC36" i="9"/>
  <c r="K56" i="9"/>
  <c r="E51" i="11"/>
  <c r="Y22" i="9"/>
  <c r="Y10" i="9"/>
  <c r="Y34" i="9"/>
  <c r="AA34" i="9"/>
  <c r="AA46" i="9"/>
  <c r="AA58" i="9"/>
  <c r="Z6" i="9"/>
  <c r="Z30" i="9"/>
  <c r="Z18" i="9"/>
  <c r="K14" i="9"/>
  <c r="K58" i="9"/>
  <c r="K38" i="9"/>
  <c r="L38" i="9"/>
  <c r="I34" i="9"/>
  <c r="I14" i="9"/>
  <c r="S54" i="9"/>
  <c r="S38" i="9"/>
  <c r="S18" i="9"/>
  <c r="AB22" i="9"/>
  <c r="AB30" i="9"/>
  <c r="D54" i="9"/>
  <c r="M22" i="9"/>
  <c r="Y30" i="9"/>
  <c r="AA26" i="9"/>
  <c r="AA30" i="9"/>
  <c r="AA54" i="9"/>
  <c r="Z46" i="9"/>
  <c r="Z26" i="9"/>
  <c r="Z38" i="9"/>
  <c r="K22" i="9"/>
  <c r="L30" i="9"/>
  <c r="I58" i="9"/>
  <c r="I46" i="9"/>
  <c r="I10" i="9"/>
  <c r="H38" i="9"/>
  <c r="H14" i="9"/>
  <c r="S34" i="9"/>
  <c r="AB46" i="9"/>
  <c r="B30" i="9"/>
  <c r="AG62" i="8"/>
  <c r="CV34" i="8"/>
  <c r="EP34" i="8"/>
  <c r="D27" i="14"/>
  <c r="CV38" i="8"/>
  <c r="EP26" i="8"/>
  <c r="Z30" i="8"/>
  <c r="D23" i="14"/>
  <c r="G59" i="13"/>
  <c r="G63" i="13"/>
  <c r="E47" i="15"/>
  <c r="H47" i="19"/>
  <c r="D16" i="9"/>
  <c r="AA16" i="9"/>
  <c r="K28" i="9"/>
  <c r="J28" i="9"/>
  <c r="S48" i="9"/>
  <c r="Z48" i="9"/>
  <c r="EZ65" i="8"/>
  <c r="AH61" i="8"/>
  <c r="AH41" i="8"/>
  <c r="Z37" i="8"/>
  <c r="AG37" i="8"/>
  <c r="FN5" i="8"/>
  <c r="AH5" i="8"/>
  <c r="EQ22" i="8"/>
  <c r="BA22" i="8"/>
  <c r="D43" i="14"/>
  <c r="G27" i="13"/>
  <c r="E23" i="15"/>
  <c r="E27" i="15"/>
  <c r="H15" i="19"/>
  <c r="CJ46" i="8"/>
  <c r="CV22" i="8"/>
  <c r="BA3" i="8"/>
  <c r="EP10" i="8"/>
  <c r="CU26" i="8"/>
  <c r="AH58" i="8"/>
  <c r="AH30" i="8"/>
  <c r="FN64" i="8"/>
  <c r="EZ64" i="8"/>
  <c r="BK60" i="8"/>
  <c r="Z60" i="8"/>
  <c r="EP60" i="8"/>
  <c r="FN56" i="8"/>
  <c r="AH56" i="8"/>
  <c r="EP56" i="8"/>
  <c r="AG56" i="8"/>
  <c r="FN48" i="8"/>
  <c r="CU48" i="8"/>
  <c r="EZ44" i="8"/>
  <c r="Z44" i="8"/>
  <c r="FN40" i="8"/>
  <c r="AH40" i="8"/>
  <c r="EP36" i="8"/>
  <c r="EP32" i="8"/>
  <c r="EP24" i="8"/>
  <c r="CV24" i="8"/>
  <c r="AG20" i="8"/>
  <c r="ER16" i="8"/>
  <c r="FN16" i="8"/>
  <c r="EZ12" i="8"/>
  <c r="Z12" i="8"/>
  <c r="CV12" i="8"/>
  <c r="ES8" i="8"/>
  <c r="CU8" i="8"/>
  <c r="Z4" i="8"/>
  <c r="EQ54" i="8"/>
  <c r="D59" i="14"/>
  <c r="E35" i="15"/>
  <c r="H43" i="12"/>
  <c r="EP18" i="8"/>
  <c r="EP6" i="8"/>
  <c r="E47" i="11"/>
  <c r="E39" i="15"/>
  <c r="E19" i="15"/>
  <c r="H11" i="19"/>
  <c r="CJ30" i="8"/>
  <c r="EP50" i="8"/>
  <c r="CU6" i="8"/>
  <c r="CU18" i="8"/>
  <c r="J12" i="9"/>
  <c r="E49" i="9"/>
  <c r="E65" i="9"/>
  <c r="C33" i="9"/>
  <c r="C28" i="9"/>
  <c r="Y36" i="9"/>
  <c r="AA65" i="9"/>
  <c r="AA40" i="9"/>
  <c r="Z56" i="9"/>
  <c r="D56" i="9"/>
  <c r="B4" i="9"/>
  <c r="D4" i="9"/>
  <c r="L4" i="9"/>
  <c r="K4" i="9"/>
  <c r="Z4" i="9"/>
  <c r="AA4" i="9"/>
  <c r="Y4" i="9"/>
  <c r="C4" i="9"/>
  <c r="M4" i="9"/>
  <c r="E4" i="9"/>
  <c r="AC4" i="9"/>
  <c r="G8" i="9"/>
  <c r="D8" i="9"/>
  <c r="Q8" i="9"/>
  <c r="J8" i="9"/>
  <c r="AC8" i="9"/>
  <c r="B12" i="9"/>
  <c r="I12" i="9"/>
  <c r="Y12" i="9"/>
  <c r="L12" i="9"/>
  <c r="AA12" i="9"/>
  <c r="Q12" i="9"/>
  <c r="G16" i="9"/>
  <c r="Y16" i="9"/>
  <c r="Z16" i="9"/>
  <c r="M16" i="9"/>
  <c r="J16" i="9"/>
  <c r="L16" i="9"/>
  <c r="K16" i="9"/>
  <c r="C16" i="9"/>
  <c r="E16" i="9"/>
  <c r="AC16" i="9"/>
  <c r="B20" i="9"/>
  <c r="S20" i="9"/>
  <c r="K20" i="9"/>
  <c r="L20" i="9"/>
  <c r="Z20" i="9"/>
  <c r="AA20" i="9"/>
  <c r="C20" i="9"/>
  <c r="E20" i="9"/>
  <c r="D20" i="9"/>
  <c r="Y20" i="9"/>
  <c r="M20" i="9"/>
  <c r="Q20" i="9"/>
  <c r="D24" i="9"/>
  <c r="S24" i="9"/>
  <c r="AA24" i="9"/>
  <c r="L24" i="9"/>
  <c r="K24" i="9"/>
  <c r="Z24" i="9"/>
  <c r="Q24" i="9"/>
  <c r="Y24" i="9"/>
  <c r="B28" i="9"/>
  <c r="S28" i="9"/>
  <c r="I28" i="9"/>
  <c r="D28" i="9"/>
  <c r="Z28" i="9"/>
  <c r="Y28" i="9"/>
  <c r="E28" i="9"/>
  <c r="Q28" i="9"/>
  <c r="S32" i="9"/>
  <c r="L32" i="9"/>
  <c r="Z32" i="9"/>
  <c r="C32" i="9"/>
  <c r="E32" i="9"/>
  <c r="G36" i="9"/>
  <c r="S36" i="9"/>
  <c r="I36" i="9"/>
  <c r="L36" i="9"/>
  <c r="K36" i="9"/>
  <c r="Z36" i="9"/>
  <c r="AA36" i="9"/>
  <c r="M36" i="9"/>
  <c r="C36" i="9"/>
  <c r="E36" i="9"/>
  <c r="Q36" i="9"/>
  <c r="J36" i="9"/>
  <c r="Z40" i="9"/>
  <c r="Y40" i="9"/>
  <c r="D40" i="9"/>
  <c r="I40" i="9"/>
  <c r="M40" i="9"/>
  <c r="K40" i="9"/>
  <c r="J40" i="9"/>
  <c r="B44" i="9"/>
  <c r="S44" i="9"/>
  <c r="I44" i="9"/>
  <c r="K44" i="9"/>
  <c r="Y44" i="9"/>
  <c r="J44" i="9"/>
  <c r="G48" i="9"/>
  <c r="D48" i="9"/>
  <c r="I48" i="9"/>
  <c r="AB48" i="9"/>
  <c r="Y48" i="9"/>
  <c r="E48" i="9"/>
  <c r="J48" i="9"/>
  <c r="AA48" i="9"/>
  <c r="M48" i="9"/>
  <c r="C48" i="9"/>
  <c r="Q48" i="9"/>
  <c r="AC48" i="9"/>
  <c r="G52" i="9"/>
  <c r="H52" i="9"/>
  <c r="AB52" i="9"/>
  <c r="S52" i="9"/>
  <c r="K52" i="9"/>
  <c r="AA52" i="9"/>
  <c r="Y52" i="9"/>
  <c r="C52" i="9"/>
  <c r="Q52" i="9"/>
  <c r="J52" i="9"/>
  <c r="D52" i="9"/>
  <c r="L52" i="9"/>
  <c r="M52" i="9"/>
  <c r="E52" i="9"/>
  <c r="AB56" i="9"/>
  <c r="I56" i="9"/>
  <c r="Y56" i="9"/>
  <c r="AA56" i="9"/>
  <c r="M56" i="9"/>
  <c r="L56" i="9"/>
  <c r="AC56" i="9"/>
  <c r="G60" i="9"/>
  <c r="H60" i="9"/>
  <c r="I60" i="9"/>
  <c r="D60" i="9"/>
  <c r="L60" i="9"/>
  <c r="Z60" i="9"/>
  <c r="M60" i="9"/>
  <c r="S60" i="9"/>
  <c r="K60" i="9"/>
  <c r="Y60" i="9"/>
  <c r="AC60" i="9"/>
  <c r="G64" i="9"/>
  <c r="L64" i="9"/>
  <c r="M64" i="9"/>
  <c r="S64" i="9"/>
  <c r="K64" i="9"/>
  <c r="Z64" i="9"/>
  <c r="D64" i="9"/>
  <c r="C64" i="9"/>
  <c r="Q64" i="9"/>
  <c r="J64" i="9"/>
  <c r="B52" i="10"/>
  <c r="B40" i="11"/>
  <c r="E40" i="11"/>
  <c r="E8" i="12"/>
  <c r="F8" i="12"/>
  <c r="B8" i="12"/>
  <c r="C8" i="12"/>
  <c r="H8" i="12"/>
  <c r="E20" i="12"/>
  <c r="H20" i="12"/>
  <c r="E40" i="12"/>
  <c r="C40" i="12"/>
  <c r="F40" i="12"/>
  <c r="F12" i="13"/>
  <c r="B12" i="13"/>
  <c r="B8" i="14"/>
  <c r="C8" i="14"/>
  <c r="B4" i="15"/>
  <c r="E4" i="15"/>
  <c r="B20" i="15"/>
  <c r="B40" i="15"/>
  <c r="E40" i="15"/>
  <c r="B64" i="15"/>
  <c r="H16" i="19"/>
  <c r="H32" i="19"/>
  <c r="H48" i="19"/>
  <c r="H64" i="19"/>
  <c r="FN65" i="8"/>
  <c r="AH65" i="8"/>
  <c r="AG65" i="8"/>
  <c r="CV65" i="8"/>
  <c r="FN61" i="8"/>
  <c r="EZ61" i="8"/>
  <c r="EQ61" i="8"/>
  <c r="EP61" i="8"/>
  <c r="AG61" i="8"/>
  <c r="FN57" i="8"/>
  <c r="EZ57" i="8"/>
  <c r="CV57" i="8"/>
  <c r="FN53" i="8"/>
  <c r="AH53" i="8"/>
  <c r="U53" i="8"/>
  <c r="CU53" i="8"/>
  <c r="CJ53" i="8"/>
  <c r="ER49" i="8"/>
  <c r="FN49" i="8"/>
  <c r="EZ49" i="8"/>
  <c r="AH49" i="8"/>
  <c r="Z49" i="8"/>
  <c r="AG49" i="8"/>
  <c r="FN45" i="8"/>
  <c r="EZ45" i="8"/>
  <c r="AH45" i="8"/>
  <c r="EP45" i="8"/>
  <c r="CV45" i="8"/>
  <c r="ER41" i="8"/>
  <c r="U41" i="8"/>
  <c r="FN37" i="8"/>
  <c r="U37" i="8"/>
  <c r="CU37" i="8"/>
  <c r="CV37" i="8"/>
  <c r="CJ37" i="8"/>
  <c r="ER33" i="8"/>
  <c r="U33" i="8"/>
  <c r="FN33" i="8"/>
  <c r="EZ33" i="8"/>
  <c r="AH33" i="8"/>
  <c r="Z33" i="8"/>
  <c r="AG33" i="8"/>
  <c r="AX29" i="8"/>
  <c r="EZ29" i="8"/>
  <c r="FN29" i="8"/>
  <c r="U29" i="8"/>
  <c r="CU29" i="8"/>
  <c r="EP29" i="8"/>
  <c r="CV29" i="8"/>
  <c r="U25" i="8"/>
  <c r="FN25" i="8"/>
  <c r="EZ25" i="8"/>
  <c r="AH25" i="8"/>
  <c r="CU25" i="8"/>
  <c r="FN21" i="8"/>
  <c r="U21" i="8"/>
  <c r="AH21" i="8"/>
  <c r="EZ21" i="8"/>
  <c r="CU21" i="8"/>
  <c r="CX17" i="8"/>
  <c r="FN17" i="8"/>
  <c r="U17" i="8"/>
  <c r="CU17" i="8"/>
  <c r="BA17" i="8"/>
  <c r="AG17" i="8"/>
  <c r="AX13" i="8"/>
  <c r="U13" i="8"/>
  <c r="EZ13" i="8"/>
  <c r="AH13" i="8"/>
  <c r="BA13" i="8"/>
  <c r="CJ13" i="8"/>
  <c r="CX9" i="8"/>
  <c r="FN9" i="8"/>
  <c r="AH9" i="8"/>
  <c r="Z9" i="8"/>
  <c r="EZ5" i="8"/>
  <c r="BA5" i="8"/>
  <c r="J24" i="9"/>
  <c r="C44" i="9"/>
  <c r="M32" i="9"/>
  <c r="Y8" i="9"/>
  <c r="AA8" i="9"/>
  <c r="AA32" i="9"/>
  <c r="Z12" i="9"/>
  <c r="K48" i="9"/>
  <c r="I32" i="9"/>
  <c r="S56" i="9"/>
  <c r="D13" i="9"/>
  <c r="Y13" i="9"/>
  <c r="AA13" i="9"/>
  <c r="C13" i="9"/>
  <c r="E13" i="9"/>
  <c r="H13" i="9"/>
  <c r="M13" i="9"/>
  <c r="N29" i="9"/>
  <c r="B29" i="9"/>
  <c r="K29" i="9"/>
  <c r="Z29" i="9"/>
  <c r="Y29" i="9"/>
  <c r="M29" i="9"/>
  <c r="C29" i="9"/>
  <c r="Q29" i="9"/>
  <c r="H29" i="9"/>
  <c r="X37" i="9"/>
  <c r="I37" i="9"/>
  <c r="H37" i="9"/>
  <c r="AA37" i="9"/>
  <c r="Y37" i="9"/>
  <c r="M37" i="9"/>
  <c r="C37" i="9"/>
  <c r="J37" i="9"/>
  <c r="K37" i="9"/>
  <c r="E37" i="9"/>
  <c r="N49" i="9"/>
  <c r="L49" i="9"/>
  <c r="K49" i="9"/>
  <c r="M49" i="9"/>
  <c r="Y49" i="9"/>
  <c r="AA49" i="9"/>
  <c r="Q49" i="9"/>
  <c r="J49" i="9"/>
  <c r="AC49" i="9"/>
  <c r="N61" i="9"/>
  <c r="Y61" i="9"/>
  <c r="M61" i="9"/>
  <c r="AB61" i="9"/>
  <c r="AA61" i="9"/>
  <c r="E61" i="9"/>
  <c r="B9" i="11"/>
  <c r="E9" i="11"/>
  <c r="B53" i="11"/>
  <c r="E53" i="11"/>
  <c r="C25" i="12"/>
  <c r="H45" i="12"/>
  <c r="B9" i="15"/>
  <c r="E9" i="15"/>
  <c r="B33" i="15"/>
  <c r="E33" i="15"/>
  <c r="B65" i="15"/>
  <c r="E65" i="15"/>
  <c r="H17" i="19"/>
  <c r="H33" i="19"/>
  <c r="H49" i="19"/>
  <c r="J20" i="9"/>
  <c r="J4" i="9"/>
  <c r="J56" i="9"/>
  <c r="Q16" i="9"/>
  <c r="Q32" i="9"/>
  <c r="Q44" i="9"/>
  <c r="E60" i="9"/>
  <c r="E12" i="9"/>
  <c r="C12" i="9"/>
  <c r="M44" i="9"/>
  <c r="Z44" i="9"/>
  <c r="K8" i="9"/>
  <c r="L8" i="9"/>
  <c r="I20" i="9"/>
  <c r="H64" i="9"/>
  <c r="D32" i="9"/>
  <c r="B24" i="12"/>
  <c r="AA5" i="9"/>
  <c r="G9" i="9"/>
  <c r="Z9" i="9"/>
  <c r="Y9" i="9"/>
  <c r="C9" i="9"/>
  <c r="Q9" i="9"/>
  <c r="I9" i="9"/>
  <c r="L9" i="9"/>
  <c r="K9" i="9"/>
  <c r="J9" i="9"/>
  <c r="B17" i="9"/>
  <c r="L17" i="9"/>
  <c r="M17" i="9"/>
  <c r="AB17" i="9"/>
  <c r="Y17" i="9"/>
  <c r="C17" i="9"/>
  <c r="E17" i="9"/>
  <c r="J17" i="9"/>
  <c r="S17" i="9"/>
  <c r="Z17" i="9"/>
  <c r="B21" i="9"/>
  <c r="K21" i="9"/>
  <c r="Z21" i="9"/>
  <c r="AA21" i="9"/>
  <c r="Y21" i="9"/>
  <c r="I21" i="9"/>
  <c r="M21" i="9"/>
  <c r="Q21" i="9"/>
  <c r="J21" i="9"/>
  <c r="B25" i="9"/>
  <c r="I25" i="9"/>
  <c r="L25" i="9"/>
  <c r="Z25" i="9"/>
  <c r="Q25" i="9"/>
  <c r="J25" i="9"/>
  <c r="Y25" i="9"/>
  <c r="E25" i="9"/>
  <c r="AC25" i="9"/>
  <c r="N33" i="9"/>
  <c r="S33" i="9"/>
  <c r="AA33" i="9"/>
  <c r="E33" i="9"/>
  <c r="J33" i="9"/>
  <c r="M33" i="9"/>
  <c r="AC33" i="9"/>
  <c r="F41" i="9"/>
  <c r="L41" i="9"/>
  <c r="K41" i="9"/>
  <c r="AA41" i="9"/>
  <c r="I41" i="9"/>
  <c r="M41" i="9"/>
  <c r="C41" i="9"/>
  <c r="Z41" i="9"/>
  <c r="B45" i="9"/>
  <c r="E45" i="9"/>
  <c r="Z45" i="9"/>
  <c r="Y45" i="9"/>
  <c r="J45" i="9"/>
  <c r="AC45" i="9"/>
  <c r="B53" i="9"/>
  <c r="I53" i="9"/>
  <c r="S53" i="9"/>
  <c r="Y53" i="9"/>
  <c r="M53" i="9"/>
  <c r="E53" i="9"/>
  <c r="B57" i="9"/>
  <c r="AA57" i="9"/>
  <c r="E57" i="9"/>
  <c r="Q57" i="9"/>
  <c r="N65" i="9"/>
  <c r="S65" i="9"/>
  <c r="C65" i="9"/>
  <c r="J65" i="9"/>
  <c r="L65" i="9"/>
  <c r="Y65" i="9"/>
  <c r="B37" i="10"/>
  <c r="B41" i="15"/>
  <c r="E41" i="15"/>
  <c r="B45" i="15"/>
  <c r="E45" i="15"/>
  <c r="B61" i="15"/>
  <c r="E61" i="15"/>
  <c r="D65" i="14"/>
  <c r="D5" i="14"/>
  <c r="D53" i="14"/>
  <c r="D8" i="14"/>
  <c r="G13" i="13"/>
  <c r="G53" i="13"/>
  <c r="G21" i="13"/>
  <c r="E28" i="11"/>
  <c r="E57" i="11"/>
  <c r="E45" i="11"/>
  <c r="H24" i="12"/>
  <c r="E5" i="15"/>
  <c r="E17" i="15"/>
  <c r="E49" i="15"/>
  <c r="E16" i="15"/>
  <c r="E25" i="11"/>
  <c r="AC40" i="9"/>
  <c r="AC44" i="9"/>
  <c r="AC13" i="9"/>
  <c r="AC52" i="9"/>
  <c r="AC9" i="9"/>
  <c r="AC29" i="9"/>
  <c r="H60" i="12"/>
  <c r="H41" i="19"/>
  <c r="H21" i="19"/>
  <c r="H60" i="19"/>
  <c r="H40" i="19"/>
  <c r="H20" i="19"/>
  <c r="CJ49" i="8"/>
  <c r="CJ9" i="8"/>
  <c r="CV41" i="8"/>
  <c r="AG57" i="8"/>
  <c r="AG45" i="8"/>
  <c r="AG13" i="8"/>
  <c r="BA9" i="8"/>
  <c r="BA25" i="8"/>
  <c r="EP57" i="8"/>
  <c r="EP33" i="8"/>
  <c r="EP37" i="8"/>
  <c r="Z45" i="8"/>
  <c r="Z25" i="8"/>
  <c r="Z17" i="8"/>
  <c r="Z5" i="8"/>
  <c r="CU65" i="8"/>
  <c r="CU57" i="8"/>
  <c r="CU33" i="8"/>
  <c r="CU13" i="8"/>
  <c r="EQ13" i="8"/>
  <c r="J61" i="9"/>
  <c r="J53" i="9"/>
  <c r="J29" i="9"/>
  <c r="J5" i="9"/>
  <c r="Q45" i="9"/>
  <c r="Q4" i="9"/>
  <c r="Q60" i="9"/>
  <c r="Q17" i="9"/>
  <c r="E64" i="9"/>
  <c r="E8" i="9"/>
  <c r="E9" i="9"/>
  <c r="E29" i="9"/>
  <c r="C49" i="9"/>
  <c r="C57" i="9"/>
  <c r="C40" i="9"/>
  <c r="C8" i="9"/>
  <c r="M8" i="9"/>
  <c r="M28" i="9"/>
  <c r="M12" i="9"/>
  <c r="M57" i="9"/>
  <c r="Y32" i="9"/>
  <c r="Y64" i="9"/>
  <c r="Y41" i="9"/>
  <c r="AA53" i="9"/>
  <c r="AA64" i="9"/>
  <c r="AA44" i="9"/>
  <c r="Z8" i="9"/>
  <c r="Z52" i="9"/>
  <c r="K17" i="9"/>
  <c r="K32" i="9"/>
  <c r="L44" i="9"/>
  <c r="EZ17" i="8"/>
  <c r="AB60" i="9"/>
  <c r="D44" i="9"/>
  <c r="FN28" i="8"/>
  <c r="EZ28" i="8"/>
  <c r="B6" i="9"/>
  <c r="AB6" i="9"/>
  <c r="H6" i="9"/>
  <c r="I6" i="9"/>
  <c r="B14" i="9"/>
  <c r="L14" i="9"/>
  <c r="H18" i="9"/>
  <c r="I18" i="9"/>
  <c r="G26" i="9"/>
  <c r="AB26" i="9"/>
  <c r="D42" i="9"/>
  <c r="AB42" i="9"/>
  <c r="H42" i="9"/>
  <c r="G46" i="9"/>
  <c r="L46" i="9"/>
  <c r="D50" i="9"/>
  <c r="AB50" i="9"/>
  <c r="S50" i="9"/>
  <c r="G58" i="9"/>
  <c r="D58" i="9"/>
  <c r="AB62" i="9"/>
  <c r="S62" i="9"/>
  <c r="I62" i="9"/>
  <c r="B42" i="12"/>
  <c r="E62" i="12"/>
  <c r="B6" i="14"/>
  <c r="D3" i="9"/>
  <c r="H3" i="9"/>
  <c r="K3" i="9"/>
  <c r="Z3" i="9"/>
  <c r="E3" i="9"/>
  <c r="B3" i="9"/>
  <c r="L3" i="9"/>
  <c r="C3" i="9"/>
  <c r="AC3" i="9"/>
  <c r="S3" i="9"/>
  <c r="Q3" i="9"/>
  <c r="AA3" i="9"/>
  <c r="Y3" i="9"/>
  <c r="K7" i="9"/>
  <c r="C7" i="9"/>
  <c r="Q7" i="9"/>
  <c r="Z7" i="9"/>
  <c r="H7" i="9"/>
  <c r="I7" i="9"/>
  <c r="L7" i="9"/>
  <c r="S7" i="9"/>
  <c r="AC7" i="9"/>
  <c r="J7" i="9"/>
  <c r="G11" i="9"/>
  <c r="S11" i="9"/>
  <c r="H11" i="9"/>
  <c r="J11" i="9"/>
  <c r="AB11" i="9"/>
  <c r="K11" i="9"/>
  <c r="Y11" i="9"/>
  <c r="E11" i="9"/>
  <c r="D11" i="9"/>
  <c r="Z11" i="9"/>
  <c r="C11" i="9"/>
  <c r="B11" i="9"/>
  <c r="Q11" i="9"/>
  <c r="G15" i="9"/>
  <c r="L15" i="9"/>
  <c r="M15" i="9"/>
  <c r="Z15" i="9"/>
  <c r="K15" i="9"/>
  <c r="E15" i="9"/>
  <c r="Q15" i="9"/>
  <c r="C15" i="9"/>
  <c r="I15" i="9"/>
  <c r="B19" i="9"/>
  <c r="C19" i="9"/>
  <c r="H19" i="9"/>
  <c r="I19" i="9"/>
  <c r="L19" i="9"/>
  <c r="M19" i="9"/>
  <c r="E19" i="9"/>
  <c r="J19" i="9"/>
  <c r="AC19" i="9"/>
  <c r="K19" i="9"/>
  <c r="G23" i="9"/>
  <c r="AA23" i="9"/>
  <c r="Y23" i="9"/>
  <c r="Q23" i="9"/>
  <c r="L23" i="9"/>
  <c r="K23" i="9"/>
  <c r="M23" i="9"/>
  <c r="E23" i="9"/>
  <c r="J23" i="9"/>
  <c r="AC23" i="9"/>
  <c r="H23" i="9"/>
  <c r="S27" i="9"/>
  <c r="AB27" i="9"/>
  <c r="I27" i="9"/>
  <c r="K27" i="9"/>
  <c r="AA27" i="9"/>
  <c r="C27" i="9"/>
  <c r="B27" i="9"/>
  <c r="H27" i="9"/>
  <c r="M27" i="9"/>
  <c r="J27" i="9"/>
  <c r="Z27" i="9"/>
  <c r="E27" i="9"/>
  <c r="AC27" i="9"/>
  <c r="Q27" i="9"/>
  <c r="L27" i="9"/>
  <c r="Y27" i="9"/>
  <c r="X31" i="9"/>
  <c r="H31" i="9"/>
  <c r="L31" i="9"/>
  <c r="E31" i="9"/>
  <c r="Q31" i="9"/>
  <c r="J31" i="9"/>
  <c r="I31" i="9"/>
  <c r="Z31" i="9"/>
  <c r="AA31" i="9"/>
  <c r="M31" i="9"/>
  <c r="D31" i="9"/>
  <c r="AB31" i="9"/>
  <c r="S31" i="9"/>
  <c r="C31" i="9"/>
  <c r="Y31" i="9"/>
  <c r="AC31" i="9"/>
  <c r="S35" i="9"/>
  <c r="I35" i="9"/>
  <c r="Y35" i="9"/>
  <c r="E35" i="9"/>
  <c r="D35" i="9"/>
  <c r="L35" i="9"/>
  <c r="K35" i="9"/>
  <c r="AA35" i="9"/>
  <c r="G35" i="9"/>
  <c r="H35" i="9"/>
  <c r="Z35" i="9"/>
  <c r="M35" i="9"/>
  <c r="AC35" i="9"/>
  <c r="C35" i="9"/>
  <c r="J35" i="9"/>
  <c r="B35" i="9"/>
  <c r="Q35" i="9"/>
  <c r="G39" i="9"/>
  <c r="D39" i="9"/>
  <c r="S39" i="9"/>
  <c r="Y39" i="9"/>
  <c r="Q39" i="9"/>
  <c r="H39" i="9"/>
  <c r="K39" i="9"/>
  <c r="I39" i="9"/>
  <c r="L39" i="9"/>
  <c r="Z39" i="9"/>
  <c r="AA39" i="9"/>
  <c r="M39" i="9"/>
  <c r="C39" i="9"/>
  <c r="E39" i="9"/>
  <c r="J39" i="9"/>
  <c r="AC39" i="9"/>
  <c r="F43" i="9"/>
  <c r="B43" i="9"/>
  <c r="M43" i="9"/>
  <c r="Q43" i="9"/>
  <c r="J43" i="9"/>
  <c r="Y43" i="9"/>
  <c r="C43" i="9"/>
  <c r="E43" i="9"/>
  <c r="K43" i="9"/>
  <c r="Z43" i="9"/>
  <c r="AA43" i="9"/>
  <c r="G43" i="9"/>
  <c r="D43" i="9"/>
  <c r="I43" i="9"/>
  <c r="AC43" i="9"/>
  <c r="H43" i="9"/>
  <c r="G47" i="9"/>
  <c r="L47" i="9"/>
  <c r="Y47" i="9"/>
  <c r="C47" i="9"/>
  <c r="D47" i="9"/>
  <c r="S47" i="9"/>
  <c r="H47" i="9"/>
  <c r="K47" i="9"/>
  <c r="M47" i="9"/>
  <c r="E47" i="9"/>
  <c r="Q47" i="9"/>
  <c r="AC47" i="9"/>
  <c r="AA47" i="9"/>
  <c r="AB47" i="9"/>
  <c r="I47" i="9"/>
  <c r="Z47" i="9"/>
  <c r="J47" i="9"/>
  <c r="N51" i="9"/>
  <c r="G51" i="9"/>
  <c r="H51" i="9"/>
  <c r="I51" i="9"/>
  <c r="K51" i="9"/>
  <c r="Z51" i="9"/>
  <c r="E51" i="9"/>
  <c r="B51" i="9"/>
  <c r="D51" i="9"/>
  <c r="L51" i="9"/>
  <c r="AA51" i="9"/>
  <c r="S51" i="9"/>
  <c r="M51" i="9"/>
  <c r="C51" i="9"/>
  <c r="Y51" i="9"/>
  <c r="Q51" i="9"/>
  <c r="AC51" i="9"/>
  <c r="G55" i="9"/>
  <c r="D55" i="9"/>
  <c r="M55" i="9"/>
  <c r="J55" i="9"/>
  <c r="S55" i="9"/>
  <c r="I55" i="9"/>
  <c r="C55" i="9"/>
  <c r="L55" i="9"/>
  <c r="Z55" i="9"/>
  <c r="Y55" i="9"/>
  <c r="Q55" i="9"/>
  <c r="H55" i="9"/>
  <c r="K55" i="9"/>
  <c r="X59" i="9"/>
  <c r="Z59" i="9"/>
  <c r="M59" i="9"/>
  <c r="E59" i="9"/>
  <c r="Q59" i="9"/>
  <c r="K59" i="9"/>
  <c r="AA59" i="9"/>
  <c r="S59" i="9"/>
  <c r="H59" i="9"/>
  <c r="I59" i="9"/>
  <c r="Y59" i="9"/>
  <c r="L59" i="9"/>
  <c r="J59" i="9"/>
  <c r="D59" i="9"/>
  <c r="C59" i="9"/>
  <c r="U63" i="9"/>
  <c r="L63" i="9"/>
  <c r="C63" i="9"/>
  <c r="Q63" i="9"/>
  <c r="H63" i="9"/>
  <c r="AA63" i="9"/>
  <c r="D63" i="9"/>
  <c r="M63" i="9"/>
  <c r="Z63" i="9"/>
  <c r="Y63" i="9"/>
  <c r="E63" i="9"/>
  <c r="J63" i="9"/>
  <c r="AC63" i="9"/>
  <c r="S63" i="9"/>
  <c r="B31" i="10"/>
  <c r="B39" i="10"/>
  <c r="B43" i="10"/>
  <c r="B55" i="10"/>
  <c r="B59" i="10"/>
  <c r="B63" i="10"/>
  <c r="B67" i="10"/>
  <c r="E3" i="11"/>
  <c r="B7" i="11"/>
  <c r="E7" i="11"/>
  <c r="B11" i="11"/>
  <c r="E11" i="11"/>
  <c r="B15" i="11"/>
  <c r="E15" i="11"/>
  <c r="B23" i="11"/>
  <c r="E23" i="11"/>
  <c r="B35" i="11"/>
  <c r="E35" i="11"/>
  <c r="B55" i="11"/>
  <c r="E55" i="11"/>
  <c r="B7" i="12"/>
  <c r="H7" i="12"/>
  <c r="C11" i="12"/>
  <c r="H11" i="12"/>
  <c r="C19" i="12"/>
  <c r="H19" i="12"/>
  <c r="B31" i="12"/>
  <c r="E31" i="12"/>
  <c r="F31" i="12"/>
  <c r="H31" i="12"/>
  <c r="C51" i="12"/>
  <c r="H51" i="12"/>
  <c r="F55" i="12"/>
  <c r="H55" i="12"/>
  <c r="F31" i="13"/>
  <c r="C11" i="14"/>
  <c r="B11" i="14"/>
  <c r="B55" i="14"/>
  <c r="C55" i="14"/>
  <c r="B7" i="15"/>
  <c r="E7" i="15"/>
  <c r="B11" i="15"/>
  <c r="E11" i="15"/>
  <c r="B15" i="15"/>
  <c r="E15" i="15"/>
  <c r="B43" i="15"/>
  <c r="E43" i="15"/>
  <c r="B51" i="15"/>
  <c r="E51" i="15"/>
  <c r="B55" i="15"/>
  <c r="E55" i="15"/>
  <c r="B59" i="15"/>
  <c r="E59" i="15"/>
  <c r="B63" i="15"/>
  <c r="E63" i="15"/>
  <c r="L3" i="18"/>
  <c r="H7" i="19"/>
  <c r="H19" i="19"/>
  <c r="H23" i="19"/>
  <c r="H27" i="19"/>
  <c r="H31" i="19"/>
  <c r="H35" i="19"/>
  <c r="H39" i="19"/>
  <c r="H51" i="19"/>
  <c r="H55" i="19"/>
  <c r="H59" i="19"/>
  <c r="H63" i="19"/>
  <c r="ES62" i="8"/>
  <c r="U62" i="8"/>
  <c r="FN62" i="8"/>
  <c r="EZ62" i="8"/>
  <c r="AH62" i="8"/>
  <c r="EQ62" i="8"/>
  <c r="EP62" i="8"/>
  <c r="CU62" i="8"/>
  <c r="Z62" i="8"/>
  <c r="CV62" i="8"/>
  <c r="EZ58" i="8"/>
  <c r="U58" i="8"/>
  <c r="FN58" i="8"/>
  <c r="CU58" i="8"/>
  <c r="Z58" i="8"/>
  <c r="EP58" i="8"/>
  <c r="AG58" i="8"/>
  <c r="CV58" i="8"/>
  <c r="CJ58" i="8"/>
  <c r="BW54" i="8"/>
  <c r="U54" i="8"/>
  <c r="FN54" i="8"/>
  <c r="EZ54" i="8"/>
  <c r="EP54" i="8"/>
  <c r="CV54" i="8"/>
  <c r="CJ54" i="8"/>
  <c r="AH54" i="8"/>
  <c r="CU54" i="8"/>
  <c r="Z54" i="8"/>
  <c r="AG54" i="8"/>
  <c r="U50" i="8"/>
  <c r="FN50" i="8"/>
  <c r="EZ50" i="8"/>
  <c r="CU50" i="8"/>
  <c r="CJ50" i="8"/>
  <c r="CV50" i="8"/>
  <c r="AH50" i="8"/>
  <c r="Z50" i="8"/>
  <c r="AG50" i="8"/>
  <c r="U46" i="8"/>
  <c r="EZ46" i="8"/>
  <c r="FN46" i="8"/>
  <c r="CU46" i="8"/>
  <c r="CV46" i="8"/>
  <c r="AH46" i="8"/>
  <c r="Z46" i="8"/>
  <c r="EP46" i="8"/>
  <c r="AG46" i="8"/>
  <c r="EZ42" i="8"/>
  <c r="U42" i="8"/>
  <c r="FN42" i="8"/>
  <c r="Z42" i="8"/>
  <c r="CV42" i="8"/>
  <c r="AH42" i="8"/>
  <c r="EP42" i="8"/>
  <c r="CU42" i="8"/>
  <c r="AG42" i="8"/>
  <c r="CJ42" i="8"/>
  <c r="ES38" i="8"/>
  <c r="U38" i="8"/>
  <c r="FN38" i="8"/>
  <c r="EZ38" i="8"/>
  <c r="AH38" i="8"/>
  <c r="Z38" i="8"/>
  <c r="EP38" i="8"/>
  <c r="CJ38" i="8"/>
  <c r="CU38" i="8"/>
  <c r="AG38" i="8"/>
  <c r="U34" i="8"/>
  <c r="EZ34" i="8"/>
  <c r="AH34" i="8"/>
  <c r="CJ34" i="8"/>
  <c r="CU34" i="8"/>
  <c r="Z34" i="8"/>
  <c r="AG34" i="8"/>
  <c r="FN30" i="8"/>
  <c r="EZ30" i="8"/>
  <c r="CU30" i="8"/>
  <c r="U30" i="8"/>
  <c r="BA30" i="8"/>
  <c r="CV30" i="8"/>
  <c r="EP30" i="8"/>
  <c r="AG30" i="8"/>
  <c r="U26" i="8"/>
  <c r="EZ26" i="8"/>
  <c r="FN26" i="8"/>
  <c r="AH26" i="8"/>
  <c r="BA26" i="8"/>
  <c r="CV26" i="8"/>
  <c r="Z26" i="8"/>
  <c r="CJ26" i="8"/>
  <c r="AG26" i="8"/>
  <c r="U22" i="8"/>
  <c r="FN22" i="8"/>
  <c r="AH22" i="8"/>
  <c r="Z22" i="8"/>
  <c r="EP22" i="8"/>
  <c r="CJ22" i="8"/>
  <c r="AG22" i="8"/>
  <c r="U18" i="8"/>
  <c r="EZ18" i="8"/>
  <c r="AH18" i="8"/>
  <c r="BA18" i="8"/>
  <c r="CJ18" i="8"/>
  <c r="FN18" i="8"/>
  <c r="Z18" i="8"/>
  <c r="CV18" i="8"/>
  <c r="AG18" i="8"/>
  <c r="FN14" i="8"/>
  <c r="EZ14" i="8"/>
  <c r="AH14" i="8"/>
  <c r="BA14" i="8"/>
  <c r="CJ14" i="8"/>
  <c r="EQ14" i="8"/>
  <c r="CU14" i="8"/>
  <c r="Z14" i="8"/>
  <c r="AG14" i="8"/>
  <c r="CV14" i="8"/>
  <c r="U10" i="8"/>
  <c r="EZ10" i="8"/>
  <c r="FN10" i="8"/>
  <c r="EQ10" i="8"/>
  <c r="CU10" i="8"/>
  <c r="CJ10" i="8"/>
  <c r="Z10" i="8"/>
  <c r="AG10" i="8"/>
  <c r="AH10" i="8"/>
  <c r="ES6" i="8"/>
  <c r="U6" i="8"/>
  <c r="FN6" i="8"/>
  <c r="AH6" i="8"/>
  <c r="CJ6" i="8"/>
  <c r="Z6" i="8"/>
  <c r="EZ6" i="8"/>
  <c r="BA6" i="8"/>
  <c r="AG6" i="8"/>
  <c r="CV6" i="8"/>
  <c r="U121" i="8"/>
  <c r="EQ121" i="8"/>
  <c r="E31" i="11"/>
  <c r="E39" i="11"/>
  <c r="AC59" i="9"/>
  <c r="H47" i="12"/>
  <c r="J15" i="9"/>
  <c r="K31" i="9"/>
  <c r="H15" i="9"/>
  <c r="AB51" i="9"/>
  <c r="AB19" i="9"/>
  <c r="FN34" i="8"/>
  <c r="E63" i="11"/>
  <c r="E59" i="11"/>
  <c r="E19" i="11"/>
  <c r="AC11" i="9"/>
  <c r="AC55" i="9"/>
  <c r="J3" i="9"/>
  <c r="Q19" i="9"/>
  <c r="E7" i="9"/>
  <c r="M3" i="9"/>
  <c r="K63" i="9"/>
  <c r="I3" i="9"/>
  <c r="I63" i="9"/>
  <c r="G3" i="9"/>
  <c r="E27" i="11"/>
  <c r="AA19" i="9"/>
  <c r="D27" i="9"/>
  <c r="B51" i="12"/>
  <c r="CJ128" i="8"/>
  <c r="Z128" i="8"/>
  <c r="EX128" i="8"/>
  <c r="FN128" i="8"/>
  <c r="AA17" i="9"/>
  <c r="Z61" i="9"/>
  <c r="Z53" i="9"/>
  <c r="Z37" i="9"/>
  <c r="Z33" i="9"/>
  <c r="Z13" i="9"/>
  <c r="K25" i="9"/>
  <c r="K5" i="9"/>
  <c r="K45" i="9"/>
  <c r="K33" i="9"/>
  <c r="L53" i="9"/>
  <c r="L37" i="9"/>
  <c r="L21" i="9"/>
  <c r="I61" i="9"/>
  <c r="I57" i="9"/>
  <c r="I29" i="9"/>
  <c r="I33" i="9"/>
  <c r="H65" i="9"/>
  <c r="H61" i="9"/>
  <c r="H57" i="9"/>
  <c r="H53" i="9"/>
  <c r="H49" i="9"/>
  <c r="H33" i="9"/>
  <c r="H17" i="9"/>
  <c r="S61" i="9"/>
  <c r="S41" i="9"/>
  <c r="AB57" i="9"/>
  <c r="AB25" i="9"/>
  <c r="AB13" i="9"/>
  <c r="D65" i="9"/>
  <c r="D61" i="9"/>
  <c r="D57" i="9"/>
  <c r="D53" i="9"/>
  <c r="D49" i="9"/>
  <c r="D45" i="9"/>
  <c r="D41" i="9"/>
  <c r="G37" i="9"/>
  <c r="G17" i="9"/>
  <c r="C33" i="12"/>
  <c r="B57" i="12"/>
  <c r="E29" i="12"/>
  <c r="B19" i="10"/>
  <c r="H21" i="9"/>
  <c r="S21" i="9"/>
  <c r="S9" i="9"/>
  <c r="S29" i="9"/>
  <c r="AB41" i="9"/>
  <c r="AB45" i="9"/>
  <c r="AB53" i="9"/>
  <c r="AB49" i="9"/>
  <c r="AB21" i="9"/>
  <c r="B61" i="9"/>
  <c r="B41" i="9"/>
  <c r="B33" i="12"/>
  <c r="F57" i="12"/>
  <c r="B5" i="10"/>
  <c r="C17" i="14"/>
  <c r="B61" i="13"/>
  <c r="AA25" i="9"/>
  <c r="AA9" i="9"/>
  <c r="Z65" i="9"/>
  <c r="Z49" i="9"/>
  <c r="K57" i="9"/>
  <c r="K13" i="9"/>
  <c r="K65" i="9"/>
  <c r="L61" i="9"/>
  <c r="L45" i="9"/>
  <c r="L29" i="9"/>
  <c r="L13" i="9"/>
  <c r="I65" i="9"/>
  <c r="I45" i="9"/>
  <c r="I13" i="9"/>
  <c r="I49" i="9"/>
  <c r="I17" i="9"/>
  <c r="H41" i="9"/>
  <c r="H25" i="9"/>
  <c r="H9" i="9"/>
  <c r="S57" i="9"/>
  <c r="S13" i="9"/>
  <c r="S25" i="9"/>
  <c r="S37" i="9"/>
  <c r="AB65" i="9"/>
  <c r="AB33" i="9"/>
  <c r="AB37" i="9"/>
  <c r="AB9" i="9"/>
  <c r="G49" i="9"/>
  <c r="G27" i="9"/>
  <c r="G5" i="9"/>
  <c r="B13" i="12"/>
  <c r="F53" i="12"/>
  <c r="B29" i="10"/>
  <c r="B5" i="14"/>
  <c r="D25" i="9"/>
  <c r="D17" i="9"/>
  <c r="B49" i="9"/>
  <c r="B37" i="9"/>
  <c r="G57" i="9"/>
  <c r="G45" i="9"/>
  <c r="G25" i="9"/>
  <c r="G13" i="9"/>
  <c r="C45" i="12"/>
  <c r="C61" i="12"/>
  <c r="C17" i="12"/>
  <c r="B49" i="12"/>
  <c r="B29" i="12"/>
  <c r="B9" i="12"/>
  <c r="E65" i="12"/>
  <c r="E25" i="12"/>
  <c r="F41" i="12"/>
  <c r="F65" i="12"/>
  <c r="B25" i="10"/>
  <c r="B17" i="10"/>
  <c r="D37" i="9"/>
  <c r="D33" i="9"/>
  <c r="D29" i="9"/>
  <c r="D9" i="9"/>
  <c r="B13" i="9"/>
  <c r="G65" i="9"/>
  <c r="G53" i="9"/>
  <c r="G33" i="9"/>
  <c r="G21" i="9"/>
  <c r="C49" i="12"/>
  <c r="C65" i="12"/>
  <c r="C57" i="12"/>
  <c r="C9" i="12"/>
  <c r="B45" i="12"/>
  <c r="B25" i="12"/>
  <c r="E45" i="12"/>
  <c r="E13" i="12"/>
  <c r="F13" i="12"/>
  <c r="F33" i="12"/>
  <c r="F29" i="13"/>
  <c r="D21" i="9"/>
  <c r="B65" i="9"/>
  <c r="B33" i="9"/>
  <c r="G61" i="9"/>
  <c r="G41" i="9"/>
  <c r="G29" i="9"/>
  <c r="C21" i="12"/>
  <c r="C29" i="12"/>
  <c r="C41" i="12"/>
  <c r="B61" i="12"/>
  <c r="B41" i="12"/>
  <c r="B17" i="12"/>
  <c r="E61" i="12"/>
  <c r="E9" i="12"/>
  <c r="F25" i="12"/>
  <c r="B21" i="14"/>
  <c r="C65" i="14"/>
  <c r="F5" i="13"/>
  <c r="S23" i="9"/>
  <c r="AB63" i="9"/>
  <c r="AB55" i="9"/>
  <c r="AB35" i="9"/>
  <c r="D23" i="9"/>
  <c r="D7" i="9"/>
  <c r="B59" i="9"/>
  <c r="G59" i="9"/>
  <c r="C47" i="12"/>
  <c r="B55" i="12"/>
  <c r="B35" i="10"/>
  <c r="B11" i="10"/>
  <c r="B27" i="14"/>
  <c r="C7" i="14"/>
  <c r="F47" i="13"/>
  <c r="F51" i="9"/>
  <c r="CX119" i="8"/>
  <c r="BW119" i="8"/>
  <c r="F3" i="12"/>
  <c r="E3" i="12"/>
  <c r="B3" i="12"/>
  <c r="F7" i="12"/>
  <c r="C7" i="12"/>
  <c r="E7" i="12"/>
  <c r="B11" i="12"/>
  <c r="F11" i="12"/>
  <c r="E11" i="12"/>
  <c r="C15" i="12"/>
  <c r="F15" i="12"/>
  <c r="B15" i="12"/>
  <c r="F19" i="12"/>
  <c r="E19" i="12"/>
  <c r="B19" i="12"/>
  <c r="E23" i="12"/>
  <c r="F23" i="12"/>
  <c r="B27" i="12"/>
  <c r="C27" i="12"/>
  <c r="F27" i="12"/>
  <c r="E27" i="12"/>
  <c r="F35" i="12"/>
  <c r="E35" i="12"/>
  <c r="B35" i="12"/>
  <c r="F39" i="12"/>
  <c r="E39" i="12"/>
  <c r="B43" i="12"/>
  <c r="F43" i="12"/>
  <c r="E43" i="12"/>
  <c r="F47" i="12"/>
  <c r="B47" i="12"/>
  <c r="E51" i="12"/>
  <c r="F51" i="12"/>
  <c r="C55" i="12"/>
  <c r="E55" i="12"/>
  <c r="B59" i="12"/>
  <c r="C59" i="12"/>
  <c r="E59" i="12"/>
  <c r="B63" i="12"/>
  <c r="F63" i="12"/>
  <c r="B3" i="13"/>
  <c r="F3" i="13"/>
  <c r="B15" i="13"/>
  <c r="F15" i="13"/>
  <c r="B23" i="13"/>
  <c r="F23" i="13"/>
  <c r="B39" i="13"/>
  <c r="F39" i="13"/>
  <c r="F51" i="13"/>
  <c r="B51" i="13"/>
  <c r="B3" i="14"/>
  <c r="C3" i="14"/>
  <c r="B15" i="14"/>
  <c r="C15" i="14"/>
  <c r="B19" i="14"/>
  <c r="C19" i="14"/>
  <c r="B31" i="14"/>
  <c r="C31" i="14"/>
  <c r="B35" i="14"/>
  <c r="C35" i="14"/>
  <c r="B47" i="14"/>
  <c r="C47" i="14"/>
  <c r="B51" i="14"/>
  <c r="C51" i="14"/>
  <c r="B63" i="14"/>
  <c r="C63" i="14"/>
  <c r="E3" i="16"/>
  <c r="H3" i="16"/>
  <c r="F3" i="16"/>
  <c r="D3" i="17"/>
  <c r="EX63" i="8"/>
  <c r="BW63" i="8"/>
  <c r="ES63" i="8"/>
  <c r="ES59" i="8"/>
  <c r="AY59" i="8"/>
  <c r="AX59" i="8"/>
  <c r="ES55" i="8"/>
  <c r="CX55" i="8"/>
  <c r="ER55" i="8"/>
  <c r="BK55" i="8"/>
  <c r="AY55" i="8"/>
  <c r="EX51" i="8"/>
  <c r="BW51" i="8"/>
  <c r="AX47" i="8"/>
  <c r="ER47" i="8"/>
  <c r="EX47" i="8"/>
  <c r="BK39" i="8"/>
  <c r="AY39" i="8"/>
  <c r="CX39" i="8"/>
  <c r="BW35" i="8"/>
  <c r="BK35" i="8"/>
  <c r="AX35" i="8"/>
  <c r="ES35" i="8"/>
  <c r="ES31" i="8"/>
  <c r="EX31" i="8"/>
  <c r="BW31" i="8"/>
  <c r="CX27" i="8"/>
  <c r="AY27" i="8"/>
  <c r="AX27" i="8"/>
  <c r="ER23" i="8"/>
  <c r="BK23" i="8"/>
  <c r="AY23" i="8"/>
  <c r="ES19" i="8"/>
  <c r="EX19" i="8"/>
  <c r="BW19" i="8"/>
  <c r="AX15" i="8"/>
  <c r="ER15" i="8"/>
  <c r="EX15" i="8"/>
  <c r="BK7" i="8"/>
  <c r="AY7" i="8"/>
  <c r="EX7" i="8"/>
  <c r="CX7" i="8"/>
  <c r="S19" i="9"/>
  <c r="AB39" i="9"/>
  <c r="AB59" i="9"/>
  <c r="AB3" i="9"/>
  <c r="D15" i="9"/>
  <c r="B63" i="9"/>
  <c r="G63" i="9"/>
  <c r="C39" i="12"/>
  <c r="C23" i="12"/>
  <c r="C31" i="12"/>
  <c r="C3" i="12"/>
  <c r="B39" i="12"/>
  <c r="E15" i="12"/>
  <c r="F59" i="12"/>
  <c r="B59" i="14"/>
  <c r="C39" i="14"/>
  <c r="F39" i="9"/>
  <c r="CX15" i="8"/>
  <c r="S43" i="9"/>
  <c r="S15" i="9"/>
  <c r="AB43" i="9"/>
  <c r="AB23" i="9"/>
  <c r="AB15" i="9"/>
  <c r="AB7" i="9"/>
  <c r="D19" i="9"/>
  <c r="B55" i="9"/>
  <c r="B47" i="9"/>
  <c r="B39" i="9"/>
  <c r="B31" i="9"/>
  <c r="B23" i="9"/>
  <c r="B15" i="9"/>
  <c r="B7" i="9"/>
  <c r="G31" i="9"/>
  <c r="G7" i="9"/>
  <c r="C63" i="12"/>
  <c r="C35" i="12"/>
  <c r="B23" i="12"/>
  <c r="E63" i="12"/>
  <c r="G3" i="16"/>
  <c r="B43" i="14"/>
  <c r="C23" i="14"/>
  <c r="F63" i="13"/>
  <c r="F7" i="13"/>
  <c r="G42" i="9"/>
  <c r="C22" i="12"/>
  <c r="B6" i="10"/>
  <c r="B38" i="14"/>
  <c r="C58" i="14"/>
  <c r="F58" i="13"/>
  <c r="F46" i="9"/>
  <c r="B46" i="9"/>
  <c r="F18" i="13"/>
  <c r="AB10" i="9"/>
  <c r="B58" i="10"/>
  <c r="U6" i="9"/>
  <c r="G6" i="9"/>
  <c r="D6" i="9"/>
  <c r="X10" i="9"/>
  <c r="B10" i="9"/>
  <c r="D10" i="9"/>
  <c r="F14" i="9"/>
  <c r="G14" i="9"/>
  <c r="D14" i="9"/>
  <c r="G18" i="9"/>
  <c r="B18" i="9"/>
  <c r="D18" i="9"/>
  <c r="U22" i="9"/>
  <c r="G22" i="9"/>
  <c r="D22" i="9"/>
  <c r="X26" i="9"/>
  <c r="F26" i="9"/>
  <c r="B26" i="9"/>
  <c r="D26" i="9"/>
  <c r="F30" i="9"/>
  <c r="X30" i="9"/>
  <c r="G30" i="9"/>
  <c r="G34" i="9"/>
  <c r="B34" i="9"/>
  <c r="U38" i="9"/>
  <c r="G38" i="9"/>
  <c r="N42" i="9"/>
  <c r="B42" i="9"/>
  <c r="U42" i="9"/>
  <c r="G50" i="9"/>
  <c r="B50" i="9"/>
  <c r="X54" i="9"/>
  <c r="G54" i="9"/>
  <c r="B54" i="9"/>
  <c r="N58" i="9"/>
  <c r="F58" i="9"/>
  <c r="U62" i="9"/>
  <c r="B62" i="9"/>
  <c r="G62" i="9"/>
  <c r="B10" i="10"/>
  <c r="B14" i="10"/>
  <c r="B18" i="10"/>
  <c r="B26" i="10"/>
  <c r="B30" i="10"/>
  <c r="B38" i="10"/>
  <c r="B42" i="10"/>
  <c r="B46" i="10"/>
  <c r="B50" i="10"/>
  <c r="B54" i="10"/>
  <c r="F6" i="12"/>
  <c r="E6" i="12"/>
  <c r="C6" i="12"/>
  <c r="B6" i="12"/>
  <c r="E10" i="12"/>
  <c r="F10" i="12"/>
  <c r="B10" i="12"/>
  <c r="C10" i="12"/>
  <c r="E14" i="12"/>
  <c r="F14" i="12"/>
  <c r="C14" i="12"/>
  <c r="C18" i="12"/>
  <c r="E18" i="12"/>
  <c r="B18" i="12"/>
  <c r="F22" i="12"/>
  <c r="E22" i="12"/>
  <c r="E26" i="12"/>
  <c r="F26" i="12"/>
  <c r="C26" i="12"/>
  <c r="B30" i="12"/>
  <c r="F30" i="12"/>
  <c r="E30" i="12"/>
  <c r="C30" i="12"/>
  <c r="B34" i="12"/>
  <c r="F34" i="12"/>
  <c r="E34" i="12"/>
  <c r="C34" i="12"/>
  <c r="F38" i="12"/>
  <c r="B38" i="12"/>
  <c r="C42" i="12"/>
  <c r="E42" i="12"/>
  <c r="E46" i="12"/>
  <c r="F46" i="12"/>
  <c r="C46" i="12"/>
  <c r="C50" i="12"/>
  <c r="F50" i="12"/>
  <c r="B50" i="12"/>
  <c r="F54" i="12"/>
  <c r="E54" i="12"/>
  <c r="B54" i="12"/>
  <c r="E58" i="12"/>
  <c r="B58" i="12"/>
  <c r="F58" i="12"/>
  <c r="C62" i="12"/>
  <c r="B62" i="12"/>
  <c r="F6" i="13"/>
  <c r="B6" i="13"/>
  <c r="B26" i="13"/>
  <c r="F26" i="13"/>
  <c r="F30" i="13"/>
  <c r="B30" i="13"/>
  <c r="B34" i="13"/>
  <c r="F34" i="13"/>
  <c r="F46" i="13"/>
  <c r="B46" i="13"/>
  <c r="B50" i="13"/>
  <c r="F50" i="13"/>
  <c r="F62" i="13"/>
  <c r="B62" i="13"/>
  <c r="B10" i="14"/>
  <c r="C10" i="14"/>
  <c r="C18" i="14"/>
  <c r="B18" i="14"/>
  <c r="C22" i="14"/>
  <c r="B22" i="14"/>
  <c r="B30" i="14"/>
  <c r="C30" i="14"/>
  <c r="C34" i="14"/>
  <c r="B34" i="14"/>
  <c r="B42" i="14"/>
  <c r="C42" i="14"/>
  <c r="B46" i="14"/>
  <c r="C46" i="14"/>
  <c r="C50" i="14"/>
  <c r="B50" i="14"/>
  <c r="C54" i="14"/>
  <c r="B54" i="14"/>
  <c r="B62" i="14"/>
  <c r="C62" i="14"/>
  <c r="BK17" i="8"/>
  <c r="EX90" i="8"/>
  <c r="ER17" i="8"/>
  <c r="ES41" i="8"/>
  <c r="CJ90" i="8"/>
  <c r="CU88" i="8"/>
  <c r="EX41" i="8"/>
  <c r="CU99" i="8"/>
  <c r="BK90" i="8"/>
  <c r="CJ88" i="8"/>
  <c r="AG117" i="8"/>
  <c r="FN117" i="8"/>
  <c r="AY117" i="8"/>
  <c r="EP117" i="8"/>
  <c r="ER117" i="8"/>
  <c r="S8" i="9"/>
  <c r="S16" i="9"/>
  <c r="AB64" i="9"/>
  <c r="AB44" i="9"/>
  <c r="AB36" i="9"/>
  <c r="AB28" i="9"/>
  <c r="AB12" i="9"/>
  <c r="AB8" i="9"/>
  <c r="AB4" i="9"/>
  <c r="B36" i="9"/>
  <c r="C24" i="12"/>
  <c r="B40" i="12"/>
  <c r="B36" i="10"/>
  <c r="CX64" i="8"/>
  <c r="EX64" i="8"/>
  <c r="AX64" i="8"/>
  <c r="ER64" i="8"/>
  <c r="AY64" i="8"/>
  <c r="ES64" i="8"/>
  <c r="BK64" i="8"/>
  <c r="BW64" i="8"/>
  <c r="CX60" i="8"/>
  <c r="ER60" i="8"/>
  <c r="EX60" i="8"/>
  <c r="AX60" i="8"/>
  <c r="AY60" i="8"/>
  <c r="CX56" i="8"/>
  <c r="BK56" i="8"/>
  <c r="ES56" i="8"/>
  <c r="EX56" i="8"/>
  <c r="AX56" i="8"/>
  <c r="BW56" i="8"/>
  <c r="AY56" i="8"/>
  <c r="ER56" i="8"/>
  <c r="ER52" i="8"/>
  <c r="ES52" i="8"/>
  <c r="BW52" i="8"/>
  <c r="AY52" i="8"/>
  <c r="CX52" i="8"/>
  <c r="EX52" i="8"/>
  <c r="AX52" i="8"/>
  <c r="CX48" i="8"/>
  <c r="EX48" i="8"/>
  <c r="AX48" i="8"/>
  <c r="BK48" i="8"/>
  <c r="BW48" i="8"/>
  <c r="AY48" i="8"/>
  <c r="ER48" i="8"/>
  <c r="ES48" i="8"/>
  <c r="CX44" i="8"/>
  <c r="ER44" i="8"/>
  <c r="EX44" i="8"/>
  <c r="AX44" i="8"/>
  <c r="BK44" i="8"/>
  <c r="AY44" i="8"/>
  <c r="CX40" i="8"/>
  <c r="ER40" i="8"/>
  <c r="ES40" i="8"/>
  <c r="BW40" i="8"/>
  <c r="EX40" i="8"/>
  <c r="AX40" i="8"/>
  <c r="BK40" i="8"/>
  <c r="AY40" i="8"/>
  <c r="ER36" i="8"/>
  <c r="CX36" i="8"/>
  <c r="AY36" i="8"/>
  <c r="ES36" i="8"/>
  <c r="BW36" i="8"/>
  <c r="EX36" i="8"/>
  <c r="AX36" i="8"/>
  <c r="U36" i="8"/>
  <c r="BK32" i="8"/>
  <c r="ES32" i="8"/>
  <c r="BW32" i="8"/>
  <c r="EX32" i="8"/>
  <c r="AX32" i="8"/>
  <c r="AY32" i="8"/>
  <c r="ER32" i="8"/>
  <c r="CX32" i="8"/>
  <c r="U32" i="8"/>
  <c r="CX28" i="8"/>
  <c r="BK28" i="8"/>
  <c r="EX28" i="8"/>
  <c r="AX28" i="8"/>
  <c r="ER28" i="8"/>
  <c r="AY28" i="8"/>
  <c r="U28" i="8"/>
  <c r="CX24" i="8"/>
  <c r="ER24" i="8"/>
  <c r="BW24" i="8"/>
  <c r="BK24" i="8"/>
  <c r="EX24" i="8"/>
  <c r="AX24" i="8"/>
  <c r="ES24" i="8"/>
  <c r="AY24" i="8"/>
  <c r="U24" i="8"/>
  <c r="CX20" i="8"/>
  <c r="ER20" i="8"/>
  <c r="AY20" i="8"/>
  <c r="BK20" i="8"/>
  <c r="ES20" i="8"/>
  <c r="BW20" i="8"/>
  <c r="EX20" i="8"/>
  <c r="AX20" i="8"/>
  <c r="U20" i="8"/>
  <c r="EX16" i="8"/>
  <c r="AX16" i="8"/>
  <c r="CX16" i="8"/>
  <c r="ES16" i="8"/>
  <c r="AY16" i="8"/>
  <c r="BK16" i="8"/>
  <c r="BW16" i="8"/>
  <c r="U16" i="8"/>
  <c r="CX12" i="8"/>
  <c r="ES12" i="8"/>
  <c r="BK12" i="8"/>
  <c r="BW12" i="8"/>
  <c r="EX12" i="8"/>
  <c r="AX12" i="8"/>
  <c r="ER12" i="8"/>
  <c r="AY12" i="8"/>
  <c r="U12" i="8"/>
  <c r="ER8" i="8"/>
  <c r="BW8" i="8"/>
  <c r="CX8" i="8"/>
  <c r="BK8" i="8"/>
  <c r="EX8" i="8"/>
  <c r="AX8" i="8"/>
  <c r="U8" i="8"/>
  <c r="CX4" i="8"/>
  <c r="ER4" i="8"/>
  <c r="AX4" i="8"/>
  <c r="BK4" i="8"/>
  <c r="AY4" i="8"/>
  <c r="ES4" i="8"/>
  <c r="BW4" i="8"/>
  <c r="U4" i="8"/>
  <c r="G4" i="9"/>
  <c r="X4" i="9"/>
  <c r="F12" i="9"/>
  <c r="G12" i="9"/>
  <c r="G20" i="9"/>
  <c r="F24" i="9"/>
  <c r="G24" i="9"/>
  <c r="X28" i="9"/>
  <c r="G28" i="9"/>
  <c r="U32" i="9"/>
  <c r="G32" i="9"/>
  <c r="G40" i="9"/>
  <c r="F44" i="9"/>
  <c r="G44" i="9"/>
  <c r="F56" i="9"/>
  <c r="G56" i="9"/>
  <c r="B4" i="10"/>
  <c r="B8" i="10"/>
  <c r="B12" i="10"/>
  <c r="B16" i="10"/>
  <c r="B20" i="10"/>
  <c r="B24" i="10"/>
  <c r="B28" i="10"/>
  <c r="B32" i="10"/>
  <c r="B40" i="10"/>
  <c r="B44" i="10"/>
  <c r="B48" i="10"/>
  <c r="B56" i="10"/>
  <c r="B60" i="10"/>
  <c r="B64" i="10"/>
  <c r="F4" i="12"/>
  <c r="E4" i="12"/>
  <c r="B4" i="12"/>
  <c r="C4" i="12"/>
  <c r="F12" i="12"/>
  <c r="C12" i="12"/>
  <c r="E12" i="12"/>
  <c r="B12" i="12"/>
  <c r="F16" i="12"/>
  <c r="C16" i="12"/>
  <c r="B16" i="12"/>
  <c r="B20" i="12"/>
  <c r="F20" i="12"/>
  <c r="C20" i="12"/>
  <c r="F28" i="12"/>
  <c r="E28" i="12"/>
  <c r="C28" i="12"/>
  <c r="F32" i="12"/>
  <c r="B32" i="12"/>
  <c r="C32" i="12"/>
  <c r="E32" i="12"/>
  <c r="E36" i="12"/>
  <c r="F36" i="12"/>
  <c r="B36" i="12"/>
  <c r="C36" i="12"/>
  <c r="F44" i="12"/>
  <c r="C44" i="12"/>
  <c r="B44" i="12"/>
  <c r="E44" i="12"/>
  <c r="C48" i="12"/>
  <c r="F48" i="12"/>
  <c r="E48" i="12"/>
  <c r="B48" i="12"/>
  <c r="F52" i="12"/>
  <c r="E52" i="12"/>
  <c r="B52" i="12"/>
  <c r="C52" i="12"/>
  <c r="E56" i="12"/>
  <c r="F56" i="12"/>
  <c r="B56" i="12"/>
  <c r="B60" i="12"/>
  <c r="C60" i="12"/>
  <c r="F60" i="12"/>
  <c r="F64" i="12"/>
  <c r="B64" i="12"/>
  <c r="E64" i="12"/>
  <c r="C64" i="12"/>
  <c r="F4" i="13"/>
  <c r="B4" i="13"/>
  <c r="F8" i="13"/>
  <c r="B8" i="13"/>
  <c r="B16" i="13"/>
  <c r="F16" i="13"/>
  <c r="B20" i="13"/>
  <c r="F20" i="13"/>
  <c r="B24" i="13"/>
  <c r="F24" i="13"/>
  <c r="F28" i="13"/>
  <c r="B28" i="13"/>
  <c r="B32" i="13"/>
  <c r="F32" i="13"/>
  <c r="B36" i="13"/>
  <c r="F36" i="13"/>
  <c r="F40" i="13"/>
  <c r="B40" i="13"/>
  <c r="F44" i="13"/>
  <c r="B44" i="13"/>
  <c r="B48" i="13"/>
  <c r="F48" i="13"/>
  <c r="F52" i="13"/>
  <c r="B52" i="13"/>
  <c r="F56" i="13"/>
  <c r="B56" i="13"/>
  <c r="F60" i="13"/>
  <c r="B60" i="13"/>
  <c r="B64" i="13"/>
  <c r="F64" i="13"/>
  <c r="B4" i="14"/>
  <c r="C4" i="14"/>
  <c r="C12" i="14"/>
  <c r="B12" i="14"/>
  <c r="C16" i="14"/>
  <c r="B16" i="14"/>
  <c r="B20" i="14"/>
  <c r="C20" i="14"/>
  <c r="B24" i="14"/>
  <c r="C24" i="14"/>
  <c r="C28" i="14"/>
  <c r="B28" i="14"/>
  <c r="C32" i="14"/>
  <c r="B32" i="14"/>
  <c r="B36" i="14"/>
  <c r="C36" i="14"/>
  <c r="B40" i="14"/>
  <c r="C40" i="14"/>
  <c r="C44" i="14"/>
  <c r="B44" i="14"/>
  <c r="B52" i="14"/>
  <c r="C52" i="14"/>
  <c r="B56" i="14"/>
  <c r="C56" i="14"/>
  <c r="C60" i="14"/>
  <c r="B60" i="14"/>
  <c r="C64" i="14"/>
  <c r="B64" i="14"/>
  <c r="I24" i="9"/>
  <c r="I16" i="9"/>
  <c r="I8" i="9"/>
  <c r="H48" i="9"/>
  <c r="H44" i="9"/>
  <c r="H40" i="9"/>
  <c r="H36" i="9"/>
  <c r="H32" i="9"/>
  <c r="H28" i="9"/>
  <c r="H24" i="9"/>
  <c r="H20" i="9"/>
  <c r="H16" i="9"/>
  <c r="H12" i="9"/>
  <c r="H8" i="9"/>
  <c r="H4" i="9"/>
  <c r="S12" i="9"/>
  <c r="S4" i="9"/>
  <c r="AB24" i="9"/>
  <c r="AB40" i="9"/>
  <c r="AB32" i="9"/>
  <c r="AB20" i="9"/>
  <c r="B48" i="9"/>
  <c r="B40" i="9"/>
  <c r="B32" i="9"/>
  <c r="B24" i="9"/>
  <c r="B16" i="9"/>
  <c r="B8" i="9"/>
  <c r="B64" i="9"/>
  <c r="B60" i="9"/>
  <c r="B56" i="9"/>
  <c r="B52" i="9"/>
  <c r="C56" i="12"/>
  <c r="B28" i="12"/>
  <c r="E16" i="12"/>
  <c r="F24" i="12"/>
  <c r="B68" i="10"/>
  <c r="B48" i="14"/>
  <c r="EX109" i="8"/>
  <c r="EQ111" i="8"/>
  <c r="AH111" i="8"/>
  <c r="FN111" i="8"/>
  <c r="BK111" i="8"/>
  <c r="N26" i="9"/>
  <c r="N9" i="9"/>
  <c r="F9" i="9"/>
  <c r="F5" i="12"/>
  <c r="E5" i="12"/>
  <c r="B5" i="12"/>
  <c r="C5" i="12"/>
  <c r="E21" i="12"/>
  <c r="B21" i="12"/>
  <c r="E37" i="12"/>
  <c r="B37" i="12"/>
  <c r="C37" i="12"/>
  <c r="B53" i="12"/>
  <c r="C53" i="12"/>
  <c r="B37" i="13"/>
  <c r="F37" i="13"/>
  <c r="F45" i="13"/>
  <c r="B45" i="13"/>
  <c r="B33" i="14"/>
  <c r="C33" i="14"/>
  <c r="F49" i="12"/>
  <c r="B37" i="14"/>
  <c r="F33" i="9"/>
  <c r="ER65" i="8"/>
  <c r="BW65" i="8"/>
  <c r="ER57" i="8"/>
  <c r="BK57" i="8"/>
  <c r="EX57" i="8"/>
  <c r="BW53" i="8"/>
  <c r="AX53" i="8"/>
  <c r="AX37" i="8"/>
  <c r="BK37" i="8"/>
  <c r="EX25" i="8"/>
  <c r="ER25" i="8"/>
  <c r="ES21" i="8"/>
  <c r="AX21" i="8"/>
  <c r="ER9" i="8"/>
  <c r="EX9" i="8"/>
  <c r="EP121" i="8"/>
  <c r="F62" i="9"/>
  <c r="X42" i="9"/>
  <c r="CU128" i="8"/>
  <c r="AY121" i="8"/>
  <c r="C14" i="14"/>
  <c r="F42" i="13"/>
  <c r="F10" i="13"/>
  <c r="B54" i="13"/>
  <c r="B14" i="13"/>
  <c r="F10" i="9"/>
  <c r="F42" i="9"/>
  <c r="BW28" i="8"/>
  <c r="BW44" i="8"/>
  <c r="BW60" i="8"/>
  <c r="BK36" i="8"/>
  <c r="BK52" i="8"/>
  <c r="ES60" i="8"/>
  <c r="ES44" i="8"/>
  <c r="ES28" i="8"/>
  <c r="EP90" i="8"/>
  <c r="AY76" i="8"/>
  <c r="CV129" i="8"/>
  <c r="EP104" i="8"/>
  <c r="EQ102" i="8"/>
  <c r="EQ92" i="8"/>
  <c r="ER90" i="8"/>
  <c r="AY90" i="8"/>
  <c r="EZ88" i="8"/>
  <c r="AX88" i="8"/>
  <c r="EZ131" i="8"/>
  <c r="CJ120" i="8"/>
  <c r="CJ106" i="8"/>
  <c r="EP102" i="8"/>
  <c r="EP88" i="8"/>
  <c r="AG88" i="8"/>
  <c r="FN81" i="8"/>
  <c r="ES72" i="8"/>
  <c r="N6" i="9"/>
  <c r="X6" i="9"/>
  <c r="F6" i="9"/>
  <c r="N10" i="9"/>
  <c r="U10" i="9"/>
  <c r="U14" i="9"/>
  <c r="N14" i="9"/>
  <c r="N18" i="9"/>
  <c r="U18" i="9"/>
  <c r="N22" i="9"/>
  <c r="X22" i="9"/>
  <c r="U30" i="9"/>
  <c r="U34" i="9"/>
  <c r="X34" i="9"/>
  <c r="N38" i="9"/>
  <c r="U46" i="9"/>
  <c r="N46" i="9"/>
  <c r="U50" i="9"/>
  <c r="X50" i="9"/>
  <c r="N54" i="9"/>
  <c r="U54" i="9"/>
  <c r="X58" i="9"/>
  <c r="B34" i="10"/>
  <c r="FN127" i="8"/>
  <c r="AH116" i="8"/>
  <c r="FN116" i="8"/>
  <c r="U80" i="8"/>
  <c r="CJ80" i="8"/>
  <c r="EQ80" i="8"/>
  <c r="Z68" i="8"/>
  <c r="CU68" i="8"/>
  <c r="EP68" i="8"/>
  <c r="CV96" i="8"/>
  <c r="BK96" i="8"/>
  <c r="EP96" i="8"/>
  <c r="F38" i="13"/>
  <c r="F22" i="13"/>
  <c r="F18" i="9"/>
  <c r="F34" i="9"/>
  <c r="F50" i="9"/>
  <c r="X46" i="9"/>
  <c r="N50" i="9"/>
  <c r="X15" i="9"/>
  <c r="F15" i="9"/>
  <c r="F35" i="9"/>
  <c r="U39" i="9"/>
  <c r="X39" i="9"/>
  <c r="X47" i="9"/>
  <c r="F47" i="9"/>
  <c r="BK63" i="8"/>
  <c r="AX63" i="8"/>
  <c r="CX63" i="8"/>
  <c r="ER63" i="8"/>
  <c r="AY63" i="8"/>
  <c r="CX59" i="8"/>
  <c r="ER59" i="8"/>
  <c r="BW59" i="8"/>
  <c r="EX59" i="8"/>
  <c r="BK59" i="8"/>
  <c r="BW55" i="8"/>
  <c r="EX55" i="8"/>
  <c r="CX51" i="8"/>
  <c r="ES51" i="8"/>
  <c r="AY51" i="8"/>
  <c r="ER51" i="8"/>
  <c r="AX51" i="8"/>
  <c r="BK47" i="8"/>
  <c r="CX47" i="8"/>
  <c r="ES47" i="8"/>
  <c r="AY47" i="8"/>
  <c r="CX43" i="8"/>
  <c r="BW43" i="8"/>
  <c r="AX43" i="8"/>
  <c r="EX43" i="8"/>
  <c r="BK43" i="8"/>
  <c r="ES39" i="8"/>
  <c r="ER39" i="8"/>
  <c r="BW39" i="8"/>
  <c r="AX39" i="8"/>
  <c r="EX39" i="8"/>
  <c r="AY35" i="8"/>
  <c r="CX35" i="8"/>
  <c r="CX31" i="8"/>
  <c r="BK31" i="8"/>
  <c r="AX31" i="8"/>
  <c r="ER31" i="8"/>
  <c r="AY31" i="8"/>
  <c r="ER27" i="8"/>
  <c r="BW27" i="8"/>
  <c r="EX27" i="8"/>
  <c r="ES27" i="8"/>
  <c r="BK27" i="8"/>
  <c r="CX23" i="8"/>
  <c r="BW23" i="8"/>
  <c r="EX23" i="8"/>
  <c r="CX19" i="8"/>
  <c r="AY19" i="8"/>
  <c r="ER19" i="8"/>
  <c r="AX19" i="8"/>
  <c r="BK15" i="8"/>
  <c r="ES15" i="8"/>
  <c r="AY15" i="8"/>
  <c r="CX11" i="8"/>
  <c r="BW11" i="8"/>
  <c r="AX11" i="8"/>
  <c r="EX11" i="8"/>
  <c r="ES11" i="8"/>
  <c r="BK11" i="8"/>
  <c r="ES7" i="8"/>
  <c r="ER7" i="8"/>
  <c r="BW7" i="8"/>
  <c r="AX7" i="8"/>
  <c r="FN129" i="8"/>
  <c r="BW129" i="8"/>
  <c r="AG121" i="8"/>
  <c r="CJ121" i="8"/>
  <c r="ES121" i="8"/>
  <c r="AX121" i="8"/>
  <c r="CU121" i="8"/>
  <c r="EZ121" i="8"/>
  <c r="FN104" i="8"/>
  <c r="BK104" i="8"/>
  <c r="CJ94" i="8"/>
  <c r="FN94" i="8"/>
  <c r="AX73" i="8"/>
  <c r="ER73" i="8"/>
  <c r="AH138" i="8"/>
  <c r="BK127" i="8"/>
  <c r="CJ127" i="8"/>
  <c r="B46" i="12"/>
  <c r="B14" i="12"/>
  <c r="E38" i="12"/>
  <c r="F22" i="9"/>
  <c r="F38" i="9"/>
  <c r="F54" i="9"/>
  <c r="F7" i="9"/>
  <c r="X38" i="9"/>
  <c r="X18" i="9"/>
  <c r="X62" i="9"/>
  <c r="U58" i="9"/>
  <c r="U26" i="9"/>
  <c r="N34" i="9"/>
  <c r="ES129" i="8"/>
  <c r="BW121" i="8"/>
  <c r="EX116" i="8"/>
  <c r="EQ104" i="8"/>
  <c r="FN102" i="8"/>
  <c r="BK102" i="8"/>
  <c r="BW81" i="8"/>
  <c r="EQ81" i="8"/>
  <c r="CJ117" i="8"/>
  <c r="ES88" i="8"/>
  <c r="AY88" i="8"/>
  <c r="AG110" i="8"/>
  <c r="EZ110" i="8"/>
  <c r="BK110" i="8"/>
  <c r="FN110" i="8"/>
  <c r="CJ110" i="8"/>
  <c r="Z97" i="8"/>
  <c r="AX97" i="8"/>
  <c r="CU97" i="8"/>
  <c r="ER97" i="8"/>
  <c r="U97" i="8"/>
  <c r="CV97" i="8"/>
  <c r="ES97" i="8"/>
  <c r="AG97" i="8"/>
  <c r="BK97" i="8"/>
  <c r="CX97" i="8"/>
  <c r="EZ97" i="8"/>
  <c r="AX70" i="8"/>
  <c r="EQ70" i="8"/>
  <c r="EX70" i="8"/>
  <c r="Z136" i="8"/>
  <c r="ER136" i="8"/>
  <c r="Z118" i="8"/>
  <c r="CV118" i="8"/>
  <c r="EQ97" i="8"/>
  <c r="U89" i="8"/>
  <c r="AH89" i="8"/>
  <c r="CX89" i="8"/>
  <c r="AX89" i="8"/>
  <c r="EQ89" i="8"/>
  <c r="BK89" i="8"/>
  <c r="EZ89" i="8"/>
  <c r="F11" i="9"/>
  <c r="Z135" i="8"/>
  <c r="AX135" i="8"/>
  <c r="CJ135" i="8"/>
  <c r="EQ135" i="8"/>
  <c r="Z113" i="8"/>
  <c r="AG113" i="8"/>
  <c r="EX113" i="8"/>
  <c r="CJ113" i="8"/>
  <c r="EQ107" i="8"/>
  <c r="BW97" i="8"/>
  <c r="U3" i="9"/>
  <c r="F3" i="9"/>
  <c r="U7" i="9"/>
  <c r="X7" i="9"/>
  <c r="U15" i="9"/>
  <c r="N15" i="9"/>
  <c r="U19" i="9"/>
  <c r="F19" i="9"/>
  <c r="N19" i="9"/>
  <c r="U23" i="9"/>
  <c r="F23" i="9"/>
  <c r="X23" i="9"/>
  <c r="N27" i="9"/>
  <c r="F27" i="9"/>
  <c r="U31" i="9"/>
  <c r="N31" i="9"/>
  <c r="F31" i="9"/>
  <c r="U35" i="9"/>
  <c r="X35" i="9"/>
  <c r="N43" i="9"/>
  <c r="U43" i="9"/>
  <c r="X43" i="9"/>
  <c r="U47" i="9"/>
  <c r="N47" i="9"/>
  <c r="X55" i="9"/>
  <c r="U55" i="9"/>
  <c r="F55" i="9"/>
  <c r="N59" i="9"/>
  <c r="F59" i="9"/>
  <c r="N63" i="9"/>
  <c r="F63" i="9"/>
  <c r="AG115" i="8"/>
  <c r="ES115" i="8"/>
  <c r="EP110" i="8"/>
  <c r="AH97" i="8"/>
  <c r="AG94" i="8"/>
  <c r="EP94" i="8"/>
  <c r="AH94" i="8"/>
  <c r="EQ94" i="8"/>
  <c r="BK94" i="8"/>
  <c r="EZ94" i="8"/>
  <c r="FN89" i="8"/>
  <c r="AH87" i="8"/>
  <c r="EQ87" i="8"/>
  <c r="FN87" i="8"/>
  <c r="BW71" i="8"/>
  <c r="EQ71" i="8"/>
  <c r="EP114" i="8"/>
  <c r="EP112" i="8"/>
  <c r="AY99" i="8"/>
  <c r="EZ96" i="8"/>
  <c r="Z96" i="8"/>
  <c r="CJ92" i="8"/>
  <c r="CX81" i="8"/>
  <c r="AG81" i="8"/>
  <c r="EP80" i="8"/>
  <c r="AG80" i="8"/>
  <c r="ER99" i="8"/>
  <c r="FN92" i="8"/>
  <c r="EZ81" i="8"/>
  <c r="BK81" i="8"/>
  <c r="EZ80" i="8"/>
  <c r="BW80" i="8"/>
  <c r="EP76" i="8"/>
  <c r="N41" i="9"/>
  <c r="U133" i="8"/>
  <c r="BK133" i="8"/>
  <c r="ER133" i="8"/>
  <c r="AG133" i="8"/>
  <c r="CU133" i="8"/>
  <c r="EZ133" i="8"/>
  <c r="AH133" i="8"/>
  <c r="CV133" i="8"/>
  <c r="FN133" i="8"/>
  <c r="AH105" i="8"/>
  <c r="BK105" i="8"/>
  <c r="CV105" i="8"/>
  <c r="ER105" i="8"/>
  <c r="FN105" i="8"/>
  <c r="U105" i="8"/>
  <c r="AX105" i="8"/>
  <c r="BW105" i="8"/>
  <c r="CX105" i="8"/>
  <c r="ES105" i="8"/>
  <c r="Z105" i="8"/>
  <c r="CJ105" i="8"/>
  <c r="EX105" i="8"/>
  <c r="AG105" i="8"/>
  <c r="CU105" i="8"/>
  <c r="EZ105" i="8"/>
  <c r="AY105" i="8"/>
  <c r="EP105" i="8"/>
  <c r="EQ103" i="8"/>
  <c r="F5" i="9"/>
  <c r="U13" i="9"/>
  <c r="N13" i="9"/>
  <c r="N17" i="9"/>
  <c r="F17" i="9"/>
  <c r="U21" i="9"/>
  <c r="F21" i="9"/>
  <c r="F25" i="9"/>
  <c r="N25" i="9"/>
  <c r="U29" i="9"/>
  <c r="X29" i="9"/>
  <c r="U37" i="9"/>
  <c r="N37" i="9"/>
  <c r="F37" i="9"/>
  <c r="U45" i="9"/>
  <c r="F45" i="9"/>
  <c r="N45" i="9"/>
  <c r="U53" i="9"/>
  <c r="F53" i="9"/>
  <c r="N57" i="9"/>
  <c r="F57" i="9"/>
  <c r="U61" i="9"/>
  <c r="F61" i="9"/>
  <c r="X61" i="9"/>
  <c r="F9" i="13"/>
  <c r="B9" i="13"/>
  <c r="B17" i="13"/>
  <c r="F17" i="13"/>
  <c r="F25" i="13"/>
  <c r="B25" i="13"/>
  <c r="B33" i="13"/>
  <c r="F33" i="13"/>
  <c r="F41" i="13"/>
  <c r="B41" i="13"/>
  <c r="B49" i="13"/>
  <c r="F49" i="13"/>
  <c r="F57" i="13"/>
  <c r="B57" i="13"/>
  <c r="B65" i="13"/>
  <c r="F65" i="13"/>
  <c r="B9" i="14"/>
  <c r="C9" i="14"/>
  <c r="B13" i="14"/>
  <c r="C13" i="14"/>
  <c r="B25" i="14"/>
  <c r="C25" i="14"/>
  <c r="B29" i="14"/>
  <c r="C29" i="14"/>
  <c r="B41" i="14"/>
  <c r="C41" i="14"/>
  <c r="B45" i="14"/>
  <c r="C45" i="14"/>
  <c r="B57" i="14"/>
  <c r="C57" i="14"/>
  <c r="B61" i="14"/>
  <c r="C61" i="14"/>
  <c r="Z137" i="8"/>
  <c r="U137" i="8"/>
  <c r="CU137" i="8"/>
  <c r="AG137" i="8"/>
  <c r="EQ137" i="8"/>
  <c r="ES137" i="8"/>
  <c r="CU134" i="8"/>
  <c r="Z101" i="8"/>
  <c r="CJ101" i="8"/>
  <c r="EX101" i="8"/>
  <c r="AG101" i="8"/>
  <c r="CU101" i="8"/>
  <c r="EZ101" i="8"/>
  <c r="AY101" i="8"/>
  <c r="EP101" i="8"/>
  <c r="B53" i="14"/>
  <c r="C49" i="14"/>
  <c r="F13" i="13"/>
  <c r="F49" i="9"/>
  <c r="N21" i="9"/>
  <c r="EQ133" i="8"/>
  <c r="AG130" i="8"/>
  <c r="Z130" i="8"/>
  <c r="EP130" i="8"/>
  <c r="AH130" i="8"/>
  <c r="FN130" i="8"/>
  <c r="BK130" i="8"/>
  <c r="CV130" i="8"/>
  <c r="EQ105" i="8"/>
  <c r="U77" i="8"/>
  <c r="AG77" i="8"/>
  <c r="BW77" i="8"/>
  <c r="ER77" i="8"/>
  <c r="AH77" i="8"/>
  <c r="CU77" i="8"/>
  <c r="EZ77" i="8"/>
  <c r="EQ77" i="8"/>
  <c r="AX77" i="8"/>
  <c r="FN77" i="8"/>
  <c r="BK77" i="8"/>
  <c r="F53" i="13"/>
  <c r="F21" i="13"/>
  <c r="F65" i="9"/>
  <c r="N53" i="9"/>
  <c r="BK30" i="8"/>
  <c r="ES30" i="8"/>
  <c r="EX6" i="8"/>
  <c r="BW6" i="8"/>
  <c r="EZ137" i="8"/>
  <c r="BK98" i="8"/>
  <c r="CJ98" i="8"/>
  <c r="FN98" i="8"/>
  <c r="AG84" i="8"/>
  <c r="BW84" i="8"/>
  <c r="ES84" i="8"/>
  <c r="EX136" i="8"/>
  <c r="CU135" i="8"/>
  <c r="U135" i="8"/>
  <c r="AG131" i="8"/>
  <c r="AG127" i="8"/>
  <c r="EP127" i="8"/>
  <c r="AH121" i="8"/>
  <c r="BK121" i="8"/>
  <c r="CV121" i="8"/>
  <c r="ER121" i="8"/>
  <c r="FN121" i="8"/>
  <c r="U119" i="8"/>
  <c r="CJ118" i="8"/>
  <c r="FN118" i="8"/>
  <c r="EQ117" i="8"/>
  <c r="BK117" i="8"/>
  <c r="EZ115" i="8"/>
  <c r="EQ113" i="8"/>
  <c r="BW113" i="8"/>
  <c r="U110" i="8"/>
  <c r="AY110" i="8"/>
  <c r="CU110" i="8"/>
  <c r="ER110" i="8"/>
  <c r="Z110" i="8"/>
  <c r="CV110" i="8"/>
  <c r="EX110" i="8"/>
  <c r="AG109" i="8"/>
  <c r="Z109" i="8"/>
  <c r="EP109" i="8"/>
  <c r="AY109" i="8"/>
  <c r="EQ109" i="8"/>
  <c r="EQ99" i="8"/>
  <c r="U96" i="8"/>
  <c r="AG96" i="8"/>
  <c r="CJ96" i="8"/>
  <c r="EQ96" i="8"/>
  <c r="FN96" i="8"/>
  <c r="AH96" i="8"/>
  <c r="CU96" i="8"/>
  <c r="ER96" i="8"/>
  <c r="ER85" i="8"/>
  <c r="CU83" i="8"/>
  <c r="EQ83" i="8"/>
  <c r="EQ76" i="8"/>
  <c r="CU73" i="8"/>
  <c r="AH73" i="8"/>
  <c r="EQ73" i="8"/>
  <c r="U72" i="8"/>
  <c r="CU72" i="8"/>
  <c r="AX72" i="8"/>
  <c r="EQ72" i="8"/>
  <c r="AX67" i="8"/>
  <c r="U117" i="8"/>
  <c r="Z117" i="8"/>
  <c r="CV117" i="8"/>
  <c r="EX117" i="8"/>
  <c r="U115" i="8"/>
  <c r="CU115" i="8"/>
  <c r="AH114" i="8"/>
  <c r="EZ114" i="8"/>
  <c r="U113" i="8"/>
  <c r="AY113" i="8"/>
  <c r="CU113" i="8"/>
  <c r="ES113" i="8"/>
  <c r="CJ100" i="8"/>
  <c r="AH100" i="8"/>
  <c r="EQ100" i="8"/>
  <c r="Z99" i="8"/>
  <c r="CV99" i="8"/>
  <c r="EX99" i="8"/>
  <c r="AG99" i="8"/>
  <c r="BK99" i="8"/>
  <c r="EP99" i="8"/>
  <c r="EZ99" i="8"/>
  <c r="Z76" i="8"/>
  <c r="AG76" i="8"/>
  <c r="CJ76" i="8"/>
  <c r="ES76" i="8"/>
  <c r="AX76" i="8"/>
  <c r="CU76" i="8"/>
  <c r="EZ76" i="8"/>
  <c r="N62" i="9"/>
  <c r="N35" i="9"/>
  <c r="N30" i="9"/>
  <c r="N3" i="9"/>
  <c r="CJ136" i="8"/>
  <c r="ES135" i="8"/>
  <c r="AY135" i="8"/>
  <c r="AH129" i="8"/>
  <c r="EQ129" i="8"/>
  <c r="ER127" i="8"/>
  <c r="AY127" i="8"/>
  <c r="EX121" i="8"/>
  <c r="CX121" i="8"/>
  <c r="Z121" i="8"/>
  <c r="ER118" i="8"/>
  <c r="AY118" i="8"/>
  <c r="EZ117" i="8"/>
  <c r="CU117" i="8"/>
  <c r="AH117" i="8"/>
  <c r="EQ115" i="8"/>
  <c r="ER114" i="8"/>
  <c r="EZ113" i="8"/>
  <c r="CX113" i="8"/>
  <c r="AX113" i="8"/>
  <c r="FN112" i="8"/>
  <c r="EQ110" i="8"/>
  <c r="AH110" i="8"/>
  <c r="CJ109" i="8"/>
  <c r="CJ108" i="8"/>
  <c r="EQ108" i="8"/>
  <c r="U104" i="8"/>
  <c r="AG104" i="8"/>
  <c r="CJ104" i="8"/>
  <c r="EX104" i="8"/>
  <c r="AH104" i="8"/>
  <c r="CV104" i="8"/>
  <c r="EZ104" i="8"/>
  <c r="U102" i="8"/>
  <c r="AG102" i="8"/>
  <c r="CJ102" i="8"/>
  <c r="EX102" i="8"/>
  <c r="AH102" i="8"/>
  <c r="CV102" i="8"/>
  <c r="EZ102" i="8"/>
  <c r="FN99" i="8"/>
  <c r="CJ99" i="8"/>
  <c r="EX96" i="8"/>
  <c r="U94" i="8"/>
  <c r="AY94" i="8"/>
  <c r="CU94" i="8"/>
  <c r="ER94" i="8"/>
  <c r="Z94" i="8"/>
  <c r="CV94" i="8"/>
  <c r="EX94" i="8"/>
  <c r="BW76" i="8"/>
  <c r="BW73" i="8"/>
  <c r="CJ72" i="8"/>
  <c r="U70" i="8"/>
  <c r="CJ70" i="8"/>
  <c r="EQ95" i="8"/>
  <c r="AH92" i="8"/>
  <c r="FN90" i="8"/>
  <c r="CV90" i="8"/>
  <c r="AH90" i="8"/>
  <c r="ER89" i="8"/>
  <c r="BW89" i="8"/>
  <c r="AG89" i="8"/>
  <c r="EQ88" i="8"/>
  <c r="BW88" i="8"/>
  <c r="U88" i="8"/>
  <c r="EQ66" i="8"/>
  <c r="EX97" i="8"/>
  <c r="EP97" i="8"/>
  <c r="CJ97" i="8"/>
  <c r="AY97" i="8"/>
  <c r="ER3" i="8"/>
  <c r="BK3" i="8"/>
  <c r="BW3" i="8"/>
  <c r="AX3" i="8"/>
  <c r="CX3" i="8"/>
  <c r="EX3" i="8"/>
  <c r="AG3" i="8"/>
  <c r="CU3" i="8"/>
  <c r="EQ3" i="8"/>
  <c r="FN3" i="8"/>
  <c r="ES3" i="8"/>
  <c r="N4" i="9"/>
  <c r="F4" i="9"/>
  <c r="N8" i="9"/>
  <c r="U8" i="9"/>
  <c r="X8" i="9"/>
  <c r="N12" i="9"/>
  <c r="U12" i="9"/>
  <c r="X12" i="9"/>
  <c r="N16" i="9"/>
  <c r="U16" i="9"/>
  <c r="X16" i="9"/>
  <c r="F16" i="9"/>
  <c r="N20" i="9"/>
  <c r="F20" i="9"/>
  <c r="U20" i="9"/>
  <c r="X20" i="9"/>
  <c r="N24" i="9"/>
  <c r="U24" i="9"/>
  <c r="X24" i="9"/>
  <c r="N28" i="9"/>
  <c r="U28" i="9"/>
  <c r="N32" i="9"/>
  <c r="X32" i="9"/>
  <c r="F32" i="9"/>
  <c r="N36" i="9"/>
  <c r="U36" i="9"/>
  <c r="X36" i="9"/>
  <c r="F36" i="9"/>
  <c r="N40" i="9"/>
  <c r="U40" i="9"/>
  <c r="X40" i="9"/>
  <c r="N44" i="9"/>
  <c r="U44" i="9"/>
  <c r="X44" i="9"/>
  <c r="N48" i="9"/>
  <c r="F48" i="9"/>
  <c r="N52" i="9"/>
  <c r="X52" i="9"/>
  <c r="U52" i="9"/>
  <c r="F52" i="9"/>
  <c r="N56" i="9"/>
  <c r="U56" i="9"/>
  <c r="X56" i="9"/>
  <c r="N60" i="9"/>
  <c r="X60" i="9"/>
  <c r="U60" i="9"/>
  <c r="N64" i="9"/>
  <c r="U64" i="9"/>
  <c r="X64" i="9"/>
  <c r="F64" i="9"/>
  <c r="CV3" i="8"/>
  <c r="Z3" i="8"/>
  <c r="AH3" i="8"/>
  <c r="U3" i="8"/>
  <c r="F28" i="9"/>
  <c r="F60" i="9"/>
  <c r="CJ3" i="8"/>
  <c r="EP3" i="8"/>
  <c r="F8" i="9"/>
  <c r="F40" i="9"/>
  <c r="AY3" i="8"/>
  <c r="X48" i="9"/>
  <c r="U48" i="9"/>
  <c r="U4" i="9"/>
  <c r="CX65" i="8"/>
  <c r="AY65" i="8"/>
  <c r="ES65" i="8"/>
  <c r="AX65" i="8"/>
  <c r="EX65" i="8"/>
  <c r="BK65" i="8"/>
  <c r="CX61" i="8"/>
  <c r="ES61" i="8"/>
  <c r="BK61" i="8"/>
  <c r="BW61" i="8"/>
  <c r="ER61" i="8"/>
  <c r="AY61" i="8"/>
  <c r="EX61" i="8"/>
  <c r="CX57" i="8"/>
  <c r="ES57" i="8"/>
  <c r="BW57" i="8"/>
  <c r="AY57" i="8"/>
  <c r="AX57" i="8"/>
  <c r="CX53" i="8"/>
  <c r="BK53" i="8"/>
  <c r="EX53" i="8"/>
  <c r="ER53" i="8"/>
  <c r="ES53" i="8"/>
  <c r="AY53" i="8"/>
  <c r="CX49" i="8"/>
  <c r="ES49" i="8"/>
  <c r="BW49" i="8"/>
  <c r="AY49" i="8"/>
  <c r="BK49" i="8"/>
  <c r="AX49" i="8"/>
  <c r="EX49" i="8"/>
  <c r="CX45" i="8"/>
  <c r="BK45" i="8"/>
  <c r="BW45" i="8"/>
  <c r="ES45" i="8"/>
  <c r="ER45" i="8"/>
  <c r="AY45" i="8"/>
  <c r="EX45" i="8"/>
  <c r="CX41" i="8"/>
  <c r="AY41" i="8"/>
  <c r="AX41" i="8"/>
  <c r="BK41" i="8"/>
  <c r="BW41" i="8"/>
  <c r="CX37" i="8"/>
  <c r="BW37" i="8"/>
  <c r="ES37" i="8"/>
  <c r="EX37" i="8"/>
  <c r="ER37" i="8"/>
  <c r="AY37" i="8"/>
  <c r="CX33" i="8"/>
  <c r="BK33" i="8"/>
  <c r="AY33" i="8"/>
  <c r="BW33" i="8"/>
  <c r="AX33" i="8"/>
  <c r="EX33" i="8"/>
  <c r="ES33" i="8"/>
  <c r="ES29" i="8"/>
  <c r="BK29" i="8"/>
  <c r="CX29" i="8"/>
  <c r="ER29" i="8"/>
  <c r="BW29" i="8"/>
  <c r="AY29" i="8"/>
  <c r="EX29" i="8"/>
  <c r="CX25" i="8"/>
  <c r="ES25" i="8"/>
  <c r="AY25" i="8"/>
  <c r="BK25" i="8"/>
  <c r="AX25" i="8"/>
  <c r="CX21" i="8"/>
  <c r="BW21" i="8"/>
  <c r="EX21" i="8"/>
  <c r="ER21" i="8"/>
  <c r="BK21" i="8"/>
  <c r="AY21" i="8"/>
  <c r="BW17" i="8"/>
  <c r="AY17" i="8"/>
  <c r="ES17" i="8"/>
  <c r="AX17" i="8"/>
  <c r="EX17" i="8"/>
  <c r="CX13" i="8"/>
  <c r="BK13" i="8"/>
  <c r="ER13" i="8"/>
  <c r="BW13" i="8"/>
  <c r="ES13" i="8"/>
  <c r="AY13" i="8"/>
  <c r="EX13" i="8"/>
  <c r="ES9" i="8"/>
  <c r="BK9" i="8"/>
  <c r="AY9" i="8"/>
  <c r="AX9" i="8"/>
  <c r="BW9" i="8"/>
  <c r="CX5" i="8"/>
  <c r="BW5" i="8"/>
  <c r="EX5" i="8"/>
  <c r="ES5" i="8"/>
  <c r="ER5" i="8"/>
  <c r="BK5" i="8"/>
  <c r="AY5" i="8"/>
  <c r="U11" i="9"/>
  <c r="N55" i="9"/>
  <c r="N39" i="9"/>
  <c r="N23" i="9"/>
  <c r="N7" i="9"/>
  <c r="Z122" i="8"/>
  <c r="AG122" i="8"/>
  <c r="CJ122" i="8"/>
  <c r="ER122" i="8"/>
  <c r="CU122" i="8"/>
  <c r="FN122" i="8"/>
  <c r="AH122" i="8"/>
  <c r="EP122" i="8"/>
  <c r="AY122" i="8"/>
  <c r="EQ122" i="8"/>
  <c r="AG93" i="8"/>
  <c r="CU93" i="8"/>
  <c r="EZ93" i="8"/>
  <c r="AY93" i="8"/>
  <c r="EP93" i="8"/>
  <c r="Z93" i="8"/>
  <c r="EX93" i="8"/>
  <c r="CJ93" i="8"/>
  <c r="AH91" i="8"/>
  <c r="BK91" i="8"/>
  <c r="CV91" i="8"/>
  <c r="ER91" i="8"/>
  <c r="FN91" i="8"/>
  <c r="U91" i="8"/>
  <c r="AX91" i="8"/>
  <c r="BW91" i="8"/>
  <c r="CX91" i="8"/>
  <c r="ES91" i="8"/>
  <c r="Z91" i="8"/>
  <c r="CJ91" i="8"/>
  <c r="EX91" i="8"/>
  <c r="AG91" i="8"/>
  <c r="CU91" i="8"/>
  <c r="EZ91" i="8"/>
  <c r="AY91" i="8"/>
  <c r="EP91" i="8"/>
  <c r="X19" i="9"/>
  <c r="X3" i="9"/>
  <c r="U59" i="9"/>
  <c r="U27" i="9"/>
  <c r="AH131" i="8"/>
  <c r="BK131" i="8"/>
  <c r="CV131" i="8"/>
  <c r="ER131" i="8"/>
  <c r="FN131" i="8"/>
  <c r="U131" i="8"/>
  <c r="AX131" i="8"/>
  <c r="BW131" i="8"/>
  <c r="CX131" i="8"/>
  <c r="ES131" i="8"/>
  <c r="Z131" i="8"/>
  <c r="AY131" i="8"/>
  <c r="CJ131" i="8"/>
  <c r="EP131" i="8"/>
  <c r="EX131" i="8"/>
  <c r="U107" i="8"/>
  <c r="AX107" i="8"/>
  <c r="BW107" i="8"/>
  <c r="CX107" i="8"/>
  <c r="ES107" i="8"/>
  <c r="Z107" i="8"/>
  <c r="AY107" i="8"/>
  <c r="CJ107" i="8"/>
  <c r="EP107" i="8"/>
  <c r="EX107" i="8"/>
  <c r="BK107" i="8"/>
  <c r="ER107" i="8"/>
  <c r="AG107" i="8"/>
  <c r="CU107" i="8"/>
  <c r="EZ107" i="8"/>
  <c r="AH107" i="8"/>
  <c r="CV107" i="8"/>
  <c r="FN107" i="8"/>
  <c r="U69" i="8"/>
  <c r="AX69" i="8"/>
  <c r="FN69" i="8"/>
  <c r="CU69" i="8"/>
  <c r="AH69" i="8"/>
  <c r="CX69" i="8"/>
  <c r="EZ69" i="8"/>
  <c r="X11" i="9"/>
  <c r="X27" i="9"/>
  <c r="U51" i="9"/>
  <c r="X51" i="9"/>
  <c r="X63" i="9"/>
  <c r="BK22" i="8"/>
  <c r="EX22" i="8"/>
  <c r="CU131" i="8"/>
  <c r="EZ122" i="8"/>
  <c r="U112" i="8"/>
  <c r="Z112" i="8"/>
  <c r="CV112" i="8"/>
  <c r="EX112" i="8"/>
  <c r="BK112" i="8"/>
  <c r="EQ112" i="8"/>
  <c r="AG112" i="8"/>
  <c r="CJ112" i="8"/>
  <c r="ER112" i="8"/>
  <c r="AH112" i="8"/>
  <c r="CU112" i="8"/>
  <c r="EZ112" i="8"/>
  <c r="EQ91" i="8"/>
  <c r="EQ128" i="8"/>
  <c r="CJ126" i="8"/>
  <c r="EQ126" i="8"/>
  <c r="AG119" i="8"/>
  <c r="CU119" i="8"/>
  <c r="EZ119" i="8"/>
  <c r="Z67" i="8"/>
  <c r="CU67" i="8"/>
  <c r="AH67" i="8"/>
  <c r="EQ67" i="8"/>
  <c r="X14" i="9"/>
  <c r="EQ136" i="8"/>
  <c r="AY136" i="8"/>
  <c r="EZ135" i="8"/>
  <c r="EP135" i="8"/>
  <c r="BW135" i="8"/>
  <c r="AG135" i="8"/>
  <c r="EX133" i="8"/>
  <c r="EP133" i="8"/>
  <c r="CJ133" i="8"/>
  <c r="AY133" i="8"/>
  <c r="Z133" i="8"/>
  <c r="ER128" i="8"/>
  <c r="AY128" i="8"/>
  <c r="U127" i="8"/>
  <c r="Z127" i="8"/>
  <c r="CV127" i="8"/>
  <c r="EX127" i="8"/>
  <c r="U123" i="8"/>
  <c r="ES119" i="8"/>
  <c r="U118" i="8"/>
  <c r="AG118" i="8"/>
  <c r="BK118" i="8"/>
  <c r="EP118" i="8"/>
  <c r="EZ118" i="8"/>
  <c r="U116" i="8"/>
  <c r="Z116" i="8"/>
  <c r="CV116" i="8"/>
  <c r="U98" i="8"/>
  <c r="AG98" i="8"/>
  <c r="EP98" i="8"/>
  <c r="AH98" i="8"/>
  <c r="EQ98" i="8"/>
  <c r="AX86" i="8"/>
  <c r="EQ86" i="8"/>
  <c r="U79" i="8"/>
  <c r="FN79" i="8"/>
  <c r="AH71" i="8"/>
  <c r="ES71" i="8"/>
  <c r="FN71" i="8"/>
  <c r="ER67" i="8"/>
  <c r="CX137" i="8"/>
  <c r="AX137" i="8"/>
  <c r="FN136" i="8"/>
  <c r="CV136" i="8"/>
  <c r="EX135" i="8"/>
  <c r="CX135" i="8"/>
  <c r="ES133" i="8"/>
  <c r="CX133" i="8"/>
  <c r="BW133" i="8"/>
  <c r="AX133" i="8"/>
  <c r="EQ130" i="8"/>
  <c r="CV128" i="8"/>
  <c r="AH128" i="8"/>
  <c r="EZ127" i="8"/>
  <c r="CU127" i="8"/>
  <c r="AH127" i="8"/>
  <c r="FN126" i="8"/>
  <c r="U125" i="8"/>
  <c r="FN120" i="8"/>
  <c r="EQ119" i="8"/>
  <c r="AX119" i="8"/>
  <c r="EX118" i="8"/>
  <c r="CU118" i="8"/>
  <c r="AH118" i="8"/>
  <c r="CJ116" i="8"/>
  <c r="AG114" i="8"/>
  <c r="CU114" i="8"/>
  <c r="AH113" i="8"/>
  <c r="BK113" i="8"/>
  <c r="CV113" i="8"/>
  <c r="ER113" i="8"/>
  <c r="FN113" i="8"/>
  <c r="AG111" i="8"/>
  <c r="ER111" i="8"/>
  <c r="AH106" i="8"/>
  <c r="AG106" i="8"/>
  <c r="EZ106" i="8"/>
  <c r="BK106" i="8"/>
  <c r="FN106" i="8"/>
  <c r="EZ98" i="8"/>
  <c r="U83" i="8"/>
  <c r="AG83" i="8"/>
  <c r="EZ83" i="8"/>
  <c r="U73" i="8"/>
  <c r="CV73" i="8"/>
  <c r="ES73" i="8"/>
  <c r="AG73" i="8"/>
  <c r="BK73" i="8"/>
  <c r="CX73" i="8"/>
  <c r="EZ73" i="8"/>
  <c r="Z72" i="8"/>
  <c r="CX72" i="8"/>
  <c r="EX72" i="8"/>
  <c r="AG72" i="8"/>
  <c r="BW72" i="8"/>
  <c r="EP72" i="8"/>
  <c r="EZ72" i="8"/>
  <c r="BW67" i="8"/>
  <c r="AH108" i="8"/>
  <c r="ER104" i="8"/>
  <c r="CU104" i="8"/>
  <c r="AY104" i="8"/>
  <c r="ER102" i="8"/>
  <c r="CU102" i="8"/>
  <c r="AY102" i="8"/>
  <c r="ES99" i="8"/>
  <c r="CX99" i="8"/>
  <c r="BW99" i="8"/>
  <c r="AX99" i="8"/>
  <c r="U99" i="8"/>
  <c r="AY96" i="8"/>
  <c r="Z90" i="8"/>
  <c r="EZ68" i="8"/>
  <c r="AX68" i="8"/>
  <c r="BK138" i="8"/>
  <c r="AG138" i="8"/>
  <c r="FN137" i="8"/>
  <c r="ER137" i="8"/>
  <c r="CV137" i="8"/>
  <c r="BK137" i="8"/>
  <c r="AH137" i="8"/>
  <c r="AH136" i="8"/>
  <c r="CU136" i="8"/>
  <c r="AH135" i="8"/>
  <c r="BK135" i="8"/>
  <c r="CV135" i="8"/>
  <c r="ER135" i="8"/>
  <c r="FN135" i="8"/>
  <c r="CJ134" i="8"/>
  <c r="EX130" i="8"/>
  <c r="CJ130" i="8"/>
  <c r="EZ129" i="8"/>
  <c r="CX129" i="8"/>
  <c r="BK129" i="8"/>
  <c r="AG129" i="8"/>
  <c r="ES125" i="8"/>
  <c r="BW125" i="8"/>
  <c r="ES123" i="8"/>
  <c r="BW123" i="8"/>
  <c r="CV120" i="8"/>
  <c r="AH119" i="8"/>
  <c r="BK119" i="8"/>
  <c r="CV119" i="8"/>
  <c r="ER119" i="8"/>
  <c r="FN119" i="8"/>
  <c r="Z119" i="8"/>
  <c r="AY119" i="8"/>
  <c r="CJ119" i="8"/>
  <c r="EP119" i="8"/>
  <c r="EX119" i="8"/>
  <c r="Z138" i="8"/>
  <c r="FN134" i="8"/>
  <c r="AY134" i="8"/>
  <c r="Z125" i="8"/>
  <c r="AY125" i="8"/>
  <c r="CJ125" i="8"/>
  <c r="EP125" i="8"/>
  <c r="EX125" i="8"/>
  <c r="AH125" i="8"/>
  <c r="BK125" i="8"/>
  <c r="CV125" i="8"/>
  <c r="ER125" i="8"/>
  <c r="FN125" i="8"/>
  <c r="Z123" i="8"/>
  <c r="AY123" i="8"/>
  <c r="CJ123" i="8"/>
  <c r="EP123" i="8"/>
  <c r="EX123" i="8"/>
  <c r="AH123" i="8"/>
  <c r="BK123" i="8"/>
  <c r="CV123" i="8"/>
  <c r="ER123" i="8"/>
  <c r="FN123" i="8"/>
  <c r="U120" i="8"/>
  <c r="AG120" i="8"/>
  <c r="BK120" i="8"/>
  <c r="EP120" i="8"/>
  <c r="EZ120" i="8"/>
  <c r="AY120" i="8"/>
  <c r="CU120" i="8"/>
  <c r="ER120" i="8"/>
  <c r="AY138" i="8"/>
  <c r="EX137" i="8"/>
  <c r="EP137" i="8"/>
  <c r="CJ137" i="8"/>
  <c r="AY137" i="8"/>
  <c r="ER134" i="8"/>
  <c r="AY130" i="8"/>
  <c r="CU130" i="8"/>
  <c r="ER130" i="8"/>
  <c r="ER129" i="8"/>
  <c r="CU129" i="8"/>
  <c r="AX129" i="8"/>
  <c r="CU126" i="8"/>
  <c r="AY126" i="8"/>
  <c r="ER126" i="8"/>
  <c r="CX125" i="8"/>
  <c r="AX125" i="8"/>
  <c r="CX123" i="8"/>
  <c r="AX123" i="8"/>
  <c r="EX120" i="8"/>
  <c r="AH134" i="8"/>
  <c r="EQ134" i="8"/>
  <c r="Z129" i="8"/>
  <c r="AY129" i="8"/>
  <c r="CJ129" i="8"/>
  <c r="EP129" i="8"/>
  <c r="EX129" i="8"/>
  <c r="EZ125" i="8"/>
  <c r="CU125" i="8"/>
  <c r="AG125" i="8"/>
  <c r="EZ123" i="8"/>
  <c r="CU123" i="8"/>
  <c r="AG123" i="8"/>
  <c r="EQ120" i="8"/>
  <c r="AH120" i="8"/>
  <c r="ES127" i="8"/>
  <c r="CX127" i="8"/>
  <c r="BW127" i="8"/>
  <c r="AX127" i="8"/>
  <c r="EX122" i="8"/>
  <c r="CV122" i="8"/>
  <c r="ES117" i="8"/>
  <c r="CX117" i="8"/>
  <c r="BW117" i="8"/>
  <c r="AX117" i="8"/>
  <c r="EZ116" i="8"/>
  <c r="EP116" i="8"/>
  <c r="BK116" i="8"/>
  <c r="AG116" i="8"/>
  <c r="FN115" i="8"/>
  <c r="ER115" i="8"/>
  <c r="CV115" i="8"/>
  <c r="BK115" i="8"/>
  <c r="AH115" i="8"/>
  <c r="EX114" i="8"/>
  <c r="CV114" i="8"/>
  <c r="EZ111" i="8"/>
  <c r="CU111" i="8"/>
  <c r="EZ109" i="8"/>
  <c r="CU109" i="8"/>
  <c r="ER108" i="8"/>
  <c r="AY108" i="8"/>
  <c r="EQ106" i="8"/>
  <c r="ER103" i="8"/>
  <c r="BK103" i="8"/>
  <c r="EZ95" i="8"/>
  <c r="U103" i="8"/>
  <c r="AX103" i="8"/>
  <c r="BW103" i="8"/>
  <c r="CX103" i="8"/>
  <c r="ES103" i="8"/>
  <c r="Z103" i="8"/>
  <c r="AY103" i="8"/>
  <c r="CJ103" i="8"/>
  <c r="EP103" i="8"/>
  <c r="EX103" i="8"/>
  <c r="AH95" i="8"/>
  <c r="BK95" i="8"/>
  <c r="CV95" i="8"/>
  <c r="ER95" i="8"/>
  <c r="FN95" i="8"/>
  <c r="U95" i="8"/>
  <c r="AX95" i="8"/>
  <c r="BW95" i="8"/>
  <c r="CX95" i="8"/>
  <c r="ES95" i="8"/>
  <c r="Z95" i="8"/>
  <c r="AY95" i="8"/>
  <c r="CJ95" i="8"/>
  <c r="EP95" i="8"/>
  <c r="EX95" i="8"/>
  <c r="ER116" i="8"/>
  <c r="CU116" i="8"/>
  <c r="AY116" i="8"/>
  <c r="EX115" i="8"/>
  <c r="EP115" i="8"/>
  <c r="CJ115" i="8"/>
  <c r="AY115" i="8"/>
  <c r="Z115" i="8"/>
  <c r="FN114" i="8"/>
  <c r="EQ114" i="8"/>
  <c r="CJ114" i="8"/>
  <c r="U111" i="8"/>
  <c r="AX111" i="8"/>
  <c r="BW111" i="8"/>
  <c r="CX111" i="8"/>
  <c r="ES111" i="8"/>
  <c r="Z111" i="8"/>
  <c r="AY111" i="8"/>
  <c r="CJ111" i="8"/>
  <c r="EP111" i="8"/>
  <c r="EX111" i="8"/>
  <c r="AH109" i="8"/>
  <c r="BK109" i="8"/>
  <c r="CV109" i="8"/>
  <c r="ER109" i="8"/>
  <c r="FN109" i="8"/>
  <c r="U109" i="8"/>
  <c r="AX109" i="8"/>
  <c r="BW109" i="8"/>
  <c r="CX109" i="8"/>
  <c r="ES109" i="8"/>
  <c r="CU108" i="8"/>
  <c r="U106" i="8"/>
  <c r="AY106" i="8"/>
  <c r="CU106" i="8"/>
  <c r="ER106" i="8"/>
  <c r="Z106" i="8"/>
  <c r="CV106" i="8"/>
  <c r="EX106" i="8"/>
  <c r="FN103" i="8"/>
  <c r="CV103" i="8"/>
  <c r="AH103" i="8"/>
  <c r="U100" i="8"/>
  <c r="AY100" i="8"/>
  <c r="CU100" i="8"/>
  <c r="ER100" i="8"/>
  <c r="Z100" i="8"/>
  <c r="CV100" i="8"/>
  <c r="EX100" i="8"/>
  <c r="AG100" i="8"/>
  <c r="BK100" i="8"/>
  <c r="EP100" i="8"/>
  <c r="EZ100" i="8"/>
  <c r="CU95" i="8"/>
  <c r="CX115" i="8"/>
  <c r="BW115" i="8"/>
  <c r="AX115" i="8"/>
  <c r="U114" i="8"/>
  <c r="AY114" i="8"/>
  <c r="Z114" i="8"/>
  <c r="U108" i="8"/>
  <c r="Z108" i="8"/>
  <c r="CV108" i="8"/>
  <c r="EX108" i="8"/>
  <c r="AG108" i="8"/>
  <c r="BK108" i="8"/>
  <c r="EP108" i="8"/>
  <c r="EZ108" i="8"/>
  <c r="EZ103" i="8"/>
  <c r="CU103" i="8"/>
  <c r="AG103" i="8"/>
  <c r="ES66" i="8"/>
  <c r="BW66" i="8"/>
  <c r="U66" i="8"/>
  <c r="ES101" i="8"/>
  <c r="CX101" i="8"/>
  <c r="BW101" i="8"/>
  <c r="AX101" i="8"/>
  <c r="U101" i="8"/>
  <c r="EX98" i="8"/>
  <c r="CV98" i="8"/>
  <c r="Z98" i="8"/>
  <c r="ES93" i="8"/>
  <c r="CX93" i="8"/>
  <c r="BW93" i="8"/>
  <c r="AX93" i="8"/>
  <c r="U93" i="8"/>
  <c r="EZ92" i="8"/>
  <c r="EP92" i="8"/>
  <c r="BK92" i="8"/>
  <c r="AG92" i="8"/>
  <c r="BW87" i="8"/>
  <c r="CJ86" i="8"/>
  <c r="CU85" i="8"/>
  <c r="EQ84" i="8"/>
  <c r="AX84" i="8"/>
  <c r="ES81" i="8"/>
  <c r="CV81" i="8"/>
  <c r="U81" i="8"/>
  <c r="EX80" i="8"/>
  <c r="CX80" i="8"/>
  <c r="Z80" i="8"/>
  <c r="EQ79" i="8"/>
  <c r="EQ78" i="8"/>
  <c r="CV71" i="8"/>
  <c r="U71" i="8"/>
  <c r="CX70" i="8"/>
  <c r="Z70" i="8"/>
  <c r="ER69" i="8"/>
  <c r="BW69" i="8"/>
  <c r="AG69" i="8"/>
  <c r="ES68" i="8"/>
  <c r="CJ68" i="8"/>
  <c r="AG68" i="8"/>
  <c r="EZ67" i="8"/>
  <c r="CX67" i="8"/>
  <c r="BK67" i="8"/>
  <c r="AG67" i="8"/>
  <c r="EZ66" i="8"/>
  <c r="CU66" i="8"/>
  <c r="AG66" i="8"/>
  <c r="FN101" i="8"/>
  <c r="ER101" i="8"/>
  <c r="CV101" i="8"/>
  <c r="BK101" i="8"/>
  <c r="AH101" i="8"/>
  <c r="ER98" i="8"/>
  <c r="CU98" i="8"/>
  <c r="AY98" i="8"/>
  <c r="FN93" i="8"/>
  <c r="ER93" i="8"/>
  <c r="CV93" i="8"/>
  <c r="BK93" i="8"/>
  <c r="AH93" i="8"/>
  <c r="EX92" i="8"/>
  <c r="CV92" i="8"/>
  <c r="Z92" i="8"/>
  <c r="CX84" i="8"/>
  <c r="U84" i="8"/>
  <c r="ER81" i="8"/>
  <c r="CU81" i="8"/>
  <c r="AX81" i="8"/>
  <c r="ES80" i="8"/>
  <c r="CU80" i="8"/>
  <c r="AY80" i="8"/>
  <c r="BW79" i="8"/>
  <c r="CJ78" i="8"/>
  <c r="FN75" i="8"/>
  <c r="EQ69" i="8"/>
  <c r="BK69" i="8"/>
  <c r="EQ68" i="8"/>
  <c r="BW68" i="8"/>
  <c r="U68" i="8"/>
  <c r="ES67" i="8"/>
  <c r="CV67" i="8"/>
  <c r="U67" i="8"/>
  <c r="CX66" i="8"/>
  <c r="AX66" i="8"/>
  <c r="ER92" i="8"/>
  <c r="CU92" i="8"/>
  <c r="AY92" i="8"/>
  <c r="AH79" i="8"/>
  <c r="AX78" i="8"/>
  <c r="CX62" i="8"/>
  <c r="AY62" i="8"/>
  <c r="BW62" i="8"/>
  <c r="EX62" i="8"/>
  <c r="ER62" i="8"/>
  <c r="AX62" i="8"/>
  <c r="CX58" i="8"/>
  <c r="ER58" i="8"/>
  <c r="BK58" i="8"/>
  <c r="AX58" i="8"/>
  <c r="ES58" i="8"/>
  <c r="BW58" i="8"/>
  <c r="EX58" i="8"/>
  <c r="AY58" i="8"/>
  <c r="CX54" i="8"/>
  <c r="AY54" i="8"/>
  <c r="BK54" i="8"/>
  <c r="ER54" i="8"/>
  <c r="AX54" i="8"/>
  <c r="CX50" i="8"/>
  <c r="ER50" i="8"/>
  <c r="BK50" i="8"/>
  <c r="BW50" i="8"/>
  <c r="EX50" i="8"/>
  <c r="AX50" i="8"/>
  <c r="ES50" i="8"/>
  <c r="AY50" i="8"/>
  <c r="CX46" i="8"/>
  <c r="AY46" i="8"/>
  <c r="BK46" i="8"/>
  <c r="BW46" i="8"/>
  <c r="EX46" i="8"/>
  <c r="ER46" i="8"/>
  <c r="AX46" i="8"/>
  <c r="CX42" i="8"/>
  <c r="ER42" i="8"/>
  <c r="AX42" i="8"/>
  <c r="ES42" i="8"/>
  <c r="BK42" i="8"/>
  <c r="BW42" i="8"/>
  <c r="EX42" i="8"/>
  <c r="AY42" i="8"/>
  <c r="CX38" i="8"/>
  <c r="AY38" i="8"/>
  <c r="ER38" i="8"/>
  <c r="BK38" i="8"/>
  <c r="AX38" i="8"/>
  <c r="CX34" i="8"/>
  <c r="ER34" i="8"/>
  <c r="BW34" i="8"/>
  <c r="EX34" i="8"/>
  <c r="AX34" i="8"/>
  <c r="ES34" i="8"/>
  <c r="BK34" i="8"/>
  <c r="AY34" i="8"/>
  <c r="CX30" i="8"/>
  <c r="AY30" i="8"/>
  <c r="BW30" i="8"/>
  <c r="EX30" i="8"/>
  <c r="ER30" i="8"/>
  <c r="AX30" i="8"/>
  <c r="CX26" i="8"/>
  <c r="ER26" i="8"/>
  <c r="AX26" i="8"/>
  <c r="ES26" i="8"/>
  <c r="BK26" i="8"/>
  <c r="BW26" i="8"/>
  <c r="EX26" i="8"/>
  <c r="AY26" i="8"/>
  <c r="CX22" i="8"/>
  <c r="AY22" i="8"/>
  <c r="ER22" i="8"/>
  <c r="AX22" i="8"/>
  <c r="CX18" i="8"/>
  <c r="ER18" i="8"/>
  <c r="BW18" i="8"/>
  <c r="EX18" i="8"/>
  <c r="AX18" i="8"/>
  <c r="ES18" i="8"/>
  <c r="AY18" i="8"/>
  <c r="CX14" i="8"/>
  <c r="BK14" i="8"/>
  <c r="AY14" i="8"/>
  <c r="BW14" i="8"/>
  <c r="EX14" i="8"/>
  <c r="ER14" i="8"/>
  <c r="AX14" i="8"/>
  <c r="CX10" i="8"/>
  <c r="ER10" i="8"/>
  <c r="BK10" i="8"/>
  <c r="AX10" i="8"/>
  <c r="ES10" i="8"/>
  <c r="BW10" i="8"/>
  <c r="EX10" i="8"/>
  <c r="AY10" i="8"/>
  <c r="CX6" i="8"/>
  <c r="AY6" i="8"/>
  <c r="BK6" i="8"/>
  <c r="ER6" i="8"/>
  <c r="AX6" i="8"/>
  <c r="U132" i="8"/>
  <c r="AX132" i="8"/>
  <c r="BW132" i="8"/>
  <c r="CX132" i="8"/>
  <c r="ES132" i="8"/>
  <c r="AY132" i="8"/>
  <c r="CU132" i="8"/>
  <c r="ER132" i="8"/>
  <c r="Z132" i="8"/>
  <c r="CV132" i="8"/>
  <c r="EX132" i="8"/>
  <c r="AG132" i="8"/>
  <c r="BK132" i="8"/>
  <c r="EP132" i="8"/>
  <c r="EZ132" i="8"/>
  <c r="U124" i="8"/>
  <c r="AX124" i="8"/>
  <c r="BW124" i="8"/>
  <c r="CX124" i="8"/>
  <c r="ES124" i="8"/>
  <c r="AY124" i="8"/>
  <c r="CU124" i="8"/>
  <c r="ER124" i="8"/>
  <c r="Z124" i="8"/>
  <c r="CV124" i="8"/>
  <c r="EX124" i="8"/>
  <c r="AG124" i="8"/>
  <c r="BK124" i="8"/>
  <c r="EP124" i="8"/>
  <c r="EZ124" i="8"/>
  <c r="AH74" i="8"/>
  <c r="BK74" i="8"/>
  <c r="CV74" i="8"/>
  <c r="ER74" i="8"/>
  <c r="FN74" i="8"/>
  <c r="U74" i="8"/>
  <c r="AY74" i="8"/>
  <c r="CU74" i="8"/>
  <c r="ES74" i="8"/>
  <c r="AG74" i="8"/>
  <c r="BW74" i="8"/>
  <c r="EP74" i="8"/>
  <c r="EZ74" i="8"/>
  <c r="Z74" i="8"/>
  <c r="CX74" i="8"/>
  <c r="AX74" i="8"/>
  <c r="EQ74" i="8"/>
  <c r="EX74" i="8"/>
  <c r="CJ74" i="8"/>
  <c r="U9" i="9"/>
  <c r="X9" i="9"/>
  <c r="U17" i="9"/>
  <c r="X17" i="9"/>
  <c r="U25" i="9"/>
  <c r="X25" i="9"/>
  <c r="U33" i="9"/>
  <c r="X33" i="9"/>
  <c r="U41" i="9"/>
  <c r="X41" i="9"/>
  <c r="U49" i="9"/>
  <c r="X49" i="9"/>
  <c r="U57" i="9"/>
  <c r="X57" i="9"/>
  <c r="U65" i="9"/>
  <c r="X65" i="9"/>
  <c r="B33" i="10"/>
  <c r="EQ132" i="8"/>
  <c r="EQ124" i="8"/>
  <c r="F13" i="9"/>
  <c r="F29" i="9"/>
  <c r="EX38" i="8"/>
  <c r="X45" i="9"/>
  <c r="X13" i="9"/>
  <c r="BW22" i="8"/>
  <c r="BK18" i="8"/>
  <c r="ES46" i="8"/>
  <c r="ES14" i="8"/>
  <c r="CJ132" i="8"/>
  <c r="CJ124" i="8"/>
  <c r="AH82" i="8"/>
  <c r="U82" i="8"/>
  <c r="AY82" i="8"/>
  <c r="CJ82" i="8"/>
  <c r="EP82" i="8"/>
  <c r="EX82" i="8"/>
  <c r="AG82" i="8"/>
  <c r="BK82" i="8"/>
  <c r="CV82" i="8"/>
  <c r="ER82" i="8"/>
  <c r="FN82" i="8"/>
  <c r="Z82" i="8"/>
  <c r="CU82" i="8"/>
  <c r="EZ82" i="8"/>
  <c r="AX82" i="8"/>
  <c r="CX82" i="8"/>
  <c r="EQ82" i="8"/>
  <c r="BW82" i="8"/>
  <c r="ES82" i="8"/>
  <c r="EX54" i="8"/>
  <c r="X53" i="9"/>
  <c r="X21" i="9"/>
  <c r="BW38" i="8"/>
  <c r="BK62" i="8"/>
  <c r="ES54" i="8"/>
  <c r="ES22" i="8"/>
  <c r="B65" i="10"/>
  <c r="AH132" i="8"/>
  <c r="AH124" i="8"/>
  <c r="U134" i="8"/>
  <c r="AX134" i="8"/>
  <c r="BW134" i="8"/>
  <c r="CX134" i="8"/>
  <c r="ES134" i="8"/>
  <c r="U126" i="8"/>
  <c r="AX126" i="8"/>
  <c r="BW126" i="8"/>
  <c r="CX126" i="8"/>
  <c r="ES126" i="8"/>
  <c r="U136" i="8"/>
  <c r="AX136" i="8"/>
  <c r="BW136" i="8"/>
  <c r="CX136" i="8"/>
  <c r="ES136" i="8"/>
  <c r="EZ134" i="8"/>
  <c r="EP134" i="8"/>
  <c r="BK134" i="8"/>
  <c r="AG134" i="8"/>
  <c r="U128" i="8"/>
  <c r="AX128" i="8"/>
  <c r="BW128" i="8"/>
  <c r="CX128" i="8"/>
  <c r="ES128" i="8"/>
  <c r="EZ126" i="8"/>
  <c r="EP126" i="8"/>
  <c r="BK126" i="8"/>
  <c r="AG126" i="8"/>
  <c r="Z75" i="8"/>
  <c r="AY75" i="8"/>
  <c r="CJ75" i="8"/>
  <c r="EP75" i="8"/>
  <c r="EX75" i="8"/>
  <c r="AX75" i="8"/>
  <c r="CU75" i="8"/>
  <c r="ER75" i="8"/>
  <c r="AG75" i="8"/>
  <c r="BK75" i="8"/>
  <c r="CX75" i="8"/>
  <c r="EZ75" i="8"/>
  <c r="U75" i="8"/>
  <c r="CV75" i="8"/>
  <c r="AH75" i="8"/>
  <c r="EQ75" i="8"/>
  <c r="ES75" i="8"/>
  <c r="U138" i="8"/>
  <c r="AX138" i="8"/>
  <c r="BW138" i="8"/>
  <c r="EZ136" i="8"/>
  <c r="EP136" i="8"/>
  <c r="BK136" i="8"/>
  <c r="AG136" i="8"/>
  <c r="EX134" i="8"/>
  <c r="CV134" i="8"/>
  <c r="Z134" i="8"/>
  <c r="U130" i="8"/>
  <c r="AX130" i="8"/>
  <c r="BW130" i="8"/>
  <c r="CX130" i="8"/>
  <c r="ES130" i="8"/>
  <c r="EZ128" i="8"/>
  <c r="EP128" i="8"/>
  <c r="BK128" i="8"/>
  <c r="AG128" i="8"/>
  <c r="EX126" i="8"/>
  <c r="CV126" i="8"/>
  <c r="Z126" i="8"/>
  <c r="U122" i="8"/>
  <c r="AX122" i="8"/>
  <c r="BW122" i="8"/>
  <c r="CX122" i="8"/>
  <c r="ES122" i="8"/>
  <c r="Z87" i="8"/>
  <c r="AY87" i="8"/>
  <c r="CJ87" i="8"/>
  <c r="EP87" i="8"/>
  <c r="EX87" i="8"/>
  <c r="AX87" i="8"/>
  <c r="CU87" i="8"/>
  <c r="ER87" i="8"/>
  <c r="U87" i="8"/>
  <c r="CV87" i="8"/>
  <c r="ES87" i="8"/>
  <c r="AG87" i="8"/>
  <c r="BK87" i="8"/>
  <c r="CX87" i="8"/>
  <c r="EZ87" i="8"/>
  <c r="AH86" i="8"/>
  <c r="BK86" i="8"/>
  <c r="CV86" i="8"/>
  <c r="ER86" i="8"/>
  <c r="FN86" i="8"/>
  <c r="U86" i="8"/>
  <c r="AY86" i="8"/>
  <c r="CU86" i="8"/>
  <c r="ES86" i="8"/>
  <c r="Z86" i="8"/>
  <c r="CX86" i="8"/>
  <c r="EX86" i="8"/>
  <c r="AG86" i="8"/>
  <c r="BW86" i="8"/>
  <c r="EP86" i="8"/>
  <c r="EZ86" i="8"/>
  <c r="Z85" i="8"/>
  <c r="AY85" i="8"/>
  <c r="CJ85" i="8"/>
  <c r="EP85" i="8"/>
  <c r="EX85" i="8"/>
  <c r="U85" i="8"/>
  <c r="CV85" i="8"/>
  <c r="ES85" i="8"/>
  <c r="AG85" i="8"/>
  <c r="BK85" i="8"/>
  <c r="CX85" i="8"/>
  <c r="EZ85" i="8"/>
  <c r="AH85" i="8"/>
  <c r="BW85" i="8"/>
  <c r="EQ85" i="8"/>
  <c r="FN85" i="8"/>
  <c r="ES120" i="8"/>
  <c r="CX120" i="8"/>
  <c r="BW120" i="8"/>
  <c r="AX120" i="8"/>
  <c r="ES118" i="8"/>
  <c r="CX118" i="8"/>
  <c r="BW118" i="8"/>
  <c r="AX118" i="8"/>
  <c r="ES116" i="8"/>
  <c r="CX116" i="8"/>
  <c r="BW116" i="8"/>
  <c r="AX116" i="8"/>
  <c r="ES114" i="8"/>
  <c r="CX114" i="8"/>
  <c r="BW114" i="8"/>
  <c r="AX114" i="8"/>
  <c r="ES112" i="8"/>
  <c r="CX112" i="8"/>
  <c r="BW112" i="8"/>
  <c r="AX112" i="8"/>
  <c r="ES110" i="8"/>
  <c r="CX110" i="8"/>
  <c r="BW110" i="8"/>
  <c r="AX110" i="8"/>
  <c r="ES108" i="8"/>
  <c r="CX108" i="8"/>
  <c r="BW108" i="8"/>
  <c r="AX108" i="8"/>
  <c r="ES106" i="8"/>
  <c r="CX106" i="8"/>
  <c r="BW106" i="8"/>
  <c r="AX106" i="8"/>
  <c r="ES104" i="8"/>
  <c r="CX104" i="8"/>
  <c r="BW104" i="8"/>
  <c r="AX104" i="8"/>
  <c r="ES102" i="8"/>
  <c r="CX102" i="8"/>
  <c r="BW102" i="8"/>
  <c r="AX102" i="8"/>
  <c r="ES100" i="8"/>
  <c r="CX100" i="8"/>
  <c r="BW100" i="8"/>
  <c r="AX100" i="8"/>
  <c r="ES98" i="8"/>
  <c r="CX98" i="8"/>
  <c r="BW98" i="8"/>
  <c r="AX98" i="8"/>
  <c r="ES96" i="8"/>
  <c r="CX96" i="8"/>
  <c r="BW96" i="8"/>
  <c r="AX96" i="8"/>
  <c r="ES94" i="8"/>
  <c r="CX94" i="8"/>
  <c r="BW94" i="8"/>
  <c r="AX94" i="8"/>
  <c r="ES92" i="8"/>
  <c r="CX92" i="8"/>
  <c r="BW92" i="8"/>
  <c r="AX92" i="8"/>
  <c r="ES90" i="8"/>
  <c r="CX90" i="8"/>
  <c r="BW90" i="8"/>
  <c r="AX90" i="8"/>
  <c r="U90" i="8"/>
  <c r="ES89" i="8"/>
  <c r="CV89" i="8"/>
  <c r="EX88" i="8"/>
  <c r="CX88" i="8"/>
  <c r="EZ84" i="8"/>
  <c r="CU84" i="8"/>
  <c r="ES83" i="8"/>
  <c r="BW83" i="8"/>
  <c r="CV79" i="8"/>
  <c r="CX78" i="8"/>
  <c r="AH83" i="8"/>
  <c r="BK83" i="8"/>
  <c r="CV83" i="8"/>
  <c r="ER83" i="8"/>
  <c r="FN83" i="8"/>
  <c r="Z83" i="8"/>
  <c r="AY83" i="8"/>
  <c r="CJ83" i="8"/>
  <c r="EP83" i="8"/>
  <c r="EX83" i="8"/>
  <c r="Z79" i="8"/>
  <c r="AY79" i="8"/>
  <c r="CJ79" i="8"/>
  <c r="EP79" i="8"/>
  <c r="EX79" i="8"/>
  <c r="AG79" i="8"/>
  <c r="BK79" i="8"/>
  <c r="CX79" i="8"/>
  <c r="EZ79" i="8"/>
  <c r="AX79" i="8"/>
  <c r="CU79" i="8"/>
  <c r="ER79" i="8"/>
  <c r="AH78" i="8"/>
  <c r="BK78" i="8"/>
  <c r="CV78" i="8"/>
  <c r="ER78" i="8"/>
  <c r="FN78" i="8"/>
  <c r="AG78" i="8"/>
  <c r="BW78" i="8"/>
  <c r="EP78" i="8"/>
  <c r="EZ78" i="8"/>
  <c r="U78" i="8"/>
  <c r="AY78" i="8"/>
  <c r="CU78" i="8"/>
  <c r="ES78" i="8"/>
  <c r="EZ90" i="8"/>
  <c r="EQ90" i="8"/>
  <c r="CU90" i="8"/>
  <c r="AG90" i="8"/>
  <c r="Z89" i="8"/>
  <c r="AY89" i="8"/>
  <c r="CJ89" i="8"/>
  <c r="EP89" i="8"/>
  <c r="EX89" i="8"/>
  <c r="AH88" i="8"/>
  <c r="BK88" i="8"/>
  <c r="CV88" i="8"/>
  <c r="ER88" i="8"/>
  <c r="FN88" i="8"/>
  <c r="Z84" i="8"/>
  <c r="AY84" i="8"/>
  <c r="CJ84" i="8"/>
  <c r="EP84" i="8"/>
  <c r="EX84" i="8"/>
  <c r="AH84" i="8"/>
  <c r="BK84" i="8"/>
  <c r="CV84" i="8"/>
  <c r="ER84" i="8"/>
  <c r="FN84" i="8"/>
  <c r="CX83" i="8"/>
  <c r="AX83" i="8"/>
  <c r="ES79" i="8"/>
  <c r="EX78" i="8"/>
  <c r="Z81" i="8"/>
  <c r="AY81" i="8"/>
  <c r="CJ81" i="8"/>
  <c r="EP81" i="8"/>
  <c r="EX81" i="8"/>
  <c r="AH80" i="8"/>
  <c r="BK80" i="8"/>
  <c r="CV80" i="8"/>
  <c r="ER80" i="8"/>
  <c r="FN80" i="8"/>
  <c r="ES77" i="8"/>
  <c r="CV77" i="8"/>
  <c r="EX76" i="8"/>
  <c r="CX76" i="8"/>
  <c r="Z73" i="8"/>
  <c r="AY73" i="8"/>
  <c r="CJ73" i="8"/>
  <c r="EP73" i="8"/>
  <c r="EX73" i="8"/>
  <c r="AH72" i="8"/>
  <c r="BK72" i="8"/>
  <c r="CV72" i="8"/>
  <c r="ER72" i="8"/>
  <c r="FN72" i="8"/>
  <c r="ER71" i="8"/>
  <c r="CU71" i="8"/>
  <c r="AX71" i="8"/>
  <c r="ES70" i="8"/>
  <c r="CU70" i="8"/>
  <c r="AY70" i="8"/>
  <c r="ES69" i="8"/>
  <c r="CV69" i="8"/>
  <c r="EX68" i="8"/>
  <c r="CX68" i="8"/>
  <c r="Z71" i="8"/>
  <c r="AY71" i="8"/>
  <c r="CJ71" i="8"/>
  <c r="EP71" i="8"/>
  <c r="EX71" i="8"/>
  <c r="AH70" i="8"/>
  <c r="BK70" i="8"/>
  <c r="CV70" i="8"/>
  <c r="ER70" i="8"/>
  <c r="FN70" i="8"/>
  <c r="Z77" i="8"/>
  <c r="AY77" i="8"/>
  <c r="CJ77" i="8"/>
  <c r="EP77" i="8"/>
  <c r="EX77" i="8"/>
  <c r="AH76" i="8"/>
  <c r="BK76" i="8"/>
  <c r="CV76" i="8"/>
  <c r="ER76" i="8"/>
  <c r="FN76" i="8"/>
  <c r="EZ71" i="8"/>
  <c r="CX71" i="8"/>
  <c r="BK71" i="8"/>
  <c r="AG71" i="8"/>
  <c r="EZ70" i="8"/>
  <c r="EP70" i="8"/>
  <c r="BW70" i="8"/>
  <c r="AG70" i="8"/>
  <c r="Z69" i="8"/>
  <c r="AY69" i="8"/>
  <c r="CJ69" i="8"/>
  <c r="EP69" i="8"/>
  <c r="EX69" i="8"/>
  <c r="AH68" i="8"/>
  <c r="BK68" i="8"/>
  <c r="CV68" i="8"/>
  <c r="ER68" i="8"/>
  <c r="FN68" i="8"/>
  <c r="EX66" i="8"/>
  <c r="ER66" i="8"/>
  <c r="EP66" i="8"/>
  <c r="CV66" i="8"/>
  <c r="CJ66" i="8"/>
  <c r="BK66" i="8"/>
  <c r="AY66" i="8"/>
  <c r="AH66" i="8"/>
  <c r="Z66" i="8"/>
  <c r="EX67" i="8"/>
  <c r="EP67" i="8"/>
  <c r="CJ67" i="8"/>
  <c r="AY67" i="8"/>
  <c r="H191" i="9" l="1"/>
  <c r="M191" i="9"/>
  <c r="N187" i="9"/>
  <c r="F187" i="9"/>
  <c r="M187" i="9"/>
  <c r="N183" i="9"/>
  <c r="F183" i="9"/>
  <c r="M183" i="9"/>
  <c r="M171" i="9"/>
  <c r="AC171" i="9"/>
  <c r="N167" i="9"/>
  <c r="M167" i="9"/>
  <c r="N159" i="9"/>
  <c r="M159" i="9"/>
  <c r="I159" i="9"/>
  <c r="B139" i="9"/>
  <c r="F139" i="9"/>
  <c r="M139" i="9"/>
  <c r="J123" i="9"/>
  <c r="M123" i="9"/>
  <c r="B99" i="9"/>
  <c r="AC99" i="9"/>
  <c r="M71" i="9"/>
  <c r="I71" i="9"/>
  <c r="E55" i="9"/>
  <c r="AA55" i="9"/>
  <c r="I23" i="9"/>
  <c r="Z23" i="9"/>
  <c r="C23" i="9"/>
  <c r="G19" i="9"/>
  <c r="Z19" i="9"/>
  <c r="Y19" i="9"/>
  <c r="Y15" i="9"/>
  <c r="AA15" i="9"/>
  <c r="AC15" i="9"/>
  <c r="N11" i="9"/>
  <c r="M11" i="9"/>
  <c r="AA11" i="9"/>
  <c r="I11" i="9"/>
  <c r="L11" i="9"/>
  <c r="AA7" i="9"/>
  <c r="M7" i="9"/>
  <c r="Y7" i="9"/>
  <c r="B176" i="11"/>
  <c r="E176" i="11"/>
  <c r="B60" i="11"/>
  <c r="E60" i="11"/>
  <c r="B56" i="11"/>
  <c r="E56" i="11"/>
  <c r="B44" i="11"/>
  <c r="E44" i="11"/>
  <c r="B8" i="11"/>
  <c r="E8" i="11"/>
  <c r="B4" i="11"/>
  <c r="E4" i="11"/>
  <c r="H49" i="12"/>
  <c r="E49" i="12"/>
  <c r="H33" i="12"/>
  <c r="E33" i="12"/>
  <c r="H17" i="12"/>
  <c r="E17" i="12"/>
  <c r="B192" i="15"/>
  <c r="E192" i="15"/>
  <c r="E28" i="15"/>
  <c r="B28" i="15"/>
  <c r="G201" i="16"/>
  <c r="H201" i="16"/>
  <c r="F201" i="16"/>
  <c r="H197" i="16"/>
  <c r="E197" i="16"/>
  <c r="G197" i="16"/>
  <c r="E189" i="16"/>
  <c r="G189" i="16"/>
  <c r="H185" i="16"/>
  <c r="G185" i="16"/>
  <c r="E185" i="16"/>
  <c r="G181" i="16"/>
  <c r="F181" i="16"/>
  <c r="H177" i="16"/>
  <c r="E177" i="16"/>
  <c r="G165" i="16"/>
  <c r="E165" i="16"/>
  <c r="F165" i="16"/>
  <c r="H161" i="16"/>
  <c r="G161" i="16"/>
  <c r="E161" i="16"/>
  <c r="F161" i="16"/>
  <c r="E157" i="16"/>
  <c r="F157" i="16"/>
  <c r="G153" i="16"/>
  <c r="F153" i="16"/>
  <c r="H153" i="16"/>
  <c r="H149" i="16"/>
  <c r="G149" i="16"/>
  <c r="H145" i="16"/>
  <c r="G145" i="16"/>
  <c r="F145" i="16"/>
  <c r="G141" i="16"/>
  <c r="E141" i="16"/>
  <c r="H137" i="16"/>
  <c r="G137" i="16"/>
  <c r="F137" i="16"/>
  <c r="H129" i="16"/>
  <c r="E129" i="16"/>
  <c r="F129" i="16"/>
  <c r="H121" i="16"/>
  <c r="G121" i="16"/>
  <c r="E121" i="16"/>
  <c r="F121" i="16"/>
  <c r="G117" i="16"/>
  <c r="E117" i="16"/>
  <c r="H117" i="16"/>
  <c r="G113" i="16"/>
  <c r="F113" i="16"/>
  <c r="H109" i="16"/>
  <c r="E109" i="16"/>
  <c r="F109" i="16"/>
  <c r="H101" i="16"/>
  <c r="E101" i="16"/>
  <c r="G101" i="16"/>
  <c r="E97" i="16"/>
  <c r="F97" i="16"/>
  <c r="E89" i="16"/>
  <c r="G89" i="16"/>
  <c r="H85" i="16"/>
  <c r="G85" i="16"/>
  <c r="E85" i="16"/>
  <c r="F85" i="16"/>
  <c r="H77" i="16"/>
  <c r="E77" i="16"/>
  <c r="G77" i="16"/>
  <c r="H73" i="16"/>
  <c r="F73" i="16"/>
  <c r="H69" i="16"/>
  <c r="G69" i="16"/>
  <c r="E69" i="16"/>
  <c r="F69" i="16"/>
  <c r="H61" i="16"/>
  <c r="E61" i="16"/>
  <c r="G61" i="16"/>
  <c r="F61" i="16"/>
  <c r="H53" i="16"/>
  <c r="E53" i="16"/>
  <c r="F49" i="16"/>
  <c r="G49" i="16"/>
  <c r="H45" i="16"/>
  <c r="E45" i="16"/>
  <c r="G41" i="16"/>
  <c r="E41" i="16"/>
  <c r="H41" i="16"/>
  <c r="F41" i="16"/>
  <c r="H33" i="16"/>
  <c r="F33" i="16"/>
  <c r="E33" i="16"/>
  <c r="H29" i="16"/>
  <c r="G29" i="16"/>
  <c r="E25" i="16"/>
  <c r="G25" i="16"/>
  <c r="H25" i="16"/>
  <c r="F25" i="16"/>
  <c r="G21" i="16"/>
  <c r="F21" i="16"/>
  <c r="E21" i="16"/>
  <c r="H17" i="16"/>
  <c r="E17" i="16"/>
  <c r="H13" i="16"/>
  <c r="G13" i="16"/>
  <c r="F13" i="16"/>
  <c r="H9" i="16"/>
  <c r="G9" i="16"/>
  <c r="E9" i="16"/>
  <c r="E5" i="16"/>
  <c r="H5" i="16"/>
  <c r="F5" i="16"/>
  <c r="E202" i="17"/>
  <c r="M202" i="17"/>
  <c r="M186" i="17"/>
  <c r="E186" i="17"/>
  <c r="M178" i="17"/>
  <c r="N178" i="17"/>
  <c r="E170" i="17"/>
  <c r="M170" i="17"/>
  <c r="M154" i="17"/>
  <c r="E154" i="17"/>
  <c r="M146" i="17"/>
  <c r="N146" i="17"/>
  <c r="E138" i="17"/>
  <c r="M138" i="17"/>
  <c r="M122" i="17"/>
  <c r="E122" i="17"/>
  <c r="M114" i="17"/>
  <c r="N114" i="17"/>
  <c r="E106" i="17"/>
  <c r="M106" i="17"/>
  <c r="M90" i="17"/>
  <c r="E90" i="17"/>
  <c r="N82" i="17"/>
  <c r="M82" i="17"/>
  <c r="O82" i="17"/>
  <c r="E74" i="17"/>
  <c r="M74" i="17"/>
  <c r="F42" i="17"/>
  <c r="E42" i="17"/>
  <c r="E10" i="17"/>
  <c r="N10" i="17"/>
  <c r="F10" i="17"/>
  <c r="L191" i="18"/>
  <c r="L159" i="18"/>
  <c r="L143" i="18"/>
  <c r="L115" i="18"/>
  <c r="L95" i="18"/>
  <c r="L87" i="18"/>
  <c r="L83" i="18"/>
  <c r="L67" i="18"/>
  <c r="L63" i="18"/>
  <c r="L23" i="18"/>
  <c r="L11" i="18"/>
  <c r="H200" i="19"/>
  <c r="B200" i="19"/>
  <c r="B196" i="19"/>
  <c r="H196" i="19"/>
  <c r="B188" i="19"/>
  <c r="H188" i="19"/>
  <c r="B172" i="19"/>
  <c r="H172" i="19"/>
  <c r="H168" i="19"/>
  <c r="B168" i="19"/>
  <c r="B164" i="19"/>
  <c r="H164" i="19"/>
  <c r="B156" i="19"/>
  <c r="H156" i="19"/>
  <c r="B140" i="19"/>
  <c r="H140" i="19"/>
  <c r="H136" i="19"/>
  <c r="B136" i="19"/>
  <c r="B132" i="19"/>
  <c r="H132" i="19"/>
  <c r="B124" i="19"/>
  <c r="H124" i="19"/>
  <c r="B108" i="19"/>
  <c r="H108" i="19"/>
  <c r="B100" i="19"/>
  <c r="H100" i="19"/>
  <c r="B92" i="19"/>
  <c r="H92" i="19"/>
  <c r="B76" i="19"/>
  <c r="H76" i="19"/>
  <c r="H72" i="19"/>
  <c r="B72" i="19"/>
  <c r="B68" i="19"/>
  <c r="H68" i="19"/>
  <c r="H8" i="19"/>
  <c r="B8" i="19"/>
  <c r="B151" i="10"/>
  <c r="E151" i="10"/>
  <c r="B35" i="13"/>
  <c r="G35" i="13"/>
  <c r="F141" i="16"/>
  <c r="F193" i="16"/>
  <c r="F45" i="16"/>
  <c r="F149" i="16"/>
  <c r="F89" i="16"/>
  <c r="F197" i="16"/>
  <c r="F189" i="16"/>
  <c r="E145" i="16"/>
  <c r="E137" i="16"/>
  <c r="E13" i="16"/>
  <c r="E93" i="16"/>
  <c r="G169" i="16"/>
  <c r="G45" i="16"/>
  <c r="G133" i="16"/>
  <c r="G109" i="16"/>
  <c r="G97" i="16"/>
  <c r="H181" i="16"/>
  <c r="H21" i="16"/>
  <c r="H157" i="16"/>
  <c r="H49" i="16"/>
  <c r="H113" i="16"/>
  <c r="H93" i="16"/>
  <c r="H165" i="16"/>
  <c r="E114" i="17"/>
  <c r="M130" i="17"/>
  <c r="H21" i="12"/>
  <c r="D39" i="14"/>
  <c r="E56" i="15"/>
  <c r="E12" i="15"/>
  <c r="F17" i="12"/>
  <c r="D67" i="18"/>
  <c r="D79" i="18"/>
  <c r="D43" i="18"/>
  <c r="D127" i="18"/>
  <c r="D191" i="18"/>
  <c r="D199" i="18"/>
  <c r="D75" i="18"/>
  <c r="D19" i="18"/>
  <c r="D83" i="18"/>
  <c r="D131" i="18"/>
  <c r="D163" i="18"/>
  <c r="D195" i="18"/>
  <c r="L179" i="18"/>
  <c r="L51" i="18"/>
  <c r="L91" i="18"/>
  <c r="L123" i="18"/>
  <c r="L135" i="18"/>
  <c r="F17" i="16"/>
  <c r="F173" i="16"/>
  <c r="F53" i="16"/>
  <c r="F133" i="16"/>
  <c r="F169" i="16"/>
  <c r="E105" i="16"/>
  <c r="E201" i="16"/>
  <c r="E57" i="16"/>
  <c r="E29" i="16"/>
  <c r="G129" i="16"/>
  <c r="G53" i="16"/>
  <c r="G81" i="16"/>
  <c r="H57" i="16"/>
  <c r="H97" i="16"/>
  <c r="H125" i="16"/>
  <c r="H169" i="16"/>
  <c r="E82" i="17"/>
  <c r="H148" i="19"/>
  <c r="M98" i="17"/>
  <c r="D7" i="14"/>
  <c r="E8" i="15"/>
  <c r="E48" i="15"/>
  <c r="D171" i="18"/>
  <c r="L107" i="18"/>
  <c r="L31" i="18"/>
  <c r="F77" i="16"/>
  <c r="F57" i="16"/>
  <c r="F29" i="16"/>
  <c r="F101" i="16"/>
  <c r="F125" i="16"/>
  <c r="F177" i="16"/>
  <c r="E153" i="16"/>
  <c r="E113" i="16"/>
  <c r="E81" i="16"/>
  <c r="E73" i="16"/>
  <c r="E37" i="16"/>
  <c r="E149" i="16"/>
  <c r="E193" i="16"/>
  <c r="G177" i="16"/>
  <c r="G17" i="16"/>
  <c r="G73" i="16"/>
  <c r="H133" i="16"/>
  <c r="H89" i="16"/>
  <c r="H141" i="16"/>
  <c r="H189" i="16"/>
  <c r="H193" i="16"/>
  <c r="B32" i="15"/>
  <c r="E178" i="17"/>
  <c r="H116" i="19"/>
  <c r="M194" i="17"/>
  <c r="K199" i="9"/>
  <c r="AA199" i="9"/>
  <c r="S199" i="9"/>
  <c r="U199" i="9"/>
  <c r="L199" i="9"/>
  <c r="D199" i="9"/>
  <c r="Y199" i="9"/>
  <c r="C199" i="9"/>
  <c r="AB199" i="9"/>
  <c r="J199" i="9"/>
  <c r="Z199" i="9"/>
  <c r="I199" i="9"/>
  <c r="G199" i="9"/>
  <c r="X199" i="9"/>
  <c r="AC199" i="9"/>
  <c r="E199" i="9"/>
  <c r="B199" i="9"/>
  <c r="Q199" i="9"/>
  <c r="F199" i="9"/>
  <c r="H199" i="9"/>
  <c r="K195" i="9"/>
  <c r="D195" i="9"/>
  <c r="S195" i="9"/>
  <c r="AA195" i="9"/>
  <c r="L195" i="9"/>
  <c r="U195" i="9"/>
  <c r="C195" i="9"/>
  <c r="AB195" i="9"/>
  <c r="J195" i="9"/>
  <c r="I195" i="9"/>
  <c r="X195" i="9"/>
  <c r="B195" i="9"/>
  <c r="N195" i="9"/>
  <c r="Z195" i="9"/>
  <c r="AC195" i="9"/>
  <c r="F195" i="9"/>
  <c r="Q195" i="9"/>
  <c r="E195" i="9"/>
  <c r="H195" i="9"/>
  <c r="Y195" i="9"/>
  <c r="G195" i="9"/>
  <c r="AA191" i="9"/>
  <c r="D191" i="9"/>
  <c r="K191" i="9"/>
  <c r="S191" i="9"/>
  <c r="U191" i="9"/>
  <c r="Y191" i="9"/>
  <c r="L191" i="9"/>
  <c r="B191" i="9"/>
  <c r="C191" i="9"/>
  <c r="Z191" i="9"/>
  <c r="J191" i="9"/>
  <c r="I191" i="9"/>
  <c r="G191" i="9"/>
  <c r="N191" i="9"/>
  <c r="AC191" i="9"/>
  <c r="F191" i="9"/>
  <c r="Q191" i="9"/>
  <c r="X191" i="9"/>
  <c r="D187" i="9"/>
  <c r="K187" i="9"/>
  <c r="S187" i="9"/>
  <c r="L187" i="9"/>
  <c r="Y187" i="9"/>
  <c r="AA187" i="9"/>
  <c r="U187" i="9"/>
  <c r="J187" i="9"/>
  <c r="I187" i="9"/>
  <c r="G187" i="9"/>
  <c r="X187" i="9"/>
  <c r="B187" i="9"/>
  <c r="E187" i="9"/>
  <c r="H187" i="9"/>
  <c r="C187" i="9"/>
  <c r="Z187" i="9"/>
  <c r="AC187" i="9"/>
  <c r="AA183" i="9"/>
  <c r="S183" i="9"/>
  <c r="D183" i="9"/>
  <c r="K183" i="9"/>
  <c r="U183" i="9"/>
  <c r="L183" i="9"/>
  <c r="Y183" i="9"/>
  <c r="C183" i="9"/>
  <c r="AB183" i="9"/>
  <c r="Z183" i="9"/>
  <c r="B183" i="9"/>
  <c r="AC183" i="9"/>
  <c r="I183" i="9"/>
  <c r="X183" i="9"/>
  <c r="E183" i="9"/>
  <c r="J183" i="9"/>
  <c r="G183" i="9"/>
  <c r="Q183" i="9"/>
  <c r="K179" i="9"/>
  <c r="AA179" i="9"/>
  <c r="S179" i="9"/>
  <c r="L179" i="9"/>
  <c r="Y179" i="9"/>
  <c r="AB179" i="9"/>
  <c r="C179" i="9"/>
  <c r="U179" i="9"/>
  <c r="J179" i="9"/>
  <c r="G179" i="9"/>
  <c r="X179" i="9"/>
  <c r="N179" i="9"/>
  <c r="Z179" i="9"/>
  <c r="I179" i="9"/>
  <c r="B179" i="9"/>
  <c r="AC179" i="9"/>
  <c r="E179" i="9"/>
  <c r="H179" i="9"/>
  <c r="F179" i="9"/>
  <c r="D175" i="9"/>
  <c r="K175" i="9"/>
  <c r="AA175" i="9"/>
  <c r="S175" i="9"/>
  <c r="L175" i="9"/>
  <c r="C175" i="9"/>
  <c r="U175" i="9"/>
  <c r="Y175" i="9"/>
  <c r="J175" i="9"/>
  <c r="I175" i="9"/>
  <c r="AC175" i="9"/>
  <c r="G175" i="9"/>
  <c r="B175" i="9"/>
  <c r="X175" i="9"/>
  <c r="Q175" i="9"/>
  <c r="Z175" i="9"/>
  <c r="N175" i="9"/>
  <c r="F175" i="9"/>
  <c r="D171" i="9"/>
  <c r="AA171" i="9"/>
  <c r="L171" i="9"/>
  <c r="S171" i="9"/>
  <c r="U171" i="9"/>
  <c r="Y171" i="9"/>
  <c r="I171" i="9"/>
  <c r="B171" i="9"/>
  <c r="AB171" i="9"/>
  <c r="Z171" i="9"/>
  <c r="G171" i="9"/>
  <c r="X171" i="9"/>
  <c r="N171" i="9"/>
  <c r="J171" i="9"/>
  <c r="E171" i="9"/>
  <c r="H171" i="9"/>
  <c r="C171" i="9"/>
  <c r="Q171" i="9"/>
  <c r="F171" i="9"/>
  <c r="AA167" i="9"/>
  <c r="S167" i="9"/>
  <c r="K167" i="9"/>
  <c r="D167" i="9"/>
  <c r="Y167" i="9"/>
  <c r="C167" i="9"/>
  <c r="L167" i="9"/>
  <c r="U167" i="9"/>
  <c r="Z167" i="9"/>
  <c r="G167" i="9"/>
  <c r="AB167" i="9"/>
  <c r="J167" i="9"/>
  <c r="AC167" i="9"/>
  <c r="I167" i="9"/>
  <c r="B167" i="9"/>
  <c r="Q167" i="9"/>
  <c r="E167" i="9"/>
  <c r="X167" i="9"/>
  <c r="F167" i="9"/>
  <c r="AA163" i="9"/>
  <c r="D163" i="9"/>
  <c r="S163" i="9"/>
  <c r="C163" i="9"/>
  <c r="U163" i="9"/>
  <c r="K163" i="9"/>
  <c r="Y163" i="9"/>
  <c r="L163" i="9"/>
  <c r="I163" i="9"/>
  <c r="G163" i="9"/>
  <c r="AB163" i="9"/>
  <c r="N163" i="9"/>
  <c r="X163" i="9"/>
  <c r="B163" i="9"/>
  <c r="AC163" i="9"/>
  <c r="J163" i="9"/>
  <c r="Q163" i="9"/>
  <c r="E163" i="9"/>
  <c r="H163" i="9"/>
  <c r="F163" i="9"/>
  <c r="D159" i="9"/>
  <c r="K159" i="9"/>
  <c r="AA159" i="9"/>
  <c r="U159" i="9"/>
  <c r="S159" i="9"/>
  <c r="L159" i="9"/>
  <c r="C159" i="9"/>
  <c r="Z159" i="9"/>
  <c r="G159" i="9"/>
  <c r="Y159" i="9"/>
  <c r="AB159" i="9"/>
  <c r="B159" i="9"/>
  <c r="X159" i="9"/>
  <c r="AC159" i="9"/>
  <c r="J159" i="9"/>
  <c r="F159" i="9"/>
  <c r="Q159" i="9"/>
  <c r="K155" i="9"/>
  <c r="D155" i="9"/>
  <c r="S155" i="9"/>
  <c r="AA155" i="9"/>
  <c r="AB155" i="9"/>
  <c r="U155" i="9"/>
  <c r="L155" i="9"/>
  <c r="Y155" i="9"/>
  <c r="J155" i="9"/>
  <c r="C155" i="9"/>
  <c r="Z155" i="9"/>
  <c r="G155" i="9"/>
  <c r="B155" i="9"/>
  <c r="X155" i="9"/>
  <c r="AC155" i="9"/>
  <c r="N155" i="9"/>
  <c r="I155" i="9"/>
  <c r="E155" i="9"/>
  <c r="Q155" i="9"/>
  <c r="H155" i="9"/>
  <c r="M155" i="9"/>
  <c r="AA151" i="9"/>
  <c r="S151" i="9"/>
  <c r="K151" i="9"/>
  <c r="L151" i="9"/>
  <c r="U151" i="9"/>
  <c r="D151" i="9"/>
  <c r="Y151" i="9"/>
  <c r="AB151" i="9"/>
  <c r="C151" i="9"/>
  <c r="J151" i="9"/>
  <c r="Z151" i="9"/>
  <c r="B151" i="9"/>
  <c r="X151" i="9"/>
  <c r="AC151" i="9"/>
  <c r="N151" i="9"/>
  <c r="Q151" i="9"/>
  <c r="H151" i="9"/>
  <c r="M151" i="9"/>
  <c r="G151" i="9"/>
  <c r="I151" i="9"/>
  <c r="E151" i="9"/>
  <c r="F151" i="9"/>
  <c r="AA147" i="9"/>
  <c r="K147" i="9"/>
  <c r="S147" i="9"/>
  <c r="U147" i="9"/>
  <c r="L147" i="9"/>
  <c r="Y147" i="9"/>
  <c r="AB147" i="9"/>
  <c r="Z147" i="9"/>
  <c r="I147" i="9"/>
  <c r="C147" i="9"/>
  <c r="X147" i="9"/>
  <c r="N147" i="9"/>
  <c r="AC147" i="9"/>
  <c r="B147" i="9"/>
  <c r="J147" i="9"/>
  <c r="E147" i="9"/>
  <c r="H147" i="9"/>
  <c r="M147" i="9"/>
  <c r="AA143" i="9"/>
  <c r="D143" i="9"/>
  <c r="K143" i="9"/>
  <c r="C143" i="9"/>
  <c r="S143" i="9"/>
  <c r="U143" i="9"/>
  <c r="L143" i="9"/>
  <c r="Y143" i="9"/>
  <c r="J143" i="9"/>
  <c r="Z143" i="9"/>
  <c r="AB143" i="9"/>
  <c r="I143" i="9"/>
  <c r="B143" i="9"/>
  <c r="G143" i="9"/>
  <c r="N143" i="9"/>
  <c r="AC143" i="9"/>
  <c r="H143" i="9"/>
  <c r="Q143" i="9"/>
  <c r="X143" i="9"/>
  <c r="F143" i="9"/>
  <c r="S139" i="9"/>
  <c r="K139" i="9"/>
  <c r="AA139" i="9"/>
  <c r="D139" i="9"/>
  <c r="L139" i="9"/>
  <c r="U139" i="9"/>
  <c r="Y139" i="9"/>
  <c r="AB139" i="9"/>
  <c r="G139" i="9"/>
  <c r="C139" i="9"/>
  <c r="X139" i="9"/>
  <c r="AC139" i="9"/>
  <c r="N139" i="9"/>
  <c r="J139" i="9"/>
  <c r="I139" i="9"/>
  <c r="AA135" i="9"/>
  <c r="S135" i="9"/>
  <c r="K135" i="9"/>
  <c r="D135" i="9"/>
  <c r="U135" i="9"/>
  <c r="L135" i="9"/>
  <c r="C135" i="9"/>
  <c r="J135" i="9"/>
  <c r="Z135" i="9"/>
  <c r="I135" i="9"/>
  <c r="Y135" i="9"/>
  <c r="G135" i="9"/>
  <c r="N135" i="9"/>
  <c r="AB135" i="9"/>
  <c r="M135" i="9"/>
  <c r="AC135" i="9"/>
  <c r="Q135" i="9"/>
  <c r="B135" i="9"/>
  <c r="F135" i="9"/>
  <c r="K131" i="9"/>
  <c r="Y131" i="9"/>
  <c r="AB131" i="9"/>
  <c r="AA131" i="9"/>
  <c r="S131" i="9"/>
  <c r="U131" i="9"/>
  <c r="L131" i="9"/>
  <c r="J131" i="9"/>
  <c r="Z131" i="9"/>
  <c r="AC131" i="9"/>
  <c r="C131" i="9"/>
  <c r="I131" i="9"/>
  <c r="B131" i="9"/>
  <c r="X131" i="9"/>
  <c r="F131" i="9"/>
  <c r="M131" i="9"/>
  <c r="N131" i="9"/>
  <c r="H131" i="9"/>
  <c r="K127" i="9"/>
  <c r="D127" i="9"/>
  <c r="L127" i="9"/>
  <c r="C127" i="9"/>
  <c r="S127" i="9"/>
  <c r="Y127" i="9"/>
  <c r="J127" i="9"/>
  <c r="Z127" i="9"/>
  <c r="AB127" i="9"/>
  <c r="U127" i="9"/>
  <c r="G127" i="9"/>
  <c r="B127" i="9"/>
  <c r="N127" i="9"/>
  <c r="X127" i="9"/>
  <c r="AC127" i="9"/>
  <c r="Q127" i="9"/>
  <c r="M127" i="9"/>
  <c r="D123" i="9"/>
  <c r="S123" i="9"/>
  <c r="K123" i="9"/>
  <c r="U123" i="9"/>
  <c r="L123" i="9"/>
  <c r="AA123" i="9"/>
  <c r="Y123" i="9"/>
  <c r="C123" i="9"/>
  <c r="AB123" i="9"/>
  <c r="I123" i="9"/>
  <c r="G123" i="9"/>
  <c r="B123" i="9"/>
  <c r="X123" i="9"/>
  <c r="AC123" i="9"/>
  <c r="Z123" i="9"/>
  <c r="H123" i="9"/>
  <c r="AA119" i="9"/>
  <c r="D119" i="9"/>
  <c r="S119" i="9"/>
  <c r="L119" i="9"/>
  <c r="K119" i="9"/>
  <c r="C119" i="9"/>
  <c r="AB119" i="9"/>
  <c r="U119" i="9"/>
  <c r="J119" i="9"/>
  <c r="Z119" i="9"/>
  <c r="I119" i="9"/>
  <c r="B119" i="9"/>
  <c r="Y119" i="9"/>
  <c r="N119" i="9"/>
  <c r="G119" i="9"/>
  <c r="X119" i="9"/>
  <c r="Q119" i="9"/>
  <c r="AC119" i="9"/>
  <c r="M119" i="9"/>
  <c r="K115" i="9"/>
  <c r="AA115" i="9"/>
  <c r="D115" i="9"/>
  <c r="S115" i="9"/>
  <c r="L115" i="9"/>
  <c r="J115" i="9"/>
  <c r="B115" i="9"/>
  <c r="U115" i="9"/>
  <c r="Y115" i="9"/>
  <c r="AB115" i="9"/>
  <c r="C115" i="9"/>
  <c r="I115" i="9"/>
  <c r="G115" i="9"/>
  <c r="X115" i="9"/>
  <c r="AC115" i="9"/>
  <c r="N115" i="9"/>
  <c r="Z115" i="9"/>
  <c r="M115" i="9"/>
  <c r="Q115" i="9"/>
  <c r="E115" i="9"/>
  <c r="H115" i="9"/>
  <c r="AA111" i="9"/>
  <c r="D111" i="9"/>
  <c r="S111" i="9"/>
  <c r="K111" i="9"/>
  <c r="L111" i="9"/>
  <c r="U111" i="9"/>
  <c r="Y111" i="9"/>
  <c r="Z111" i="9"/>
  <c r="J111" i="9"/>
  <c r="I111" i="9"/>
  <c r="G111" i="9"/>
  <c r="X111" i="9"/>
  <c r="AC111" i="9"/>
  <c r="E111" i="9"/>
  <c r="H111" i="9"/>
  <c r="M111" i="9"/>
  <c r="AB111" i="9"/>
  <c r="B111" i="9"/>
  <c r="N111" i="9"/>
  <c r="Q111" i="9"/>
  <c r="C111" i="9"/>
  <c r="F111" i="9"/>
  <c r="AA107" i="9"/>
  <c r="S107" i="9"/>
  <c r="D107" i="9"/>
  <c r="U107" i="9"/>
  <c r="Y107" i="9"/>
  <c r="L107" i="9"/>
  <c r="AB107" i="9"/>
  <c r="Z107" i="9"/>
  <c r="C107" i="9"/>
  <c r="B107" i="9"/>
  <c r="N107" i="9"/>
  <c r="G107" i="9"/>
  <c r="I107" i="9"/>
  <c r="E107" i="9"/>
  <c r="J107" i="9"/>
  <c r="AC107" i="9"/>
  <c r="K103" i="9"/>
  <c r="AA103" i="9"/>
  <c r="S103" i="9"/>
  <c r="L103" i="9"/>
  <c r="U103" i="9"/>
  <c r="G103" i="9"/>
  <c r="B103" i="9"/>
  <c r="C103" i="9"/>
  <c r="AB103" i="9"/>
  <c r="Y103" i="9"/>
  <c r="J103" i="9"/>
  <c r="Z103" i="9"/>
  <c r="AC103" i="9"/>
  <c r="Q103" i="9"/>
  <c r="H103" i="9"/>
  <c r="F103" i="9"/>
  <c r="I103" i="9"/>
  <c r="X103" i="9"/>
  <c r="M103" i="9"/>
  <c r="S99" i="9"/>
  <c r="K99" i="9"/>
  <c r="AA99" i="9"/>
  <c r="D99" i="9"/>
  <c r="U99" i="9"/>
  <c r="Y99" i="9"/>
  <c r="C99" i="9"/>
  <c r="AB99" i="9"/>
  <c r="Z99" i="9"/>
  <c r="G99" i="9"/>
  <c r="L99" i="9"/>
  <c r="J99" i="9"/>
  <c r="I99" i="9"/>
  <c r="N99" i="9"/>
  <c r="X99" i="9"/>
  <c r="E99" i="9"/>
  <c r="H99" i="9"/>
  <c r="M99" i="9"/>
  <c r="Q99" i="9"/>
  <c r="F99" i="9"/>
  <c r="K95" i="9"/>
  <c r="D95" i="9"/>
  <c r="S95" i="9"/>
  <c r="AA95" i="9"/>
  <c r="U95" i="9"/>
  <c r="L95" i="9"/>
  <c r="J95" i="9"/>
  <c r="I95" i="9"/>
  <c r="Y95" i="9"/>
  <c r="C95" i="9"/>
  <c r="Z95" i="9"/>
  <c r="AC95" i="9"/>
  <c r="AB95" i="9"/>
  <c r="X95" i="9"/>
  <c r="B95" i="9"/>
  <c r="H95" i="9"/>
  <c r="M95" i="9"/>
  <c r="N95" i="9"/>
  <c r="Q95" i="9"/>
  <c r="G95" i="9"/>
  <c r="E95" i="9"/>
  <c r="K91" i="9"/>
  <c r="D91" i="9"/>
  <c r="S91" i="9"/>
  <c r="AA91" i="9"/>
  <c r="U91" i="9"/>
  <c r="L91" i="9"/>
  <c r="AB91" i="9"/>
  <c r="C91" i="9"/>
  <c r="Y91" i="9"/>
  <c r="N91" i="9"/>
  <c r="J91" i="9"/>
  <c r="I91" i="9"/>
  <c r="G91" i="9"/>
  <c r="B91" i="9"/>
  <c r="AC91" i="9"/>
  <c r="Z91" i="9"/>
  <c r="X91" i="9"/>
  <c r="Q91" i="9"/>
  <c r="H91" i="9"/>
  <c r="F91" i="9"/>
  <c r="M91" i="9"/>
  <c r="K87" i="9"/>
  <c r="AA87" i="9"/>
  <c r="D87" i="9"/>
  <c r="L87" i="9"/>
  <c r="S87" i="9"/>
  <c r="U87" i="9"/>
  <c r="C87" i="9"/>
  <c r="G87" i="9"/>
  <c r="AB87" i="9"/>
  <c r="I87" i="9"/>
  <c r="Z87" i="9"/>
  <c r="X87" i="9"/>
  <c r="AC87" i="9"/>
  <c r="Y87" i="9"/>
  <c r="Q87" i="9"/>
  <c r="F87" i="9"/>
  <c r="B87" i="9"/>
  <c r="E87" i="9"/>
  <c r="K83" i="9"/>
  <c r="S83" i="9"/>
  <c r="AA83" i="9"/>
  <c r="D83" i="9"/>
  <c r="U83" i="9"/>
  <c r="L83" i="9"/>
  <c r="C83" i="9"/>
  <c r="J83" i="9"/>
  <c r="I83" i="9"/>
  <c r="G83" i="9"/>
  <c r="Y83" i="9"/>
  <c r="AB83" i="9"/>
  <c r="Z83" i="9"/>
  <c r="X83" i="9"/>
  <c r="AC83" i="9"/>
  <c r="B83" i="9"/>
  <c r="Q83" i="9"/>
  <c r="M83" i="9"/>
  <c r="K79" i="9"/>
  <c r="S79" i="9"/>
  <c r="Y79" i="9"/>
  <c r="D79" i="9"/>
  <c r="U79" i="9"/>
  <c r="AB79" i="9"/>
  <c r="L79" i="9"/>
  <c r="C79" i="9"/>
  <c r="J79" i="9"/>
  <c r="I79" i="9"/>
  <c r="AA79" i="9"/>
  <c r="B79" i="9"/>
  <c r="N79" i="9"/>
  <c r="Z79" i="9"/>
  <c r="AC79" i="9"/>
  <c r="G79" i="9"/>
  <c r="X79" i="9"/>
  <c r="Q79" i="9"/>
  <c r="E79" i="9"/>
  <c r="K75" i="9"/>
  <c r="AA75" i="9"/>
  <c r="D75" i="9"/>
  <c r="S75" i="9"/>
  <c r="C75" i="9"/>
  <c r="Y75" i="9"/>
  <c r="I75" i="9"/>
  <c r="U75" i="9"/>
  <c r="L75" i="9"/>
  <c r="AB75" i="9"/>
  <c r="J75" i="9"/>
  <c r="X75" i="9"/>
  <c r="G75" i="9"/>
  <c r="F75" i="9"/>
  <c r="M75" i="9"/>
  <c r="N75" i="9"/>
  <c r="AC75" i="9"/>
  <c r="Z75" i="9"/>
  <c r="H75" i="9"/>
  <c r="AA71" i="9"/>
  <c r="S71" i="9"/>
  <c r="K71" i="9"/>
  <c r="D71" i="9"/>
  <c r="Y71" i="9"/>
  <c r="U71" i="9"/>
  <c r="L71" i="9"/>
  <c r="C71" i="9"/>
  <c r="G71" i="9"/>
  <c r="AB71" i="9"/>
  <c r="AC71" i="9"/>
  <c r="J71" i="9"/>
  <c r="X71" i="9"/>
  <c r="Z71" i="9"/>
  <c r="E71" i="9"/>
  <c r="B71" i="9"/>
  <c r="Q71" i="9"/>
  <c r="N71" i="9"/>
  <c r="F71" i="9"/>
  <c r="D67" i="9"/>
  <c r="AA67" i="9"/>
  <c r="C67" i="9"/>
  <c r="S67" i="9"/>
  <c r="U67" i="9"/>
  <c r="Y67" i="9"/>
  <c r="K67" i="9"/>
  <c r="AB67" i="9"/>
  <c r="I67" i="9"/>
  <c r="L67" i="9"/>
  <c r="J67" i="9"/>
  <c r="G67" i="9"/>
  <c r="X67" i="9"/>
  <c r="N67" i="9"/>
  <c r="AC67" i="9"/>
  <c r="E67" i="9"/>
  <c r="F67" i="9"/>
  <c r="Z67" i="9"/>
  <c r="H67" i="9"/>
  <c r="D200" i="10"/>
  <c r="B200" i="10"/>
  <c r="C200" i="10"/>
  <c r="D196" i="10"/>
  <c r="B196" i="10"/>
  <c r="C196" i="10"/>
  <c r="E196" i="10"/>
  <c r="B192" i="10"/>
  <c r="E192" i="10"/>
  <c r="B188" i="10"/>
  <c r="D188" i="10"/>
  <c r="C188" i="10"/>
  <c r="B184" i="10"/>
  <c r="D184" i="10"/>
  <c r="C184" i="10"/>
  <c r="B180" i="10"/>
  <c r="D180" i="10"/>
  <c r="C180" i="10"/>
  <c r="E180" i="10"/>
  <c r="D176" i="10"/>
  <c r="B176" i="10"/>
  <c r="C176" i="10"/>
  <c r="E176" i="10"/>
  <c r="B172" i="10"/>
  <c r="D172" i="10"/>
  <c r="C172" i="10"/>
  <c r="B168" i="10"/>
  <c r="D168" i="10"/>
  <c r="C168" i="10"/>
  <c r="D164" i="10"/>
  <c r="B164" i="10"/>
  <c r="C164" i="10"/>
  <c r="B160" i="10"/>
  <c r="D160" i="10"/>
  <c r="C160" i="10"/>
  <c r="E200" i="11"/>
  <c r="B200" i="11"/>
  <c r="E196" i="11"/>
  <c r="B196" i="11"/>
  <c r="B192" i="11"/>
  <c r="E192" i="11"/>
  <c r="E188" i="11"/>
  <c r="B188" i="11"/>
  <c r="B184" i="11"/>
  <c r="E184" i="11"/>
  <c r="E172" i="11"/>
  <c r="B172" i="11"/>
  <c r="E168" i="11"/>
  <c r="B168" i="11"/>
  <c r="B164" i="11"/>
  <c r="E164" i="11"/>
  <c r="E160" i="11"/>
  <c r="B160" i="11"/>
  <c r="E156" i="11"/>
  <c r="B156" i="11"/>
  <c r="B152" i="11"/>
  <c r="E152" i="11"/>
  <c r="B144" i="11"/>
  <c r="E144" i="11"/>
  <c r="E140" i="11"/>
  <c r="B140" i="11"/>
  <c r="E136" i="11"/>
  <c r="B136" i="11"/>
  <c r="B128" i="11"/>
  <c r="E128" i="11"/>
  <c r="E124" i="11"/>
  <c r="B124" i="11"/>
  <c r="B120" i="11"/>
  <c r="E120" i="11"/>
  <c r="B112" i="11"/>
  <c r="E112" i="11"/>
  <c r="E108" i="11"/>
  <c r="B108" i="11"/>
  <c r="E104" i="11"/>
  <c r="B104" i="11"/>
  <c r="E100" i="11"/>
  <c r="B100" i="11"/>
  <c r="E96" i="11"/>
  <c r="B96" i="11"/>
  <c r="E92" i="11"/>
  <c r="B92" i="11"/>
  <c r="B80" i="11"/>
  <c r="E80" i="11"/>
  <c r="E76" i="11"/>
  <c r="B76" i="11"/>
  <c r="E72" i="11"/>
  <c r="B72" i="11"/>
  <c r="E68" i="11"/>
  <c r="B68" i="11"/>
  <c r="B48" i="11"/>
  <c r="E48" i="11"/>
  <c r="B20" i="11"/>
  <c r="E20" i="11"/>
  <c r="E16" i="11"/>
  <c r="B16" i="11"/>
  <c r="E12" i="11"/>
  <c r="B12" i="11"/>
  <c r="F201" i="12"/>
  <c r="B201" i="12"/>
  <c r="H201" i="12"/>
  <c r="E201" i="12"/>
  <c r="C201" i="12"/>
  <c r="B197" i="12"/>
  <c r="F197" i="12"/>
  <c r="H197" i="12"/>
  <c r="C197" i="12"/>
  <c r="E197" i="12"/>
  <c r="F193" i="12"/>
  <c r="B193" i="12"/>
  <c r="H193" i="12"/>
  <c r="E193" i="12"/>
  <c r="C193" i="12"/>
  <c r="F189" i="12"/>
  <c r="B189" i="12"/>
  <c r="H189" i="12"/>
  <c r="E189" i="12"/>
  <c r="C189" i="12"/>
  <c r="B185" i="12"/>
  <c r="H185" i="12"/>
  <c r="F185" i="12"/>
  <c r="E185" i="12"/>
  <c r="C185" i="12"/>
  <c r="B181" i="12"/>
  <c r="F181" i="12"/>
  <c r="H181" i="12"/>
  <c r="E181" i="12"/>
  <c r="C181" i="12"/>
  <c r="B177" i="12"/>
  <c r="F177" i="12"/>
  <c r="H177" i="12"/>
  <c r="E177" i="12"/>
  <c r="C177" i="12"/>
  <c r="B173" i="12"/>
  <c r="F173" i="12"/>
  <c r="H173" i="12"/>
  <c r="E173" i="12"/>
  <c r="C173" i="12"/>
  <c r="B169" i="12"/>
  <c r="F169" i="12"/>
  <c r="H169" i="12"/>
  <c r="E169" i="12"/>
  <c r="C169" i="12"/>
  <c r="F165" i="12"/>
  <c r="B165" i="12"/>
  <c r="H165" i="12"/>
  <c r="C165" i="12"/>
  <c r="E165" i="12"/>
  <c r="F161" i="12"/>
  <c r="B161" i="12"/>
  <c r="H161" i="12"/>
  <c r="E161" i="12"/>
  <c r="C161" i="12"/>
  <c r="B157" i="12"/>
  <c r="F157" i="12"/>
  <c r="H157" i="12"/>
  <c r="E157" i="12"/>
  <c r="C157" i="12"/>
  <c r="F153" i="12"/>
  <c r="B153" i="12"/>
  <c r="H153" i="12"/>
  <c r="E153" i="12"/>
  <c r="C153" i="12"/>
  <c r="B149" i="12"/>
  <c r="F149" i="12"/>
  <c r="H149" i="12"/>
  <c r="C149" i="12"/>
  <c r="E149" i="12"/>
  <c r="B145" i="12"/>
  <c r="H145" i="12"/>
  <c r="C145" i="12"/>
  <c r="F145" i="12"/>
  <c r="E145" i="12"/>
  <c r="F141" i="12"/>
  <c r="B141" i="12"/>
  <c r="E141" i="12"/>
  <c r="H141" i="12"/>
  <c r="C141" i="12"/>
  <c r="F137" i="12"/>
  <c r="H137" i="12"/>
  <c r="E137" i="12"/>
  <c r="C137" i="12"/>
  <c r="B133" i="12"/>
  <c r="F133" i="12"/>
  <c r="H133" i="12"/>
  <c r="E133" i="12"/>
  <c r="C133" i="12"/>
  <c r="F129" i="12"/>
  <c r="B129" i="12"/>
  <c r="H129" i="12"/>
  <c r="E129" i="12"/>
  <c r="C129" i="12"/>
  <c r="B125" i="12"/>
  <c r="F125" i="12"/>
  <c r="H125" i="12"/>
  <c r="E125" i="12"/>
  <c r="C125" i="12"/>
  <c r="B121" i="12"/>
  <c r="F121" i="12"/>
  <c r="E121" i="12"/>
  <c r="C121" i="12"/>
  <c r="H121" i="12"/>
  <c r="B117" i="12"/>
  <c r="F117" i="12"/>
  <c r="H117" i="12"/>
  <c r="E117" i="12"/>
  <c r="C117" i="12"/>
  <c r="B113" i="12"/>
  <c r="F113" i="12"/>
  <c r="H113" i="12"/>
  <c r="E113" i="12"/>
  <c r="C113" i="12"/>
  <c r="B109" i="12"/>
  <c r="F109" i="12"/>
  <c r="H109" i="12"/>
  <c r="E109" i="12"/>
  <c r="C109" i="12"/>
  <c r="B105" i="12"/>
  <c r="F105" i="12"/>
  <c r="H105" i="12"/>
  <c r="E105" i="12"/>
  <c r="B101" i="12"/>
  <c r="E101" i="12"/>
  <c r="H101" i="12"/>
  <c r="C101" i="12"/>
  <c r="B97" i="12"/>
  <c r="H97" i="12"/>
  <c r="C97" i="12"/>
  <c r="E97" i="12"/>
  <c r="B93" i="12"/>
  <c r="F93" i="12"/>
  <c r="H93" i="12"/>
  <c r="E93" i="12"/>
  <c r="C93" i="12"/>
  <c r="F89" i="12"/>
  <c r="B89" i="12"/>
  <c r="H89" i="12"/>
  <c r="E89" i="12"/>
  <c r="C89" i="12"/>
  <c r="F85" i="12"/>
  <c r="B85" i="12"/>
  <c r="C85" i="12"/>
  <c r="H85" i="12"/>
  <c r="E85" i="12"/>
  <c r="B81" i="12"/>
  <c r="H81" i="12"/>
  <c r="E81" i="12"/>
  <c r="C81" i="12"/>
  <c r="B77" i="12"/>
  <c r="F77" i="12"/>
  <c r="E77" i="12"/>
  <c r="H77" i="12"/>
  <c r="C77" i="12"/>
  <c r="B73" i="12"/>
  <c r="F73" i="12"/>
  <c r="H73" i="12"/>
  <c r="E73" i="12"/>
  <c r="C73" i="12"/>
  <c r="F69" i="12"/>
  <c r="B69" i="12"/>
  <c r="H69" i="12"/>
  <c r="E69" i="12"/>
  <c r="C69" i="12"/>
  <c r="B65" i="12"/>
  <c r="H65" i="12"/>
  <c r="F61" i="12"/>
  <c r="H61" i="12"/>
  <c r="E57" i="12"/>
  <c r="H57" i="12"/>
  <c r="H53" i="12"/>
  <c r="E53" i="12"/>
  <c r="H41" i="12"/>
  <c r="E41" i="12"/>
  <c r="H37" i="12"/>
  <c r="F37" i="12"/>
  <c r="H29" i="12"/>
  <c r="F29" i="12"/>
  <c r="C13" i="12"/>
  <c r="H13" i="12"/>
  <c r="H9" i="12"/>
  <c r="F9" i="12"/>
  <c r="B202" i="13"/>
  <c r="G202" i="13"/>
  <c r="B198" i="13"/>
  <c r="F198" i="13"/>
  <c r="G198" i="13"/>
  <c r="B194" i="13"/>
  <c r="G194" i="13"/>
  <c r="F194" i="13"/>
  <c r="C199" i="14"/>
  <c r="D199" i="14"/>
  <c r="B199" i="14"/>
  <c r="C195" i="14"/>
  <c r="D195" i="14"/>
  <c r="C191" i="14"/>
  <c r="D191" i="14"/>
  <c r="C187" i="14"/>
  <c r="D187" i="14"/>
  <c r="B187" i="14"/>
  <c r="C183" i="14"/>
  <c r="D183" i="14"/>
  <c r="B183" i="14"/>
  <c r="C179" i="14"/>
  <c r="D179" i="14"/>
  <c r="C175" i="14"/>
  <c r="D175" i="14"/>
  <c r="C171" i="14"/>
  <c r="D171" i="14"/>
  <c r="B171" i="14"/>
  <c r="C167" i="14"/>
  <c r="D167" i="14"/>
  <c r="B167" i="14"/>
  <c r="D163" i="14"/>
  <c r="C163" i="14"/>
  <c r="D159" i="14"/>
  <c r="C159" i="14"/>
  <c r="C155" i="14"/>
  <c r="D155" i="14"/>
  <c r="B155" i="14"/>
  <c r="C151" i="14"/>
  <c r="D151" i="14"/>
  <c r="B151" i="14"/>
  <c r="C147" i="14"/>
  <c r="D147" i="14"/>
  <c r="C143" i="14"/>
  <c r="D143" i="14"/>
  <c r="B143" i="14"/>
  <c r="C139" i="14"/>
  <c r="D139" i="14"/>
  <c r="C135" i="14"/>
  <c r="D135" i="14"/>
  <c r="B135" i="14"/>
  <c r="C131" i="14"/>
  <c r="D131" i="14"/>
  <c r="B131" i="14"/>
  <c r="C127" i="14"/>
  <c r="D127" i="14"/>
  <c r="C123" i="14"/>
  <c r="D123" i="14"/>
  <c r="B123" i="14"/>
  <c r="C119" i="14"/>
  <c r="D119" i="14"/>
  <c r="C115" i="14"/>
  <c r="D115" i="14"/>
  <c r="C111" i="14"/>
  <c r="D111" i="14"/>
  <c r="C107" i="14"/>
  <c r="D107" i="14"/>
  <c r="B107" i="14"/>
  <c r="C103" i="14"/>
  <c r="D103" i="14"/>
  <c r="B103" i="14"/>
  <c r="C99" i="14"/>
  <c r="D99" i="14"/>
  <c r="C95" i="14"/>
  <c r="D95" i="14"/>
  <c r="B95" i="14"/>
  <c r="C91" i="14"/>
  <c r="D91" i="14"/>
  <c r="C87" i="14"/>
  <c r="D87" i="14"/>
  <c r="B87" i="14"/>
  <c r="C83" i="14"/>
  <c r="D83" i="14"/>
  <c r="C79" i="14"/>
  <c r="D79" i="14"/>
  <c r="B79" i="14"/>
  <c r="C75" i="14"/>
  <c r="D75" i="14"/>
  <c r="C71" i="14"/>
  <c r="D71" i="14"/>
  <c r="B71" i="14"/>
  <c r="C67" i="14"/>
  <c r="D67" i="14"/>
  <c r="E200" i="15"/>
  <c r="B200" i="15"/>
  <c r="E196" i="15"/>
  <c r="B196" i="15"/>
  <c r="B188" i="15"/>
  <c r="E188" i="15"/>
  <c r="B184" i="15"/>
  <c r="E184" i="15"/>
  <c r="B180" i="15"/>
  <c r="E180" i="15"/>
  <c r="B176" i="15"/>
  <c r="E176" i="15"/>
  <c r="B172" i="15"/>
  <c r="E172" i="15"/>
  <c r="B168" i="15"/>
  <c r="E168" i="15"/>
  <c r="E164" i="15"/>
  <c r="B164" i="15"/>
  <c r="B156" i="15"/>
  <c r="E156" i="15"/>
  <c r="B152" i="15"/>
  <c r="E152" i="15"/>
  <c r="E144" i="15"/>
  <c r="B144" i="15"/>
  <c r="E140" i="15"/>
  <c r="B140" i="15"/>
  <c r="E136" i="15"/>
  <c r="B136" i="15"/>
  <c r="E132" i="15"/>
  <c r="B132" i="15"/>
  <c r="B128" i="15"/>
  <c r="E128" i="15"/>
  <c r="B124" i="15"/>
  <c r="E124" i="15"/>
  <c r="E120" i="15"/>
  <c r="B120" i="15"/>
  <c r="B116" i="15"/>
  <c r="E116" i="15"/>
  <c r="B112" i="15"/>
  <c r="E112" i="15"/>
  <c r="E108" i="15"/>
  <c r="B108" i="15"/>
  <c r="B104" i="15"/>
  <c r="E104" i="15"/>
  <c r="B100" i="15"/>
  <c r="E100" i="15"/>
  <c r="B96" i="15"/>
  <c r="E96" i="15"/>
  <c r="B92" i="15"/>
  <c r="E92" i="15"/>
  <c r="E88" i="15"/>
  <c r="B88" i="15"/>
  <c r="B84" i="15"/>
  <c r="E84" i="15"/>
  <c r="B80" i="15"/>
  <c r="E80" i="15"/>
  <c r="B76" i="15"/>
  <c r="E76" i="15"/>
  <c r="B72" i="15"/>
  <c r="E72" i="15"/>
  <c r="B68" i="15"/>
  <c r="E68" i="15"/>
  <c r="E60" i="15"/>
  <c r="B60" i="15"/>
  <c r="E52" i="15"/>
  <c r="B52" i="15"/>
  <c r="D202" i="17"/>
  <c r="L202" i="17"/>
  <c r="K202" i="17"/>
  <c r="J202" i="17"/>
  <c r="O202" i="17"/>
  <c r="F202" i="17"/>
  <c r="N202" i="17"/>
  <c r="D198" i="17"/>
  <c r="L198" i="17"/>
  <c r="O198" i="17"/>
  <c r="N198" i="17"/>
  <c r="J198" i="17"/>
  <c r="K198" i="17"/>
  <c r="F198" i="17"/>
  <c r="M198" i="17"/>
  <c r="E198" i="17"/>
  <c r="D194" i="17"/>
  <c r="L194" i="17"/>
  <c r="K194" i="17"/>
  <c r="J194" i="17"/>
  <c r="F194" i="17"/>
  <c r="O194" i="17"/>
  <c r="N194" i="17"/>
  <c r="D190" i="17"/>
  <c r="K190" i="17"/>
  <c r="L190" i="17"/>
  <c r="O190" i="17"/>
  <c r="J190" i="17"/>
  <c r="N190" i="17"/>
  <c r="M190" i="17"/>
  <c r="E190" i="17"/>
  <c r="D186" i="17"/>
  <c r="L186" i="17"/>
  <c r="K186" i="17"/>
  <c r="J186" i="17"/>
  <c r="O186" i="17"/>
  <c r="F186" i="17"/>
  <c r="N186" i="17"/>
  <c r="L182" i="17"/>
  <c r="D182" i="17"/>
  <c r="O182" i="17"/>
  <c r="N182" i="17"/>
  <c r="K182" i="17"/>
  <c r="M182" i="17"/>
  <c r="E182" i="17"/>
  <c r="F182" i="17"/>
  <c r="D178" i="17"/>
  <c r="L178" i="17"/>
  <c r="K178" i="17"/>
  <c r="J178" i="17"/>
  <c r="F178" i="17"/>
  <c r="O178" i="17"/>
  <c r="D174" i="17"/>
  <c r="L174" i="17"/>
  <c r="K174" i="17"/>
  <c r="O174" i="17"/>
  <c r="J174" i="17"/>
  <c r="N174" i="17"/>
  <c r="F174" i="17"/>
  <c r="M174" i="17"/>
  <c r="E174" i="17"/>
  <c r="L170" i="17"/>
  <c r="D170" i="17"/>
  <c r="K170" i="17"/>
  <c r="J170" i="17"/>
  <c r="O170" i="17"/>
  <c r="F170" i="17"/>
  <c r="N170" i="17"/>
  <c r="D166" i="17"/>
  <c r="L166" i="17"/>
  <c r="O166" i="17"/>
  <c r="K166" i="17"/>
  <c r="N166" i="17"/>
  <c r="J166" i="17"/>
  <c r="F166" i="17"/>
  <c r="M166" i="17"/>
  <c r="E166" i="17"/>
  <c r="D162" i="17"/>
  <c r="L162" i="17"/>
  <c r="K162" i="17"/>
  <c r="J162" i="17"/>
  <c r="O162" i="17"/>
  <c r="F162" i="17"/>
  <c r="N162" i="17"/>
  <c r="L158" i="17"/>
  <c r="D158" i="17"/>
  <c r="K158" i="17"/>
  <c r="J158" i="17"/>
  <c r="O158" i="17"/>
  <c r="N158" i="17"/>
  <c r="M158" i="17"/>
  <c r="E158" i="17"/>
  <c r="L154" i="17"/>
  <c r="D154" i="17"/>
  <c r="K154" i="17"/>
  <c r="J154" i="17"/>
  <c r="O154" i="17"/>
  <c r="F154" i="17"/>
  <c r="N154" i="17"/>
  <c r="L150" i="17"/>
  <c r="D150" i="17"/>
  <c r="O150" i="17"/>
  <c r="J150" i="17"/>
  <c r="N150" i="17"/>
  <c r="M150" i="17"/>
  <c r="E150" i="17"/>
  <c r="F150" i="17"/>
  <c r="D146" i="17"/>
  <c r="L146" i="17"/>
  <c r="K146" i="17"/>
  <c r="J146" i="17"/>
  <c r="F146" i="17"/>
  <c r="O146" i="17"/>
  <c r="D142" i="17"/>
  <c r="L142" i="17"/>
  <c r="K142" i="17"/>
  <c r="J142" i="17"/>
  <c r="O142" i="17"/>
  <c r="N142" i="17"/>
  <c r="F142" i="17"/>
  <c r="M142" i="17"/>
  <c r="E142" i="17"/>
  <c r="L138" i="17"/>
  <c r="D138" i="17"/>
  <c r="K138" i="17"/>
  <c r="J138" i="17"/>
  <c r="O138" i="17"/>
  <c r="F138" i="17"/>
  <c r="N138" i="17"/>
  <c r="D134" i="17"/>
  <c r="L134" i="17"/>
  <c r="O134" i="17"/>
  <c r="N134" i="17"/>
  <c r="K134" i="17"/>
  <c r="F134" i="17"/>
  <c r="M134" i="17"/>
  <c r="E134" i="17"/>
  <c r="J134" i="17"/>
  <c r="D130" i="17"/>
  <c r="L130" i="17"/>
  <c r="K130" i="17"/>
  <c r="J130" i="17"/>
  <c r="F130" i="17"/>
  <c r="O130" i="17"/>
  <c r="N130" i="17"/>
  <c r="L126" i="17"/>
  <c r="K126" i="17"/>
  <c r="J126" i="17"/>
  <c r="O126" i="17"/>
  <c r="D126" i="17"/>
  <c r="N126" i="17"/>
  <c r="M126" i="17"/>
  <c r="E126" i="17"/>
  <c r="L122" i="17"/>
  <c r="D122" i="17"/>
  <c r="K122" i="17"/>
  <c r="J122" i="17"/>
  <c r="O122" i="17"/>
  <c r="F122" i="17"/>
  <c r="N122" i="17"/>
  <c r="L118" i="17"/>
  <c r="D118" i="17"/>
  <c r="O118" i="17"/>
  <c r="N118" i="17"/>
  <c r="K118" i="17"/>
  <c r="J118" i="17"/>
  <c r="M118" i="17"/>
  <c r="E118" i="17"/>
  <c r="F118" i="17"/>
  <c r="D114" i="17"/>
  <c r="L114" i="17"/>
  <c r="K114" i="17"/>
  <c r="J114" i="17"/>
  <c r="F114" i="17"/>
  <c r="O114" i="17"/>
  <c r="D110" i="17"/>
  <c r="K110" i="17"/>
  <c r="J110" i="17"/>
  <c r="O110" i="17"/>
  <c r="L110" i="17"/>
  <c r="N110" i="17"/>
  <c r="F110" i="17"/>
  <c r="M110" i="17"/>
  <c r="E110" i="17"/>
  <c r="L106" i="17"/>
  <c r="D106" i="17"/>
  <c r="K106" i="17"/>
  <c r="J106" i="17"/>
  <c r="O106" i="17"/>
  <c r="F106" i="17"/>
  <c r="N106" i="17"/>
  <c r="D102" i="17"/>
  <c r="L102" i="17"/>
  <c r="O102" i="17"/>
  <c r="K102" i="17"/>
  <c r="N102" i="17"/>
  <c r="J102" i="17"/>
  <c r="F102" i="17"/>
  <c r="M102" i="17"/>
  <c r="E102" i="17"/>
  <c r="D98" i="17"/>
  <c r="L98" i="17"/>
  <c r="K98" i="17"/>
  <c r="J98" i="17"/>
  <c r="O98" i="17"/>
  <c r="F98" i="17"/>
  <c r="N98" i="17"/>
  <c r="L94" i="17"/>
  <c r="K94" i="17"/>
  <c r="J94" i="17"/>
  <c r="D94" i="17"/>
  <c r="O94" i="17"/>
  <c r="N94" i="17"/>
  <c r="M94" i="17"/>
  <c r="E94" i="17"/>
  <c r="L90" i="17"/>
  <c r="D90" i="17"/>
  <c r="K90" i="17"/>
  <c r="J90" i="17"/>
  <c r="O90" i="17"/>
  <c r="F90" i="17"/>
  <c r="N90" i="17"/>
  <c r="L86" i="17"/>
  <c r="D86" i="17"/>
  <c r="O86" i="17"/>
  <c r="J86" i="17"/>
  <c r="N86" i="17"/>
  <c r="M86" i="17"/>
  <c r="E86" i="17"/>
  <c r="K86" i="17"/>
  <c r="F86" i="17"/>
  <c r="D82" i="17"/>
  <c r="L82" i="17"/>
  <c r="K82" i="17"/>
  <c r="J82" i="17"/>
  <c r="F82" i="17"/>
  <c r="D78" i="17"/>
  <c r="K78" i="17"/>
  <c r="J78" i="17"/>
  <c r="L78" i="17"/>
  <c r="O78" i="17"/>
  <c r="N78" i="17"/>
  <c r="F78" i="17"/>
  <c r="M78" i="17"/>
  <c r="E78" i="17"/>
  <c r="L74" i="17"/>
  <c r="D74" i="17"/>
  <c r="K74" i="17"/>
  <c r="J74" i="17"/>
  <c r="O74" i="17"/>
  <c r="F74" i="17"/>
  <c r="N74" i="17"/>
  <c r="L70" i="17"/>
  <c r="D70" i="17"/>
  <c r="K70" i="17"/>
  <c r="N70" i="17"/>
  <c r="O70" i="17"/>
  <c r="F70" i="17"/>
  <c r="E70" i="17"/>
  <c r="J70" i="17"/>
  <c r="D66" i="17"/>
  <c r="L66" i="17"/>
  <c r="K66" i="17"/>
  <c r="O66" i="17"/>
  <c r="J66" i="17"/>
  <c r="F66" i="17"/>
  <c r="N66" i="17"/>
  <c r="M66" i="17"/>
  <c r="D62" i="17"/>
  <c r="L62" i="17"/>
  <c r="K62" i="17"/>
  <c r="N62" i="17"/>
  <c r="O62" i="17"/>
  <c r="J62" i="17"/>
  <c r="F62" i="17"/>
  <c r="E62" i="17"/>
  <c r="D58" i="17"/>
  <c r="L58" i="17"/>
  <c r="O58" i="17"/>
  <c r="J58" i="17"/>
  <c r="N58" i="17"/>
  <c r="K58" i="17"/>
  <c r="F58" i="17"/>
  <c r="E58" i="17"/>
  <c r="L54" i="17"/>
  <c r="D54" i="17"/>
  <c r="J54" i="17"/>
  <c r="K54" i="17"/>
  <c r="O54" i="17"/>
  <c r="N54" i="17"/>
  <c r="F54" i="17"/>
  <c r="M54" i="17"/>
  <c r="L50" i="17"/>
  <c r="D50" i="17"/>
  <c r="K50" i="17"/>
  <c r="J50" i="17"/>
  <c r="O50" i="17"/>
  <c r="F50" i="17"/>
  <c r="E50" i="17"/>
  <c r="N50" i="17"/>
  <c r="M50" i="17"/>
  <c r="D46" i="17"/>
  <c r="K46" i="17"/>
  <c r="O46" i="17"/>
  <c r="J46" i="17"/>
  <c r="L46" i="17"/>
  <c r="N46" i="17"/>
  <c r="F46" i="17"/>
  <c r="E46" i="17"/>
  <c r="D42" i="17"/>
  <c r="L42" i="17"/>
  <c r="O42" i="17"/>
  <c r="J42" i="17"/>
  <c r="K42" i="17"/>
  <c r="M42" i="17"/>
  <c r="N42" i="17"/>
  <c r="L38" i="17"/>
  <c r="D38" i="17"/>
  <c r="K38" i="17"/>
  <c r="N38" i="17"/>
  <c r="F38" i="17"/>
  <c r="J38" i="17"/>
  <c r="O38" i="17"/>
  <c r="E38" i="17"/>
  <c r="D34" i="17"/>
  <c r="L34" i="17"/>
  <c r="K34" i="17"/>
  <c r="O34" i="17"/>
  <c r="J34" i="17"/>
  <c r="N34" i="17"/>
  <c r="F34" i="17"/>
  <c r="M34" i="17"/>
  <c r="L30" i="17"/>
  <c r="D30" i="17"/>
  <c r="K30" i="17"/>
  <c r="N30" i="17"/>
  <c r="O30" i="17"/>
  <c r="J30" i="17"/>
  <c r="F30" i="17"/>
  <c r="E30" i="17"/>
  <c r="D26" i="17"/>
  <c r="L26" i="17"/>
  <c r="O26" i="17"/>
  <c r="J26" i="17"/>
  <c r="N26" i="17"/>
  <c r="K26" i="17"/>
  <c r="M26" i="17"/>
  <c r="F26" i="17"/>
  <c r="L22" i="17"/>
  <c r="K22" i="17"/>
  <c r="J22" i="17"/>
  <c r="F22" i="17"/>
  <c r="D22" i="17"/>
  <c r="O22" i="17"/>
  <c r="N22" i="17"/>
  <c r="E22" i="17"/>
  <c r="D18" i="17"/>
  <c r="L18" i="17"/>
  <c r="K18" i="17"/>
  <c r="O18" i="17"/>
  <c r="J18" i="17"/>
  <c r="N18" i="17"/>
  <c r="F18" i="17"/>
  <c r="M18" i="17"/>
  <c r="L14" i="17"/>
  <c r="D14" i="17"/>
  <c r="K14" i="17"/>
  <c r="N14" i="17"/>
  <c r="O14" i="17"/>
  <c r="J14" i="17"/>
  <c r="F14" i="17"/>
  <c r="E14" i="17"/>
  <c r="D10" i="17"/>
  <c r="L10" i="17"/>
  <c r="O10" i="17"/>
  <c r="J10" i="17"/>
  <c r="K10" i="17"/>
  <c r="M10" i="17"/>
  <c r="L6" i="17"/>
  <c r="D6" i="17"/>
  <c r="K6" i="17"/>
  <c r="F6" i="17"/>
  <c r="O6" i="17"/>
  <c r="N6" i="17"/>
  <c r="J6" i="17"/>
  <c r="E6" i="17"/>
  <c r="B192" i="19"/>
  <c r="H192" i="19"/>
  <c r="F83" i="9"/>
  <c r="F107" i="9"/>
  <c r="H135" i="9"/>
  <c r="H167" i="9"/>
  <c r="H139" i="9"/>
  <c r="H71" i="9"/>
  <c r="H87" i="9"/>
  <c r="E83" i="9"/>
  <c r="E123" i="9"/>
  <c r="E131" i="9"/>
  <c r="E139" i="9"/>
  <c r="E175" i="9"/>
  <c r="E103" i="9"/>
  <c r="Q75" i="9"/>
  <c r="Q139" i="9"/>
  <c r="Q147" i="9"/>
  <c r="C192" i="10"/>
  <c r="B180" i="11"/>
  <c r="X135" i="9"/>
  <c r="E132" i="11"/>
  <c r="B75" i="9"/>
  <c r="I127" i="9"/>
  <c r="Z139" i="9"/>
  <c r="Z163" i="9"/>
  <c r="H107" i="9"/>
  <c r="H175" i="9"/>
  <c r="H159" i="9"/>
  <c r="E75" i="9"/>
  <c r="E191" i="9"/>
  <c r="Q67" i="9"/>
  <c r="Q131" i="9"/>
  <c r="Q179" i="9"/>
  <c r="N83" i="9"/>
  <c r="N87" i="9"/>
  <c r="B148" i="11"/>
  <c r="X107" i="9"/>
  <c r="E88" i="11"/>
  <c r="B67" i="9"/>
  <c r="F202" i="13"/>
  <c r="C105" i="12"/>
  <c r="E160" i="15"/>
  <c r="E148" i="15"/>
  <c r="AB187" i="9"/>
  <c r="AB175" i="9"/>
  <c r="AB191" i="9"/>
  <c r="F79" i="9"/>
  <c r="F155" i="9"/>
  <c r="F119" i="9"/>
  <c r="F95" i="9"/>
  <c r="F127" i="9"/>
  <c r="F123" i="9"/>
  <c r="H83" i="9"/>
  <c r="H127" i="9"/>
  <c r="H183" i="9"/>
  <c r="H79" i="9"/>
  <c r="E119" i="9"/>
  <c r="E127" i="9"/>
  <c r="E135" i="9"/>
  <c r="E143" i="9"/>
  <c r="E159" i="9"/>
  <c r="Q123" i="9"/>
  <c r="Q107" i="9"/>
  <c r="N123" i="9"/>
  <c r="N103" i="9"/>
  <c r="B116" i="11"/>
  <c r="G147" i="9"/>
  <c r="G131" i="9"/>
  <c r="J87" i="9"/>
  <c r="H52" i="19"/>
  <c r="B52" i="19"/>
  <c r="H44" i="19"/>
  <c r="B44" i="19"/>
  <c r="H36" i="19"/>
  <c r="B36" i="19"/>
  <c r="H28" i="19"/>
  <c r="B28" i="19"/>
  <c r="H12" i="19"/>
  <c r="B12" i="19"/>
  <c r="H4" i="19"/>
  <c r="B4" i="19"/>
  <c r="D155" i="10"/>
  <c r="C155" i="10"/>
  <c r="E71" i="10"/>
  <c r="B71" i="10"/>
  <c r="B115" i="13"/>
  <c r="G115" i="13"/>
  <c r="H176" i="19"/>
  <c r="H160" i="19"/>
  <c r="H144" i="19"/>
  <c r="H128" i="19"/>
  <c r="H112" i="19"/>
  <c r="H96" i="19"/>
  <c r="H80" i="19"/>
  <c r="B184" i="19"/>
  <c r="B152" i="19"/>
  <c r="B120" i="19"/>
  <c r="B88" i="19"/>
  <c r="B56" i="19"/>
  <c r="B24" i="19"/>
  <c r="C147" i="10"/>
  <c r="C99" i="10"/>
  <c r="D99" i="10"/>
  <c r="B99" i="10"/>
  <c r="E87" i="10"/>
  <c r="B87" i="10"/>
  <c r="F127" i="13"/>
  <c r="B127" i="13"/>
  <c r="B123" i="13"/>
  <c r="F123" i="13"/>
  <c r="F99" i="13"/>
  <c r="B99" i="13"/>
  <c r="Y202" i="9"/>
  <c r="I202" i="9"/>
  <c r="B202" i="9"/>
  <c r="X202" i="9"/>
  <c r="S198" i="9"/>
  <c r="B198" i="9"/>
  <c r="Y194" i="9"/>
  <c r="C194" i="9"/>
  <c r="B194" i="9"/>
  <c r="Y190" i="9"/>
  <c r="I190" i="9"/>
  <c r="B190" i="9"/>
  <c r="D186" i="9"/>
  <c r="G186" i="9"/>
  <c r="B186" i="9"/>
  <c r="S182" i="9"/>
  <c r="Z182" i="9"/>
  <c r="G182" i="9"/>
  <c r="B182" i="9"/>
  <c r="K178" i="9"/>
  <c r="B178" i="9"/>
  <c r="U174" i="9"/>
  <c r="B174" i="9"/>
  <c r="S174" i="9"/>
  <c r="X174" i="9"/>
  <c r="S170" i="9"/>
  <c r="B170" i="9"/>
  <c r="C170" i="9"/>
  <c r="I170" i="9"/>
  <c r="X170" i="9"/>
  <c r="K166" i="9"/>
  <c r="C166" i="9"/>
  <c r="B166" i="9"/>
  <c r="X166" i="9"/>
  <c r="K162" i="9"/>
  <c r="B162" i="9"/>
  <c r="X162" i="9"/>
  <c r="K158" i="9"/>
  <c r="S158" i="9"/>
  <c r="G158" i="9"/>
  <c r="B158" i="9"/>
  <c r="AB158" i="9"/>
  <c r="S154" i="9"/>
  <c r="K154" i="9"/>
  <c r="AB154" i="9"/>
  <c r="B154" i="9"/>
  <c r="U150" i="9"/>
  <c r="B150" i="9"/>
  <c r="G150" i="9"/>
  <c r="AA146" i="9"/>
  <c r="X146" i="9"/>
  <c r="Y146" i="9"/>
  <c r="Z146" i="9"/>
  <c r="AA142" i="9"/>
  <c r="G142" i="9"/>
  <c r="X142" i="9"/>
  <c r="I142" i="9"/>
  <c r="C138" i="9"/>
  <c r="AB138" i="9"/>
  <c r="B138" i="9"/>
  <c r="L138" i="9"/>
  <c r="Y138" i="9"/>
  <c r="G138" i="9"/>
  <c r="X138" i="9"/>
  <c r="D134" i="9"/>
  <c r="G134" i="9"/>
  <c r="B134" i="9"/>
  <c r="K130" i="9"/>
  <c r="B130" i="9"/>
  <c r="X130" i="9"/>
  <c r="C130" i="9"/>
  <c r="G130" i="9"/>
  <c r="D126" i="9"/>
  <c r="G126" i="9"/>
  <c r="X126" i="9"/>
  <c r="AA126" i="9"/>
  <c r="Z126" i="9"/>
  <c r="B126" i="9"/>
  <c r="S122" i="9"/>
  <c r="D122" i="9"/>
  <c r="Z122" i="9"/>
  <c r="AB122" i="9"/>
  <c r="I122" i="9"/>
  <c r="G122" i="9"/>
  <c r="X122" i="9"/>
  <c r="I102" i="9"/>
  <c r="J102" i="9"/>
  <c r="B103" i="11"/>
  <c r="E103" i="11"/>
  <c r="B200" i="12"/>
  <c r="C200" i="12"/>
  <c r="H200" i="12"/>
  <c r="F196" i="12"/>
  <c r="H196" i="12"/>
  <c r="C196" i="12"/>
  <c r="B188" i="12"/>
  <c r="C188" i="12"/>
  <c r="B184" i="12"/>
  <c r="F184" i="12"/>
  <c r="F176" i="12"/>
  <c r="C176" i="12"/>
  <c r="B172" i="12"/>
  <c r="C172" i="12"/>
  <c r="B164" i="12"/>
  <c r="E164" i="12"/>
  <c r="F160" i="12"/>
  <c r="C160" i="12"/>
  <c r="H160" i="12"/>
  <c r="B156" i="12"/>
  <c r="C156" i="12"/>
  <c r="B152" i="12"/>
  <c r="E152" i="12"/>
  <c r="B144" i="12"/>
  <c r="H144" i="12"/>
  <c r="E144" i="12"/>
  <c r="C144" i="12"/>
  <c r="F132" i="12"/>
  <c r="E132" i="12"/>
  <c r="C132" i="12"/>
  <c r="B128" i="12"/>
  <c r="C128" i="12"/>
  <c r="C178" i="14"/>
  <c r="D178" i="14"/>
  <c r="C162" i="14"/>
  <c r="D162" i="14"/>
  <c r="D146" i="14"/>
  <c r="C146" i="14"/>
  <c r="B191" i="15"/>
  <c r="E191" i="15"/>
  <c r="B187" i="15"/>
  <c r="E187" i="15"/>
  <c r="B183" i="15"/>
  <c r="E183" i="15"/>
  <c r="B179" i="15"/>
  <c r="E179" i="15"/>
  <c r="B175" i="15"/>
  <c r="E175" i="15"/>
  <c r="B167" i="15"/>
  <c r="E167" i="15"/>
  <c r="B159" i="15"/>
  <c r="E159" i="15"/>
  <c r="B151" i="15"/>
  <c r="E151" i="15"/>
  <c r="B139" i="15"/>
  <c r="E139" i="15"/>
  <c r="B131" i="15"/>
  <c r="E131" i="15"/>
  <c r="E127" i="15"/>
  <c r="B127" i="15"/>
  <c r="E99" i="15"/>
  <c r="B99" i="15"/>
  <c r="L201" i="17"/>
  <c r="J201" i="17"/>
  <c r="D197" i="17"/>
  <c r="K197" i="17"/>
  <c r="O197" i="17"/>
  <c r="N197" i="17"/>
  <c r="D193" i="17"/>
  <c r="O193" i="17"/>
  <c r="J193" i="17"/>
  <c r="L189" i="17"/>
  <c r="O189" i="17"/>
  <c r="N189" i="17"/>
  <c r="K189" i="17"/>
  <c r="L185" i="17"/>
  <c r="J185" i="17"/>
  <c r="D181" i="17"/>
  <c r="K181" i="17"/>
  <c r="O181" i="17"/>
  <c r="N181" i="17"/>
  <c r="D177" i="17"/>
  <c r="O177" i="17"/>
  <c r="J177" i="17"/>
  <c r="L173" i="17"/>
  <c r="O173" i="17"/>
  <c r="N173" i="17"/>
  <c r="K173" i="17"/>
  <c r="L169" i="17"/>
  <c r="J169" i="17"/>
  <c r="D165" i="17"/>
  <c r="K165" i="17"/>
  <c r="O165" i="17"/>
  <c r="N165" i="17"/>
  <c r="D161" i="17"/>
  <c r="O161" i="17"/>
  <c r="J161" i="17"/>
  <c r="L157" i="17"/>
  <c r="O157" i="17"/>
  <c r="N157" i="17"/>
  <c r="K157" i="17"/>
  <c r="L153" i="17"/>
  <c r="J153" i="17"/>
  <c r="D149" i="17"/>
  <c r="K149" i="17"/>
  <c r="O149" i="17"/>
  <c r="N149" i="17"/>
  <c r="D145" i="17"/>
  <c r="O145" i="17"/>
  <c r="J145" i="17"/>
  <c r="L141" i="17"/>
  <c r="O141" i="17"/>
  <c r="N141" i="17"/>
  <c r="D141" i="17"/>
  <c r="K141" i="17"/>
  <c r="L137" i="17"/>
  <c r="J137" i="17"/>
  <c r="D133" i="17"/>
  <c r="K133" i="17"/>
  <c r="O133" i="17"/>
  <c r="N133" i="17"/>
  <c r="D129" i="17"/>
  <c r="O129" i="17"/>
  <c r="J129" i="17"/>
  <c r="L125" i="17"/>
  <c r="O125" i="17"/>
  <c r="N125" i="17"/>
  <c r="K125" i="17"/>
  <c r="L121" i="17"/>
  <c r="J121" i="17"/>
  <c r="D53" i="17"/>
  <c r="K53" i="17"/>
  <c r="H122" i="9"/>
  <c r="H138" i="9"/>
  <c r="H166" i="9"/>
  <c r="H182" i="9"/>
  <c r="H198" i="9"/>
  <c r="H158" i="9"/>
  <c r="E166" i="9"/>
  <c r="E182" i="9"/>
  <c r="E198" i="9"/>
  <c r="E130" i="9"/>
  <c r="E154" i="9"/>
  <c r="E146" i="9"/>
  <c r="Q190" i="9"/>
  <c r="Q202" i="9"/>
  <c r="Q170" i="9"/>
  <c r="Q194" i="9"/>
  <c r="Q166" i="9"/>
  <c r="Q154" i="9"/>
  <c r="Q150" i="9"/>
  <c r="Q134" i="9"/>
  <c r="AC170" i="9"/>
  <c r="AC186" i="9"/>
  <c r="AC130" i="9"/>
  <c r="AC146" i="9"/>
  <c r="N146" i="9"/>
  <c r="N126" i="9"/>
  <c r="C191" i="10"/>
  <c r="B127" i="11"/>
  <c r="B159" i="11"/>
  <c r="B191" i="11"/>
  <c r="B139" i="11"/>
  <c r="B171" i="11"/>
  <c r="X190" i="9"/>
  <c r="X198" i="9"/>
  <c r="X194" i="9"/>
  <c r="X150" i="9"/>
  <c r="X154" i="9"/>
  <c r="B142" i="9"/>
  <c r="G202" i="9"/>
  <c r="G146" i="9"/>
  <c r="C164" i="12"/>
  <c r="C152" i="12"/>
  <c r="C192" i="12"/>
  <c r="I182" i="9"/>
  <c r="I134" i="9"/>
  <c r="E143" i="15"/>
  <c r="E135" i="15"/>
  <c r="J189" i="17"/>
  <c r="J157" i="17"/>
  <c r="J125" i="17"/>
  <c r="K185" i="17"/>
  <c r="K153" i="17"/>
  <c r="K121" i="17"/>
  <c r="O185" i="17"/>
  <c r="O121" i="17"/>
  <c r="AB130" i="9"/>
  <c r="Y122" i="9"/>
  <c r="F172" i="12"/>
  <c r="H126" i="9"/>
  <c r="H142" i="9"/>
  <c r="H170" i="9"/>
  <c r="H186" i="9"/>
  <c r="H146" i="9"/>
  <c r="H150" i="9"/>
  <c r="E170" i="9"/>
  <c r="E186" i="9"/>
  <c r="E142" i="9"/>
  <c r="Q162" i="9"/>
  <c r="Q146" i="9"/>
  <c r="Q142" i="9"/>
  <c r="G111" i="13"/>
  <c r="G139" i="13"/>
  <c r="AC174" i="9"/>
  <c r="AC190" i="9"/>
  <c r="AC134" i="9"/>
  <c r="AC102" i="9"/>
  <c r="AC158" i="9"/>
  <c r="AC202" i="9"/>
  <c r="N150" i="9"/>
  <c r="N162" i="9"/>
  <c r="N166" i="9"/>
  <c r="N170" i="9"/>
  <c r="N174" i="9"/>
  <c r="N178" i="9"/>
  <c r="N134" i="9"/>
  <c r="N130" i="9"/>
  <c r="C187" i="10"/>
  <c r="C199" i="10"/>
  <c r="C163" i="10"/>
  <c r="C171" i="10"/>
  <c r="B135" i="11"/>
  <c r="B83" i="11"/>
  <c r="B147" i="11"/>
  <c r="X178" i="9"/>
  <c r="G198" i="9"/>
  <c r="G174" i="9"/>
  <c r="G178" i="9"/>
  <c r="G170" i="9"/>
  <c r="G194" i="9"/>
  <c r="F201" i="13"/>
  <c r="F197" i="13"/>
  <c r="F193" i="13"/>
  <c r="C168" i="12"/>
  <c r="C184" i="12"/>
  <c r="C148" i="12"/>
  <c r="C120" i="12"/>
  <c r="C140" i="12"/>
  <c r="I126" i="9"/>
  <c r="I158" i="9"/>
  <c r="Z166" i="9"/>
  <c r="Z154" i="9"/>
  <c r="J182" i="9"/>
  <c r="J186" i="9"/>
  <c r="J190" i="9"/>
  <c r="J194" i="9"/>
  <c r="J202" i="9"/>
  <c r="E147" i="15"/>
  <c r="J181" i="17"/>
  <c r="J149" i="17"/>
  <c r="K177" i="17"/>
  <c r="K145" i="17"/>
  <c r="O169" i="17"/>
  <c r="C202" i="9"/>
  <c r="D194" i="14"/>
  <c r="I178" i="9"/>
  <c r="I166" i="9"/>
  <c r="I198" i="9"/>
  <c r="I154" i="9"/>
  <c r="Z170" i="9"/>
  <c r="Z186" i="9"/>
  <c r="Z134" i="9"/>
  <c r="Z142" i="9"/>
  <c r="J158" i="9"/>
  <c r="J198" i="9"/>
  <c r="J130" i="9"/>
  <c r="J126" i="9"/>
  <c r="E160" i="12"/>
  <c r="E184" i="12"/>
  <c r="E192" i="12"/>
  <c r="E176" i="12"/>
  <c r="E188" i="12"/>
  <c r="E172" i="12"/>
  <c r="E120" i="12"/>
  <c r="AB182" i="9"/>
  <c r="AB186" i="9"/>
  <c r="AB198" i="9"/>
  <c r="AB178" i="9"/>
  <c r="C182" i="9"/>
  <c r="C186" i="9"/>
  <c r="C178" i="9"/>
  <c r="C142" i="9"/>
  <c r="C158" i="9"/>
  <c r="C154" i="9"/>
  <c r="C122" i="9"/>
  <c r="Y126" i="9"/>
  <c r="Y142" i="9"/>
  <c r="Y158" i="9"/>
  <c r="H180" i="12"/>
  <c r="H148" i="12"/>
  <c r="H172" i="12"/>
  <c r="H140" i="12"/>
  <c r="H136" i="12"/>
  <c r="D190" i="14"/>
  <c r="D174" i="14"/>
  <c r="D158" i="14"/>
  <c r="D142" i="14"/>
  <c r="L149" i="17"/>
  <c r="D189" i="17"/>
  <c r="D125" i="17"/>
  <c r="C130" i="14"/>
  <c r="F188" i="12"/>
  <c r="Z174" i="9"/>
  <c r="Z190" i="9"/>
  <c r="Z158" i="9"/>
  <c r="Z150" i="9"/>
  <c r="J162" i="9"/>
  <c r="J146" i="9"/>
  <c r="J166" i="9"/>
  <c r="J170" i="9"/>
  <c r="J174" i="9"/>
  <c r="J178" i="9"/>
  <c r="J142" i="9"/>
  <c r="J134" i="9"/>
  <c r="J122" i="9"/>
  <c r="E196" i="12"/>
  <c r="E136" i="12"/>
  <c r="E168" i="12"/>
  <c r="E140" i="12"/>
  <c r="E124" i="12"/>
  <c r="AB126" i="9"/>
  <c r="AB134" i="9"/>
  <c r="AB142" i="9"/>
  <c r="AB166" i="9"/>
  <c r="AB170" i="9"/>
  <c r="AB194" i="9"/>
  <c r="AB202" i="9"/>
  <c r="AB146" i="9"/>
  <c r="AB150" i="9"/>
  <c r="C190" i="9"/>
  <c r="C150" i="9"/>
  <c r="C146" i="9"/>
  <c r="C126" i="9"/>
  <c r="Y130" i="9"/>
  <c r="Y166" i="9"/>
  <c r="Y154" i="9"/>
  <c r="Y170" i="9"/>
  <c r="Y182" i="9"/>
  <c r="H176" i="12"/>
  <c r="H132" i="12"/>
  <c r="H168" i="12"/>
  <c r="H124" i="12"/>
  <c r="H156" i="12"/>
  <c r="H128" i="12"/>
  <c r="D202" i="14"/>
  <c r="D186" i="14"/>
  <c r="D170" i="14"/>
  <c r="D154" i="14"/>
  <c r="D138" i="14"/>
  <c r="L150" i="9"/>
  <c r="L166" i="9"/>
  <c r="U194" i="9"/>
  <c r="U154" i="9"/>
  <c r="L197" i="17"/>
  <c r="L133" i="17"/>
  <c r="D173" i="17"/>
  <c r="S126" i="9"/>
  <c r="S150" i="9"/>
  <c r="AA162" i="9"/>
  <c r="K134" i="9"/>
  <c r="B91" i="10"/>
  <c r="D91" i="10"/>
  <c r="E103" i="10"/>
  <c r="I162" i="9"/>
  <c r="I186" i="9"/>
  <c r="I174" i="9"/>
  <c r="I194" i="9"/>
  <c r="I146" i="9"/>
  <c r="I138" i="9"/>
  <c r="Z202" i="9"/>
  <c r="Z162" i="9"/>
  <c r="Z178" i="9"/>
  <c r="Z194" i="9"/>
  <c r="Z138" i="9"/>
  <c r="Z130" i="9"/>
  <c r="J150" i="9"/>
  <c r="E200" i="12"/>
  <c r="E156" i="12"/>
  <c r="E128" i="12"/>
  <c r="E148" i="12"/>
  <c r="AB190" i="9"/>
  <c r="AB174" i="9"/>
  <c r="C174" i="9"/>
  <c r="C162" i="9"/>
  <c r="C134" i="9"/>
  <c r="Y134" i="9"/>
  <c r="Y198" i="9"/>
  <c r="Y162" i="9"/>
  <c r="Y150" i="9"/>
  <c r="H120" i="12"/>
  <c r="H192" i="12"/>
  <c r="H188" i="12"/>
  <c r="H164" i="12"/>
  <c r="H184" i="12"/>
  <c r="H152" i="12"/>
  <c r="D198" i="14"/>
  <c r="D182" i="14"/>
  <c r="D166" i="14"/>
  <c r="D150" i="14"/>
  <c r="D134" i="14"/>
  <c r="D126" i="14"/>
  <c r="L122" i="9"/>
  <c r="L154" i="9"/>
  <c r="U170" i="9"/>
  <c r="L181" i="17"/>
  <c r="D157" i="17"/>
  <c r="S142" i="9"/>
  <c r="F140" i="12"/>
  <c r="F124" i="12"/>
  <c r="B159" i="10"/>
  <c r="B75" i="10"/>
  <c r="C63" i="10"/>
  <c r="C87" i="10"/>
  <c r="D77" i="9"/>
  <c r="D181" i="9"/>
  <c r="AA157" i="9"/>
  <c r="AA109" i="9"/>
  <c r="K101" i="9"/>
  <c r="K149" i="9"/>
  <c r="B46" i="11"/>
  <c r="J57" i="9"/>
  <c r="B111" i="12"/>
  <c r="D191" i="10"/>
  <c r="D190" i="10"/>
  <c r="B158" i="10"/>
  <c r="B191" i="12"/>
  <c r="D178" i="10"/>
  <c r="E98" i="10"/>
  <c r="D102" i="10"/>
  <c r="C90" i="10"/>
  <c r="D109" i="10"/>
  <c r="S177" i="9"/>
  <c r="S117" i="9"/>
  <c r="S201" i="9"/>
  <c r="D201" i="9"/>
  <c r="AA129" i="9"/>
  <c r="AA101" i="9"/>
  <c r="K177" i="9"/>
  <c r="K133" i="9"/>
  <c r="B174" i="10"/>
  <c r="B194" i="10"/>
  <c r="C59" i="10"/>
  <c r="E106" i="10"/>
  <c r="C98" i="10"/>
  <c r="C109" i="10"/>
  <c r="D113" i="10"/>
  <c r="D87" i="10"/>
  <c r="E113" i="10"/>
  <c r="E94" i="10"/>
  <c r="E90" i="10"/>
  <c r="C106" i="10"/>
  <c r="D71" i="10"/>
  <c r="E112" i="10"/>
  <c r="C82" i="10"/>
  <c r="C89" i="10"/>
  <c r="D63" i="10"/>
  <c r="C71" i="10"/>
  <c r="D67" i="10"/>
  <c r="C81" i="10"/>
  <c r="K171" i="9"/>
  <c r="K107" i="9"/>
  <c r="D192" i="10"/>
  <c r="B137" i="12"/>
  <c r="C75" i="10"/>
  <c r="D75" i="10"/>
  <c r="D116" i="10"/>
  <c r="D101" i="10"/>
  <c r="C101" i="10"/>
  <c r="E116" i="10"/>
  <c r="F97" i="12"/>
  <c r="F101" i="12"/>
  <c r="F81" i="12"/>
  <c r="D131" i="9"/>
  <c r="D179" i="9"/>
  <c r="D147" i="9"/>
  <c r="D103" i="9"/>
  <c r="AA127" i="9"/>
  <c r="C86" i="10"/>
  <c r="C112" i="10"/>
  <c r="B3" i="10"/>
  <c r="E3" i="15"/>
  <c r="D3" i="10"/>
  <c r="E3" i="10"/>
  <c r="H3" i="19"/>
  <c r="K194" i="9"/>
  <c r="D194" i="9"/>
  <c r="AA190" i="9"/>
  <c r="S190" i="9"/>
  <c r="E51" i="10"/>
  <c r="D51" i="10"/>
  <c r="E47" i="10"/>
  <c r="C47" i="10"/>
  <c r="D47" i="10"/>
  <c r="E43" i="10"/>
  <c r="D43" i="10"/>
  <c r="C43" i="10"/>
  <c r="L182" i="9"/>
  <c r="U190" i="9"/>
  <c r="S202" i="9"/>
  <c r="K186" i="9"/>
  <c r="B47" i="10"/>
  <c r="K181" i="9"/>
  <c r="S181" i="9"/>
  <c r="AA173" i="9"/>
  <c r="D173" i="9"/>
  <c r="AA165" i="9"/>
  <c r="S165" i="9"/>
  <c r="K153" i="9"/>
  <c r="S153" i="9"/>
  <c r="K145" i="9"/>
  <c r="S145" i="9"/>
  <c r="K141" i="9"/>
  <c r="AA141" i="9"/>
  <c r="D141" i="9"/>
  <c r="S141" i="9"/>
  <c r="K125" i="9"/>
  <c r="AA125" i="9"/>
  <c r="K93" i="9"/>
  <c r="S93" i="9"/>
  <c r="D85" i="9"/>
  <c r="AA85" i="9"/>
  <c r="AA81" i="9"/>
  <c r="K81" i="9"/>
  <c r="AA73" i="9"/>
  <c r="K73" i="9"/>
  <c r="B202" i="10"/>
  <c r="D202" i="10"/>
  <c r="B151" i="12"/>
  <c r="F151" i="12"/>
  <c r="B103" i="12"/>
  <c r="F103" i="12"/>
  <c r="B75" i="12"/>
  <c r="F75" i="12"/>
  <c r="C51" i="10"/>
  <c r="L202" i="9"/>
  <c r="C198" i="9"/>
  <c r="Y186" i="9"/>
  <c r="L190" i="9"/>
  <c r="S109" i="9"/>
  <c r="S77" i="9"/>
  <c r="S161" i="9"/>
  <c r="S105" i="9"/>
  <c r="S157" i="9"/>
  <c r="F183" i="12"/>
  <c r="F167" i="12"/>
  <c r="F195" i="12"/>
  <c r="F123" i="12"/>
  <c r="D73" i="9"/>
  <c r="D177" i="9"/>
  <c r="AA69" i="9"/>
  <c r="AA105" i="9"/>
  <c r="AA89" i="9"/>
  <c r="AA113" i="9"/>
  <c r="K85" i="9"/>
  <c r="K182" i="9"/>
  <c r="K165" i="9"/>
  <c r="K169" i="9"/>
  <c r="K193" i="9"/>
  <c r="B51" i="10"/>
  <c r="B119" i="12"/>
  <c r="D174" i="9"/>
  <c r="D154" i="9"/>
  <c r="AA150" i="9"/>
  <c r="AA134" i="9"/>
  <c r="K142" i="9"/>
  <c r="B84" i="10"/>
  <c r="B142" i="10"/>
  <c r="B160" i="12"/>
  <c r="D171" i="10"/>
  <c r="E6" i="10"/>
  <c r="E22" i="10"/>
  <c r="E65" i="10"/>
  <c r="C53" i="10"/>
  <c r="C10" i="10"/>
  <c r="E30" i="10"/>
  <c r="D77" i="10"/>
  <c r="D95" i="10"/>
  <c r="C127" i="10"/>
  <c r="B127" i="10"/>
  <c r="C78" i="10"/>
  <c r="E78" i="10"/>
  <c r="B78" i="10"/>
  <c r="E74" i="10"/>
  <c r="D74" i="10"/>
  <c r="C74" i="10"/>
  <c r="B74" i="10"/>
  <c r="C70" i="10"/>
  <c r="E70" i="10"/>
  <c r="B70" i="10"/>
  <c r="E66" i="10"/>
  <c r="D66" i="10"/>
  <c r="C66" i="10"/>
  <c r="B66" i="10"/>
  <c r="E39" i="10"/>
  <c r="C39" i="10"/>
  <c r="D39" i="10"/>
  <c r="E31" i="10"/>
  <c r="D31" i="10"/>
  <c r="E27" i="10"/>
  <c r="D27" i="10"/>
  <c r="C27" i="10"/>
  <c r="B27" i="10"/>
  <c r="B62" i="10"/>
  <c r="F55" i="13"/>
  <c r="F43" i="13"/>
  <c r="F35" i="13"/>
  <c r="B19" i="13"/>
  <c r="B11" i="13"/>
  <c r="B31" i="13"/>
  <c r="G7" i="13"/>
  <c r="G47" i="13"/>
  <c r="E139" i="10"/>
  <c r="G107" i="13"/>
  <c r="G99" i="13"/>
  <c r="G91" i="13"/>
  <c r="G83" i="13"/>
  <c r="G75" i="13"/>
  <c r="G67" i="13"/>
  <c r="G135" i="13"/>
  <c r="G119" i="13"/>
  <c r="F71" i="13"/>
  <c r="F115" i="13"/>
  <c r="B79" i="13"/>
  <c r="B191" i="13"/>
  <c r="B187" i="13"/>
  <c r="B183" i="13"/>
  <c r="B179" i="13"/>
  <c r="B175" i="13"/>
  <c r="B171" i="13"/>
  <c r="B167" i="13"/>
  <c r="B163" i="13"/>
  <c r="B159" i="13"/>
  <c r="B155" i="13"/>
  <c r="B151" i="13"/>
  <c r="D70" i="10"/>
  <c r="E119" i="10"/>
  <c r="D119" i="10"/>
  <c r="B119" i="10"/>
  <c r="C119" i="10"/>
  <c r="E58" i="10"/>
  <c r="D58" i="10"/>
  <c r="C58" i="10"/>
  <c r="B27" i="13"/>
  <c r="B59" i="13"/>
  <c r="B55" i="13"/>
  <c r="B43" i="13"/>
  <c r="F19" i="13"/>
  <c r="F11" i="13"/>
  <c r="E147" i="10"/>
  <c r="E155" i="10"/>
  <c r="E143" i="10"/>
  <c r="G147" i="13"/>
  <c r="G131" i="13"/>
  <c r="C139" i="10"/>
  <c r="F111" i="13"/>
  <c r="F103" i="13"/>
  <c r="B119" i="13"/>
  <c r="M24" i="9"/>
  <c r="G191" i="13"/>
  <c r="G187" i="13"/>
  <c r="G183" i="13"/>
  <c r="G179" i="13"/>
  <c r="G175" i="13"/>
  <c r="G171" i="13"/>
  <c r="G167" i="13"/>
  <c r="G163" i="13"/>
  <c r="G159" i="13"/>
  <c r="G155" i="13"/>
  <c r="G151" i="13"/>
  <c r="G103" i="13"/>
  <c r="G95" i="13"/>
  <c r="G87" i="13"/>
  <c r="G79" i="13"/>
  <c r="G71" i="13"/>
  <c r="G143" i="13"/>
  <c r="G127" i="13"/>
  <c r="C143" i="10"/>
  <c r="C151" i="10"/>
  <c r="F139" i="13"/>
  <c r="B67" i="13"/>
  <c r="D147" i="10"/>
  <c r="AA200" i="9"/>
  <c r="U200" i="9"/>
  <c r="L200" i="9"/>
  <c r="U192" i="9"/>
  <c r="L192" i="9"/>
  <c r="S188" i="9"/>
  <c r="U188" i="9"/>
  <c r="D184" i="9"/>
  <c r="U184" i="9"/>
  <c r="K184" i="9"/>
  <c r="L184" i="9"/>
  <c r="D180" i="9"/>
  <c r="L180" i="9"/>
  <c r="S180" i="9"/>
  <c r="D176" i="9"/>
  <c r="L176" i="9"/>
  <c r="U176" i="9"/>
  <c r="K172" i="9"/>
  <c r="L172" i="9"/>
  <c r="D164" i="9"/>
  <c r="S164" i="9"/>
  <c r="U164" i="9"/>
  <c r="L164" i="9"/>
  <c r="K160" i="9"/>
  <c r="L160" i="9"/>
  <c r="S160" i="9"/>
  <c r="L156" i="9"/>
  <c r="U156" i="9"/>
  <c r="L152" i="9"/>
  <c r="U152" i="9"/>
  <c r="U148" i="9"/>
  <c r="L148" i="9"/>
  <c r="S144" i="9"/>
  <c r="L144" i="9"/>
  <c r="D140" i="9"/>
  <c r="U140" i="9"/>
  <c r="L140" i="9"/>
  <c r="D132" i="9"/>
  <c r="L132" i="9"/>
  <c r="U132" i="9"/>
  <c r="S128" i="9"/>
  <c r="L128" i="9"/>
  <c r="D124" i="9"/>
  <c r="U124" i="9"/>
  <c r="L124" i="9"/>
  <c r="S120" i="9"/>
  <c r="K120" i="9"/>
  <c r="U116" i="9"/>
  <c r="L116" i="9"/>
  <c r="AA112" i="9"/>
  <c r="S112" i="9"/>
  <c r="K112" i="9"/>
  <c r="U112" i="9"/>
  <c r="L112" i="9"/>
  <c r="K108" i="9"/>
  <c r="D108" i="9"/>
  <c r="U108" i="9"/>
  <c r="AA108" i="9"/>
  <c r="K104" i="9"/>
  <c r="U104" i="9"/>
  <c r="L104" i="9"/>
  <c r="U100" i="9"/>
  <c r="K100" i="9"/>
  <c r="K96" i="9"/>
  <c r="S96" i="9"/>
  <c r="U96" i="9"/>
  <c r="L96" i="9"/>
  <c r="AA92" i="9"/>
  <c r="S92" i="9"/>
  <c r="U92" i="9"/>
  <c r="S88" i="9"/>
  <c r="U88" i="9"/>
  <c r="L88" i="9"/>
  <c r="S80" i="9"/>
  <c r="U80" i="9"/>
  <c r="K76" i="9"/>
  <c r="U76" i="9"/>
  <c r="U72" i="9"/>
  <c r="D72" i="9"/>
  <c r="L68" i="9"/>
  <c r="AA68" i="9"/>
  <c r="S68" i="9"/>
  <c r="U68" i="9"/>
  <c r="B161" i="10"/>
  <c r="D161" i="10"/>
  <c r="D157" i="10"/>
  <c r="B157" i="10"/>
  <c r="B198" i="12"/>
  <c r="F198" i="12"/>
  <c r="H198" i="12"/>
  <c r="B194" i="12"/>
  <c r="F194" i="12"/>
  <c r="H194" i="12"/>
  <c r="B190" i="12"/>
  <c r="F190" i="12"/>
  <c r="B186" i="12"/>
  <c r="F186" i="12"/>
  <c r="B170" i="12"/>
  <c r="F170" i="12"/>
  <c r="B166" i="12"/>
  <c r="F166" i="12"/>
  <c r="B158" i="12"/>
  <c r="F158" i="12"/>
  <c r="B154" i="12"/>
  <c r="F154" i="12"/>
  <c r="B146" i="12"/>
  <c r="F146" i="12"/>
  <c r="B138" i="12"/>
  <c r="F138" i="12"/>
  <c r="H138" i="12"/>
  <c r="B126" i="12"/>
  <c r="F126" i="12"/>
  <c r="B122" i="12"/>
  <c r="F122" i="12"/>
  <c r="H122" i="12"/>
  <c r="B106" i="12"/>
  <c r="F106" i="12"/>
  <c r="B98" i="12"/>
  <c r="F98" i="12"/>
  <c r="B94" i="12"/>
  <c r="F94" i="12"/>
  <c r="B82" i="12"/>
  <c r="F82" i="12"/>
  <c r="B70" i="12"/>
  <c r="F70" i="12"/>
  <c r="B66" i="12"/>
  <c r="F66" i="12"/>
  <c r="B26" i="12"/>
  <c r="H26" i="12"/>
  <c r="C192" i="14"/>
  <c r="D192" i="14"/>
  <c r="C31" i="10"/>
  <c r="D117" i="9"/>
  <c r="D157" i="9"/>
  <c r="AA77" i="9"/>
  <c r="B87" i="12"/>
  <c r="B155" i="12"/>
  <c r="D198" i="10"/>
  <c r="D182" i="10"/>
  <c r="E42" i="10"/>
  <c r="D42" i="10"/>
  <c r="K202" i="9"/>
  <c r="D202" i="9"/>
  <c r="L178" i="9"/>
  <c r="D178" i="9"/>
  <c r="K138" i="9"/>
  <c r="D138" i="9"/>
  <c r="C52" i="10"/>
  <c r="E52" i="10"/>
  <c r="K197" i="9"/>
  <c r="AA197" i="9"/>
  <c r="K185" i="9"/>
  <c r="AA185" i="9"/>
  <c r="D185" i="9"/>
  <c r="U153" i="9"/>
  <c r="AA153" i="9"/>
  <c r="AA137" i="9"/>
  <c r="D137" i="9"/>
  <c r="D121" i="9"/>
  <c r="K121" i="9"/>
  <c r="AA121" i="9"/>
  <c r="AA97" i="9"/>
  <c r="D97" i="9"/>
  <c r="D162" i="10"/>
  <c r="B162" i="10"/>
  <c r="C6" i="10"/>
  <c r="E18" i="10"/>
  <c r="C22" i="10"/>
  <c r="C34" i="10"/>
  <c r="X5" i="9"/>
  <c r="I5" i="9"/>
  <c r="S5" i="9"/>
  <c r="L4" i="17"/>
  <c r="U5" i="9"/>
  <c r="L5" i="9"/>
  <c r="C5" i="9"/>
  <c r="N5" i="9"/>
  <c r="AB5" i="9"/>
  <c r="D5" i="9"/>
  <c r="Z5" i="9"/>
  <c r="H5" i="9"/>
  <c r="Q5" i="9"/>
  <c r="B5" i="9"/>
  <c r="AC5" i="9"/>
  <c r="D5" i="18"/>
  <c r="K4" i="17"/>
  <c r="O4" i="17"/>
  <c r="E5" i="9"/>
  <c r="Y5" i="9"/>
  <c r="N4" i="17"/>
  <c r="E4" i="17"/>
  <c r="M4" i="17"/>
  <c r="F4" i="17"/>
  <c r="J4" i="17"/>
  <c r="D111" i="10"/>
  <c r="C111" i="10"/>
  <c r="B111" i="10"/>
  <c r="B107" i="10"/>
  <c r="E107" i="10"/>
  <c r="C107" i="10"/>
  <c r="E104" i="10"/>
  <c r="B104" i="10"/>
  <c r="C96" i="10"/>
  <c r="E96" i="10"/>
  <c r="C88" i="10"/>
  <c r="D88" i="10"/>
  <c r="B88" i="10"/>
  <c r="C85" i="10"/>
  <c r="D85" i="10"/>
  <c r="B85" i="10"/>
  <c r="E85" i="10"/>
  <c r="E35" i="10"/>
  <c r="C35" i="10"/>
  <c r="D35" i="10"/>
  <c r="E23" i="10"/>
  <c r="D23" i="10"/>
  <c r="B23" i="10"/>
  <c r="E15" i="10"/>
  <c r="D15" i="10"/>
  <c r="C15" i="10"/>
  <c r="E11" i="10"/>
  <c r="D11" i="10"/>
  <c r="E7" i="10"/>
  <c r="B7" i="10"/>
  <c r="F75" i="13"/>
  <c r="F135" i="13"/>
  <c r="B87" i="13"/>
  <c r="B143" i="13"/>
  <c r="S104" i="9"/>
  <c r="S200" i="9"/>
  <c r="S172" i="9"/>
  <c r="F174" i="12"/>
  <c r="F142" i="12"/>
  <c r="F102" i="12"/>
  <c r="D112" i="9"/>
  <c r="D200" i="9"/>
  <c r="D160" i="9"/>
  <c r="B33" i="11"/>
  <c r="B29" i="11"/>
  <c r="C118" i="10"/>
  <c r="D118" i="10"/>
  <c r="E118" i="10"/>
  <c r="C114" i="10"/>
  <c r="E114" i="10"/>
  <c r="B114" i="10"/>
  <c r="D69" i="10"/>
  <c r="E69" i="10"/>
  <c r="E61" i="10"/>
  <c r="B61" i="10"/>
  <c r="C57" i="10"/>
  <c r="E57" i="10"/>
  <c r="B57" i="10"/>
  <c r="D54" i="10"/>
  <c r="C54" i="10"/>
  <c r="D41" i="10"/>
  <c r="B41" i="10"/>
  <c r="E41" i="10"/>
  <c r="C38" i="10"/>
  <c r="D38" i="10"/>
  <c r="E26" i="10"/>
  <c r="D26" i="10"/>
  <c r="F83" i="13"/>
  <c r="F147" i="13"/>
  <c r="F131" i="13"/>
  <c r="B107" i="13"/>
  <c r="B95" i="13"/>
  <c r="D196" i="9"/>
  <c r="AA196" i="9"/>
  <c r="D192" i="9"/>
  <c r="S192" i="9"/>
  <c r="K188" i="9"/>
  <c r="D188" i="9"/>
  <c r="AA184" i="9"/>
  <c r="S184" i="9"/>
  <c r="AA180" i="9"/>
  <c r="K180" i="9"/>
  <c r="K176" i="9"/>
  <c r="S176" i="9"/>
  <c r="K168" i="9"/>
  <c r="S168" i="9"/>
  <c r="D168" i="9"/>
  <c r="K156" i="9"/>
  <c r="AA156" i="9"/>
  <c r="K152" i="9"/>
  <c r="D152" i="9"/>
  <c r="S152" i="9"/>
  <c r="K148" i="9"/>
  <c r="S148" i="9"/>
  <c r="K144" i="9"/>
  <c r="D144" i="9"/>
  <c r="K140" i="9"/>
  <c r="S140" i="9"/>
  <c r="AA136" i="9"/>
  <c r="K136" i="9"/>
  <c r="D136" i="9"/>
  <c r="K132" i="9"/>
  <c r="S132" i="9"/>
  <c r="K128" i="9"/>
  <c r="D128" i="9"/>
  <c r="K124" i="9"/>
  <c r="S124" i="9"/>
  <c r="AA120" i="9"/>
  <c r="D120" i="9"/>
  <c r="K116" i="9"/>
  <c r="AA116" i="9"/>
  <c r="D116" i="9"/>
  <c r="S116" i="9"/>
  <c r="AA100" i="9"/>
  <c r="D100" i="9"/>
  <c r="S100" i="9"/>
  <c r="K88" i="9"/>
  <c r="AA88" i="9"/>
  <c r="D88" i="9"/>
  <c r="AA84" i="9"/>
  <c r="S84" i="9"/>
  <c r="K84" i="9"/>
  <c r="D84" i="9"/>
  <c r="AA80" i="9"/>
  <c r="K80" i="9"/>
  <c r="AA76" i="9"/>
  <c r="D76" i="9"/>
  <c r="S76" i="9"/>
  <c r="K72" i="9"/>
  <c r="AA72" i="9"/>
  <c r="K68" i="9"/>
  <c r="D68" i="9"/>
  <c r="C56" i="9"/>
  <c r="H56" i="9"/>
  <c r="D201" i="10"/>
  <c r="B201" i="10"/>
  <c r="B181" i="10"/>
  <c r="D181" i="10"/>
  <c r="D165" i="10"/>
  <c r="B165" i="10"/>
  <c r="B202" i="12"/>
  <c r="F202" i="12"/>
  <c r="B182" i="12"/>
  <c r="F182" i="12"/>
  <c r="B178" i="12"/>
  <c r="F178" i="12"/>
  <c r="B162" i="12"/>
  <c r="F162" i="12"/>
  <c r="B150" i="12"/>
  <c r="F150" i="12"/>
  <c r="B134" i="12"/>
  <c r="F134" i="12"/>
  <c r="B130" i="12"/>
  <c r="F130" i="12"/>
  <c r="B118" i="12"/>
  <c r="F118" i="12"/>
  <c r="B114" i="12"/>
  <c r="F114" i="12"/>
  <c r="B110" i="12"/>
  <c r="F110" i="12"/>
  <c r="B86" i="12"/>
  <c r="F86" i="12"/>
  <c r="B78" i="12"/>
  <c r="F78" i="12"/>
  <c r="F74" i="12"/>
  <c r="B74" i="12"/>
  <c r="D153" i="10"/>
  <c r="B153" i="10"/>
  <c r="D141" i="10"/>
  <c r="B141" i="10"/>
  <c r="D137" i="10"/>
  <c r="B137" i="10"/>
  <c r="D125" i="10"/>
  <c r="B125" i="10"/>
  <c r="E76" i="10"/>
  <c r="B76" i="10"/>
  <c r="D76" i="10"/>
  <c r="C76" i="10"/>
  <c r="C29" i="10"/>
  <c r="E29" i="10"/>
  <c r="F91" i="13"/>
  <c r="D92" i="9"/>
  <c r="D80" i="9"/>
  <c r="D96" i="9"/>
  <c r="D104" i="9"/>
  <c r="AA104" i="9"/>
  <c r="AA192" i="9"/>
  <c r="AA96" i="9"/>
  <c r="K92" i="9"/>
  <c r="B90" i="12"/>
  <c r="D107" i="10"/>
  <c r="C23" i="10"/>
  <c r="E88" i="10"/>
  <c r="D79" i="10"/>
  <c r="E79" i="10"/>
  <c r="C79" i="10"/>
  <c r="D32" i="10"/>
  <c r="E32" i="10"/>
  <c r="C32" i="10"/>
  <c r="AA186" i="9"/>
  <c r="AA178" i="9"/>
  <c r="K190" i="9"/>
  <c r="K174" i="9"/>
  <c r="B176" i="12"/>
  <c r="B148" i="12"/>
  <c r="B187" i="10"/>
  <c r="K126" i="9"/>
  <c r="L126" i="9"/>
  <c r="L142" i="9"/>
  <c r="L198" i="9"/>
  <c r="L194" i="9"/>
  <c r="U186" i="9"/>
  <c r="U158" i="9"/>
  <c r="U134" i="9"/>
  <c r="U178" i="9"/>
  <c r="U130" i="9"/>
  <c r="U126" i="9"/>
  <c r="L193" i="17"/>
  <c r="L177" i="17"/>
  <c r="L161" i="17"/>
  <c r="L145" i="17"/>
  <c r="L129" i="17"/>
  <c r="D201" i="17"/>
  <c r="D185" i="17"/>
  <c r="D169" i="17"/>
  <c r="D153" i="17"/>
  <c r="D137" i="17"/>
  <c r="D121" i="17"/>
  <c r="S162" i="9"/>
  <c r="S178" i="9"/>
  <c r="S194" i="9"/>
  <c r="S130" i="9"/>
  <c r="F156" i="12"/>
  <c r="F180" i="12"/>
  <c r="F168" i="12"/>
  <c r="F200" i="12"/>
  <c r="F144" i="12"/>
  <c r="F128" i="12"/>
  <c r="D142" i="9"/>
  <c r="D158" i="9"/>
  <c r="D198" i="9"/>
  <c r="D150" i="9"/>
  <c r="D170" i="9"/>
  <c r="D146" i="9"/>
  <c r="D190" i="9"/>
  <c r="D182" i="9"/>
  <c r="AA198" i="9"/>
  <c r="AA154" i="9"/>
  <c r="AA182" i="9"/>
  <c r="AA174" i="9"/>
  <c r="AA194" i="9"/>
  <c r="AA202" i="9"/>
  <c r="AA122" i="9"/>
  <c r="AA138" i="9"/>
  <c r="K198" i="9"/>
  <c r="K170" i="9"/>
  <c r="K150" i="9"/>
  <c r="D195" i="10"/>
  <c r="B175" i="10"/>
  <c r="B196" i="12"/>
  <c r="B192" i="12"/>
  <c r="B132" i="12"/>
  <c r="L130" i="9"/>
  <c r="L174" i="9"/>
  <c r="L186" i="9"/>
  <c r="L146" i="9"/>
  <c r="L170" i="9"/>
  <c r="L162" i="9"/>
  <c r="U182" i="9"/>
  <c r="U202" i="9"/>
  <c r="U198" i="9"/>
  <c r="U166" i="9"/>
  <c r="U142" i="9"/>
  <c r="U162" i="9"/>
  <c r="U146" i="9"/>
  <c r="S166" i="9"/>
  <c r="S134" i="9"/>
  <c r="S146" i="9"/>
  <c r="F152" i="12"/>
  <c r="F164" i="12"/>
  <c r="D130" i="9"/>
  <c r="D162" i="9"/>
  <c r="D166" i="9"/>
  <c r="AA158" i="9"/>
  <c r="AA170" i="9"/>
  <c r="K122" i="9"/>
  <c r="K146" i="9"/>
  <c r="B167" i="10"/>
  <c r="D183" i="10"/>
  <c r="D199" i="10"/>
  <c r="B139" i="10"/>
  <c r="B155" i="10"/>
  <c r="B136" i="12"/>
  <c r="B179" i="10"/>
  <c r="B163" i="10"/>
  <c r="L134" i="9"/>
  <c r="L158" i="9"/>
  <c r="U138" i="9"/>
  <c r="U122" i="9"/>
  <c r="S186" i="9"/>
  <c r="S138" i="9"/>
  <c r="F120" i="12"/>
  <c r="AA166" i="9"/>
  <c r="AA130" i="9"/>
  <c r="D151" i="10"/>
  <c r="B143" i="10"/>
  <c r="B131" i="10"/>
  <c r="D130" i="10"/>
  <c r="D172" i="9"/>
  <c r="D156" i="9"/>
  <c r="AA160" i="9"/>
  <c r="AA188" i="9"/>
  <c r="AA132" i="9"/>
  <c r="B189" i="10"/>
  <c r="D197" i="10"/>
  <c r="D193" i="10"/>
  <c r="D185" i="10"/>
  <c r="B177" i="10"/>
  <c r="B173" i="10"/>
  <c r="D169" i="10"/>
  <c r="B145" i="10"/>
  <c r="B133" i="10"/>
  <c r="B121" i="10"/>
  <c r="AA164" i="9"/>
  <c r="AA168" i="9"/>
  <c r="AA172" i="9"/>
  <c r="AA176" i="9"/>
  <c r="K200" i="9"/>
  <c r="K164" i="9"/>
  <c r="K192" i="9"/>
  <c r="K196" i="9"/>
  <c r="D149" i="10"/>
  <c r="D128" i="10"/>
  <c r="D148" i="9"/>
  <c r="AA152" i="9"/>
  <c r="AA140" i="9"/>
  <c r="AA124" i="9"/>
  <c r="D124" i="10"/>
  <c r="AG201" i="8"/>
  <c r="EZ170" i="8"/>
  <c r="AH198" i="8"/>
  <c r="AH201" i="8"/>
  <c r="CX170" i="8"/>
  <c r="ES201" i="8"/>
  <c r="U9" i="8"/>
  <c r="U14" i="8"/>
  <c r="AG174" i="8"/>
  <c r="AG158" i="8"/>
  <c r="AG142" i="8"/>
  <c r="AG154" i="8"/>
  <c r="CU162" i="8"/>
  <c r="EQ201" i="8"/>
  <c r="EQ146" i="8"/>
  <c r="EZ190" i="8"/>
  <c r="ER201" i="8"/>
  <c r="U23" i="8"/>
  <c r="C197" i="8"/>
  <c r="U57" i="8"/>
  <c r="AG186" i="8"/>
  <c r="AG190" i="8"/>
  <c r="AG178" i="8"/>
  <c r="CU166" i="8"/>
  <c r="CU186" i="8"/>
  <c r="CU198" i="8"/>
  <c r="CU138" i="8"/>
  <c r="CU178" i="8"/>
  <c r="EQ174" i="8"/>
  <c r="EZ174" i="8"/>
  <c r="EZ194" i="8"/>
  <c r="EZ150" i="8"/>
  <c r="AH170" i="8"/>
  <c r="BW178" i="8"/>
  <c r="CV31" i="8"/>
  <c r="BA181" i="8"/>
  <c r="EQ6" i="8"/>
  <c r="AH174" i="8"/>
  <c r="BW201" i="8"/>
  <c r="CX201" i="8"/>
  <c r="Z201" i="8"/>
  <c r="AY201" i="8"/>
  <c r="EP182" i="8"/>
  <c r="EX201" i="8"/>
  <c r="CV63" i="8"/>
  <c r="CV40" i="8"/>
  <c r="CV27" i="8"/>
  <c r="CV7" i="8"/>
  <c r="AH182" i="8"/>
  <c r="ER194" i="8"/>
  <c r="AX201" i="8"/>
  <c r="CJ201" i="8"/>
  <c r="EP201" i="8"/>
  <c r="CV51" i="8"/>
  <c r="EQ48" i="8"/>
  <c r="BK51" i="8"/>
  <c r="C104" i="8"/>
  <c r="BK201" i="8"/>
  <c r="CV201" i="8"/>
  <c r="EX162" i="8"/>
  <c r="BA70" i="8"/>
  <c r="BA46" i="8"/>
  <c r="BA34" i="8"/>
  <c r="EZ40" i="8"/>
  <c r="CU61" i="8"/>
  <c r="CU182" i="8"/>
  <c r="CU158" i="8"/>
  <c r="CU142" i="8"/>
  <c r="CU146" i="8"/>
  <c r="EQ166" i="8"/>
  <c r="EQ186" i="8"/>
  <c r="EQ200" i="8"/>
  <c r="EQ138" i="8"/>
  <c r="EQ194" i="8"/>
  <c r="EQ162" i="8"/>
  <c r="EZ186" i="8"/>
  <c r="EZ138" i="8"/>
  <c r="EZ182" i="8"/>
  <c r="EZ162" i="8"/>
  <c r="EZ142" i="8"/>
  <c r="AH166" i="8"/>
  <c r="AH158" i="8"/>
  <c r="BK182" i="8"/>
  <c r="U178" i="8"/>
  <c r="BW200" i="8"/>
  <c r="BW170" i="8"/>
  <c r="AY194" i="8"/>
  <c r="EP158" i="8"/>
  <c r="EX198" i="8"/>
  <c r="BA115" i="8"/>
  <c r="AG51" i="8"/>
  <c r="EQ27" i="8"/>
  <c r="C170" i="8"/>
  <c r="EZ53" i="8"/>
  <c r="EZ60" i="8"/>
  <c r="EQ30" i="8"/>
  <c r="BA10" i="8"/>
  <c r="AG200" i="8"/>
  <c r="CU194" i="8"/>
  <c r="CU200" i="8"/>
  <c r="CU170" i="8"/>
  <c r="EQ178" i="8"/>
  <c r="EQ182" i="8"/>
  <c r="EQ142" i="8"/>
  <c r="EQ154" i="8"/>
  <c r="EZ166" i="8"/>
  <c r="EZ158" i="8"/>
  <c r="EZ146" i="8"/>
  <c r="AH200" i="8"/>
  <c r="AH194" i="8"/>
  <c r="AH142" i="8"/>
  <c r="AH162" i="8"/>
  <c r="AH178" i="8"/>
  <c r="AH150" i="8"/>
  <c r="AH154" i="8"/>
  <c r="U182" i="8"/>
  <c r="U170" i="8"/>
  <c r="ES200" i="8"/>
  <c r="ES174" i="8"/>
  <c r="CJ158" i="8"/>
  <c r="EX178" i="8"/>
  <c r="EX174" i="8"/>
  <c r="BA72" i="8"/>
  <c r="BA7" i="8"/>
  <c r="EQ12" i="8"/>
  <c r="CU64" i="8"/>
  <c r="CU22" i="8"/>
  <c r="CU9" i="8"/>
  <c r="CU41" i="8"/>
  <c r="EQ65" i="8"/>
  <c r="CU190" i="8"/>
  <c r="CU174" i="8"/>
  <c r="CU150" i="8"/>
  <c r="CU154" i="8"/>
  <c r="EQ198" i="8"/>
  <c r="EQ170" i="8"/>
  <c r="EQ158" i="8"/>
  <c r="EZ198" i="8"/>
  <c r="EZ200" i="8"/>
  <c r="EZ178" i="8"/>
  <c r="AH186" i="8"/>
  <c r="AX182" i="8"/>
  <c r="Z182" i="8"/>
  <c r="Z186" i="8"/>
  <c r="EP178" i="8"/>
  <c r="EQ63" i="8"/>
  <c r="FN198" i="8"/>
  <c r="BK114" i="8"/>
  <c r="EQ42" i="8"/>
  <c r="EQ26" i="8"/>
  <c r="AH190" i="8"/>
  <c r="AH146" i="8"/>
  <c r="BK194" i="8"/>
  <c r="BK200" i="8"/>
  <c r="BK186" i="8"/>
  <c r="BK178" i="8"/>
  <c r="CV198" i="8"/>
  <c r="CV182" i="8"/>
  <c r="CV178" i="8"/>
  <c r="CV146" i="8"/>
  <c r="ER200" i="8"/>
  <c r="ER178" i="8"/>
  <c r="ER182" i="8"/>
  <c r="ER174" i="8"/>
  <c r="ER146" i="8"/>
  <c r="U200" i="8"/>
  <c r="AX170" i="8"/>
  <c r="AX178" i="8"/>
  <c r="AX158" i="8"/>
  <c r="BW162" i="8"/>
  <c r="BW174" i="8"/>
  <c r="CX142" i="8"/>
  <c r="ES186" i="8"/>
  <c r="Z162" i="8"/>
  <c r="AY182" i="8"/>
  <c r="CJ138" i="8"/>
  <c r="EX182" i="8"/>
  <c r="EQ58" i="8"/>
  <c r="EQ60" i="8"/>
  <c r="EQ41" i="8"/>
  <c r="EQ11" i="8"/>
  <c r="AH48" i="8"/>
  <c r="AH31" i="8"/>
  <c r="AH11" i="8"/>
  <c r="FN200" i="8"/>
  <c r="FN178" i="8"/>
  <c r="BK198" i="8"/>
  <c r="BK142" i="8"/>
  <c r="CV200" i="8"/>
  <c r="CV166" i="8"/>
  <c r="CV170" i="8"/>
  <c r="CV174" i="8"/>
  <c r="ER166" i="8"/>
  <c r="ER170" i="8"/>
  <c r="U174" i="8"/>
  <c r="AX200" i="8"/>
  <c r="AX174" i="8"/>
  <c r="CX186" i="8"/>
  <c r="CX174" i="8"/>
  <c r="ES170" i="8"/>
  <c r="ES178" i="8"/>
  <c r="Z200" i="8"/>
  <c r="Z178" i="8"/>
  <c r="AY200" i="8"/>
  <c r="AY178" i="8"/>
  <c r="CJ182" i="8"/>
  <c r="CJ170" i="8"/>
  <c r="EP200" i="8"/>
  <c r="EP170" i="8"/>
  <c r="EX154" i="8"/>
  <c r="EQ55" i="8"/>
  <c r="EQ35" i="8"/>
  <c r="AH64" i="8"/>
  <c r="AH51" i="8"/>
  <c r="AH27" i="8"/>
  <c r="AH99" i="8"/>
  <c r="FN186" i="8"/>
  <c r="FN174" i="8"/>
  <c r="C94" i="8"/>
  <c r="AZ18" i="8"/>
  <c r="AZ58" i="8"/>
  <c r="C178" i="8"/>
  <c r="C130" i="8"/>
  <c r="BK166" i="8"/>
  <c r="BK190" i="8"/>
  <c r="BK170" i="8"/>
  <c r="BK174" i="8"/>
  <c r="CV186" i="8"/>
  <c r="CV190" i="8"/>
  <c r="CV162" i="8"/>
  <c r="CV158" i="8"/>
  <c r="ER186" i="8"/>
  <c r="U186" i="8"/>
  <c r="AX186" i="8"/>
  <c r="AX154" i="8"/>
  <c r="BW182" i="8"/>
  <c r="BW186" i="8"/>
  <c r="BW146" i="8"/>
  <c r="CX182" i="8"/>
  <c r="CX178" i="8"/>
  <c r="ES182" i="8"/>
  <c r="ES158" i="8"/>
  <c r="Z174" i="8"/>
  <c r="Z170" i="8"/>
  <c r="Z158" i="8"/>
  <c r="AY186" i="8"/>
  <c r="AY174" i="8"/>
  <c r="AY170" i="8"/>
  <c r="CJ178" i="8"/>
  <c r="CJ186" i="8"/>
  <c r="CJ174" i="8"/>
  <c r="EP190" i="8"/>
  <c r="EP186" i="8"/>
  <c r="EP174" i="8"/>
  <c r="EX186" i="8"/>
  <c r="EX170" i="8"/>
  <c r="EQ64" i="8"/>
  <c r="EQ51" i="8"/>
  <c r="EQ31" i="8"/>
  <c r="AH63" i="8"/>
  <c r="AH43" i="8"/>
  <c r="EZ52" i="8"/>
  <c r="C186" i="8"/>
  <c r="C174" i="8"/>
  <c r="ET46" i="8"/>
  <c r="CV138" i="8"/>
  <c r="CV169" i="8"/>
  <c r="CV142" i="8"/>
  <c r="ER138" i="8"/>
  <c r="ER181" i="8"/>
  <c r="U193" i="8"/>
  <c r="U162" i="8"/>
  <c r="AX169" i="8"/>
  <c r="AX146" i="8"/>
  <c r="AX142" i="8"/>
  <c r="BW173" i="8"/>
  <c r="BW193" i="8"/>
  <c r="BW197" i="8"/>
  <c r="CX166" i="8"/>
  <c r="CX189" i="8"/>
  <c r="CX162" i="8"/>
  <c r="CX197" i="8"/>
  <c r="CX146" i="8"/>
  <c r="ES177" i="8"/>
  <c r="ES197" i="8"/>
  <c r="ES193" i="8"/>
  <c r="ES150" i="8"/>
  <c r="Z166" i="8"/>
  <c r="Z197" i="8"/>
  <c r="Z193" i="8"/>
  <c r="Z146" i="8"/>
  <c r="Z154" i="8"/>
  <c r="AY166" i="8"/>
  <c r="AY169" i="8"/>
  <c r="AY162" i="8"/>
  <c r="AY158" i="8"/>
  <c r="CJ197" i="8"/>
  <c r="CJ169" i="8"/>
  <c r="EP193" i="8"/>
  <c r="EP185" i="8"/>
  <c r="EX185" i="8"/>
  <c r="EX189" i="8"/>
  <c r="EX173" i="8"/>
  <c r="EX142" i="8"/>
  <c r="BA58" i="8"/>
  <c r="BA84" i="8"/>
  <c r="AG35" i="8"/>
  <c r="EZ130" i="8"/>
  <c r="FN138" i="8"/>
  <c r="FN169" i="8"/>
  <c r="C18" i="8"/>
  <c r="ET111" i="8"/>
  <c r="ET96" i="8"/>
  <c r="ET81" i="8"/>
  <c r="C142" i="8"/>
  <c r="C126" i="8"/>
  <c r="BA109" i="8"/>
  <c r="ET61" i="8"/>
  <c r="BA57" i="8"/>
  <c r="BA49" i="8"/>
  <c r="BA45" i="8"/>
  <c r="AH37" i="8"/>
  <c r="CJ33" i="8"/>
  <c r="CV25" i="8"/>
  <c r="AH17" i="8"/>
  <c r="CV13" i="8"/>
  <c r="AG5" i="8"/>
  <c r="ER189" i="8"/>
  <c r="ER162" i="8"/>
  <c r="ER169" i="8"/>
  <c r="U154" i="8"/>
  <c r="U158" i="8"/>
  <c r="AX173" i="8"/>
  <c r="AX166" i="8"/>
  <c r="BW177" i="8"/>
  <c r="BW185" i="8"/>
  <c r="BW158" i="8"/>
  <c r="CX169" i="8"/>
  <c r="CX193" i="8"/>
  <c r="ES166" i="8"/>
  <c r="ES185" i="8"/>
  <c r="ES169" i="8"/>
  <c r="ES162" i="8"/>
  <c r="ES146" i="8"/>
  <c r="ES142" i="8"/>
  <c r="Z185" i="8"/>
  <c r="Z181" i="8"/>
  <c r="Z169" i="8"/>
  <c r="AY197" i="8"/>
  <c r="AY173" i="8"/>
  <c r="AY185" i="8"/>
  <c r="AY154" i="8"/>
  <c r="AY146" i="8"/>
  <c r="CJ166" i="8"/>
  <c r="CJ181" i="8"/>
  <c r="CJ146" i="8"/>
  <c r="CJ162" i="8"/>
  <c r="EP197" i="8"/>
  <c r="EP138" i="8"/>
  <c r="EP189" i="8"/>
  <c r="EP169" i="8"/>
  <c r="EP146" i="8"/>
  <c r="EP142" i="8"/>
  <c r="EX197" i="8"/>
  <c r="EX169" i="8"/>
  <c r="BA63" i="8"/>
  <c r="BA35" i="8"/>
  <c r="BA96" i="8"/>
  <c r="AG19" i="8"/>
  <c r="AH126" i="8"/>
  <c r="CV10" i="8"/>
  <c r="FN166" i="8"/>
  <c r="FN185" i="8"/>
  <c r="FN177" i="8"/>
  <c r="FN146" i="8"/>
  <c r="C38" i="8"/>
  <c r="AZ10" i="8"/>
  <c r="C189" i="8"/>
  <c r="C166" i="8"/>
  <c r="C138" i="8"/>
  <c r="BA197" i="8"/>
  <c r="BA173" i="8"/>
  <c r="BK185" i="8"/>
  <c r="BK181" i="8"/>
  <c r="BK193" i="8"/>
  <c r="BK158" i="8"/>
  <c r="BK169" i="8"/>
  <c r="BK162" i="8"/>
  <c r="BK146" i="8"/>
  <c r="CV197" i="8"/>
  <c r="CV150" i="8"/>
  <c r="CV177" i="8"/>
  <c r="CV173" i="8"/>
  <c r="ER197" i="8"/>
  <c r="ER185" i="8"/>
  <c r="ER142" i="8"/>
  <c r="ER158" i="8"/>
  <c r="U166" i="8"/>
  <c r="U189" i="8"/>
  <c r="U185" i="8"/>
  <c r="U146" i="8"/>
  <c r="U142" i="8"/>
  <c r="AX177" i="8"/>
  <c r="AX185" i="8"/>
  <c r="AX197" i="8"/>
  <c r="AX193" i="8"/>
  <c r="AX162" i="8"/>
  <c r="BW181" i="8"/>
  <c r="BW166" i="8"/>
  <c r="BW154" i="8"/>
  <c r="BW142" i="8"/>
  <c r="CX173" i="8"/>
  <c r="CX185" i="8"/>
  <c r="CX138" i="8"/>
  <c r="CX158" i="8"/>
  <c r="ES138" i="8"/>
  <c r="Z173" i="8"/>
  <c r="Z142" i="8"/>
  <c r="AY193" i="8"/>
  <c r="AY189" i="8"/>
  <c r="AY181" i="8"/>
  <c r="AY177" i="8"/>
  <c r="AY142" i="8"/>
  <c r="CJ193" i="8"/>
  <c r="CJ189" i="8"/>
  <c r="CJ177" i="8"/>
  <c r="CJ142" i="8"/>
  <c r="EP166" i="8"/>
  <c r="EP181" i="8"/>
  <c r="EX138" i="8"/>
  <c r="EX181" i="8"/>
  <c r="EX146" i="8"/>
  <c r="EX166" i="8"/>
  <c r="BA103" i="8"/>
  <c r="BA83" i="8"/>
  <c r="BA52" i="8"/>
  <c r="AG11" i="8"/>
  <c r="BA31" i="8"/>
  <c r="FN189" i="8"/>
  <c r="C177" i="8"/>
  <c r="C146" i="8"/>
  <c r="C134" i="8"/>
  <c r="BA185" i="8"/>
  <c r="BA169" i="8"/>
  <c r="BA166" i="8"/>
  <c r="BA113" i="8"/>
  <c r="BA105" i="8"/>
  <c r="BA97" i="8"/>
  <c r="BA81" i="8"/>
  <c r="BW199" i="8"/>
  <c r="CX187" i="8"/>
  <c r="CX184" i="8"/>
  <c r="ES149" i="8"/>
  <c r="ES184" i="8"/>
  <c r="Z195" i="8"/>
  <c r="Z184" i="8"/>
  <c r="Z172" i="8"/>
  <c r="Z176" i="8"/>
  <c r="AY149" i="8"/>
  <c r="AY153" i="8"/>
  <c r="CJ172" i="8"/>
  <c r="CJ184" i="8"/>
  <c r="CJ176" i="8"/>
  <c r="CJ157" i="8"/>
  <c r="CJ149" i="8"/>
  <c r="EP199" i="8"/>
  <c r="EP180" i="8"/>
  <c r="EP168" i="8"/>
  <c r="EP149" i="8"/>
  <c r="EX202" i="8"/>
  <c r="EX187" i="8"/>
  <c r="EX161" i="8"/>
  <c r="BA74" i="8"/>
  <c r="BA71" i="8"/>
  <c r="BA111" i="8"/>
  <c r="BA78" i="8"/>
  <c r="BA50" i="8"/>
  <c r="BA51" i="8"/>
  <c r="BA91" i="8"/>
  <c r="BA86" i="8"/>
  <c r="BA64" i="8"/>
  <c r="BA37" i="8"/>
  <c r="BA60" i="8"/>
  <c r="BA68" i="8"/>
  <c r="CV44" i="8"/>
  <c r="CV35" i="8"/>
  <c r="CV19" i="8"/>
  <c r="AG64" i="8"/>
  <c r="AG15" i="8"/>
  <c r="AG48" i="8"/>
  <c r="AG31" i="8"/>
  <c r="BA19" i="8"/>
  <c r="EQ39" i="8"/>
  <c r="EQ15" i="8"/>
  <c r="EZ35" i="8"/>
  <c r="U64" i="8"/>
  <c r="EQ34" i="8"/>
  <c r="FN97" i="8"/>
  <c r="FN161" i="8"/>
  <c r="FN180" i="8"/>
  <c r="ET11" i="8"/>
  <c r="ET95" i="8"/>
  <c r="ET115" i="8"/>
  <c r="ET50" i="8"/>
  <c r="ET64" i="8"/>
  <c r="ET100" i="8"/>
  <c r="ET26" i="8"/>
  <c r="AZ109" i="8"/>
  <c r="ET58" i="8"/>
  <c r="C195" i="8"/>
  <c r="C188" i="8"/>
  <c r="C181" i="8"/>
  <c r="C176" i="8"/>
  <c r="C169" i="8"/>
  <c r="BA189" i="8"/>
  <c r="BA177" i="8"/>
  <c r="BA157" i="8"/>
  <c r="BA186" i="8"/>
  <c r="ET92" i="8"/>
  <c r="ES161" i="8"/>
  <c r="ES191" i="8"/>
  <c r="ES176" i="8"/>
  <c r="Z191" i="8"/>
  <c r="Z199" i="8"/>
  <c r="Z168" i="8"/>
  <c r="AY195" i="8"/>
  <c r="AY199" i="8"/>
  <c r="AY191" i="8"/>
  <c r="AY184" i="8"/>
  <c r="AY168" i="8"/>
  <c r="CJ195" i="8"/>
  <c r="CJ180" i="8"/>
  <c r="CJ168" i="8"/>
  <c r="CJ153" i="8"/>
  <c r="CJ141" i="8"/>
  <c r="EP195" i="8"/>
  <c r="EP161" i="8"/>
  <c r="EP153" i="8"/>
  <c r="EX199" i="8"/>
  <c r="EX180" i="8"/>
  <c r="EX157" i="8"/>
  <c r="EX149" i="8"/>
  <c r="BA90" i="8"/>
  <c r="BA79" i="8"/>
  <c r="BA119" i="8"/>
  <c r="BA110" i="8"/>
  <c r="BA66" i="8"/>
  <c r="BA67" i="8"/>
  <c r="BA99" i="8"/>
  <c r="BA38" i="8"/>
  <c r="BA102" i="8"/>
  <c r="BA40" i="8"/>
  <c r="BA104" i="8"/>
  <c r="BA48" i="8"/>
  <c r="BA44" i="8"/>
  <c r="CV49" i="8"/>
  <c r="AG7" i="8"/>
  <c r="AG55" i="8"/>
  <c r="AG44" i="8"/>
  <c r="AG27" i="8"/>
  <c r="BA27" i="8"/>
  <c r="BA15" i="8"/>
  <c r="FN191" i="8"/>
  <c r="ET19" i="8"/>
  <c r="ET75" i="8"/>
  <c r="ET103" i="8"/>
  <c r="ET22" i="8"/>
  <c r="ET70" i="8"/>
  <c r="ET44" i="8"/>
  <c r="ET68" i="8"/>
  <c r="ET104" i="8"/>
  <c r="ET34" i="8"/>
  <c r="AZ37" i="8"/>
  <c r="ET10" i="8"/>
  <c r="C180" i="8"/>
  <c r="ET119" i="8"/>
  <c r="ET83" i="8"/>
  <c r="ET63" i="8"/>
  <c r="ET43" i="8"/>
  <c r="BW184" i="8"/>
  <c r="BW172" i="8"/>
  <c r="BW168" i="8"/>
  <c r="CX191" i="8"/>
  <c r="CX157" i="8"/>
  <c r="CX149" i="8"/>
  <c r="CX199" i="8"/>
  <c r="CX195" i="8"/>
  <c r="CX168" i="8"/>
  <c r="ES157" i="8"/>
  <c r="ES180" i="8"/>
  <c r="Z165" i="8"/>
  <c r="Z180" i="8"/>
  <c r="Z161" i="8"/>
  <c r="AY172" i="8"/>
  <c r="AY180" i="8"/>
  <c r="AY141" i="8"/>
  <c r="CJ165" i="8"/>
  <c r="CJ199" i="8"/>
  <c r="EP191" i="8"/>
  <c r="EP165" i="8"/>
  <c r="EP184" i="8"/>
  <c r="EP172" i="8"/>
  <c r="EP176" i="8"/>
  <c r="EX191" i="8"/>
  <c r="EX184" i="8"/>
  <c r="EX176" i="8"/>
  <c r="EX153" i="8"/>
  <c r="BA106" i="8"/>
  <c r="BA95" i="8"/>
  <c r="BA98" i="8"/>
  <c r="BA75" i="8"/>
  <c r="BA107" i="8"/>
  <c r="BA54" i="8"/>
  <c r="BA118" i="8"/>
  <c r="BA92" i="8"/>
  <c r="BA88" i="8"/>
  <c r="BA100" i="8"/>
  <c r="AG63" i="8"/>
  <c r="AG52" i="8"/>
  <c r="AG43" i="8"/>
  <c r="BA23" i="8"/>
  <c r="ET107" i="8"/>
  <c r="ET6" i="8"/>
  <c r="ET30" i="8"/>
  <c r="ET106" i="8"/>
  <c r="ET48" i="8"/>
  <c r="ET72" i="8"/>
  <c r="ET112" i="8"/>
  <c r="C191" i="8"/>
  <c r="C161" i="8"/>
  <c r="BA149" i="8"/>
  <c r="ET114" i="8"/>
  <c r="ET90" i="8"/>
  <c r="ET42" i="8"/>
  <c r="AZ161" i="8"/>
  <c r="EP48" i="8"/>
  <c r="EP59" i="8"/>
  <c r="EP39" i="8"/>
  <c r="AZ198" i="8"/>
  <c r="CJ198" i="8"/>
  <c r="AY198" i="8"/>
  <c r="Z198" i="8"/>
  <c r="AX198" i="8"/>
  <c r="EP198" i="8"/>
  <c r="CX198" i="8"/>
  <c r="U198" i="8"/>
  <c r="EX194" i="8"/>
  <c r="EP194" i="8"/>
  <c r="Z194" i="8"/>
  <c r="ES194" i="8"/>
  <c r="AX194" i="8"/>
  <c r="CJ194" i="8"/>
  <c r="U194" i="8"/>
  <c r="BW183" i="8"/>
  <c r="U183" i="8"/>
  <c r="AY183" i="8"/>
  <c r="ES183" i="8"/>
  <c r="EX183" i="8"/>
  <c r="CJ183" i="8"/>
  <c r="CX179" i="8"/>
  <c r="AX179" i="8"/>
  <c r="EP179" i="8"/>
  <c r="U179" i="8"/>
  <c r="Z175" i="8"/>
  <c r="BW175" i="8"/>
  <c r="EP175" i="8"/>
  <c r="CJ175" i="8"/>
  <c r="ES175" i="8"/>
  <c r="EX175" i="8"/>
  <c r="AY175" i="8"/>
  <c r="CX175" i="8"/>
  <c r="AX175" i="8"/>
  <c r="U175" i="8"/>
  <c r="AZ171" i="8"/>
  <c r="FN171" i="8"/>
  <c r="AY171" i="8"/>
  <c r="CX171" i="8"/>
  <c r="AX171" i="8"/>
  <c r="BA171" i="8"/>
  <c r="CJ171" i="8"/>
  <c r="U171" i="8"/>
  <c r="C171" i="8"/>
  <c r="EP171" i="8"/>
  <c r="Z171" i="8"/>
  <c r="BW171" i="8"/>
  <c r="ER171" i="8"/>
  <c r="AZ167" i="8"/>
  <c r="C167" i="8"/>
  <c r="AY167" i="8"/>
  <c r="Z167" i="8"/>
  <c r="BW167" i="8"/>
  <c r="FN167" i="8"/>
  <c r="EX167" i="8"/>
  <c r="ES167" i="8"/>
  <c r="CX167" i="8"/>
  <c r="AX167" i="8"/>
  <c r="ER167" i="8"/>
  <c r="AZ164" i="8"/>
  <c r="FN164" i="8"/>
  <c r="AY164" i="8"/>
  <c r="BW164" i="8"/>
  <c r="AX164" i="8"/>
  <c r="U164" i="8"/>
  <c r="EX164" i="8"/>
  <c r="BA164" i="8"/>
  <c r="CJ164" i="8"/>
  <c r="ES164" i="8"/>
  <c r="CX164" i="8"/>
  <c r="EP160" i="8"/>
  <c r="U160" i="8"/>
  <c r="C160" i="8"/>
  <c r="EX160" i="8"/>
  <c r="Z160" i="8"/>
  <c r="ES160" i="8"/>
  <c r="CX160" i="8"/>
  <c r="CJ160" i="8"/>
  <c r="AY160" i="8"/>
  <c r="AZ156" i="8"/>
  <c r="C156" i="8"/>
  <c r="ES156" i="8"/>
  <c r="CX156" i="8"/>
  <c r="BW156" i="8"/>
  <c r="U156" i="8"/>
  <c r="EX156" i="8"/>
  <c r="EP156" i="8"/>
  <c r="AY156" i="8"/>
  <c r="AX156" i="8"/>
  <c r="CJ156" i="8"/>
  <c r="Z156" i="8"/>
  <c r="ER156" i="8"/>
  <c r="AZ152" i="8"/>
  <c r="EX152" i="8"/>
  <c r="BW152" i="8"/>
  <c r="U152" i="8"/>
  <c r="BA152" i="8"/>
  <c r="FN152" i="8"/>
  <c r="CJ152" i="8"/>
  <c r="AY152" i="8"/>
  <c r="Z152" i="8"/>
  <c r="ES152" i="8"/>
  <c r="CX152" i="8"/>
  <c r="AX152" i="8"/>
  <c r="AZ148" i="8"/>
  <c r="BA148" i="8"/>
  <c r="CJ148" i="8"/>
  <c r="CX148" i="8"/>
  <c r="BW148" i="8"/>
  <c r="C148" i="8"/>
  <c r="EP148" i="8"/>
  <c r="AX148" i="8"/>
  <c r="U148" i="8"/>
  <c r="ET148" i="8"/>
  <c r="U190" i="8"/>
  <c r="AX183" i="8"/>
  <c r="BW198" i="8"/>
  <c r="CX194" i="8"/>
  <c r="ES198" i="8"/>
  <c r="Z148" i="8"/>
  <c r="AY148" i="8"/>
  <c r="EP183" i="8"/>
  <c r="EP164" i="8"/>
  <c r="EX179" i="8"/>
  <c r="EP5" i="8"/>
  <c r="U60" i="8"/>
  <c r="BA167" i="8"/>
  <c r="C152" i="8"/>
  <c r="BW194" i="8"/>
  <c r="BW160" i="8"/>
  <c r="CX183" i="8"/>
  <c r="ES148" i="8"/>
  <c r="Z183" i="8"/>
  <c r="EX171" i="8"/>
  <c r="EX148" i="8"/>
  <c r="EP13" i="8"/>
  <c r="U15" i="8"/>
  <c r="U35" i="8"/>
  <c r="U48" i="8"/>
  <c r="U7" i="8"/>
  <c r="U27" i="8"/>
  <c r="U51" i="8"/>
  <c r="U63" i="8"/>
  <c r="U19" i="8"/>
  <c r="U31" i="8"/>
  <c r="U44" i="8"/>
  <c r="ES179" i="8"/>
  <c r="AY179" i="8"/>
  <c r="CU89" i="8"/>
  <c r="CU23" i="8"/>
  <c r="CU60" i="8"/>
  <c r="CU52" i="8"/>
  <c r="FN156" i="8"/>
  <c r="AZ202" i="8"/>
  <c r="CJ202" i="8"/>
  <c r="FN202" i="8"/>
  <c r="AY202" i="8"/>
  <c r="CX202" i="8"/>
  <c r="BW202" i="8"/>
  <c r="C198" i="8"/>
  <c r="C164" i="8"/>
  <c r="ET145" i="8"/>
  <c r="C145" i="8"/>
  <c r="EX145" i="8"/>
  <c r="ES145" i="8"/>
  <c r="U145" i="8"/>
  <c r="FN145" i="8"/>
  <c r="EP145" i="8"/>
  <c r="CJ145" i="8"/>
  <c r="Z145" i="8"/>
  <c r="CX145" i="8"/>
  <c r="BW145" i="8"/>
  <c r="AY145" i="8"/>
  <c r="AX145" i="8"/>
  <c r="ET141" i="8"/>
  <c r="EP141" i="8"/>
  <c r="ES141" i="8"/>
  <c r="CX141" i="8"/>
  <c r="AX141" i="8"/>
  <c r="C141" i="8"/>
  <c r="FN141" i="8"/>
  <c r="EX141" i="8"/>
  <c r="Z141" i="8"/>
  <c r="U141" i="8"/>
  <c r="ET137" i="8"/>
  <c r="BW137" i="8"/>
  <c r="ET133" i="8"/>
  <c r="BA133" i="8"/>
  <c r="ET125" i="8"/>
  <c r="C125" i="8"/>
  <c r="EQ125" i="8"/>
  <c r="BA125" i="8"/>
  <c r="ET93" i="8"/>
  <c r="BA93" i="8"/>
  <c r="BA89" i="8"/>
  <c r="ET89" i="8"/>
  <c r="BA85" i="8"/>
  <c r="ET85" i="8"/>
  <c r="ET77" i="8"/>
  <c r="AZ77" i="8"/>
  <c r="CX77" i="8"/>
  <c r="BA77" i="8"/>
  <c r="ET73" i="8"/>
  <c r="FN73" i="8"/>
  <c r="BA73" i="8"/>
  <c r="AZ61" i="8"/>
  <c r="U61" i="8"/>
  <c r="CV61" i="8"/>
  <c r="BA61" i="8"/>
  <c r="CJ61" i="8"/>
  <c r="EQ57" i="8"/>
  <c r="CJ57" i="8"/>
  <c r="Z57" i="8"/>
  <c r="BA53" i="8"/>
  <c r="ET53" i="8"/>
  <c r="CV53" i="8"/>
  <c r="C53" i="8"/>
  <c r="AG53" i="8"/>
  <c r="Z53" i="8"/>
  <c r="EQ49" i="8"/>
  <c r="EP49" i="8"/>
  <c r="CU49" i="8"/>
  <c r="CJ45" i="8"/>
  <c r="ET45" i="8"/>
  <c r="AG41" i="8"/>
  <c r="BA41" i="8"/>
  <c r="CJ41" i="8"/>
  <c r="Z41" i="8"/>
  <c r="BA33" i="8"/>
  <c r="C33" i="8"/>
  <c r="CV33" i="8"/>
  <c r="AH29" i="8"/>
  <c r="CJ29" i="8"/>
  <c r="AG29" i="8"/>
  <c r="Z29" i="8"/>
  <c r="BA29" i="8"/>
  <c r="EP25" i="8"/>
  <c r="EQ25" i="8"/>
  <c r="CJ25" i="8"/>
  <c r="BA21" i="8"/>
  <c r="AG21" i="8"/>
  <c r="CV21" i="8"/>
  <c r="CJ21" i="8"/>
  <c r="EQ17" i="8"/>
  <c r="CV17" i="8"/>
  <c r="CJ17" i="8"/>
  <c r="AG9" i="8"/>
  <c r="CV9" i="8"/>
  <c r="AZ5" i="8"/>
  <c r="U5" i="8"/>
  <c r="CJ5" i="8"/>
  <c r="AH81" i="8"/>
  <c r="C72" i="8"/>
  <c r="BA146" i="8"/>
  <c r="AZ181" i="8"/>
  <c r="ET192" i="8"/>
  <c r="C116" i="8"/>
  <c r="ET116" i="8"/>
  <c r="AZ116" i="8"/>
  <c r="BA116" i="8"/>
  <c r="EQ118" i="8"/>
  <c r="EQ18" i="8"/>
  <c r="EQ46" i="8"/>
  <c r="AZ196" i="8"/>
  <c r="ET196" i="8"/>
  <c r="C196" i="8"/>
  <c r="FN196" i="8"/>
  <c r="AZ162" i="8"/>
  <c r="BA162" i="8"/>
  <c r="C162" i="8"/>
  <c r="FN162" i="8"/>
  <c r="AZ158" i="8"/>
  <c r="FN158" i="8"/>
  <c r="C158" i="8"/>
  <c r="ET131" i="8"/>
  <c r="EQ131" i="8"/>
  <c r="BA131" i="8"/>
  <c r="EQ127" i="8"/>
  <c r="C127" i="8"/>
  <c r="ET123" i="8"/>
  <c r="EQ123" i="8"/>
  <c r="AZ123" i="8"/>
  <c r="BA123" i="8"/>
  <c r="C123" i="8"/>
  <c r="ET71" i="8"/>
  <c r="C71" i="8"/>
  <c r="AZ71" i="8"/>
  <c r="ET67" i="8"/>
  <c r="C67" i="8"/>
  <c r="ET47" i="8"/>
  <c r="FN47" i="8"/>
  <c r="ET35" i="8"/>
  <c r="C35" i="8"/>
  <c r="EX35" i="8"/>
  <c r="FN35" i="8"/>
  <c r="AH35" i="8"/>
  <c r="ET31" i="8"/>
  <c r="AZ31" i="8"/>
  <c r="ET27" i="8"/>
  <c r="FN27" i="8"/>
  <c r="C27" i="8"/>
  <c r="AZ23" i="8"/>
  <c r="ET23" i="8"/>
  <c r="AZ19" i="8"/>
  <c r="C19" i="8"/>
  <c r="FN19" i="8"/>
  <c r="AH19" i="8"/>
  <c r="EQ19" i="8"/>
  <c r="C15" i="8"/>
  <c r="AZ15" i="8"/>
  <c r="ET15" i="8"/>
  <c r="AZ11" i="8"/>
  <c r="FN11" i="8"/>
  <c r="C11" i="8"/>
  <c r="EZ7" i="8"/>
  <c r="AH7" i="8"/>
  <c r="EQ7" i="8"/>
  <c r="AZ7" i="8"/>
  <c r="C7" i="8"/>
  <c r="ET7" i="8"/>
  <c r="C93" i="8"/>
  <c r="C118" i="8"/>
  <c r="C89" i="8"/>
  <c r="C46" i="8"/>
  <c r="C13" i="8"/>
  <c r="C22" i="8"/>
  <c r="C115" i="8"/>
  <c r="C75" i="8"/>
  <c r="C81" i="8"/>
  <c r="C50" i="8"/>
  <c r="C30" i="8"/>
  <c r="C6" i="8"/>
  <c r="C26" i="8"/>
  <c r="C107" i="8"/>
  <c r="C70" i="8"/>
  <c r="C54" i="8"/>
  <c r="C73" i="8"/>
  <c r="C14" i="8"/>
  <c r="C34" i="8"/>
  <c r="C25" i="8"/>
  <c r="C21" i="8"/>
  <c r="C91" i="8"/>
  <c r="AZ93" i="8"/>
  <c r="AZ73" i="8"/>
  <c r="AZ53" i="8"/>
  <c r="AZ29" i="8"/>
  <c r="AZ114" i="8"/>
  <c r="AZ46" i="8"/>
  <c r="AZ26" i="8"/>
  <c r="AZ104" i="8"/>
  <c r="AZ88" i="8"/>
  <c r="AZ68" i="8"/>
  <c r="AZ40" i="8"/>
  <c r="AZ50" i="8"/>
  <c r="AZ107" i="8"/>
  <c r="AZ91" i="8"/>
  <c r="AZ38" i="8"/>
  <c r="AZ81" i="8"/>
  <c r="AZ21" i="8"/>
  <c r="AZ48" i="8"/>
  <c r="AZ118" i="8"/>
  <c r="AZ22" i="8"/>
  <c r="AZ6" i="8"/>
  <c r="AZ115" i="8"/>
  <c r="AZ89" i="8"/>
  <c r="AZ13" i="8"/>
  <c r="AZ34" i="8"/>
  <c r="AZ14" i="8"/>
  <c r="AZ100" i="8"/>
  <c r="AZ72" i="8"/>
  <c r="AZ64" i="8"/>
  <c r="AZ70" i="8"/>
  <c r="AZ42" i="8"/>
  <c r="AZ83" i="8"/>
  <c r="EQ50" i="8"/>
  <c r="ER11" i="8"/>
  <c r="CV111" i="8"/>
  <c r="EQ93" i="8"/>
  <c r="BA200" i="8"/>
  <c r="C200" i="8"/>
  <c r="ET200" i="8"/>
  <c r="AZ199" i="8"/>
  <c r="BA199" i="8"/>
  <c r="FN199" i="8"/>
  <c r="AZ172" i="8"/>
  <c r="FN172" i="8"/>
  <c r="BA172" i="8"/>
  <c r="AZ168" i="8"/>
  <c r="BA168" i="8"/>
  <c r="C168" i="8"/>
  <c r="FN168" i="8"/>
  <c r="ET168" i="8"/>
  <c r="ET165" i="8"/>
  <c r="AZ165" i="8"/>
  <c r="C165" i="8"/>
  <c r="C102" i="8"/>
  <c r="AZ102" i="8"/>
  <c r="ET102" i="8"/>
  <c r="AZ86" i="8"/>
  <c r="ET86" i="8"/>
  <c r="C86" i="8"/>
  <c r="ET82" i="8"/>
  <c r="AZ82" i="8"/>
  <c r="C82" i="8"/>
  <c r="AZ78" i="8"/>
  <c r="C78" i="8"/>
  <c r="ET78" i="8"/>
  <c r="AZ74" i="8"/>
  <c r="C74" i="8"/>
  <c r="ET74" i="8"/>
  <c r="CV5" i="8"/>
  <c r="EQ9" i="8"/>
  <c r="EQ53" i="8"/>
  <c r="EQ44" i="8"/>
  <c r="EQ33" i="8"/>
  <c r="EQ23" i="8"/>
  <c r="EQ5" i="8"/>
  <c r="EQ38" i="8"/>
  <c r="BA196" i="8"/>
  <c r="BA165" i="8"/>
  <c r="AZ194" i="8"/>
  <c r="BA194" i="8"/>
  <c r="C194" i="8"/>
  <c r="FN194" i="8"/>
  <c r="AZ183" i="8"/>
  <c r="FN183" i="8"/>
  <c r="C183" i="8"/>
  <c r="AZ175" i="8"/>
  <c r="BA175" i="8"/>
  <c r="C175" i="8"/>
  <c r="FN175" i="8"/>
  <c r="C113" i="8"/>
  <c r="ET113" i="8"/>
  <c r="AZ113" i="8"/>
  <c r="ET109" i="8"/>
  <c r="C109" i="8"/>
  <c r="ET105" i="8"/>
  <c r="AZ105" i="8"/>
  <c r="C105" i="8"/>
  <c r="ET172" i="8"/>
  <c r="EP19" i="8"/>
  <c r="BW15" i="8"/>
  <c r="BA192" i="8"/>
  <c r="BA198" i="8"/>
  <c r="BA195" i="8"/>
  <c r="BA174" i="8"/>
  <c r="C112" i="8"/>
  <c r="AZ97" i="8"/>
  <c r="AZ197" i="8"/>
  <c r="AZ177" i="8"/>
  <c r="AZ149" i="8"/>
  <c r="ET188" i="8"/>
  <c r="BA202" i="8"/>
  <c r="C117" i="8"/>
  <c r="C100" i="8"/>
  <c r="C80" i="8"/>
  <c r="C61" i="8"/>
  <c r="EQ45" i="8"/>
  <c r="AZ189" i="8"/>
  <c r="AZ169" i="8"/>
  <c r="ET164" i="8"/>
  <c r="AH57" i="8"/>
  <c r="AH44" i="8"/>
  <c r="BA188" i="8"/>
  <c r="C68" i="8"/>
  <c r="C64" i="8"/>
  <c r="C60" i="8"/>
  <c r="C56" i="8"/>
  <c r="C48" i="8"/>
  <c r="C44" i="8"/>
  <c r="AZ185" i="8"/>
  <c r="ET180" i="8"/>
  <c r="ET156" i="8"/>
  <c r="AX61" i="8"/>
  <c r="AX23" i="8"/>
  <c r="AZ190" i="8"/>
  <c r="BA190" i="8"/>
  <c r="ET190" i="8"/>
  <c r="C190" i="8"/>
  <c r="BA179" i="8"/>
  <c r="FN179" i="8"/>
  <c r="AZ179" i="8"/>
  <c r="ET179" i="8"/>
  <c r="C179" i="8"/>
  <c r="AZ154" i="8"/>
  <c r="BA154" i="8"/>
  <c r="ET154" i="8"/>
  <c r="FN154" i="8"/>
  <c r="ET139" i="8"/>
  <c r="BA139" i="8"/>
  <c r="C59" i="8"/>
  <c r="U59" i="8"/>
  <c r="EZ59" i="8"/>
  <c r="EQ59" i="8"/>
  <c r="AZ59" i="8"/>
  <c r="FN59" i="8"/>
  <c r="AH59" i="8"/>
  <c r="ET55" i="8"/>
  <c r="FN55" i="8"/>
  <c r="AZ55" i="8"/>
  <c r="C55" i="8"/>
  <c r="AX55" i="8"/>
  <c r="AH55" i="8"/>
  <c r="BW75" i="8"/>
  <c r="EP27" i="8"/>
  <c r="EP41" i="8"/>
  <c r="EP23" i="8"/>
  <c r="EP14" i="8"/>
  <c r="EP51" i="8"/>
  <c r="EP40" i="8"/>
  <c r="EP64" i="8"/>
  <c r="CJ55" i="8"/>
  <c r="EP31" i="8"/>
  <c r="CU55" i="8"/>
  <c r="CU35" i="8"/>
  <c r="CU45" i="8"/>
  <c r="CU44" i="8"/>
  <c r="CU19" i="8"/>
  <c r="U55" i="8"/>
  <c r="EZ22" i="8"/>
  <c r="EZ23" i="8"/>
  <c r="EZ63" i="8"/>
  <c r="EZ11" i="8"/>
  <c r="EZ15" i="8"/>
  <c r="EZ48" i="8"/>
  <c r="EZ27" i="8"/>
  <c r="EZ31" i="8"/>
  <c r="EZ19" i="8"/>
  <c r="ET193" i="8"/>
  <c r="C193" i="8"/>
  <c r="BA193" i="8"/>
  <c r="FN193" i="8"/>
  <c r="AZ182" i="8"/>
  <c r="BA182" i="8"/>
  <c r="ET182" i="8"/>
  <c r="C182" i="8"/>
  <c r="ET157" i="8"/>
  <c r="C157" i="8"/>
  <c r="FN157" i="8"/>
  <c r="CJ62" i="8"/>
  <c r="ET62" i="8"/>
  <c r="AZ193" i="8"/>
  <c r="EQ190" i="8"/>
  <c r="EQ150" i="8"/>
  <c r="EZ179" i="8"/>
  <c r="EZ143" i="8"/>
  <c r="AH143" i="8"/>
  <c r="BK139" i="8"/>
  <c r="BK150" i="8"/>
  <c r="BK154" i="8"/>
  <c r="CV143" i="8"/>
  <c r="ER150" i="8"/>
  <c r="U150" i="8"/>
  <c r="AX143" i="8"/>
  <c r="AX190" i="8"/>
  <c r="AX150" i="8"/>
  <c r="BW150" i="8"/>
  <c r="CX143" i="8"/>
  <c r="CX190" i="8"/>
  <c r="CX154" i="8"/>
  <c r="ES190" i="8"/>
  <c r="Z190" i="8"/>
  <c r="Z179" i="8"/>
  <c r="AY190" i="8"/>
  <c r="AY150" i="8"/>
  <c r="CJ190" i="8"/>
  <c r="EP154" i="8"/>
  <c r="EP150" i="8"/>
  <c r="EX190" i="8"/>
  <c r="EX139" i="8"/>
  <c r="EX150" i="8"/>
  <c r="EP7" i="8"/>
  <c r="EP52" i="8"/>
  <c r="EP21" i="8"/>
  <c r="EP53" i="8"/>
  <c r="EP15" i="8"/>
  <c r="EP113" i="8"/>
  <c r="EP35" i="8"/>
  <c r="EP44" i="8"/>
  <c r="BA55" i="8"/>
  <c r="CV59" i="8"/>
  <c r="CU39" i="8"/>
  <c r="CU11" i="8"/>
  <c r="CU15" i="8"/>
  <c r="CU7" i="8"/>
  <c r="CU5" i="8"/>
  <c r="EZ47" i="8"/>
  <c r="ET201" i="8"/>
  <c r="C201" i="8"/>
  <c r="BA201" i="8"/>
  <c r="FN201" i="8"/>
  <c r="AZ170" i="8"/>
  <c r="BA170" i="8"/>
  <c r="ET170" i="8"/>
  <c r="C163" i="8"/>
  <c r="AZ163" i="8"/>
  <c r="ET163" i="8"/>
  <c r="BA160" i="8"/>
  <c r="FN160" i="8"/>
  <c r="AZ160" i="8"/>
  <c r="C96" i="8"/>
  <c r="AZ96" i="8"/>
  <c r="C88" i="8"/>
  <c r="ET88" i="8"/>
  <c r="C84" i="8"/>
  <c r="ET84" i="8"/>
  <c r="AZ84" i="8"/>
  <c r="BA65" i="8"/>
  <c r="AZ65" i="8"/>
  <c r="C65" i="8"/>
  <c r="C49" i="8"/>
  <c r="ET49" i="8"/>
  <c r="AZ49" i="8"/>
  <c r="U49" i="8"/>
  <c r="ET41" i="8"/>
  <c r="FN41" i="8"/>
  <c r="AZ41" i="8"/>
  <c r="C41" i="8"/>
  <c r="EZ41" i="8"/>
  <c r="C37" i="8"/>
  <c r="EZ37" i="8"/>
  <c r="EQ37" i="8"/>
  <c r="ET37" i="8"/>
  <c r="ET33" i="8"/>
  <c r="AZ33" i="8"/>
  <c r="C29" i="8"/>
  <c r="EQ29" i="8"/>
  <c r="ET29" i="8"/>
  <c r="ET25" i="8"/>
  <c r="AZ25" i="8"/>
  <c r="AG25" i="8"/>
  <c r="Z21" i="8"/>
  <c r="EQ21" i="8"/>
  <c r="ET21" i="8"/>
  <c r="ET17" i="8"/>
  <c r="EP17" i="8"/>
  <c r="AZ17" i="8"/>
  <c r="C17" i="8"/>
  <c r="FN13" i="8"/>
  <c r="ET13" i="8"/>
  <c r="ET9" i="8"/>
  <c r="C9" i="8"/>
  <c r="EZ9" i="8"/>
  <c r="AZ9" i="8"/>
  <c r="ET5" i="8"/>
  <c r="C5" i="8"/>
  <c r="AZ157" i="8"/>
  <c r="ET160" i="8"/>
  <c r="EZ154" i="8"/>
  <c r="BK179" i="8"/>
  <c r="CV154" i="8"/>
  <c r="ER190" i="8"/>
  <c r="ER154" i="8"/>
  <c r="BW179" i="8"/>
  <c r="CX150" i="8"/>
  <c r="ES154" i="8"/>
  <c r="Z150" i="8"/>
  <c r="CJ179" i="8"/>
  <c r="CJ150" i="8"/>
  <c r="EX143" i="8"/>
  <c r="Z59" i="8"/>
  <c r="EP63" i="8"/>
  <c r="EP11" i="8"/>
  <c r="EP55" i="8"/>
  <c r="EP9" i="8"/>
  <c r="EP106" i="8"/>
  <c r="BA59" i="8"/>
  <c r="CV55" i="8"/>
  <c r="AG59" i="8"/>
  <c r="CU63" i="8"/>
  <c r="CU59" i="8"/>
  <c r="CU31" i="8"/>
  <c r="CU56" i="8"/>
  <c r="CU27" i="8"/>
  <c r="EZ55" i="8"/>
  <c r="FN190" i="8"/>
  <c r="ET59" i="8"/>
  <c r="C154" i="8"/>
  <c r="BA187" i="8"/>
  <c r="FN187" i="8"/>
  <c r="AZ187" i="8"/>
  <c r="ET187" i="8"/>
  <c r="C187" i="8"/>
  <c r="BA184" i="8"/>
  <c r="FN184" i="8"/>
  <c r="AZ184" i="8"/>
  <c r="BA176" i="8"/>
  <c r="FN176" i="8"/>
  <c r="AZ176" i="8"/>
  <c r="ET173" i="8"/>
  <c r="C173" i="8"/>
  <c r="FN173" i="8"/>
  <c r="AZ136" i="8"/>
  <c r="BA136" i="8"/>
  <c r="C136" i="8"/>
  <c r="AZ124" i="8"/>
  <c r="C124" i="8"/>
  <c r="AZ120" i="8"/>
  <c r="C120" i="8"/>
  <c r="BA120" i="8"/>
  <c r="AZ110" i="8"/>
  <c r="C110" i="8"/>
  <c r="ET110" i="8"/>
  <c r="C106" i="8"/>
  <c r="AZ106" i="8"/>
  <c r="AZ103" i="8"/>
  <c r="C103" i="8"/>
  <c r="AZ99" i="8"/>
  <c r="ET99" i="8"/>
  <c r="C99" i="8"/>
  <c r="C52" i="8"/>
  <c r="ET52" i="8"/>
  <c r="U52" i="8"/>
  <c r="AH52" i="8"/>
  <c r="EQ52" i="8"/>
  <c r="AZ52" i="8"/>
  <c r="FN52" i="8"/>
  <c r="AZ201" i="8"/>
  <c r="BA183" i="8"/>
  <c r="BA178" i="8"/>
  <c r="BA138" i="8"/>
  <c r="BA87" i="8"/>
  <c r="C40" i="8"/>
  <c r="AZ200" i="8"/>
  <c r="AZ147" i="8"/>
  <c r="ET199" i="8"/>
  <c r="ET195" i="8"/>
  <c r="ET191" i="8"/>
  <c r="ET183" i="8"/>
  <c r="ET175" i="8"/>
  <c r="ET171" i="8"/>
  <c r="ET167" i="8"/>
  <c r="ET159" i="8"/>
  <c r="ET155" i="8"/>
  <c r="C202" i="8"/>
  <c r="BA191" i="8"/>
  <c r="BA158" i="8"/>
  <c r="ER43" i="8"/>
  <c r="AZ135" i="8"/>
  <c r="ET202" i="8"/>
  <c r="ET198" i="8"/>
  <c r="ET194" i="8"/>
  <c r="ET186" i="8"/>
  <c r="ET178" i="8"/>
  <c r="ET174" i="8"/>
  <c r="ET166" i="8"/>
  <c r="ET162" i="8"/>
  <c r="ET158" i="8"/>
  <c r="AZ133" i="8"/>
  <c r="ET152" i="8"/>
  <c r="ET132" i="8"/>
  <c r="E135" i="10"/>
  <c r="C143" i="8"/>
  <c r="C129" i="8"/>
  <c r="ET128" i="8"/>
  <c r="D134" i="10"/>
  <c r="E123" i="10"/>
  <c r="U121" i="9"/>
  <c r="L148" i="17"/>
  <c r="L132" i="17"/>
  <c r="S137" i="9"/>
  <c r="S125" i="9"/>
  <c r="D125" i="9"/>
  <c r="D145" i="9"/>
  <c r="D153" i="9"/>
  <c r="AA145" i="9"/>
  <c r="AA133" i="9"/>
  <c r="U129" i="8"/>
  <c r="BK122" i="8"/>
  <c r="FN142" i="8"/>
  <c r="C135" i="8"/>
  <c r="C150" i="8"/>
  <c r="C140" i="8"/>
  <c r="C133" i="8"/>
  <c r="C128" i="8"/>
  <c r="C122" i="8"/>
  <c r="BA144" i="8"/>
  <c r="BA132" i="8"/>
  <c r="BA130" i="8"/>
  <c r="AZ141" i="8"/>
  <c r="AZ131" i="8"/>
  <c r="ET144" i="8"/>
  <c r="ET120" i="8"/>
  <c r="D132" i="10"/>
  <c r="E127" i="10"/>
  <c r="D122" i="10"/>
  <c r="L137" i="9"/>
  <c r="L125" i="9"/>
  <c r="U125" i="9"/>
  <c r="L144" i="17"/>
  <c r="L128" i="17"/>
  <c r="S129" i="9"/>
  <c r="F127" i="12"/>
  <c r="F143" i="12"/>
  <c r="F131" i="12"/>
  <c r="D129" i="9"/>
  <c r="D149" i="9"/>
  <c r="FN132" i="8"/>
  <c r="B135" i="10"/>
  <c r="B130" i="10"/>
  <c r="B123" i="10"/>
  <c r="FN139" i="8"/>
  <c r="C139" i="8"/>
  <c r="C149" i="8"/>
  <c r="C132" i="8"/>
  <c r="BA128" i="8"/>
  <c r="BA122" i="8"/>
  <c r="AZ151" i="8"/>
  <c r="AZ139" i="8"/>
  <c r="AZ125" i="8"/>
  <c r="ET136" i="8"/>
  <c r="D136" i="10"/>
  <c r="E131" i="10"/>
  <c r="D126" i="10"/>
  <c r="D120" i="10"/>
  <c r="AZ143" i="8"/>
  <c r="AZ127" i="8"/>
  <c r="ET140" i="8"/>
  <c r="ET124" i="8"/>
  <c r="C133" i="10"/>
  <c r="C129" i="10"/>
  <c r="C125" i="10"/>
  <c r="C121" i="10"/>
  <c r="AA148" i="9"/>
  <c r="AA128" i="9"/>
  <c r="AA144" i="9"/>
  <c r="FN143" i="8"/>
  <c r="FN151" i="8"/>
  <c r="BA127" i="8"/>
  <c r="BA135" i="8"/>
  <c r="BA143" i="8"/>
  <c r="BA151" i="8"/>
  <c r="BA142" i="8"/>
  <c r="BA126" i="8"/>
  <c r="AZ150" i="8"/>
  <c r="AZ146" i="8"/>
  <c r="AZ142" i="8"/>
  <c r="AZ138" i="8"/>
  <c r="AZ134" i="8"/>
  <c r="AZ130" i="8"/>
  <c r="AZ126" i="8"/>
  <c r="AZ122" i="8"/>
  <c r="ET127" i="8"/>
  <c r="E136" i="10"/>
  <c r="D135" i="10"/>
  <c r="C134" i="10"/>
  <c r="E132" i="10"/>
  <c r="D131" i="10"/>
  <c r="C130" i="10"/>
  <c r="E128" i="10"/>
  <c r="D127" i="10"/>
  <c r="C126" i="10"/>
  <c r="E124" i="10"/>
  <c r="D123" i="10"/>
  <c r="C122" i="10"/>
  <c r="E120" i="10"/>
  <c r="FN124" i="8"/>
  <c r="FN153" i="8"/>
  <c r="FN150" i="8"/>
  <c r="C153" i="8"/>
  <c r="C137" i="8"/>
  <c r="C121" i="8"/>
  <c r="BA140" i="8"/>
  <c r="BA124" i="8"/>
  <c r="AZ153" i="8"/>
  <c r="AZ145" i="8"/>
  <c r="AZ137" i="8"/>
  <c r="AZ129" i="8"/>
  <c r="AZ121" i="8"/>
  <c r="ET150" i="8"/>
  <c r="ET134" i="8"/>
  <c r="E133" i="10"/>
  <c r="E129" i="10"/>
  <c r="E125" i="10"/>
  <c r="E121" i="10"/>
  <c r="B129" i="10"/>
  <c r="FN148" i="8"/>
  <c r="FN140" i="8"/>
  <c r="BA153" i="8"/>
  <c r="BA145" i="8"/>
  <c r="BA137" i="8"/>
  <c r="BA129" i="8"/>
  <c r="BA121" i="8"/>
  <c r="Z65" i="8"/>
  <c r="CJ40" i="8"/>
  <c r="EP43" i="8"/>
  <c r="EP65" i="8"/>
  <c r="CJ47" i="8"/>
  <c r="BA62" i="8"/>
  <c r="BA114" i="8"/>
  <c r="BA117" i="8"/>
  <c r="BA80" i="8"/>
  <c r="CV60" i="8"/>
  <c r="CV43" i="8"/>
  <c r="AG60" i="8"/>
  <c r="CU43" i="8"/>
  <c r="EQ43" i="8"/>
  <c r="EZ43" i="8"/>
  <c r="EZ56" i="8"/>
  <c r="U47" i="8"/>
  <c r="U43" i="8"/>
  <c r="BW47" i="8"/>
  <c r="AX80" i="8"/>
  <c r="B97" i="10"/>
  <c r="B69" i="10"/>
  <c r="C47" i="8"/>
  <c r="AZ43" i="8"/>
  <c r="AZ87" i="8"/>
  <c r="AZ62" i="8"/>
  <c r="ET40" i="8"/>
  <c r="ET56" i="8"/>
  <c r="ET65" i="8"/>
  <c r="ET97" i="8"/>
  <c r="AZ117" i="8"/>
  <c r="D14" i="10"/>
  <c r="D34" i="10"/>
  <c r="E46" i="10"/>
  <c r="D78" i="10"/>
  <c r="D29" i="10"/>
  <c r="C61" i="10"/>
  <c r="E73" i="10"/>
  <c r="D83" i="10"/>
  <c r="E8" i="10"/>
  <c r="D96" i="10"/>
  <c r="AY43" i="8"/>
  <c r="CJ60" i="8"/>
  <c r="Z40" i="8"/>
  <c r="CJ56" i="8"/>
  <c r="EP47" i="8"/>
  <c r="BA47" i="8"/>
  <c r="BA56" i="8"/>
  <c r="AG47" i="8"/>
  <c r="AG40" i="8"/>
  <c r="EQ47" i="8"/>
  <c r="U65" i="8"/>
  <c r="ES43" i="8"/>
  <c r="B95" i="10"/>
  <c r="B110" i="10"/>
  <c r="B115" i="10"/>
  <c r="B103" i="10"/>
  <c r="C90" i="8"/>
  <c r="C114" i="8"/>
  <c r="C97" i="8"/>
  <c r="AZ47" i="8"/>
  <c r="ET87" i="8"/>
  <c r="ET94" i="8"/>
  <c r="AZ60" i="8"/>
  <c r="AZ80" i="8"/>
  <c r="ET117" i="8"/>
  <c r="C95" i="10"/>
  <c r="C46" i="10"/>
  <c r="E97" i="10"/>
  <c r="D49" i="10"/>
  <c r="D65" i="10"/>
  <c r="D73" i="10"/>
  <c r="C83" i="10"/>
  <c r="D8" i="10"/>
  <c r="Z43" i="8"/>
  <c r="CJ65" i="8"/>
  <c r="Z47" i="8"/>
  <c r="BA94" i="8"/>
  <c r="BA43" i="8"/>
  <c r="BA112" i="8"/>
  <c r="CU47" i="8"/>
  <c r="CU40" i="8"/>
  <c r="EQ56" i="8"/>
  <c r="EQ40" i="8"/>
  <c r="AH47" i="8"/>
  <c r="FN60" i="8"/>
  <c r="U56" i="8"/>
  <c r="U40" i="8"/>
  <c r="AY112" i="8"/>
  <c r="B100" i="10"/>
  <c r="B92" i="10"/>
  <c r="B83" i="10"/>
  <c r="B73" i="10"/>
  <c r="C83" i="8"/>
  <c r="ET60" i="8"/>
  <c r="ET80" i="8"/>
  <c r="AZ112" i="8"/>
  <c r="C11" i="10"/>
  <c r="D59" i="10"/>
  <c r="C103" i="10"/>
  <c r="C42" i="10"/>
  <c r="D97" i="10"/>
  <c r="D17" i="10"/>
  <c r="C49" i="10"/>
  <c r="D92" i="10"/>
  <c r="C108" i="8"/>
  <c r="AZ108" i="8"/>
  <c r="FN108" i="8"/>
  <c r="ET108" i="8"/>
  <c r="BA108" i="8"/>
  <c r="C101" i="8"/>
  <c r="ET101" i="8"/>
  <c r="EQ101" i="8"/>
  <c r="AZ101" i="8"/>
  <c r="BA101" i="8"/>
  <c r="C76" i="8"/>
  <c r="AZ76" i="8"/>
  <c r="U76" i="8"/>
  <c r="ET76" i="8"/>
  <c r="BA76" i="8"/>
  <c r="AZ69" i="8"/>
  <c r="C69" i="8"/>
  <c r="BA69" i="8"/>
  <c r="ET69" i="8"/>
  <c r="C36" i="8"/>
  <c r="AZ36" i="8"/>
  <c r="FN36" i="8"/>
  <c r="AG36" i="8"/>
  <c r="EQ36" i="8"/>
  <c r="CU36" i="8"/>
  <c r="AH36" i="8"/>
  <c r="ET36" i="8"/>
  <c r="EZ36" i="8"/>
  <c r="CV36" i="8"/>
  <c r="BA36" i="8"/>
  <c r="CJ36" i="8"/>
  <c r="Z36" i="8"/>
  <c r="FN32" i="8"/>
  <c r="ET32" i="8"/>
  <c r="AZ32" i="8"/>
  <c r="BA32" i="8"/>
  <c r="AH32" i="8"/>
  <c r="CJ32" i="8"/>
  <c r="EZ32" i="8"/>
  <c r="EQ32" i="8"/>
  <c r="AG32" i="8"/>
  <c r="CV32" i="8"/>
  <c r="Z32" i="8"/>
  <c r="C32" i="8"/>
  <c r="AZ28" i="8"/>
  <c r="C28" i="8"/>
  <c r="ET28" i="8"/>
  <c r="BA28" i="8"/>
  <c r="Z28" i="8"/>
  <c r="EP28" i="8"/>
  <c r="CJ28" i="8"/>
  <c r="CV28" i="8"/>
  <c r="AH28" i="8"/>
  <c r="CU28" i="8"/>
  <c r="AG28" i="8"/>
  <c r="C24" i="8"/>
  <c r="ET24" i="8"/>
  <c r="AZ24" i="8"/>
  <c r="EQ24" i="8"/>
  <c r="Z24" i="8"/>
  <c r="FN24" i="8"/>
  <c r="EZ24" i="8"/>
  <c r="AH24" i="8"/>
  <c r="CU24" i="8"/>
  <c r="AG24" i="8"/>
  <c r="CJ24" i="8"/>
  <c r="BA24" i="8"/>
  <c r="AZ20" i="8"/>
  <c r="C20" i="8"/>
  <c r="FN20" i="8"/>
  <c r="BA20" i="8"/>
  <c r="ET20" i="8"/>
  <c r="EQ20" i="8"/>
  <c r="EP20" i="8"/>
  <c r="Z20" i="8"/>
  <c r="AH20" i="8"/>
  <c r="CU20" i="8"/>
  <c r="CJ20" i="8"/>
  <c r="CV20" i="8"/>
  <c r="ET16" i="8"/>
  <c r="AZ16" i="8"/>
  <c r="C16" i="8"/>
  <c r="EZ16" i="8"/>
  <c r="AH16" i="8"/>
  <c r="CU16" i="8"/>
  <c r="EQ16" i="8"/>
  <c r="EP16" i="8"/>
  <c r="BA16" i="8"/>
  <c r="CV16" i="8"/>
  <c r="CJ16" i="8"/>
  <c r="Z16" i="8"/>
  <c r="AZ12" i="8"/>
  <c r="C12" i="8"/>
  <c r="EP12" i="8"/>
  <c r="CJ12" i="8"/>
  <c r="ET12" i="8"/>
  <c r="FN12" i="8"/>
  <c r="AH12" i="8"/>
  <c r="CU12" i="8"/>
  <c r="FN8" i="8"/>
  <c r="ET8" i="8"/>
  <c r="AZ8" i="8"/>
  <c r="EQ8" i="8"/>
  <c r="BA8" i="8"/>
  <c r="CV8" i="8"/>
  <c r="CJ8" i="8"/>
  <c r="AY8" i="8"/>
  <c r="AH8" i="8"/>
  <c r="AG8" i="8"/>
  <c r="EP8" i="8"/>
  <c r="Z8" i="8"/>
  <c r="C8" i="8"/>
  <c r="EZ8" i="8"/>
  <c r="AZ4" i="8"/>
  <c r="FN4" i="8"/>
  <c r="C4" i="8"/>
  <c r="AH4" i="8"/>
  <c r="CV4" i="8"/>
  <c r="CJ4" i="8"/>
  <c r="CU4" i="8"/>
  <c r="BA4" i="8"/>
  <c r="AG4" i="8"/>
  <c r="EZ4" i="8"/>
  <c r="EP4" i="8"/>
  <c r="ET4" i="8"/>
  <c r="EQ4" i="8"/>
  <c r="K118" i="9"/>
  <c r="D118" i="9"/>
  <c r="AA118" i="9"/>
  <c r="L118" i="9"/>
  <c r="J118" i="9"/>
  <c r="I118" i="9"/>
  <c r="Y118" i="9"/>
  <c r="C118" i="9"/>
  <c r="S118" i="9"/>
  <c r="U118" i="9"/>
  <c r="N118" i="9"/>
  <c r="G118" i="9"/>
  <c r="AC118" i="9"/>
  <c r="B118" i="9"/>
  <c r="Q118" i="9"/>
  <c r="E118" i="9"/>
  <c r="M118" i="9"/>
  <c r="K114" i="9"/>
  <c r="D114" i="9"/>
  <c r="U114" i="9"/>
  <c r="L114" i="9"/>
  <c r="AA114" i="9"/>
  <c r="Y114" i="9"/>
  <c r="C114" i="9"/>
  <c r="AB114" i="9"/>
  <c r="S114" i="9"/>
  <c r="I114" i="9"/>
  <c r="J114" i="9"/>
  <c r="AC114" i="9"/>
  <c r="Q114" i="9"/>
  <c r="E114" i="9"/>
  <c r="Z114" i="9"/>
  <c r="B114" i="9"/>
  <c r="X114" i="9"/>
  <c r="S110" i="9"/>
  <c r="K110" i="9"/>
  <c r="AB110" i="9"/>
  <c r="L110" i="9"/>
  <c r="C110" i="9"/>
  <c r="J110" i="9"/>
  <c r="G110" i="9"/>
  <c r="D110" i="9"/>
  <c r="Z110" i="9"/>
  <c r="B110" i="9"/>
  <c r="AC110" i="9"/>
  <c r="Q110" i="9"/>
  <c r="AA110" i="9"/>
  <c r="Y110" i="9"/>
  <c r="I110" i="9"/>
  <c r="N110" i="9"/>
  <c r="H110" i="9"/>
  <c r="K106" i="9"/>
  <c r="S106" i="9"/>
  <c r="AA106" i="9"/>
  <c r="D106" i="9"/>
  <c r="Y106" i="9"/>
  <c r="C106" i="9"/>
  <c r="AB106" i="9"/>
  <c r="U106" i="9"/>
  <c r="L106" i="9"/>
  <c r="I106" i="9"/>
  <c r="G106" i="9"/>
  <c r="X106" i="9"/>
  <c r="N106" i="9"/>
  <c r="AC106" i="9"/>
  <c r="J106" i="9"/>
  <c r="Z106" i="9"/>
  <c r="B106" i="9"/>
  <c r="M106" i="9"/>
  <c r="K102" i="9"/>
  <c r="AA102" i="9"/>
  <c r="D102" i="9"/>
  <c r="S102" i="9"/>
  <c r="U102" i="9"/>
  <c r="Y102" i="9"/>
  <c r="C102" i="9"/>
  <c r="AB102" i="9"/>
  <c r="L102" i="9"/>
  <c r="X102" i="9"/>
  <c r="N102" i="9"/>
  <c r="Z102" i="9"/>
  <c r="Q102" i="9"/>
  <c r="G102" i="9"/>
  <c r="E102" i="9"/>
  <c r="F102" i="9"/>
  <c r="M102" i="9"/>
  <c r="AA98" i="9"/>
  <c r="D98" i="9"/>
  <c r="K98" i="9"/>
  <c r="S98" i="9"/>
  <c r="L98" i="9"/>
  <c r="C98" i="9"/>
  <c r="Y98" i="9"/>
  <c r="Z98" i="9"/>
  <c r="X98" i="9"/>
  <c r="G98" i="9"/>
  <c r="B98" i="9"/>
  <c r="N98" i="9"/>
  <c r="Q98" i="9"/>
  <c r="H98" i="9"/>
  <c r="M98" i="9"/>
  <c r="U98" i="9"/>
  <c r="AB98" i="9"/>
  <c r="J98" i="9"/>
  <c r="I98" i="9"/>
  <c r="K94" i="9"/>
  <c r="S94" i="9"/>
  <c r="AA94" i="9"/>
  <c r="D94" i="9"/>
  <c r="U94" i="9"/>
  <c r="L94" i="9"/>
  <c r="Y94" i="9"/>
  <c r="C94" i="9"/>
  <c r="AB94" i="9"/>
  <c r="B94" i="9"/>
  <c r="E94" i="9"/>
  <c r="M94" i="9"/>
  <c r="J94" i="9"/>
  <c r="Z94" i="9"/>
  <c r="G94" i="9"/>
  <c r="AC94" i="9"/>
  <c r="H94" i="9"/>
  <c r="F94" i="9"/>
  <c r="D90" i="9"/>
  <c r="K90" i="9"/>
  <c r="S90" i="9"/>
  <c r="C90" i="9"/>
  <c r="Y90" i="9"/>
  <c r="AB90" i="9"/>
  <c r="G90" i="9"/>
  <c r="Z90" i="9"/>
  <c r="I90" i="9"/>
  <c r="B90" i="9"/>
  <c r="N90" i="9"/>
  <c r="M90" i="9"/>
  <c r="AA90" i="9"/>
  <c r="U90" i="9"/>
  <c r="L90" i="9"/>
  <c r="J90" i="9"/>
  <c r="X90" i="9"/>
  <c r="AC90" i="9"/>
  <c r="Q90" i="9"/>
  <c r="H90" i="9"/>
  <c r="K86" i="9"/>
  <c r="AA86" i="9"/>
  <c r="U86" i="9"/>
  <c r="L86" i="9"/>
  <c r="Y86" i="9"/>
  <c r="AB86" i="9"/>
  <c r="J86" i="9"/>
  <c r="I86" i="9"/>
  <c r="D86" i="9"/>
  <c r="N86" i="9"/>
  <c r="C86" i="9"/>
  <c r="G86" i="9"/>
  <c r="B86" i="9"/>
  <c r="Q86" i="9"/>
  <c r="F86" i="9"/>
  <c r="Z86" i="9"/>
  <c r="E86" i="9"/>
  <c r="S82" i="9"/>
  <c r="D82" i="9"/>
  <c r="AA82" i="9"/>
  <c r="L82" i="9"/>
  <c r="K82" i="9"/>
  <c r="Y82" i="9"/>
  <c r="C82" i="9"/>
  <c r="U82" i="9"/>
  <c r="G82" i="9"/>
  <c r="N82" i="9"/>
  <c r="E82" i="9"/>
  <c r="H82" i="9"/>
  <c r="F82" i="9"/>
  <c r="AB82" i="9"/>
  <c r="Z82" i="9"/>
  <c r="B82" i="9"/>
  <c r="AC82" i="9"/>
  <c r="K78" i="9"/>
  <c r="U78" i="9"/>
  <c r="AB78" i="9"/>
  <c r="S78" i="9"/>
  <c r="L78" i="9"/>
  <c r="AA78" i="9"/>
  <c r="C78" i="9"/>
  <c r="D78" i="9"/>
  <c r="Y78" i="9"/>
  <c r="J78" i="9"/>
  <c r="B78" i="9"/>
  <c r="F78" i="9"/>
  <c r="Z78" i="9"/>
  <c r="I78" i="9"/>
  <c r="G78" i="9"/>
  <c r="X78" i="9"/>
  <c r="N78" i="9"/>
  <c r="Q78" i="9"/>
  <c r="E78" i="9"/>
  <c r="AA74" i="9"/>
  <c r="S74" i="9"/>
  <c r="Y74" i="9"/>
  <c r="AB74" i="9"/>
  <c r="J74" i="9"/>
  <c r="Z74" i="9"/>
  <c r="K74" i="9"/>
  <c r="D74" i="9"/>
  <c r="U74" i="9"/>
  <c r="L74" i="9"/>
  <c r="C74" i="9"/>
  <c r="B74" i="9"/>
  <c r="X74" i="9"/>
  <c r="H74" i="9"/>
  <c r="M74" i="9"/>
  <c r="I74" i="9"/>
  <c r="E74" i="9"/>
  <c r="F74" i="9"/>
  <c r="K70" i="9"/>
  <c r="D70" i="9"/>
  <c r="AA70" i="9"/>
  <c r="I70" i="9"/>
  <c r="Y70" i="9"/>
  <c r="AB70" i="9"/>
  <c r="U70" i="9"/>
  <c r="Z70" i="9"/>
  <c r="G70" i="9"/>
  <c r="N70" i="9"/>
  <c r="S70" i="9"/>
  <c r="L70" i="9"/>
  <c r="C70" i="9"/>
  <c r="AC70" i="9"/>
  <c r="B70" i="9"/>
  <c r="H70" i="9"/>
  <c r="M70" i="9"/>
  <c r="K66" i="9"/>
  <c r="D66" i="9"/>
  <c r="AA66" i="9"/>
  <c r="S66" i="9"/>
  <c r="U66" i="9"/>
  <c r="L66" i="9"/>
  <c r="Y66" i="9"/>
  <c r="C66" i="9"/>
  <c r="I66" i="9"/>
  <c r="X66" i="9"/>
  <c r="Z66" i="9"/>
  <c r="G66" i="9"/>
  <c r="N66" i="9"/>
  <c r="AC66" i="9"/>
  <c r="Q66" i="9"/>
  <c r="H66" i="9"/>
  <c r="Q62" i="9"/>
  <c r="H62" i="9"/>
  <c r="J62" i="9"/>
  <c r="D62" i="9"/>
  <c r="K62" i="9"/>
  <c r="S58" i="9"/>
  <c r="Q58" i="9"/>
  <c r="H58" i="9"/>
  <c r="AC58" i="9"/>
  <c r="AB54" i="9"/>
  <c r="Z54" i="9"/>
  <c r="E54" i="9"/>
  <c r="C54" i="9"/>
  <c r="H54" i="9"/>
  <c r="L50" i="9"/>
  <c r="Z50" i="9"/>
  <c r="AA50" i="9"/>
  <c r="Y50" i="9"/>
  <c r="J50" i="9"/>
  <c r="M50" i="9"/>
  <c r="K50" i="9"/>
  <c r="C50" i="9"/>
  <c r="M46" i="9"/>
  <c r="C46" i="9"/>
  <c r="H46" i="9"/>
  <c r="Q46" i="9"/>
  <c r="AC46" i="9"/>
  <c r="K46" i="9"/>
  <c r="D46" i="9"/>
  <c r="E46" i="9"/>
  <c r="I42" i="9"/>
  <c r="J42" i="9"/>
  <c r="AC42" i="9"/>
  <c r="K42" i="9"/>
  <c r="C42" i="9"/>
  <c r="L42" i="9"/>
  <c r="M38" i="9"/>
  <c r="AB38" i="9"/>
  <c r="AA38" i="9"/>
  <c r="I38" i="9"/>
  <c r="J38" i="9"/>
  <c r="AC38" i="9"/>
  <c r="B38" i="9"/>
  <c r="Y38" i="9"/>
  <c r="D38" i="9"/>
  <c r="M34" i="9"/>
  <c r="C34" i="9"/>
  <c r="Q34" i="9"/>
  <c r="E34" i="9"/>
  <c r="AC34" i="9"/>
  <c r="D34" i="9"/>
  <c r="H30" i="9"/>
  <c r="Q30" i="9"/>
  <c r="C30" i="9"/>
  <c r="J30" i="9"/>
  <c r="M26" i="9"/>
  <c r="Q26" i="9"/>
  <c r="L26" i="9"/>
  <c r="Y26" i="9"/>
  <c r="S26" i="9"/>
  <c r="M18" i="9"/>
  <c r="Q18" i="9"/>
  <c r="J18" i="9"/>
  <c r="C18" i="9"/>
  <c r="K18" i="9"/>
  <c r="Y14" i="9"/>
  <c r="E14" i="9"/>
  <c r="Z14" i="9"/>
  <c r="S14" i="9"/>
  <c r="AA14" i="9"/>
  <c r="E10" i="9"/>
  <c r="H10" i="9"/>
  <c r="J10" i="9"/>
  <c r="AA10" i="9"/>
  <c r="S10" i="9"/>
  <c r="G10" i="9"/>
  <c r="E6" i="9"/>
  <c r="Y6" i="9"/>
  <c r="L6" i="9"/>
  <c r="Q6" i="9"/>
  <c r="J6" i="9"/>
  <c r="B111" i="11"/>
  <c r="E111" i="11"/>
  <c r="E95" i="11"/>
  <c r="B95" i="11"/>
  <c r="E91" i="11"/>
  <c r="B91" i="11"/>
  <c r="E75" i="11"/>
  <c r="B75" i="11"/>
  <c r="E71" i="11"/>
  <c r="B71" i="11"/>
  <c r="E67" i="11"/>
  <c r="B67" i="11"/>
  <c r="F116" i="12"/>
  <c r="B116" i="12"/>
  <c r="E116" i="12"/>
  <c r="C116" i="12"/>
  <c r="H116" i="12"/>
  <c r="B112" i="12"/>
  <c r="H112" i="12"/>
  <c r="F112" i="12"/>
  <c r="C112" i="12"/>
  <c r="E112" i="12"/>
  <c r="B108" i="12"/>
  <c r="F108" i="12"/>
  <c r="H108" i="12"/>
  <c r="C108" i="12"/>
  <c r="E108" i="12"/>
  <c r="B104" i="12"/>
  <c r="E104" i="12"/>
  <c r="F104" i="12"/>
  <c r="H104" i="12"/>
  <c r="C104" i="12"/>
  <c r="B100" i="12"/>
  <c r="C100" i="12"/>
  <c r="H100" i="12"/>
  <c r="E100" i="12"/>
  <c r="F100" i="12"/>
  <c r="B96" i="12"/>
  <c r="F96" i="12"/>
  <c r="C96" i="12"/>
  <c r="E96" i="12"/>
  <c r="B92" i="12"/>
  <c r="H92" i="12"/>
  <c r="E92" i="12"/>
  <c r="F92" i="12"/>
  <c r="C92" i="12"/>
  <c r="B88" i="12"/>
  <c r="F88" i="12"/>
  <c r="E88" i="12"/>
  <c r="H88" i="12"/>
  <c r="C88" i="12"/>
  <c r="B84" i="12"/>
  <c r="H84" i="12"/>
  <c r="F84" i="12"/>
  <c r="E84" i="12"/>
  <c r="B80" i="12"/>
  <c r="F80" i="12"/>
  <c r="H80" i="12"/>
  <c r="E80" i="12"/>
  <c r="C80" i="12"/>
  <c r="B76" i="12"/>
  <c r="E76" i="12"/>
  <c r="F76" i="12"/>
  <c r="C76" i="12"/>
  <c r="H76" i="12"/>
  <c r="B72" i="12"/>
  <c r="F72" i="12"/>
  <c r="H72" i="12"/>
  <c r="E72" i="12"/>
  <c r="C72" i="12"/>
  <c r="B68" i="12"/>
  <c r="F68" i="12"/>
  <c r="E68" i="12"/>
  <c r="H68" i="12"/>
  <c r="C68" i="12"/>
  <c r="C118" i="14"/>
  <c r="D118" i="14"/>
  <c r="B118" i="14"/>
  <c r="C114" i="14"/>
  <c r="B114" i="14"/>
  <c r="D114" i="14"/>
  <c r="C110" i="14"/>
  <c r="D110" i="14"/>
  <c r="C106" i="14"/>
  <c r="D106" i="14"/>
  <c r="B106" i="14"/>
  <c r="C102" i="14"/>
  <c r="D102" i="14"/>
  <c r="C98" i="14"/>
  <c r="D98" i="14"/>
  <c r="B98" i="14"/>
  <c r="C94" i="14"/>
  <c r="D94" i="14"/>
  <c r="B94" i="14"/>
  <c r="C90" i="14"/>
  <c r="D90" i="14"/>
  <c r="B90" i="14"/>
  <c r="C86" i="14"/>
  <c r="D86" i="14"/>
  <c r="B86" i="14"/>
  <c r="C82" i="14"/>
  <c r="D82" i="14"/>
  <c r="C78" i="14"/>
  <c r="D78" i="14"/>
  <c r="C74" i="14"/>
  <c r="D74" i="14"/>
  <c r="C70" i="14"/>
  <c r="D70" i="14"/>
  <c r="C66" i="14"/>
  <c r="D66" i="14"/>
  <c r="D58" i="14"/>
  <c r="B58" i="14"/>
  <c r="C38" i="14"/>
  <c r="D38" i="14"/>
  <c r="D26" i="14"/>
  <c r="B26" i="14"/>
  <c r="B14" i="14"/>
  <c r="D14" i="14"/>
  <c r="B119" i="15"/>
  <c r="E119" i="15"/>
  <c r="B115" i="15"/>
  <c r="E115" i="15"/>
  <c r="B111" i="15"/>
  <c r="E111" i="15"/>
  <c r="B103" i="15"/>
  <c r="E103" i="15"/>
  <c r="B95" i="15"/>
  <c r="E95" i="15"/>
  <c r="E91" i="15"/>
  <c r="B91" i="15"/>
  <c r="E87" i="15"/>
  <c r="B87" i="15"/>
  <c r="B83" i="15"/>
  <c r="E83" i="15"/>
  <c r="B75" i="15"/>
  <c r="E75" i="15"/>
  <c r="B71" i="15"/>
  <c r="E71" i="15"/>
  <c r="G116" i="16"/>
  <c r="E116" i="16"/>
  <c r="F116" i="16"/>
  <c r="H116" i="16"/>
  <c r="G112" i="16"/>
  <c r="E112" i="16"/>
  <c r="G104" i="16"/>
  <c r="H104" i="16"/>
  <c r="F104" i="16"/>
  <c r="G100" i="16"/>
  <c r="F100" i="16"/>
  <c r="E100" i="16"/>
  <c r="E96" i="16"/>
  <c r="G96" i="16"/>
  <c r="H88" i="16"/>
  <c r="G88" i="16"/>
  <c r="G84" i="16"/>
  <c r="E84" i="16"/>
  <c r="H80" i="16"/>
  <c r="G80" i="16"/>
  <c r="E80" i="16"/>
  <c r="H64" i="16"/>
  <c r="E64" i="16"/>
  <c r="G60" i="16"/>
  <c r="E60" i="16"/>
  <c r="H52" i="16"/>
  <c r="G52" i="16"/>
  <c r="E40" i="16"/>
  <c r="F40" i="16"/>
  <c r="H40" i="16"/>
  <c r="H36" i="16"/>
  <c r="G36" i="16"/>
  <c r="E16" i="16"/>
  <c r="H16" i="16"/>
  <c r="G16" i="16"/>
  <c r="H4" i="16"/>
  <c r="G4" i="16"/>
  <c r="F4" i="16"/>
  <c r="O117" i="17"/>
  <c r="J117" i="17"/>
  <c r="D117" i="17"/>
  <c r="K117" i="17"/>
  <c r="N117" i="17"/>
  <c r="M117" i="17"/>
  <c r="L117" i="17"/>
  <c r="L113" i="17"/>
  <c r="J113" i="17"/>
  <c r="D113" i="17"/>
  <c r="K113" i="17"/>
  <c r="N113" i="17"/>
  <c r="O113" i="17"/>
  <c r="F113" i="17"/>
  <c r="E113" i="17"/>
  <c r="L109" i="17"/>
  <c r="D109" i="17"/>
  <c r="K109" i="17"/>
  <c r="O109" i="17"/>
  <c r="J109" i="17"/>
  <c r="F109" i="17"/>
  <c r="E109" i="17"/>
  <c r="D105" i="17"/>
  <c r="O105" i="17"/>
  <c r="L105" i="17"/>
  <c r="J105" i="17"/>
  <c r="F105" i="17"/>
  <c r="K105" i="17"/>
  <c r="N105" i="17"/>
  <c r="M105" i="17"/>
  <c r="D101" i="17"/>
  <c r="O101" i="17"/>
  <c r="L101" i="17"/>
  <c r="J101" i="17"/>
  <c r="K101" i="17"/>
  <c r="N101" i="17"/>
  <c r="M101" i="17"/>
  <c r="L97" i="17"/>
  <c r="J97" i="17"/>
  <c r="K97" i="17"/>
  <c r="D97" i="17"/>
  <c r="N97" i="17"/>
  <c r="O97" i="17"/>
  <c r="F97" i="17"/>
  <c r="E97" i="17"/>
  <c r="L93" i="17"/>
  <c r="D93" i="17"/>
  <c r="K93" i="17"/>
  <c r="O93" i="17"/>
  <c r="F93" i="17"/>
  <c r="E93" i="17"/>
  <c r="D89" i="17"/>
  <c r="L89" i="17"/>
  <c r="O89" i="17"/>
  <c r="J89" i="17"/>
  <c r="K89" i="17"/>
  <c r="F89" i="17"/>
  <c r="N89" i="17"/>
  <c r="M89" i="17"/>
  <c r="O85" i="17"/>
  <c r="J85" i="17"/>
  <c r="D85" i="17"/>
  <c r="K85" i="17"/>
  <c r="L85" i="17"/>
  <c r="N85" i="17"/>
  <c r="M85" i="17"/>
  <c r="L81" i="17"/>
  <c r="J81" i="17"/>
  <c r="D81" i="17"/>
  <c r="K81" i="17"/>
  <c r="O81" i="17"/>
  <c r="N81" i="17"/>
  <c r="F81" i="17"/>
  <c r="E81" i="17"/>
  <c r="L77" i="17"/>
  <c r="D77" i="17"/>
  <c r="K77" i="17"/>
  <c r="O77" i="17"/>
  <c r="F77" i="17"/>
  <c r="E77" i="17"/>
  <c r="J77" i="17"/>
  <c r="D73" i="17"/>
  <c r="O73" i="17"/>
  <c r="K73" i="17"/>
  <c r="L73" i="17"/>
  <c r="J73" i="17"/>
  <c r="E73" i="17"/>
  <c r="N73" i="17"/>
  <c r="F73" i="17"/>
  <c r="M73" i="17"/>
  <c r="D69" i="17"/>
  <c r="L69" i="17"/>
  <c r="K69" i="17"/>
  <c r="N69" i="17"/>
  <c r="J69" i="17"/>
  <c r="F69" i="17"/>
  <c r="O69" i="17"/>
  <c r="L65" i="17"/>
  <c r="O65" i="17"/>
  <c r="K65" i="17"/>
  <c r="J65" i="17"/>
  <c r="D65" i="17"/>
  <c r="N65" i="17"/>
  <c r="F65" i="17"/>
  <c r="M65" i="17"/>
  <c r="D61" i="17"/>
  <c r="L61" i="17"/>
  <c r="K61" i="17"/>
  <c r="J61" i="17"/>
  <c r="O61" i="17"/>
  <c r="N61" i="17"/>
  <c r="M61" i="17"/>
  <c r="E61" i="17"/>
  <c r="D57" i="17"/>
  <c r="L57" i="17"/>
  <c r="J57" i="17"/>
  <c r="O57" i="17"/>
  <c r="K57" i="17"/>
  <c r="E57" i="17"/>
  <c r="O53" i="17"/>
  <c r="J53" i="17"/>
  <c r="L53" i="17"/>
  <c r="N53" i="17"/>
  <c r="M53" i="17"/>
  <c r="F53" i="17"/>
  <c r="L49" i="17"/>
  <c r="O49" i="17"/>
  <c r="K49" i="17"/>
  <c r="J49" i="17"/>
  <c r="N49" i="17"/>
  <c r="F49" i="17"/>
  <c r="M49" i="17"/>
  <c r="L45" i="17"/>
  <c r="O45" i="17"/>
  <c r="K45" i="17"/>
  <c r="D45" i="17"/>
  <c r="F45" i="17"/>
  <c r="J45" i="17"/>
  <c r="N45" i="17"/>
  <c r="E45" i="17"/>
  <c r="D41" i="17"/>
  <c r="K41" i="17"/>
  <c r="L41" i="17"/>
  <c r="J41" i="17"/>
  <c r="O41" i="17"/>
  <c r="N41" i="17"/>
  <c r="E41" i="17"/>
  <c r="D37" i="17"/>
  <c r="L37" i="17"/>
  <c r="J37" i="17"/>
  <c r="O37" i="17"/>
  <c r="N37" i="17"/>
  <c r="F37" i="17"/>
  <c r="M37" i="17"/>
  <c r="L33" i="17"/>
  <c r="J33" i="17"/>
  <c r="D33" i="17"/>
  <c r="O33" i="17"/>
  <c r="K33" i="17"/>
  <c r="F33" i="17"/>
  <c r="M33" i="17"/>
  <c r="L29" i="17"/>
  <c r="D29" i="17"/>
  <c r="O29" i="17"/>
  <c r="K29" i="17"/>
  <c r="F29" i="17"/>
  <c r="J29" i="17"/>
  <c r="N29" i="17"/>
  <c r="E29" i="17"/>
  <c r="D25" i="17"/>
  <c r="L25" i="17"/>
  <c r="K25" i="17"/>
  <c r="J25" i="17"/>
  <c r="N25" i="17"/>
  <c r="E25" i="17"/>
  <c r="D21" i="17"/>
  <c r="J21" i="17"/>
  <c r="O21" i="17"/>
  <c r="N21" i="17"/>
  <c r="K21" i="17"/>
  <c r="F21" i="17"/>
  <c r="M21" i="17"/>
  <c r="L17" i="17"/>
  <c r="J17" i="17"/>
  <c r="O17" i="17"/>
  <c r="K17" i="17"/>
  <c r="F17" i="17"/>
  <c r="M17" i="17"/>
  <c r="D17" i="17"/>
  <c r="L13" i="17"/>
  <c r="O13" i="17"/>
  <c r="K13" i="17"/>
  <c r="D13" i="17"/>
  <c r="J13" i="17"/>
  <c r="F13" i="17"/>
  <c r="N13" i="17"/>
  <c r="E13" i="17"/>
  <c r="D9" i="17"/>
  <c r="K9" i="17"/>
  <c r="L9" i="17"/>
  <c r="J9" i="17"/>
  <c r="N9" i="17"/>
  <c r="E9" i="17"/>
  <c r="O9" i="17"/>
  <c r="D5" i="17"/>
  <c r="L5" i="17"/>
  <c r="J5" i="17"/>
  <c r="O5" i="17"/>
  <c r="N5" i="17"/>
  <c r="K5" i="17"/>
  <c r="F5" i="17"/>
  <c r="M5" i="17"/>
  <c r="B107" i="19"/>
  <c r="H107" i="19"/>
  <c r="B91" i="19"/>
  <c r="H91" i="19"/>
  <c r="B75" i="19"/>
  <c r="H75" i="19"/>
  <c r="EX4" i="8"/>
  <c r="BA12" i="8"/>
  <c r="AG16" i="8"/>
  <c r="EZ20" i="8"/>
  <c r="CU32" i="8"/>
  <c r="E43" i="11"/>
  <c r="S46" i="9"/>
  <c r="I30" i="9"/>
  <c r="L58" i="9"/>
  <c r="Z42" i="9"/>
  <c r="AA22" i="9"/>
  <c r="M10" i="9"/>
  <c r="S22" i="9"/>
  <c r="H22" i="9"/>
  <c r="L34" i="9"/>
  <c r="K26" i="9"/>
  <c r="Z34" i="9"/>
  <c r="AA42" i="9"/>
  <c r="M6" i="9"/>
  <c r="AB18" i="9"/>
  <c r="H50" i="9"/>
  <c r="L10" i="9"/>
  <c r="Z58" i="9"/>
  <c r="Y42" i="9"/>
  <c r="M58" i="9"/>
  <c r="E58" i="9"/>
  <c r="Q50" i="9"/>
  <c r="J14" i="9"/>
  <c r="AC18" i="9"/>
  <c r="AC6" i="9"/>
  <c r="AB34" i="9"/>
  <c r="I26" i="9"/>
  <c r="K54" i="9"/>
  <c r="AA6" i="9"/>
  <c r="M30" i="9"/>
  <c r="C58" i="9"/>
  <c r="E62" i="9"/>
  <c r="Q10" i="9"/>
  <c r="J22" i="9"/>
  <c r="D102" i="18"/>
  <c r="D46" i="18"/>
  <c r="D110" i="18"/>
  <c r="D74" i="18"/>
  <c r="F60" i="16"/>
  <c r="F80" i="16"/>
  <c r="F56" i="16"/>
  <c r="F36" i="16"/>
  <c r="F64" i="16"/>
  <c r="F12" i="16"/>
  <c r="F112" i="16"/>
  <c r="E44" i="16"/>
  <c r="E20" i="16"/>
  <c r="E36" i="16"/>
  <c r="E108" i="16"/>
  <c r="E88" i="16"/>
  <c r="G40" i="16"/>
  <c r="G92" i="16"/>
  <c r="G32" i="16"/>
  <c r="G8" i="16"/>
  <c r="H112" i="16"/>
  <c r="H44" i="16"/>
  <c r="H60" i="16"/>
  <c r="H76" i="16"/>
  <c r="E101" i="17"/>
  <c r="E53" i="17"/>
  <c r="E21" i="17"/>
  <c r="H95" i="19"/>
  <c r="M109" i="17"/>
  <c r="M77" i="17"/>
  <c r="M25" i="17"/>
  <c r="F70" i="9"/>
  <c r="F98" i="9"/>
  <c r="F110" i="9"/>
  <c r="B70" i="14"/>
  <c r="B82" i="14"/>
  <c r="B66" i="14"/>
  <c r="H78" i="9"/>
  <c r="E98" i="9"/>
  <c r="E106" i="9"/>
  <c r="Q74" i="9"/>
  <c r="L62" i="9"/>
  <c r="B87" i="19"/>
  <c r="B87" i="11"/>
  <c r="B115" i="11"/>
  <c r="F9" i="17"/>
  <c r="X82" i="9"/>
  <c r="X110" i="9"/>
  <c r="X118" i="9"/>
  <c r="N93" i="17"/>
  <c r="N57" i="17"/>
  <c r="E79" i="11"/>
  <c r="I94" i="9"/>
  <c r="J70" i="9"/>
  <c r="J66" i="9"/>
  <c r="O25" i="17"/>
  <c r="H96" i="12"/>
  <c r="U110" i="9"/>
  <c r="L21" i="17"/>
  <c r="EQ28" i="8"/>
  <c r="M110" i="9"/>
  <c r="E89" i="17"/>
  <c r="E49" i="17"/>
  <c r="E17" i="17"/>
  <c r="H115" i="19"/>
  <c r="H83" i="19"/>
  <c r="M69" i="17"/>
  <c r="M97" i="17"/>
  <c r="M13" i="17"/>
  <c r="F118" i="9"/>
  <c r="F106" i="9"/>
  <c r="B74" i="14"/>
  <c r="H118" i="9"/>
  <c r="H106" i="9"/>
  <c r="H86" i="9"/>
  <c r="Q82" i="9"/>
  <c r="Q106" i="9"/>
  <c r="K10" i="9"/>
  <c r="AC98" i="9"/>
  <c r="B71" i="19"/>
  <c r="N94" i="9"/>
  <c r="B119" i="11"/>
  <c r="F57" i="17"/>
  <c r="F117" i="17"/>
  <c r="F61" i="17"/>
  <c r="X70" i="9"/>
  <c r="N77" i="17"/>
  <c r="E107" i="11"/>
  <c r="B66" i="9"/>
  <c r="B102" i="9"/>
  <c r="Z118" i="9"/>
  <c r="E107" i="15"/>
  <c r="AG12" i="8"/>
  <c r="E117" i="17"/>
  <c r="E85" i="17"/>
  <c r="E69" i="17"/>
  <c r="E37" i="17"/>
  <c r="E5" i="17"/>
  <c r="H111" i="19"/>
  <c r="H79" i="19"/>
  <c r="M93" i="17"/>
  <c r="M45" i="17"/>
  <c r="M41" i="17"/>
  <c r="M9" i="17"/>
  <c r="F90" i="9"/>
  <c r="B102" i="14"/>
  <c r="H114" i="9"/>
  <c r="H102" i="9"/>
  <c r="E66" i="9"/>
  <c r="E90" i="9"/>
  <c r="Q94" i="9"/>
  <c r="AC14" i="9"/>
  <c r="AC74" i="9"/>
  <c r="AC86" i="9"/>
  <c r="B119" i="19"/>
  <c r="N114" i="9"/>
  <c r="F101" i="17"/>
  <c r="F41" i="17"/>
  <c r="X86" i="9"/>
  <c r="X94" i="9"/>
  <c r="N33" i="17"/>
  <c r="E99" i="11"/>
  <c r="G74" i="9"/>
  <c r="I82" i="9"/>
  <c r="J82" i="9"/>
  <c r="E79" i="15"/>
  <c r="E67" i="15"/>
  <c r="J93" i="17"/>
  <c r="S86" i="9"/>
  <c r="EZ3" i="8"/>
  <c r="ET3" i="8"/>
  <c r="AZ3" i="8"/>
  <c r="C3" i="8"/>
  <c r="AZ111" i="8"/>
  <c r="C111" i="8"/>
  <c r="AZ79" i="8"/>
  <c r="C79" i="8"/>
  <c r="AZ39" i="8"/>
  <c r="C39" i="8"/>
  <c r="U39" i="8"/>
  <c r="BA42" i="8"/>
  <c r="AG39" i="8"/>
  <c r="FN39" i="8"/>
  <c r="C42" i="8"/>
  <c r="ET39" i="8"/>
  <c r="ET79" i="8"/>
  <c r="C92" i="8"/>
  <c r="AZ92" i="8"/>
  <c r="U92" i="8"/>
  <c r="C85" i="8"/>
  <c r="AZ85" i="8"/>
  <c r="AX85" i="8"/>
  <c r="AZ54" i="8"/>
  <c r="ET54" i="8"/>
  <c r="AZ51" i="8"/>
  <c r="C51" i="8"/>
  <c r="ET51" i="8"/>
  <c r="AZ45" i="8"/>
  <c r="U45" i="8"/>
  <c r="C45" i="8"/>
  <c r="CJ39" i="8"/>
  <c r="BA39" i="8"/>
  <c r="BA82" i="8"/>
  <c r="CV39" i="8"/>
  <c r="EZ39" i="8"/>
  <c r="C98" i="8"/>
  <c r="AZ98" i="8"/>
  <c r="ET98" i="8"/>
  <c r="AZ95" i="8"/>
  <c r="AG95" i="8"/>
  <c r="C95" i="8"/>
  <c r="ET66" i="8"/>
  <c r="C66" i="8"/>
  <c r="FN66" i="8"/>
  <c r="AZ63" i="8"/>
  <c r="C63" i="8"/>
  <c r="ET57" i="8"/>
  <c r="C57" i="8"/>
  <c r="AZ57" i="8"/>
  <c r="D55" i="10"/>
  <c r="E50" i="10"/>
  <c r="E62" i="10"/>
  <c r="E110" i="10"/>
  <c r="E45" i="10"/>
  <c r="D57" i="10"/>
  <c r="C69" i="10"/>
  <c r="D93" i="10"/>
  <c r="E105" i="10"/>
  <c r="E4" i="10"/>
  <c r="D115" i="10"/>
  <c r="C19" i="10"/>
  <c r="C64" i="10"/>
  <c r="C67" i="10"/>
  <c r="C108" i="10"/>
  <c r="E84" i="10"/>
  <c r="C92" i="10"/>
  <c r="E72" i="10"/>
  <c r="C104" i="10"/>
  <c r="E99" i="10"/>
  <c r="C91" i="10"/>
  <c r="E48" i="10"/>
  <c r="E64" i="10"/>
  <c r="C14" i="10"/>
  <c r="C110" i="10"/>
  <c r="E38" i="10"/>
  <c r="C50" i="10"/>
  <c r="D62" i="10"/>
  <c r="C115" i="10"/>
  <c r="E9" i="10"/>
  <c r="E21" i="10"/>
  <c r="D45" i="10"/>
  <c r="D105" i="10"/>
  <c r="E117" i="10"/>
  <c r="C48" i="10"/>
  <c r="D72" i="10"/>
  <c r="D7" i="10"/>
  <c r="D4" i="10"/>
  <c r="D84" i="10"/>
  <c r="D100" i="10"/>
  <c r="C26" i="10"/>
  <c r="C21" i="10"/>
  <c r="C28" i="10"/>
  <c r="E100" i="10"/>
  <c r="C7" i="10"/>
  <c r="D28" i="10"/>
  <c r="D104" i="10"/>
  <c r="D19" i="10"/>
  <c r="C55" i="10"/>
</calcChain>
</file>

<file path=xl/sharedStrings.xml><?xml version="1.0" encoding="utf-8"?>
<sst xmlns="http://schemas.openxmlformats.org/spreadsheetml/2006/main" count="3947" uniqueCount="1411">
  <si>
    <t>Redlist_id</t>
  </si>
  <si>
    <t>TaxonomicNotes.value</t>
  </si>
  <si>
    <t>classname</t>
  </si>
  <si>
    <t>family</t>
  </si>
  <si>
    <t>genus</t>
  </si>
  <si>
    <t>infraType</t>
  </si>
  <si>
    <t>infra_authority</t>
  </si>
  <si>
    <t>infra_name</t>
  </si>
  <si>
    <t>internal_taxon_id</t>
  </si>
  <si>
    <t>kingdom</t>
  </si>
  <si>
    <t>ordername</t>
  </si>
  <si>
    <t>phylum</t>
  </si>
  <si>
    <t>species</t>
  </si>
  <si>
    <t>taxonomicAuthority</t>
  </si>
  <si>
    <t>YES</t>
  </si>
  <si>
    <t>affiliation</t>
  </si>
  <si>
    <t>credit_type</t>
  </si>
  <si>
    <t>email</t>
  </si>
  <si>
    <t>firstName</t>
  </si>
  <si>
    <t>initials</t>
  </si>
  <si>
    <t>lastName</t>
  </si>
  <si>
    <t>nickname</t>
  </si>
  <si>
    <t>user_id</t>
  </si>
  <si>
    <t>Reviewer</t>
  </si>
  <si>
    <t>Contributor</t>
  </si>
  <si>
    <t>AOO.justification</t>
  </si>
  <si>
    <t>AOO.range</t>
  </si>
  <si>
    <t>AOOContinuingDecline.isInContinuingDecline</t>
  </si>
  <si>
    <t>AOOContinuingDecline.justification</t>
  </si>
  <si>
    <t>AOOContinuingDecline.qualifier</t>
  </si>
  <si>
    <t>AOODetails.breedingRange</t>
  </si>
  <si>
    <t>AOODetails.breedingRangeJustification</t>
  </si>
  <si>
    <t>AOODetails.nonbreedingRange</t>
  </si>
  <si>
    <t>AOODetails.nonbreedingRangeJustification</t>
  </si>
  <si>
    <t>AOOExtremeFluctuation.isFluctuating</t>
  </si>
  <si>
    <t>AOOExtremeFluctuation.justification</t>
  </si>
  <si>
    <t>AreaRestricted.isRestricted</t>
  </si>
  <si>
    <t>AreaRestricted.justification</t>
  </si>
  <si>
    <t>AvgAnnualFecundity.fecundity</t>
  </si>
  <si>
    <t>AvgReproductiveAge.age</t>
  </si>
  <si>
    <t>AvgReproductiveAge.units</t>
  </si>
  <si>
    <t>BirthSize.size</t>
  </si>
  <si>
    <t>Congregatory.value</t>
  </si>
  <si>
    <t>CropWildRelative.isRelative</t>
  </si>
  <si>
    <t>CurrentTrendDataDerivation.value</t>
  </si>
  <si>
    <t>DepthLower.limit</t>
  </si>
  <si>
    <t>DepthUpper.limit</t>
  </si>
  <si>
    <t>DepthZone.depthZone</t>
  </si>
  <si>
    <t>EOO.justification</t>
  </si>
  <si>
    <t>EOO.range</t>
  </si>
  <si>
    <t>EOOContinuingDecline.isContinuingDecline</t>
  </si>
  <si>
    <t>EOOContinuingDecline.justification</t>
  </si>
  <si>
    <t>EOOContinuingDecline.qualifier</t>
  </si>
  <si>
    <t>EOOExtremeFluctuation.isFluctuating</t>
  </si>
  <si>
    <t>EOOExtremeFluctuation.justification</t>
  </si>
  <si>
    <t>EggLaying.layEggs</t>
  </si>
  <si>
    <t>ElevationLower.limit</t>
  </si>
  <si>
    <t>ElevationUpper.limit</t>
  </si>
  <si>
    <t>ExtinctionProbabilityGenerations3.justification</t>
  </si>
  <si>
    <t>ExtinctionProbabilityGenerations3.range</t>
  </si>
  <si>
    <t>ExtinctionProbabilityGenerations5.justification</t>
  </si>
  <si>
    <t>ExtinctionProbabilityGenerations5.range</t>
  </si>
  <si>
    <t>ExtinctionProbabilityYears100.justification</t>
  </si>
  <si>
    <t>ExtinctionProbabilityYears100.range</t>
  </si>
  <si>
    <t>FemaleMaturityAge.age</t>
  </si>
  <si>
    <t>FemaleMaturityAge.units</t>
  </si>
  <si>
    <t>FemaleMaturitySize.size</t>
  </si>
  <si>
    <t>FreeLivingLarvae.hasStage</t>
  </si>
  <si>
    <t>GenerationLength.justification</t>
  </si>
  <si>
    <t>GenerationLength.quality</t>
  </si>
  <si>
    <t>GenerationLength.range</t>
  </si>
  <si>
    <t>GestationTime.time</t>
  </si>
  <si>
    <t>GestationTime.units</t>
  </si>
  <si>
    <t>HabitatContinuingDecline.isDeclining</t>
  </si>
  <si>
    <t>HabitatContinuingDecline.justification</t>
  </si>
  <si>
    <t>HabitatContinuingDecline.qualifier</t>
  </si>
  <si>
    <t>IdentificationDescription.text</t>
  </si>
  <si>
    <t>InPlaceEducationControlled.note</t>
  </si>
  <si>
    <t>InPlaceEducationControlled.value</t>
  </si>
  <si>
    <t>InPlaceEducationInternationalLegislation.note</t>
  </si>
  <si>
    <t>InPlaceEducationInternationalLegislation.value</t>
  </si>
  <si>
    <t>InPlaceEducationSubjectToPrograms.note</t>
  </si>
  <si>
    <t>InPlaceEducationSubjectToPrograms.value</t>
  </si>
  <si>
    <t>InPlaceLandWaterProtectionAreaPlanned.note</t>
  </si>
  <si>
    <t>InPlaceLandWaterProtectionAreaPlanned.value</t>
  </si>
  <si>
    <t>InPlaceLandWaterProtectionInPA.note</t>
  </si>
  <si>
    <t>InPlaceLandWaterProtectionInPA.value</t>
  </si>
  <si>
    <t>InPlaceLandWaterProtectionInvasiveControl.note</t>
  </si>
  <si>
    <t>InPlaceLandWaterProtectionInvasiveControl.value</t>
  </si>
  <si>
    <t>InPlaceLandWaterProtectionPercentProtected.note</t>
  </si>
  <si>
    <t>InPlaceLandWaterProtectionPercentProtected.value</t>
  </si>
  <si>
    <t>InPlaceLandWaterProtectionSitesIdentified.note</t>
  </si>
  <si>
    <t>InPlaceLandWaterProtectionSitesIdentified.value</t>
  </si>
  <si>
    <t>InPlaceResearchMonitoringScheme.note</t>
  </si>
  <si>
    <t>InPlaceResearchMonitoringScheme.value</t>
  </si>
  <si>
    <t>InPlaceResearchRecoveryPlan.note</t>
  </si>
  <si>
    <t>InPlaceResearchRecoveryPlan.value</t>
  </si>
  <si>
    <t>InPlaceSpeciesManagementExSitu.note</t>
  </si>
  <si>
    <t>InPlaceSpeciesManagementExSitu.value</t>
  </si>
  <si>
    <t>InPlaceSpeciesManagementHarvestPlan.note</t>
  </si>
  <si>
    <t>InPlaceSpeciesManagementHarvestPlan.value</t>
  </si>
  <si>
    <t>InPlaceSpeciesManagementReintroduced.note</t>
  </si>
  <si>
    <t>InPlaceSpeciesManagementReintroduced.value</t>
  </si>
  <si>
    <t>LiveBirth.liveBirth</t>
  </si>
  <si>
    <t>Livelihoods.noInfo</t>
  </si>
  <si>
    <t>LocationContinuingDecline.inDecline</t>
  </si>
  <si>
    <t>LocationContinuingDecline.justification</t>
  </si>
  <si>
    <t>LocationContinuingDecline.qualifier</t>
  </si>
  <si>
    <t>LocationExtremeFluctuation.isFluctuating</t>
  </si>
  <si>
    <t>LocationExtremeFluctuation.justification</t>
  </si>
  <si>
    <t>LocationsNumber.justification</t>
  </si>
  <si>
    <t>LocationsNumber.range</t>
  </si>
  <si>
    <t>Longevity.longevity</t>
  </si>
  <si>
    <t>Longevity.units</t>
  </si>
  <si>
    <t>MaleMaturityAge.age</t>
  </si>
  <si>
    <t>MaleMaturityAge.units</t>
  </si>
  <si>
    <t>MaleMaturitySize.size</t>
  </si>
  <si>
    <t>MatureIndividualsSubpopulation.value</t>
  </si>
  <si>
    <t>MaxSize.size</t>
  </si>
  <si>
    <t>MaxSubpopulationSize.range</t>
  </si>
  <si>
    <t>MovementPatterns.pattern</t>
  </si>
  <si>
    <t>NaturalMortality.value</t>
  </si>
  <si>
    <t>NoThreats.noThreats</t>
  </si>
  <si>
    <t>NonConsumptiveUse.isNonConsumptiveUse</t>
  </si>
  <si>
    <t>NonConsumptiveUseDescription.narrative</t>
  </si>
  <si>
    <t>NotUtilized.isNotUtilized</t>
  </si>
  <si>
    <t>Parthenogenesis.exhibitsParthenogenesis</t>
  </si>
  <si>
    <t>PopulationContinuingDecline.isDeclining</t>
  </si>
  <si>
    <t>PopulationContinuingDecline.justification</t>
  </si>
  <si>
    <t>PopulationContinuingDecline.qualifier</t>
  </si>
  <si>
    <t>PopulationDeclineGenerations1.justification</t>
  </si>
  <si>
    <t>PopulationDeclineGenerations1.qualifier</t>
  </si>
  <si>
    <t>PopulationDeclineGenerations1.range</t>
  </si>
  <si>
    <t>PopulationDeclineGenerations2.justification</t>
  </si>
  <si>
    <t>PopulationDeclineGenerations2.qualifier</t>
  </si>
  <si>
    <t>PopulationDeclineGenerations2.range</t>
  </si>
  <si>
    <t>PopulationDeclineGenerations3.justification</t>
  </si>
  <si>
    <t>PopulationDeclineGenerations3.qualifier</t>
  </si>
  <si>
    <t>PopulationDeclineGenerations3.range</t>
  </si>
  <si>
    <t>PopulationExtremeFluctuation.isFluctuating</t>
  </si>
  <si>
    <t>PopulationExtremeFluctuation.justification</t>
  </si>
  <si>
    <t>PopulationIncreaseRate.narrative</t>
  </si>
  <si>
    <t>PopulationReductionFuture.direction</t>
  </si>
  <si>
    <t>PopulationReductionFuture.justification</t>
  </si>
  <si>
    <t>PopulationReductionFuture.qualifier</t>
  </si>
  <si>
    <t>PopulationReductionFuture.range</t>
  </si>
  <si>
    <t>PopulationReductionFutureBasis.detail</t>
  </si>
  <si>
    <t>PopulationReductionFutureBasis.value</t>
  </si>
  <si>
    <t>PopulationReductionPast.direction</t>
  </si>
  <si>
    <t>PopulationReductionPast.justification</t>
  </si>
  <si>
    <t>PopulationReductionPast.qualifier</t>
  </si>
  <si>
    <t>PopulationReductionPast.range</t>
  </si>
  <si>
    <t>PopulationReductionPastBasis.detail</t>
  </si>
  <si>
    <t>PopulationReductionPastBasis.value</t>
  </si>
  <si>
    <t>PopulationReductionPastCeased.value</t>
  </si>
  <si>
    <t>PopulationReductionPastReversible.value</t>
  </si>
  <si>
    <t>PopulationReductionPastUnderstood.value</t>
  </si>
  <si>
    <t>PopulationReductionPastandFuture.direction</t>
  </si>
  <si>
    <t>PopulationReductionPastandFuture.justification</t>
  </si>
  <si>
    <t>PopulationReductionPastandFuture.numYears</t>
  </si>
  <si>
    <t>PopulationReductionPastandFuture.qualifier</t>
  </si>
  <si>
    <t>PopulationReductionPastandFuture.range</t>
  </si>
  <si>
    <t>PopulationReductionPastandFutureBasis.detail</t>
  </si>
  <si>
    <t>PopulationReductionPastandFutureBasis.value</t>
  </si>
  <si>
    <t>PopulationReductionPastandFutureCeased.value</t>
  </si>
  <si>
    <t>PopulationReductionPastandFutureReversible.value</t>
  </si>
  <si>
    <t>PopulationReductionPastandFutureUnderstood.value</t>
  </si>
  <si>
    <t>PopulationSize.range</t>
  </si>
  <si>
    <t>ReproductivePeriodicity.value</t>
  </si>
  <si>
    <t>SevereFragmentation.isFragmented</t>
  </si>
  <si>
    <t>SevereFragmentation.justification</t>
  </si>
  <si>
    <t>SubpopulationContinuingDecline.isDeclining</t>
  </si>
  <si>
    <t>SubpopulationContinuingDecline.justification</t>
  </si>
  <si>
    <t>SubpopulationContinuingDecline.qualifier</t>
  </si>
  <si>
    <t>SubpopulationExtremeFluctuation.isFluctuating</t>
  </si>
  <si>
    <t>SubpopulationExtremeFluctuation.justification</t>
  </si>
  <si>
    <t>SubpopulationNumber.justification</t>
  </si>
  <si>
    <t>SubpopulationNumber.range</t>
  </si>
  <si>
    <t>SubpopulationSingle.value</t>
  </si>
  <si>
    <t>ThreatsUnknown.value</t>
  </si>
  <si>
    <t>TrendInDomesticOfftake.value</t>
  </si>
  <si>
    <t>TrendInWildOfftake.value</t>
  </si>
  <si>
    <t>UTCaptiveHarvest.value</t>
  </si>
  <si>
    <t>UTHarvestTrendComments.narrative</t>
  </si>
  <si>
    <t>UTIntlCommercialValue.value</t>
  </si>
  <si>
    <t>UTLocalLivelihood.localcommercial</t>
  </si>
  <si>
    <t>UTLocalLivelihood.localcommercialDetail</t>
  </si>
  <si>
    <t>UTLocalLivelihood.subsistence</t>
  </si>
  <si>
    <t>UTLocalLivelihood.subsistenceRationale</t>
  </si>
  <si>
    <t>UTNatlCommercialValue.value</t>
  </si>
  <si>
    <t>UseTradeNoInformation.value</t>
  </si>
  <si>
    <t>WaterBreeding.value</t>
  </si>
  <si>
    <t>YearOfPopulationEstimate.value</t>
  </si>
  <si>
    <t>Colombia</t>
  </si>
  <si>
    <t>CountryOccurrence.CountryOccurrenceSubfield.formerlyBred</t>
  </si>
  <si>
    <t>CountryOccurrence.CountryOccurrenceSubfield.CountryOccurrenceName</t>
  </si>
  <si>
    <t>CountryOccurrence.CountryOccurrenceSubfield.seasonality</t>
  </si>
  <si>
    <t>CountryOccurrence.CountryOccurrenceSubfield.presence</t>
  </si>
  <si>
    <t>CountryOccurrence.CountryOccurrenceSubfield.origin</t>
  </si>
  <si>
    <t>CountryOccurrence.CountryOccurrenceSubfield.CountryOccurrenceLookup</t>
  </si>
  <si>
    <t>language</t>
  </si>
  <si>
    <t>name</t>
  </si>
  <si>
    <t>primary</t>
  </si>
  <si>
    <t>BiogeographicRealm.realm</t>
  </si>
  <si>
    <t>ConservationActionsDocumentation.narrative</t>
  </si>
  <si>
    <t>HabitatDocumentation.narrative</t>
  </si>
  <si>
    <t>MapStatus.status</t>
  </si>
  <si>
    <t>PopulationDocumentation.narrative</t>
  </si>
  <si>
    <t>PopulationTrend.value</t>
  </si>
  <si>
    <t>RangeDocumentation.narrative</t>
  </si>
  <si>
    <t>RedListAssessmentDate.value</t>
  </si>
  <si>
    <t>RedListCriteria.critVersion</t>
  </si>
  <si>
    <t>RedListCriteria.dataDeficientReason</t>
  </si>
  <si>
    <t>RedListCriteria.isManual</t>
  </si>
  <si>
    <t>RedListCriteria.manualCategory</t>
  </si>
  <si>
    <t>RedListCriteria.manualCriteria</t>
  </si>
  <si>
    <t>RedListCriteria.manualCriteriaString</t>
  </si>
  <si>
    <t>RedListCriteria.possiblyExtinct</t>
  </si>
  <si>
    <t>RedListCriteria.possiblyExtinctCandidate</t>
  </si>
  <si>
    <t>RedListCriteria.yearLastSeen</t>
  </si>
  <si>
    <t>RedListRationale.value</t>
  </si>
  <si>
    <t>RedListReasonsForChange.catCritChanges</t>
  </si>
  <si>
    <t>RedListReasonsForChange.changeReasons</t>
  </si>
  <si>
    <t>RedListReasonsForChange.otherReason</t>
  </si>
  <si>
    <t>RedListReasonsForChange.timeframe</t>
  </si>
  <si>
    <t>RedListReasonsForChange.type</t>
  </si>
  <si>
    <t>System.value</t>
  </si>
  <si>
    <t>ThreatsDocumentation.value</t>
  </si>
  <si>
    <t>UseTradeDocumentation.value</t>
  </si>
  <si>
    <t>language.value</t>
  </si>
  <si>
    <t>RECOMMENDED</t>
  </si>
  <si>
    <t>unit</t>
  </si>
  <si>
    <t>Tab</t>
  </si>
  <si>
    <t>Data Point</t>
  </si>
  <si>
    <t>Description</t>
  </si>
  <si>
    <t>Data Type</t>
  </si>
  <si>
    <t>File</t>
  </si>
  <si>
    <t>ClassificationType</t>
  </si>
  <si>
    <t>Needed in Import</t>
  </si>
  <si>
    <t>should be unique - hopefully the external system will have one - IS REQUIRED</t>
  </si>
  <si>
    <t>Short text</t>
  </si>
  <si>
    <t>usetrade.csv</t>
  </si>
  <si>
    <t>Short Text</t>
  </si>
  <si>
    <t>Single Select</t>
  </si>
  <si>
    <t>GeneralHabitats.GeneralHabitatsSubfield.GeneralHabitatsLookup</t>
  </si>
  <si>
    <t>GeneralHabitats.GeneralHabitatsSubfield.GeneralHabitatsName</t>
  </si>
  <si>
    <t>GeneralHabitats.GeneralHabitatsSubfield.suitability</t>
  </si>
  <si>
    <t>GeneralHabitats.GeneralHabitatsSubfield.season</t>
  </si>
  <si>
    <t>GeneralHabitats.GeneralHabitatsSubfield.majorImportance</t>
  </si>
  <si>
    <t>PlantGrowthForms.PlantGrowthFormsSubfield.PlantGrowthFormsLookup</t>
  </si>
  <si>
    <t>PlantGrowthForms.PlantGrowthFormsSubfield.PlantGrowthFormsName</t>
  </si>
  <si>
    <t>Boolean</t>
  </si>
  <si>
    <t>UTEndUse.UTEndUseSubfield.UTEndUseLookup</t>
  </si>
  <si>
    <t>Selected Coding Option</t>
  </si>
  <si>
    <t>UTEndUse.UTEndUseSubfield.UTEndUseName</t>
  </si>
  <si>
    <t>Provide the description here if you have it e.g. Food - animal</t>
  </si>
  <si>
    <t>UTEndUse.UTEndUseSubfield.international</t>
  </si>
  <si>
    <t>International</t>
  </si>
  <si>
    <t>UTEndUse.UTEndUseSubfield.national</t>
  </si>
  <si>
    <t>National</t>
  </si>
  <si>
    <t>UTEndUse.UTEndUseSubfield.other</t>
  </si>
  <si>
    <t>Other (please specify)</t>
  </si>
  <si>
    <t>UTEndUse.UTEndUseSubfield.subsistence</t>
  </si>
  <si>
    <t>Subsistence</t>
  </si>
  <si>
    <t>Threats.ThreatsSubfield.ThreatsLookup</t>
  </si>
  <si>
    <t>Threats.ThreatsSubfield.ThreatsName</t>
  </si>
  <si>
    <t>Threats.ThreatsSubfield.timing</t>
  </si>
  <si>
    <t>Threats.ThreatsSubfield.scope</t>
  </si>
  <si>
    <t>Threats.ThreatsSubfield.severity</t>
  </si>
  <si>
    <t>Threats.ThreatsSubfield.StressesSubfield.stress</t>
  </si>
  <si>
    <t>Threats.ThreatsSubfield.StressesSubfield.stressdesc</t>
  </si>
  <si>
    <t>Threats.ThreatsSubfield.ancestry</t>
  </si>
  <si>
    <t>Threats.ThreatsSubfield.ias</t>
  </si>
  <si>
    <t>Threats.ThreatsSubfield.internationalTrade</t>
  </si>
  <si>
    <t>Threats.ThreatsSubfield.text</t>
  </si>
  <si>
    <t>Threats.ThreatsSubfield.virus</t>
  </si>
  <si>
    <t>ConservationActions.ConservationActionsSubfield.ConservationActionsLookup</t>
  </si>
  <si>
    <t>ConservationActions.ConservationActionsSubfield.ConservationActionsName</t>
  </si>
  <si>
    <t>ConservationActions.ConservationActionsSubfield.note</t>
  </si>
  <si>
    <t>Research.ResearchSubfield.ResearchLookup</t>
  </si>
  <si>
    <t>Research.ResearchSubfield.ResearchName</t>
  </si>
  <si>
    <t>Research.ResearchSubfield.note</t>
  </si>
  <si>
    <t>type</t>
  </si>
  <si>
    <t>externalBibCode</t>
  </si>
  <si>
    <t>author</t>
  </si>
  <si>
    <t>year</t>
  </si>
  <si>
    <t>title</t>
  </si>
  <si>
    <t>secondary_author</t>
  </si>
  <si>
    <t>secondary_title</t>
  </si>
  <si>
    <t>place_published</t>
  </si>
  <si>
    <t>publisher</t>
  </si>
  <si>
    <t>volume</t>
  </si>
  <si>
    <t>number_of_volumes</t>
  </si>
  <si>
    <t>number</t>
  </si>
  <si>
    <t>pages</t>
  </si>
  <si>
    <t>access_date</t>
  </si>
  <si>
    <t>section</t>
  </si>
  <si>
    <t>edition</t>
  </si>
  <si>
    <t>date</t>
  </si>
  <si>
    <t>short_title</t>
  </si>
  <si>
    <t>alternate_title</t>
  </si>
  <si>
    <t>isbnissn</t>
  </si>
  <si>
    <t>keywords</t>
  </si>
  <si>
    <t>url</t>
  </si>
  <si>
    <t>submission_type</t>
  </si>
  <si>
    <t>Reference_type</t>
  </si>
  <si>
    <t>speciesName</t>
  </si>
  <si>
    <t>infrarankName</t>
  </si>
  <si>
    <t>speciesAuthor</t>
  </si>
  <si>
    <t>infrarankAuthor</t>
  </si>
  <si>
    <t>campo</t>
  </si>
  <si>
    <t>order</t>
  </si>
  <si>
    <t>REINO</t>
  </si>
  <si>
    <t>PHYLLUM</t>
  </si>
  <si>
    <t>CLASE</t>
  </si>
  <si>
    <t>ORDEN</t>
  </si>
  <si>
    <t>FAMILIA</t>
  </si>
  <si>
    <t>ESPECIE</t>
  </si>
  <si>
    <t>AUTOR</t>
  </si>
  <si>
    <t>TIPO
DISPERSION</t>
  </si>
  <si>
    <t>FECHA DE EVALUACIÓN</t>
  </si>
  <si>
    <t>Campo</t>
  </si>
  <si>
    <t>Numero de celda</t>
  </si>
  <si>
    <t>Numero de campo SIS</t>
  </si>
  <si>
    <t>taxonomy</t>
  </si>
  <si>
    <t>synonyms</t>
  </si>
  <si>
    <t>commonnames</t>
  </si>
  <si>
    <t>plantspecific</t>
  </si>
  <si>
    <t>Plantgrowthforms.plantgrowthformssubfield.plantgrowthformsname</t>
  </si>
  <si>
    <t>allfields</t>
  </si>
  <si>
    <t>countries</t>
  </si>
  <si>
    <t>habitats</t>
  </si>
  <si>
    <t>usetrade</t>
  </si>
  <si>
    <t>threats</t>
  </si>
  <si>
    <t>conservationneeded</t>
  </si>
  <si>
    <t>INSTRUCCIONES GENERALES</t>
  </si>
  <si>
    <t>GEPC</t>
  </si>
  <si>
    <t>RESUMEN HABITAT Y ECOLOGÍA</t>
  </si>
  <si>
    <t>DISTANCIA MÁXIMA DE DISPERSIÓN</t>
  </si>
  <si>
    <t># SUBPOBLACIONES</t>
  </si>
  <si>
    <t># LOCALIDADES "locations"</t>
  </si>
  <si>
    <t>% OCURRENCIAS EN AREAS PROTEGIDAS</t>
  </si>
  <si>
    <t>% HUELLA HUMANA EN LA AOO</t>
  </si>
  <si>
    <t>assessments</t>
  </si>
  <si>
    <t>REPORTE DE "AMENAZAS DESCONOCIDAS" SIS</t>
  </si>
  <si>
    <t>REPORTE DE "NO AMENAZAS" SIS</t>
  </si>
  <si>
    <t>Universidad de Antioquia</t>
  </si>
  <si>
    <t>Assesor</t>
  </si>
  <si>
    <t>paumoralesm@gmail.com</t>
  </si>
  <si>
    <t>Paula A.</t>
  </si>
  <si>
    <t>P.A.</t>
  </si>
  <si>
    <t>Morales-Morales</t>
  </si>
  <si>
    <t>Asociación Colombiana de Herbarios</t>
  </si>
  <si>
    <t>luisamaria1796@gmail.com</t>
  </si>
  <si>
    <t>castroverde1989@gmail.com</t>
  </si>
  <si>
    <t>Jonatan</t>
  </si>
  <si>
    <t>J.</t>
  </si>
  <si>
    <t>Castro</t>
  </si>
  <si>
    <t>book</t>
  </si>
  <si>
    <t>journal article</t>
  </si>
  <si>
    <t>Nombre de la especie, sin el autor (para poderla ubicar fácilmente en el archivo).</t>
  </si>
  <si>
    <t>Comentarios a la dispersión. Campo de texto libre. 
Describir la fuente de donde se obtuvo el tipo de vector de dispersión, o decir si el tipo de dispersión fue inferida, y describir detalles conocidos de la dispersión.</t>
  </si>
  <si>
    <t>Información adicional sobre la especie o sobre la evaluación de lista roja.</t>
  </si>
  <si>
    <t>AUTORAS DE ESTE ARCHIVO</t>
  </si>
  <si>
    <t>Procedimiento para obtener los 14 archivos .csv necesarios para subir la información a través de "SIS Connect"</t>
  </si>
  <si>
    <t>INSTRUCCIONES PARA MANEJO DE CRÉDITOS
Pestaña "credits"</t>
  </si>
  <si>
    <t>INSTRUCCIONES PARA MANEJO DE REFERENCIAS
Pestaña "references"</t>
  </si>
  <si>
    <t>PROCEDIMIENTO PARA OBTENER LOS ARCHIVOS PARA EL SIS CONNECT</t>
  </si>
  <si>
    <t>NOMBRE CIENTÍFICO sin autor</t>
  </si>
  <si>
    <t>Luisa</t>
  </si>
  <si>
    <t>L.</t>
  </si>
  <si>
    <t>Arboleda-Restrepo</t>
  </si>
  <si>
    <t>herbario@udea.edu.co</t>
  </si>
  <si>
    <t>Herbarios</t>
  </si>
  <si>
    <t>COL HUA MO NY</t>
  </si>
  <si>
    <t>OJO:
En esta hoja BORRE la Columna A y las Filas 2 a la 11 (todo lo que esta con fondo cafecito y letra roja).
Este texto rojo NO debe ir en el archivo .csv final que se va a subir al SIS connect</t>
  </si>
  <si>
    <t>Número único que denota el orden de participación de cada persona en la evaluación de la especie.</t>
  </si>
  <si>
    <t>Iniciales del nombre de la persona.
Si son varias iniciales, separarlas por puntos, sin espacios, con punto final.
En el caso de instituciones dejar vacio.</t>
  </si>
  <si>
    <t>NO diligenciar</t>
  </si>
  <si>
    <t>Dirección de correo electrónico de la persona (sólo una dirección).
Este debe coincidir con el campo "email".
En el caso de instituciones dejar vacio.</t>
  </si>
  <si>
    <t>Nombre de la institución a la que pertenece la persona (sin comas, ni ningún otro signo de puntuación).</t>
  </si>
  <si>
    <t>Dirección de correo electrónico de la persona (sólo una dirección).
Este campo debe coincidir con el campo de "user_id".
Si la persona tiene una cuenta en las plataformas SIS, es ideal que use el email que tiene registrado en esta plataforma.</t>
  </si>
  <si>
    <t>Primer Nombre de la persona (sin puntos, ni comas, primera letra mayúscula), puede estar seguido de una inicial con punto al final.</t>
  </si>
  <si>
    <t>Primer Apellido de la persona (sin puntos, ni comas, primera letra mayúscula).
Si se desea que salgan dos apellidos, estos deben estar unidos por un guión y sin espacios.</t>
  </si>
  <si>
    <t>https://www.iucnredlist.org/</t>
  </si>
  <si>
    <t>19-11-2019</t>
  </si>
  <si>
    <t>IUCN</t>
  </si>
  <si>
    <t>Número interno del proyecto asignado para la especie, el que tiene en la pestaña "BASE MAESTRA".</t>
  </si>
  <si>
    <t>41-43</t>
  </si>
  <si>
    <t>1022-1031</t>
  </si>
  <si>
    <t>Plan de conservacion para las Zamias plantas de Colombia</t>
  </si>
  <si>
    <t>Population dynamics of Zamia chigua in a gradient of habitat disturbance</t>
  </si>
  <si>
    <t>Red List of species</t>
  </si>
  <si>
    <r>
      <rPr>
        <b/>
        <sz val="10"/>
        <rFont val="Arial Narrow"/>
        <family val="2"/>
      </rPr>
      <t>Recomendaciones importantes para diligenciar la Pestaña "credits"</t>
    </r>
    <r>
      <rPr>
        <sz val="10"/>
        <rFont val="Arial Narrow"/>
        <family val="2"/>
      </rPr>
      <t xml:space="preserve">
- El número de filas por especie (Internal Taxon ID) debe ser igual al número de personas involucradas en la evaluación de esa especie.
- Cada persona involucrada en la evaluación de una especie debe tener un NÚMERO ÚNICO asignado en la jerarquía ("order") de participación. 
  Si dos o más personas tienen participación equivalente en la evaluación, se debe definir un orden, no pueden tener el mismo número en la jerarquía.
- Si en la evaluación de alguna especie alguna función del orden jerárquico preestablecido no está cubierta por alguna persona, se obvia y se continua la numeración.
- No se acepta incluir más de un email por persona.
- Está bien si los créditos son idénticos para todas las especies, en cuyo caso sólo sería cuestión de diligenciar las filas de información para la primera especie y luego copiar esas filas cuantas veces sea necesario (según el número de especies evaluadas).</t>
    </r>
  </si>
  <si>
    <t>REPORTE DE CONSERVACION EXSITU</t>
  </si>
  <si>
    <t>GÉNERO DE SINÓNIMOS</t>
  </si>
  <si>
    <t>LISTA DE SINÓNIMOS con autor</t>
  </si>
  <si>
    <t>EPÍTETO DE SINONIMOS</t>
  </si>
  <si>
    <t>AUTORES DE SINÓNIMOS</t>
  </si>
  <si>
    <t>NOMBRE COMÚN PRINCIPAL</t>
  </si>
  <si>
    <t>CÓDIGO SIS USOS</t>
  </si>
  <si>
    <t>DESCRIPCIÓN DE USOS Y COMERCIO</t>
  </si>
  <si>
    <t>CÓDIGO SIS PAÍS TEXTO</t>
  </si>
  <si>
    <t>CÓDIGO SIS ORIGEN</t>
  </si>
  <si>
    <t>CÓDIGO SIS PRESENCIA</t>
  </si>
  <si>
    <t>LÍMITE INFERIOR RANGO ALTITUDINAL</t>
  </si>
  <si>
    <t>LÍMITE SUPERIOR RANGO ALTITUDINAL</t>
  </si>
  <si>
    <t>CÓDIGO SIS REGIÓN BIOGEOGRÁFICA</t>
  </si>
  <si>
    <t>DESCRIPCIÓN DISTRIBUCIÓN GEOGRÁFICA</t>
  </si>
  <si>
    <t>CÓDIGO SIS MAPA</t>
  </si>
  <si>
    <t>CÓDIGO SIS TERRESTRE O ACUÁTICA</t>
  </si>
  <si>
    <t>CÓDIGO SIS CALIDAD DEL HÁBITAT</t>
  </si>
  <si>
    <t>CÓDIGO SIS TIPO DE HÁBITAT</t>
  </si>
  <si>
    <t>DESCRIPCIÓN HÁBITAT GENERAL</t>
  </si>
  <si>
    <t>DESCRIPCIÓN ECOLOGÍA GENERAL</t>
  </si>
  <si>
    <t>EOO (km2)</t>
  </si>
  <si>
    <t>AOO (km2)</t>
  </si>
  <si>
    <t>CÓDIGO SIS FRAGMENTACIÓN</t>
  </si>
  <si>
    <t>DESCRIPCIÓN DE DISMINUCIÓN CONTINUA HÁBITAT SIS</t>
  </si>
  <si>
    <t>DESCRIPCIÓN TAMAÑO POBLACIONAL Y DEMOGRAFÍA</t>
  </si>
  <si>
    <t>DESCRIPCIÓN AMENAZAS</t>
  </si>
  <si>
    <t>CÓDIGO SIS AMENAZAS</t>
  </si>
  <si>
    <t>CÓDIGO SIS TIEMPO DE LAS AMENAZAS</t>
  </si>
  <si>
    <t>CÓDIGO SIS TENDENCIA POBLACIONAL</t>
  </si>
  <si>
    <t>CÓDIGO SIS FUENTE DE LA TENDENCIA POBLACIONAL</t>
  </si>
  <si>
    <t>CÓDIGO SIS CONSERVACIÓN REQUERIDA</t>
  </si>
  <si>
    <t>CÓDIGO SIS INVESTIGACION REQUERIDA</t>
  </si>
  <si>
    <t>CÓDIGO SIS CATEGORÍA LISTA ROJA</t>
  </si>
  <si>
    <t>LISTA DE CRITERIOS Y SUBCRITERIOS SIS</t>
  </si>
  <si>
    <t>REPORTE DE CRITERIOS ingreso manual</t>
  </si>
  <si>
    <t>REPORTE DE VERSIÓN DE CRITERIOS</t>
  </si>
  <si>
    <t>REPORTE RAZÓN CATEGORIA DD</t>
  </si>
  <si>
    <t>REPORTE CATEGORIA EX</t>
  </si>
  <si>
    <t>DESCRIPICIÓN JUSTIFICACION EVALUACIÓN DE LISTA ROJA</t>
  </si>
  <si>
    <t>CÓDIGO SIS LENGUAJE DE LA EVALUACIÓN</t>
  </si>
  <si>
    <t>LISTA DE CONTRIBUYENTES: PERSONAS</t>
  </si>
  <si>
    <t>LISTA DE CONTRIBUYENTES: INSTITUCIONES</t>
  </si>
  <si>
    <t>LISTA DE EVALUADORES</t>
  </si>
  <si>
    <t>LISTA DE REVISORES</t>
  </si>
  <si>
    <t>Número interno del taxón
"internal_taxon_id"</t>
  </si>
  <si>
    <t>GÉNERO</t>
  </si>
  <si>
    <t>CÓDIGO SIS LENGUAJE DEL NOMBRE COMÚN PRINCIPAL</t>
  </si>
  <si>
    <t>REPORTE USO INDIRECTO SIS</t>
  </si>
  <si>
    <t>CÓDIGO SIS PAÍS</t>
  </si>
  <si>
    <t>DESCRIPCIÓN DE FRAGMENTACIÓN SIS</t>
  </si>
  <si>
    <t>DESCRIPCIÓN DE DISMINUCIÓN CONTINUA SUBPOBLACIONES SIS</t>
  </si>
  <si>
    <t>CÓDIGO SIS DISMINUCIÓN CONTINUA SUBPOBLACIONES</t>
  </si>
  <si>
    <t>REPORTE SUBPOBLACIONES DESAPARECIDAS</t>
  </si>
  <si>
    <t>5. Crea una carpeta comprimida .zip con los 14 archivos .csv de tus evaluaciones. El nombre de esta carpeta lo elige el usuario, y debe ser un nombre corto y sencillo alusivo al grupo de especies evaluadas.</t>
  </si>
  <si>
    <t>6. Ingresa a la plataforma web del "SIS Connect" y crea un "workingset". En este "working set" se carga la carpeta .zip con la información de las especies. Sigue en esa plataforma web todas las instrucciones…</t>
  </si>
  <si>
    <r>
      <t xml:space="preserve">    NO ELIMINE O MODIFIQUE LA INFORMACION A CONTINUACION
</t>
    </r>
    <r>
      <rPr>
        <sz val="11"/>
        <color rgb="FFFF0000"/>
        <rFont val="Calibri"/>
        <family val="2"/>
        <scheme val="minor"/>
      </rPr>
      <t xml:space="preserve">      Los códigos en las filas siguientes son usados para introducir de manera automática la información que se consigna en la pestaña "base maestra"
      a las pestañas correspondientes para luego crear los archivos .csv a subir a la plataforma "sis connect"</t>
    </r>
  </si>
  <si>
    <t>Published</t>
  </si>
  <si>
    <t>#</t>
  </si>
  <si>
    <t>Biotropica</t>
  </si>
  <si>
    <t>ATBC Press</t>
  </si>
  <si>
    <t>OJO:
Antes de crear la csv, copie esta hoja en otra de excel y BORRE la Columna A y las Filas 2 a la 5 (todo lo que esta con fondo cafecito y letra roja).
Este texto rojo NO debe ir en el archivo .csv final que se va a subir al SIS connect</t>
  </si>
  <si>
    <t>Lopez-Gallego C.</t>
  </si>
  <si>
    <t>Lopez-Gallego C., Morales P.A. y Taborda D.</t>
  </si>
  <si>
    <t>Tipo de contribución de la persona a la evaluación de lista roja.
Opciones=
Assesor : son los EVALUADORES, quienes hicieron análisis de toda la información y asignaron la categoría de lista roja a la especie.
Contributor : son los CONTRIBUYENTES, quienes aportaron a la evaluación de la especie (búsqueda de información, georreferenciación, estimación de parámetros, etc.)
Reviewer: son los REVISORES, asignados por el GEPC o la IUCN y quienes revisan las evaluaciones un vez finalizadas.
Facilitator: son los FACILITADORES, en caso de que la evaluación de la especie se haya realizado en un Taller facilitado por gente de la IUCN. 
Taxonomos???</t>
  </si>
  <si>
    <t>% PARCHES PEQUEÑOS Y AISLADOS</t>
  </si>
  <si>
    <t>electronic source</t>
  </si>
  <si>
    <t>Need this for all the files to link together to the taxonomy</t>
  </si>
  <si>
    <t>Internal Taxon ID</t>
  </si>
  <si>
    <t>allfields.csv</t>
  </si>
  <si>
    <t>assessments.csv</t>
  </si>
  <si>
    <t>commonnames.csv</t>
  </si>
  <si>
    <t>conservationneeded.csv</t>
  </si>
  <si>
    <t>researchneeded.csv</t>
  </si>
  <si>
    <t>plantspecific.csv</t>
  </si>
  <si>
    <t>countries.csv</t>
  </si>
  <si>
    <t>credits.csv</t>
  </si>
  <si>
    <t>habitats.csv</t>
  </si>
  <si>
    <t>references.csv</t>
  </si>
  <si>
    <t>synonyms.csv</t>
  </si>
  <si>
    <t>taxonomy.csv</t>
  </si>
  <si>
    <t>threats.csv</t>
  </si>
  <si>
    <t>fao.csv</t>
  </si>
  <si>
    <t>lme.csv</t>
  </si>
  <si>
    <t>Distribution</t>
  </si>
  <si>
    <t>Geographic Range</t>
  </si>
  <si>
    <t>Geographic Range Information. This is required for all the assessments apart from Least Concern (LC)</t>
  </si>
  <si>
    <t>Long Text/Narrative</t>
  </si>
  <si>
    <t>AOO</t>
  </si>
  <si>
    <t>Estimated area of occupancy (AOO) – in km2</t>
  </si>
  <si>
    <t>Range</t>
  </si>
  <si>
    <t>Justification</t>
  </si>
  <si>
    <t>Range of breeding area (AOO)</t>
  </si>
  <si>
    <t>Justification of breeding area (AOO)</t>
  </si>
  <si>
    <t>Range of non-breeding area (AOO)</t>
  </si>
  <si>
    <t>Justification of non-breeding area (AOO)</t>
  </si>
  <si>
    <t>Continuing decline in area of occupancy (AOO). This field can take the following values: "1" (meaning true), "0" (meaning false), or "U" (meaning “unknown”)</t>
  </si>
  <si>
    <t>Boolean Range</t>
  </si>
  <si>
    <t>Qualifier</t>
  </si>
  <si>
    <t>Extreme fluctuations in area of occupancy (AOO). This field can take the following values: "1" (meaning true), "0" (meaning false), or "U" (meaning “unknown”)</t>
  </si>
  <si>
    <t>EOO</t>
  </si>
  <si>
    <t>Estimated extent of occurrence (EOO)- in km2</t>
  </si>
  <si>
    <t>Continuing decline in extent of occurrence (EOO). This field can take the following values: "1" (meaning true), "0" (meaning false), or "U" (meaning “unknown”)</t>
  </si>
  <si>
    <t>Extreme fluctuations in extent of occurrence (EOO). This field can take the following values: "1" (meaning true), "0" (meaning false), or "U" (meaning “unknown”)</t>
  </si>
  <si>
    <t>EOODetails.breedingRange</t>
  </si>
  <si>
    <t>Estimated extent of occurrence (EOO) for the breeding range- in km2 (relevant to breeding species)</t>
  </si>
  <si>
    <t>EOODetails.nonbreedingRange</t>
  </si>
  <si>
    <t>Estimated extent of occurrence (EOO) for the non-breeding range- in km2</t>
  </si>
  <si>
    <t>Locations</t>
  </si>
  <si>
    <t>Number of Locations</t>
  </si>
  <si>
    <t>Continuing decline in number of locations. This field can take the following values: "1" (meaning true), "0" (meaning false), or "U" (meaning “unknown”)</t>
  </si>
  <si>
    <t>Extreme fluctuations in the number of locations. This field can take the following values: "1" (meaning true), "0" (meaning false), or "U" (meaning “unknown”)</t>
  </si>
  <si>
    <t>Very Restricted</t>
  </si>
  <si>
    <t>Very restricted in area of occupancy (AOO) and/or # of locations. This field can take the following values: "1" (meaning true), "0" (meaning false), or "U" (meaning “unknown”)</t>
  </si>
  <si>
    <t>Elevation/Depth</t>
  </si>
  <si>
    <t>Elevation Lower Limit (in metres above sea level)</t>
  </si>
  <si>
    <t>Numeric</t>
  </si>
  <si>
    <t>Elevation Upper Limit (in metres above sea level)</t>
  </si>
  <si>
    <t>Depth Lower Limit (in metres below sea level)</t>
  </si>
  <si>
    <t>Depth Upper Limit (in metres below sea level)</t>
  </si>
  <si>
    <t>Depth Zone</t>
  </si>
  <si>
    <t>Multiple Select</t>
  </si>
  <si>
    <t>Map Status</t>
  </si>
  <si>
    <t>Biogeographic Realms</t>
  </si>
  <si>
    <t>Biogeographic Realm (separated by pipes ("|") if multiple)</t>
  </si>
  <si>
    <t>CONDITIONAL</t>
  </si>
  <si>
    <t>Occurrence</t>
  </si>
  <si>
    <t>Countries</t>
  </si>
  <si>
    <t>Selected Coding Option (provide ISO), e.g. JP</t>
  </si>
  <si>
    <t>Country Name, e.g. Japan</t>
  </si>
  <si>
    <t>Presence</t>
  </si>
  <si>
    <t>Formerly Bred. This field can take the following values: 1 (meaning "Yes"), 2 (meaning "No"), or 3 (meaning "Unknown")</t>
  </si>
  <si>
    <t>Boolean Unknown</t>
  </si>
  <si>
    <t>Origin</t>
  </si>
  <si>
    <t>Seasonality</t>
  </si>
  <si>
    <t>LME</t>
  </si>
  <si>
    <t>LME's are only required for Marine species</t>
  </si>
  <si>
    <t>LargeMarineEcosystems.LargeMarineEcosystemsSubfield.LargeMarineEcosystemsLookup</t>
  </si>
  <si>
    <t>Selected Coding Option, e.g. 2.1.1;</t>
  </si>
  <si>
    <t>LargeMarineEcosystems.LargeMarineEcosystemsSubfield.LargeMarineEcosystemsName</t>
  </si>
  <si>
    <t>Large Marine Ecosystem Name, e.g. Mediterranean Sea</t>
  </si>
  <si>
    <t>LargeMarineEcosystems.LargeMarineEcosystemsSubfield.presence</t>
  </si>
  <si>
    <t>LargeMarineEcosystems.LargeMarineEcosystemsSubfield.formerlyBred</t>
  </si>
  <si>
    <t>LargeMarineEcosystems.LargeMarineEcosystemsSubfield.origin</t>
  </si>
  <si>
    <t>LargeMarineEcosystems.LargeMarineEcosystemsSubfield.seasonality</t>
  </si>
  <si>
    <t>FAO</t>
  </si>
  <si>
    <t>FAO's are only required for Marine species</t>
  </si>
  <si>
    <t>FAOOccurrence.FAOOccurrenceSubfield.FAOOccurrenceLookup</t>
  </si>
  <si>
    <t>Selected Coding Option, e.g. 18</t>
  </si>
  <si>
    <t>FAOOccurrence.FAOOccurrenceSubfield.FAOOccurrenceName</t>
  </si>
  <si>
    <t>FAO Occurance Name, e.g. Arctic Sea</t>
  </si>
  <si>
    <t>FAOOccurrence.FAOOccurrenceSubfield.presence</t>
  </si>
  <si>
    <t>FAOOccurrence.FAOOccurrenceSubfield.formerlyBred</t>
  </si>
  <si>
    <t>FAOOccurrence.FAOOccurrenceSubfield.origin</t>
  </si>
  <si>
    <t>FAOOccurrence.FAOOccurrenceSubfield.seasonality</t>
  </si>
  <si>
    <t>Population</t>
  </si>
  <si>
    <t>Documentation</t>
  </si>
  <si>
    <t>Population Information.This is required for all the assessments apart from Least Concern (LC)</t>
  </si>
  <si>
    <t>Current Population Trend - only if not EX, Ew</t>
  </si>
  <si>
    <t>Population Size (mature individuals)</t>
  </si>
  <si>
    <t>Source or origin of current trend data</t>
  </si>
  <si>
    <t>Year of Population Estimate</t>
  </si>
  <si>
    <t>Float</t>
  </si>
  <si>
    <t>Extreme fluctuations? (in # of mature individuals). This field can take the following values: "1" (meaning true), "0" (meaning false), or "U" (meaning “unknown”)</t>
  </si>
  <si>
    <t>Severely fragmented? This field can take the following values: "1" (meaning true), "0" (meaning false), or "U" (meaning “unknown”)</t>
  </si>
  <si>
    <t>Continuing decline in mature individuals? This field can take the following values: "1" (meaning true), "0" (meaning false), or "U" (meaning “unknown”)</t>
  </si>
  <si>
    <t>Continuing decline % in mature individuals within 1 generation or 3 years, whichever is longer, note to not go 100 years in future</t>
  </si>
  <si>
    <t>Continuing decline % in mature individuals within 2 generations or 5 years, whichever is longer, note to not go 100 years in future</t>
  </si>
  <si>
    <t>Continuing decline % in mature individuals within 3 generations or 10 years, whichever is longer, note to not go 100 years in future</t>
  </si>
  <si>
    <t>Extreme fluctuations in the number of subpopulations. This field can take the following values: "1" (meaning true), "0" (meaning false), or "U" (meaning “unknown”)</t>
  </si>
  <si>
    <t>Continuing decline in number of subpopulations. This field can take the following values: "1" (meaning true), "0" (meaning false), or "U" (meaning “unknown”)</t>
  </si>
  <si>
    <t>All individuals in one subpopulation. This field can take the following values: "1" (meaning true), "0" (meaning false), or "U" (meaning “unknown”)</t>
  </si>
  <si>
    <t>Size of the largest subpopulation? (in mature individuals)</t>
  </si>
  <si>
    <t>Number of Subpopulations</t>
  </si>
  <si>
    <t>Number of mature individuals in largest subpopulation</t>
  </si>
  <si>
    <t>Justification of probability of extinction in the wild within 3 generations or 10 years, whichever is longer, maximum 100 year</t>
  </si>
  <si>
    <t>Probability of extinction in the wild within 3 generations or 10 years, whichever is longer, maximum 100 year</t>
  </si>
  <si>
    <t>Justification of probability of extinction in the wild within 5 generations or 20 years, whichever is longer, maximum 100 years</t>
  </si>
  <si>
    <t>Probability of extinction in the wild within 5 generations or 20 years, whichever is longer, maximum 100 years</t>
  </si>
  <si>
    <t>Justification of probability of extinction in the wild within 100 years</t>
  </si>
  <si>
    <t>Probability of extinction in the wild within 100 years</t>
  </si>
  <si>
    <t>Past Reduction</t>
  </si>
  <si>
    <t>Percent Change in past</t>
  </si>
  <si>
    <t>Reduction or Increase</t>
  </si>
  <si>
    <t>Past Population Reduction Basis</t>
  </si>
  <si>
    <t>Decline In…</t>
  </si>
  <si>
    <t>Causes of past reduction reversible? This field can take the following values: "1" (meaning true), "0" (meaning false), or "U" (meaning “unknown”)</t>
  </si>
  <si>
    <t>Causes of past reduction understood? This field can take the following values: "1" (meaning true), "0" (meaning false), or "U" (meaning “unknown”)</t>
  </si>
  <si>
    <t>Causes of past reduction ceased? This field can take the following values: "1" (meaning true), "0" (meaning false), or "U" (meaning “unknown”)</t>
  </si>
  <si>
    <t>Future Reduction</t>
  </si>
  <si>
    <t>Percent Change in future</t>
  </si>
  <si>
    <t>Future Population Reduction Basis</t>
  </si>
  <si>
    <t>Ongoing Reduction</t>
  </si>
  <si>
    <t>Both: Percent Change over any 10 year or 3 generation period, whichever is longer, and must include both past and future, future can’t go beyond 100 years</t>
  </si>
  <si>
    <t>Number of years for this period</t>
  </si>
  <si>
    <t>Both Population Reduction Basis</t>
  </si>
  <si>
    <t>Causes of both (past and future) reduction reversible? This field can take the following values: "1" (meaning true), "0" (meaning false), or "U" (meaning “unknown”)</t>
  </si>
  <si>
    <t>Causes of both (past and future) reduction understood? This field can take the following values: "1" (meaning true), "0" (meaning false), or "U" (meaning “unknown”)</t>
  </si>
  <si>
    <t>Causes of both (past and future) reduction ceased? This field can take the following values: "1" (meaning true), "0" (meaning false), or "U" (meaning “unknown”)</t>
  </si>
  <si>
    <t>Habitats and Ecology</t>
  </si>
  <si>
    <t>Habitat Information.This is required for all the assessments apart from Least Concern (LC)</t>
  </si>
  <si>
    <t>Coded Habitats</t>
  </si>
  <si>
    <t>Selected Coding Option, e.g. 3.4</t>
  </si>
  <si>
    <t>Habitat description, e.g. Shrubland -&gt;Shrubland - Temperate</t>
  </si>
  <si>
    <t>Suitability - defaults to suitable if not provided</t>
  </si>
  <si>
    <t>Season information for species that move</t>
  </si>
  <si>
    <t>Major Importance?</t>
  </si>
  <si>
    <t>Hab. Decline</t>
  </si>
  <si>
    <t>Continuing decline in area, extent and/or quality of habitat? This field can take the following values: "1" (meaning true), "0" (meaning false), or "U" (meaning “unknown”)</t>
  </si>
  <si>
    <t>Life History</t>
  </si>
  <si>
    <t>Generation Length</t>
  </si>
  <si>
    <t>Age at Maturity: Female</t>
  </si>
  <si>
    <t>Units:</t>
  </si>
  <si>
    <t>Age at Maturity: Male</t>
  </si>
  <si>
    <t>Size at Maturity (in cms): Female</t>
  </si>
  <si>
    <t>Size at Maturity (in cms): Male</t>
  </si>
  <si>
    <t>Longevity</t>
  </si>
  <si>
    <t>Average Reproductive Age</t>
  </si>
  <si>
    <t>Maximum Size (in cms)</t>
  </si>
  <si>
    <t>Size at Birth (in cms)</t>
  </si>
  <si>
    <t>Gestation Time</t>
  </si>
  <si>
    <t>Reproductive Periodicity</t>
  </si>
  <si>
    <t>Average Annual Fecundity or Litter Size</t>
  </si>
  <si>
    <t>Annual Rate of Population Increase</t>
  </si>
  <si>
    <t>Natural Mortality</t>
  </si>
  <si>
    <t>Does the species lay eggs? This field can take the following values: 1 (meaning "Yes"), 2 (meaning "No"), or 3 (meaning "Unknown")</t>
  </si>
  <si>
    <t>Does the species give birth to live young. This field can take the following values: 1 (meaning "Yes"), 2 (meaning "No"), or 3 (meaning "Unknown")</t>
  </si>
  <si>
    <t>Does the species exhibit parthenogenesis. This field can take the following values: 1 (meaning "Yes"), 2 (meaning "No"), or 3 (meaning "Unknown")</t>
  </si>
  <si>
    <t>Does the species have a free-living larval stage? This field can take the following values: 1 (meaning "Yes"), 2 (meaning "No"), or 3 (meaning "Unknown")</t>
  </si>
  <si>
    <t>Does the species require water for breeding? This field can take the following values: 1 (meaning "Yes"), 2 (meaning "No"), or 3 (meaning "Unknown")</t>
  </si>
  <si>
    <t>Movement Patterns</t>
  </si>
  <si>
    <t>Congregatory</t>
  </si>
  <si>
    <t>Systems</t>
  </si>
  <si>
    <t>System (can have more than one value, separated by pipes ("|"))</t>
  </si>
  <si>
    <t>Plant Specific</t>
  </si>
  <si>
    <t>Applies to Plant species</t>
  </si>
  <si>
    <t>Wild relative of a crop?</t>
  </si>
  <si>
    <t>Needed for plants</t>
  </si>
  <si>
    <t>Selected Coding Option i.e. the Code for the Plants e.g. for Tree - Large , its TL. See the list if not clear</t>
  </si>
  <si>
    <t>Provide the description here if you have it e.g. Tree - Large</t>
  </si>
  <si>
    <t>Use and Trade</t>
  </si>
  <si>
    <t>General Use and Trade Information</t>
  </si>
  <si>
    <t>Species not utilized</t>
  </si>
  <si>
    <t>No use/trade information for this species</t>
  </si>
  <si>
    <t>General notes regarding trade and use of this species</t>
  </si>
  <si>
    <t>Subsistence. This field can take the following values: 1 (meaning "Yes"), 2 (meaning "No"), or 3 (meaning "Unknown")</t>
  </si>
  <si>
    <t xml:space="preserve">Rationale       </t>
  </si>
  <si>
    <t>Local Commercial. This field can take the following values: 1 (meaning "Yes"), 2 (meaning "No"), or 3 (meaning "Unknown")</t>
  </si>
  <si>
    <t>Further detail including information on economic value if available</t>
  </si>
  <si>
    <t>National Commercial Value. This field can take the following values: 1 (meaning "Yes"), 2 (meaning "No"), or 3 (meaning "Unknown")</t>
  </si>
  <si>
    <t>International Commercial Value. This field can take the following values: 1 (meaning "Yes"), 2 (meaning "No"), or 3 (meaning "Unknown")</t>
  </si>
  <si>
    <t>Selections for End Use</t>
  </si>
  <si>
    <t>Trends</t>
  </si>
  <si>
    <t>Is there harvest from captive/cultivated sources of this species? This field can take the following values: 1 (meaning "Yes"), 2 (meaning "No"), or 3 (meaning "Unknown")</t>
  </si>
  <si>
    <t>Trend in level of total offtake from wild sources</t>
  </si>
  <si>
    <t>Trend in level of total offtake from domesticated sources</t>
  </si>
  <si>
    <t>Harvest Trend Comments</t>
  </si>
  <si>
    <t>Non-consumptive</t>
  </si>
  <si>
    <t>Non-consumptive use of the species?</t>
  </si>
  <si>
    <t>Explanation of non-consumptive use:</t>
  </si>
  <si>
    <t>Livelihoods</t>
  </si>
  <si>
    <t>No Livelihood Information</t>
  </si>
  <si>
    <t>Threats Information.This is required for all the assessments apart from Least Concern (LC)</t>
  </si>
  <si>
    <t>Coded Threats</t>
  </si>
  <si>
    <t>either NoThreats or Classification provided</t>
  </si>
  <si>
    <t>No past, ongoing, or future threats exist to this species.</t>
  </si>
  <si>
    <t>The threats to this species are unknown.</t>
  </si>
  <si>
    <t>Selected Coding Option, e.g. 9.4</t>
  </si>
  <si>
    <t>new</t>
  </si>
  <si>
    <t>Threats Description, e.g. Garbage &amp; solid waste</t>
  </si>
  <si>
    <t>Timing</t>
  </si>
  <si>
    <t>Scope</t>
  </si>
  <si>
    <t>Severity</t>
  </si>
  <si>
    <t>Note: will need to be handled as a special case, most likely</t>
  </si>
  <si>
    <t>The stresses associated to the Threat; the codes only here</t>
  </si>
  <si>
    <t xml:space="preserve">YES - but should work as a Multiple Select. There can be multiple stresses for a Threat. Please separate multiple stresses by a | </t>
  </si>
  <si>
    <t>The descriptive part</t>
  </si>
  <si>
    <t>For IAS Taxa, Mammals only</t>
  </si>
  <si>
    <t>Applies to threats 8.1.2, 8.2.2, 8.4.2, 8.5.2 - you need to provide the name of the species else it will fail</t>
  </si>
  <si>
    <t>Applies to threats 5.1.1, 5.2.1, 5.3.1, 5.3.2, 5.4.1, 5.4.2</t>
  </si>
  <si>
    <t>Applies to unspecified 8.x.1 threats (8.1.1, 8.2.1, 8.4.1, 8.5.1)</t>
  </si>
  <si>
    <t>Applies to threat 8.5.2</t>
  </si>
  <si>
    <t>Conservation</t>
  </si>
  <si>
    <t>Conservation Actions Information</t>
  </si>
  <si>
    <t>In-Place</t>
  </si>
  <si>
    <t>Action Recovery Plan</t>
  </si>
  <si>
    <t>Note</t>
  </si>
  <si>
    <t>Systematic monitoring scheme</t>
  </si>
  <si>
    <t>Conservation sites identified</t>
  </si>
  <si>
    <t>Occur in at least one PA</t>
  </si>
  <si>
    <t>Percentage of population protected by PAs (0-100)</t>
  </si>
  <si>
    <t>Area based regional management plan</t>
  </si>
  <si>
    <t>Invasive species control or prevention</t>
  </si>
  <si>
    <t>Harvest management plan</t>
  </si>
  <si>
    <t>Successfully reintroduced or introduced benignly</t>
  </si>
  <si>
    <t>Subject to ex-situ conservation</t>
  </si>
  <si>
    <t>Subject to recent education and awareness programmes</t>
  </si>
  <si>
    <t>Included in international legislation</t>
  </si>
  <si>
    <t>Subject to any international management/trade controls</t>
  </si>
  <si>
    <t>Conservation Needed</t>
  </si>
  <si>
    <t>Selected Coding Option, e.g. 1.1</t>
  </si>
  <si>
    <t>Description, e.g. Site/area protection</t>
  </si>
  <si>
    <t>Research Needed</t>
  </si>
  <si>
    <t>Selected Coding Option, 1.5</t>
  </si>
  <si>
    <t>Description, e.g. Research -&gt; Threats</t>
  </si>
  <si>
    <t>Red List Assessment</t>
  </si>
  <si>
    <t>Red List Status</t>
  </si>
  <si>
    <t>Red List Criteria Version - see http://api-dev.iucnsis.org/lookups/redlistcriteria_critversionlookup/all</t>
  </si>
  <si>
    <t>Should always be true</t>
  </si>
  <si>
    <t>The Red List assessment Category value. They should take one of the values : CR, DD, EN, EW, EX,LC,NE,NR,NT,VU</t>
  </si>
  <si>
    <t>Only required if CR, EN, VU</t>
  </si>
  <si>
    <t>A tokenised Red List assessment criteria string. This must comprise of individual criteria tokens, separated by commas. For example, the following criteria string: "B1ab(ii,iii,iv,v)+2ab(ii,iii,iv,v)" should be represented as follows: "B1a,B1bii,B1biii,B1biv,B1bv,B2a,B2bii,B2biii,B2biv,B2bv". You may also use the pipe character (|) to delimit criteria tokens, for example: "B1a|B1bii|B1biii|B1biv|B1bv|B2a|B2bii|B2biii|B2biv|B2bv". Note: this field takes precedence over RedListCriteria.manualCriteriaString. If both are provided, only RedListCriteria.manualCriteria is considered.</t>
  </si>
  <si>
    <t>A literal Red List assessment criteria string. This should only be used in cases where it is impractical to provide criteria tokens via the RedListCriteria.manualCriteria field.  Example: "B1ab(ii,iii,iv,v)+2ab(ii,iii,iv,v)". This field is ignored when RedListCriteria.manualCriteria is present.</t>
  </si>
  <si>
    <t>Possibly Extinct - should be TRUE or FALSE. It will be FALSE by default, and a TRUE value will only be accepted if TRUE is provided</t>
  </si>
  <si>
    <t>Possibly Extinct in the Wild -  should be TRUE or FALSE. It will be FALSE by default, and a TRUE value will only be accepted if TRUE is provided</t>
  </si>
  <si>
    <t>Date Last Seen (only for EX, EW, or Possibly EX species): (NOTE: Year format)</t>
  </si>
  <si>
    <t>Reason for Data deficiency, either Provenance or Taxonomic - for DD species only</t>
  </si>
  <si>
    <t>Assessment Information</t>
  </si>
  <si>
    <t>Date of Assessment (dd/mm/yyyy e.g 25/12/2014)</t>
  </si>
  <si>
    <t>Date</t>
  </si>
  <si>
    <t>Assessment Rationale</t>
  </si>
  <si>
    <t>Rationale for the Red List Assessment</t>
  </si>
  <si>
    <t>Reasons for Change</t>
  </si>
  <si>
    <t>only if the species has been re-assessed and was previously assessed using version 2.1 or higher</t>
  </si>
  <si>
    <t>Reason(s) for Change in Red List Category from the Previous Assessment</t>
  </si>
  <si>
    <t>Reason:</t>
  </si>
  <si>
    <t>Reason(s):</t>
  </si>
  <si>
    <t>Please Specify:</t>
  </si>
  <si>
    <t>Assessment language</t>
  </si>
  <si>
    <t>Language.value</t>
  </si>
  <si>
    <t>The language of the assessment. For a list of valid options, please visit http://connect.iucnredlist.org/sis_lookups and search for "language.value". By default, this should be "English".</t>
  </si>
  <si>
    <t>ADDITIONAL FIELDS</t>
  </si>
  <si>
    <t>class and order are reserved words</t>
  </si>
  <si>
    <t>Genus part of the name</t>
  </si>
  <si>
    <t>create parent if only subspecies</t>
  </si>
  <si>
    <t>not required for animals subs</t>
  </si>
  <si>
    <t>Authority for the taxon</t>
  </si>
  <si>
    <t>changed</t>
  </si>
  <si>
    <t>This should be one of: ssp., var., fma., or subsp. REQUIRED if infra_name is present</t>
  </si>
  <si>
    <t>subspecies or variety name</t>
  </si>
  <si>
    <t>authors/ref for the infra-specific data. REQUIRED if infra_name is present</t>
  </si>
  <si>
    <t>optional</t>
  </si>
  <si>
    <t>integer</t>
  </si>
  <si>
    <t>Taxonomic Notes</t>
  </si>
  <si>
    <t>Identification description for the species</t>
  </si>
  <si>
    <t>Type of publication. Should be one of: book,book section,computer program,conference paper,conference proceedings,edited book,electronic source,journal,journal article,magazine article,manuscript,newspaper article,other,report,rldb,thesis</t>
  </si>
  <si>
    <t>This stores a number that links to other reference software such as EndNote, Reference Manager, etc.</t>
  </si>
  <si>
    <t>Number</t>
  </si>
  <si>
    <t>REQUIRED: book, book section, journal, journal article, report</t>
  </si>
  <si>
    <t>Authors of the publication.</t>
  </si>
  <si>
    <t>Year of publication.</t>
  </si>
  <si>
    <t>Title of journal article, book etc.</t>
  </si>
  <si>
    <t>REQUIRED: book section</t>
  </si>
  <si>
    <t>Editor</t>
  </si>
  <si>
    <t>REQUIRED: book section, journal article, report</t>
  </si>
  <si>
    <t>Book/journal title</t>
  </si>
  <si>
    <t>REQUIRED: book, book section, journal, report</t>
  </si>
  <si>
    <t>Location of Publisher.</t>
  </si>
  <si>
    <t>REQUIRED: book, book section, journal</t>
  </si>
  <si>
    <t>Name of Publisher.</t>
  </si>
  <si>
    <t>REQUIRED: journal article</t>
  </si>
  <si>
    <t>Volume</t>
  </si>
  <si>
    <t>The number of volumes.</t>
  </si>
  <si>
    <t>REQUIRED: book section, journal article</t>
  </si>
  <si>
    <t>The number of pages of the publication.</t>
  </si>
  <si>
    <t>Date when source was accessed</t>
  </si>
  <si>
    <t>Section of a newspaper, for example.</t>
  </si>
  <si>
    <t>The Edition of the publication.</t>
  </si>
  <si>
    <t>The exact date of the publication.</t>
  </si>
  <si>
    <t>Short title of the Publication.</t>
  </si>
  <si>
    <t>Any alternate title for the Publication.</t>
  </si>
  <si>
    <t>The ISBN/ISSN of the Publication.</t>
  </si>
  <si>
    <t>Any Keywords for the Publication.</t>
  </si>
  <si>
    <t>The address of the website.</t>
  </si>
  <si>
    <t>Published/ In press / Submitted / In prep</t>
  </si>
  <si>
    <t>could be both</t>
  </si>
  <si>
    <t>This field refers to which type of resource this reference applies to. It is particularly here to differentiate between references at the Taxonomy level and Assessment level. So currently, it would only take 2 values: Taxonomy and Assessment</t>
  </si>
  <si>
    <t>Short Text Multiple Select</t>
  </si>
  <si>
    <t>Required if present</t>
  </si>
  <si>
    <t>Genus name (or complete name for upper-level taxa)</t>
  </si>
  <si>
    <t>short text</t>
  </si>
  <si>
    <t>Species name</t>
  </si>
  <si>
    <t>Infrarank name</t>
  </si>
  <si>
    <t>example: ssp, var</t>
  </si>
  <si>
    <t>COMMON NAMES</t>
  </si>
  <si>
    <t>one entry per each name</t>
  </si>
  <si>
    <t>Language name. For a list of valid options, please visit http://connect.iucnredlist.org/sis_lookups and search for "commonname_languagelookup". Example: "English"</t>
  </si>
  <si>
    <t>Common name of species</t>
  </si>
  <si>
    <t>If the name is a primary one: true or false (empty is false)</t>
  </si>
  <si>
    <t>Note: This information is collected at the assessment level, not the user level, but you may certainly collect it here if you want to manually mitigate the data. CS</t>
  </si>
  <si>
    <t>Please specify whether it's Assessor, Contributor, Facilitator or Reviewer</t>
  </si>
  <si>
    <t>N/A</t>
  </si>
  <si>
    <t>Assessment</t>
  </si>
  <si>
    <t>OBSERVACIONES A DISPERSIÓN</t>
  </si>
  <si>
    <t>​RedListReasonsForChange.catCritChanges</t>
  </si>
  <si>
    <t>REPORTE DE NOMBRE COMÚN PRINCIPAL SIS</t>
  </si>
  <si>
    <r>
      <t xml:space="preserve">EJEMPLO </t>
    </r>
    <r>
      <rPr>
        <sz val="9"/>
        <color rgb="FF0070C0"/>
        <rFont val="Arial Narrow"/>
        <family val="2"/>
      </rPr>
      <t>(para una especie con # como internal_taxon_id)
BORRAR estas filas del ejemplo. Este texto rojo NO debe ir en al archivo -csv</t>
    </r>
  </si>
  <si>
    <t>REPORTE DE NO USO SIS</t>
  </si>
  <si>
    <t>CÓDIGO SIS ALCANCE DE LAS AMENAZAS</t>
  </si>
  <si>
    <t>CÓDIGO SIS SEVERIDAD DE LAS AMENAZAS</t>
  </si>
  <si>
    <t>CÓDIGO SIS PRESIONES RESULTADO DE AMENAZAS</t>
  </si>
  <si>
    <t>DESCRIPCIÓN ACCIONES DE CONSERVACIÓN</t>
  </si>
  <si>
    <t>REPORTE DE PRESENCIA EN AREAS PROTEGIDAS</t>
  </si>
  <si>
    <t>LISTADO DE AREAS PROTEGIDAS CON OCURRENCIAS</t>
  </si>
  <si>
    <t>LISTADO DE COLECCIONES EXSITU CON INDIVIDUOS</t>
  </si>
  <si>
    <t>CÓDIGO SIS TIPO DE CAMBIO DE CATEGORÍA</t>
  </si>
  <si>
    <t>CÓDIGO SIS NO CAMBIO DE CATEGORÍA</t>
  </si>
  <si>
    <t>CÓDIGO SIS CAMBIOS GENUINOS Y NO-GENUINOS</t>
  </si>
  <si>
    <t>COMENTARIOS DE LA REVISIÓN POR EXPERTOS</t>
  </si>
  <si>
    <t>REFERENCIAS BIBLIOGRÁFICAS</t>
  </si>
  <si>
    <t>Descripción combinada del hábitat y ecología de la especie.
Campo de texto libre!
Este campo se construye CONCATENANDO (funcion de excel) la información incluída en los campos de "Hábitat General" y "Ecología" (ya que en el SIS estos dos campos están unidos).</t>
  </si>
  <si>
    <t>MIRAR LAS INSTRUCCIONES EN LA PESTAÑA "README" SOBRE MANEJO DE LAS REFERENCIAS BIBLOGRÁFICAS.</t>
  </si>
  <si>
    <t>reasonforchangejustification.narrative</t>
  </si>
  <si>
    <r>
      <t xml:space="preserve">EJEMPLO </t>
    </r>
    <r>
      <rPr>
        <sz val="9"/>
        <color theme="7" tint="-0.499984740745262"/>
        <rFont val="Arial Narrow"/>
        <family val="2"/>
      </rPr>
      <t>(para una especie con # como internal_taxon_id)
BORRAR estas filas del ejemplo. Este texto marrón NO debe ir en al archivo -csv</t>
    </r>
  </si>
  <si>
    <t>OBLIGATORIO. Declarar (según las opciones del SIS/ en inglés/ como aparece acá abajo)/ el tipo de recurso bibliográfico.
Opciones=
Assessment : este debe ser el tipo de la mayoría de los recursos bibliográficos/ que son los usados para la evaluación/ de donde de recopiló información para la especie de su ecología/ estado de conservación/ etc.
Taxonomy : este tipo es SOLO para las referencias bibliográficas que tengan que ver con soluciones a problemas nomenclaturales de la especie.</t>
  </si>
  <si>
    <t>Condicional. Si es un recurso de internet/ es OBLIGATORIO especificar la fecha en que se visitó de la página web.
Formato: dd-mm-yyyy (día-mes-año).
Si no es un recurso de internet/ dejar la celda vacía.</t>
  </si>
  <si>
    <t>Opcional, llenar celda con N/A</t>
  </si>
  <si>
    <t>CAMPO OBLIGATORIO. Especificar el autor(es) del recurso bibliográfico. Si son varios autores, separar por comas.
Cada autor debe citarce solamente con su Apellido + Inicial(es) del nombre con punto final sin espacio. Si son varias iniciales, separarlas por puntos, sin espacios, con punto final. Si se desean usar dos apellidos, separarlos con guión medio y sin espacios. Evite usar tildes u otros caracteres que no se usan en inglés. Si son mas de dos autores deben usar un "y" para publicaciones en Español o "and" para publicaciones en inglés, antes del último autor.
Ejemplos:
Lopez-Gallego C.
Lopez-Gallego C., Morales P.A. y Taborda D.</t>
  </si>
  <si>
    <t>Opcional, Dejar celda vacia</t>
  </si>
  <si>
    <t>CAMPO OBLIGATORIO. Número interno del proyecto asignado para la especie/ el que le corresponde en la pestaña "BASE MAESTRA".</t>
  </si>
  <si>
    <t>Incluir en esta celda el número de volumen en el caso de árticulos de revista (Journal Article)</t>
  </si>
  <si>
    <t>Especifique el rango de páginas usadas del recurso bibliográfico.
Formato: página inicial + guión medio + página final (sin espacios/ sin puntos ni comas).
Si esto no aplica para el recurso bibliográfico, diligenciar la celda con N/A</t>
  </si>
  <si>
    <t>CAMPO OBLIGATORIO. Especifique el país de publicación del recurso bibliográfico (sin puntos ni comas).</t>
  </si>
  <si>
    <t>CAMPO OBLIGATORIO. Especifique el nombre de la editorial o quien publica el recurso bibliográfico (sin puntos ni comas).</t>
  </si>
  <si>
    <t>Campo Obligatorio para los articulos de revista, poner aca el nombre de la revista, evite abreviaturas.
En el caso de "book section" (capítulo de libro) usar para titulo principal del libro. En el caso de "book" usar para titulo secundario.
Para otro tipo de fuentes bibliográficas, diligenciar celda con N/A</t>
  </si>
  <si>
    <t>CAMPO OBLIGATORIO. Declar (según las opciones del SIS/ en inglés/ como aparece acá abajo) el estado de la publicación. Elegir sólo una opción.
Opciones=
Published / In press / Submitted / In prep</t>
  </si>
  <si>
    <t>CAMPO OBLIGATORIO. Especificar el título de la publicación. Use el texto más sencillo posible (si puede tener signos de puntuación).</t>
  </si>
  <si>
    <t>CAMPO OBLIGATORIO
Declarar (según las opciones del SIS/ en inglés/ como aparece acá abajo) el tipo de publicación. Elegir sólo una opción.
Opciones=
book/ book section/ computer program/ conference paper/ conference proceedings/ edited book/ electronic source/ journal/ journal article/ magazine article/ manuscript/ newspaper article/ other/ report/ rldb/ thesis</t>
  </si>
  <si>
    <t>Campo obligatorio para los recursos electrónicos. Sin embargo es deseable incluirlo si los otros tipos de referencias lo tienen.
Especificar la URL o la página web de acceso al recurso, para artículos de revista usar enlace DOI (No usar páginas de baja credibilidad como Wikipedia o enlaces que incluyan Sci-Hub)
Si no es un recurso de internet/ dejar la celda vacía.</t>
  </si>
  <si>
    <t>En el caso de que aplique (como para artículos de revista)/ especifique el número del volumen de la publicación.
Si esto no aplica, diligenciar la celda con N/A</t>
  </si>
  <si>
    <t>CAMPO OBLIGATORIO. Especifique el año de publicación del recurso bibliográfico, sin puntos ni comas.
Para las páginas web usar la fecha de actualización.</t>
  </si>
  <si>
    <t>Celda OBLIGATORIO para el caso de capítulos de libro, opcional para el caso de libros. Ingresar aquí los editores del libro. De lo contrario diligenciar celda con N/A
El formato es inverso a la casilla de autor: 
Ejemplo: 
R. Bernal, M. Celis y R. Gradstein</t>
  </si>
  <si>
    <t>Instituto de Investigaciones Biológicas Alexander von Humboldt</t>
  </si>
  <si>
    <t>UMBRAL PARCHE PEQUEÑO</t>
  </si>
  <si>
    <t>CÓDIGO SIS DISMINUCIÓN CONTINUA HÁBITAT</t>
  </si>
  <si>
    <t>CÓDIGO SIS FUENTE DE LA DISM. CONTINUA HÁBITAT</t>
  </si>
  <si>
    <t>CÓDIGO SIS FUENTE DE LA DISM. CONTINUA SUBPOBLACIONES</t>
  </si>
  <si>
    <t>REPORTE EVALUACIÓN PREVIA DE LR OFICIAL</t>
  </si>
  <si>
    <t>Autor(es) del nombre científico de acuerdo con IPNI (International Plant Name Index)</t>
  </si>
  <si>
    <t>RLU2020</t>
  </si>
  <si>
    <t>RLU 2020</t>
  </si>
  <si>
    <t>RLU 2021</t>
  </si>
  <si>
    <t>OBSERVACIONES ADICIONALES</t>
  </si>
  <si>
    <t>Este campo va en todos los .csv para reconocer la especie</t>
  </si>
  <si>
    <t>Persona quien recopila y diligencia la información sobre la especie en este archivo.</t>
  </si>
  <si>
    <t>NINGUNO</t>
  </si>
  <si>
    <t>LISTA DE EXPERTOS TAXÓNOMOS</t>
  </si>
  <si>
    <t>Encargad@</t>
  </si>
  <si>
    <t>Número interno del proyecto asignado para la especie (DEBE ser este consecutivo del 1 al 200 que ya está diligenciado para esta columna, NO lo cambies, pues si lo cambias no funcionarán las fórmulas en las pestañas para los archivos .csv).  Todas los archivos .CSV incluyen esta columna con este CÓDIGO ÚNICO (# interno del taxón) para una especie = debe ser igual siempre en todos los archivos para poder reconocer la especie!</t>
  </si>
  <si>
    <t>REFERENCIA DEL TIPO</t>
  </si>
  <si>
    <t xml:space="preserve">Género de sinónimos. Si son varios, separarlos por coma y espacio.
Si es el mismo género para varios sinónimos, repetir la palabra cuantas veces sea necesario.
Si la especie no tiene sinónimos reportados, rellenar con N/A
</t>
  </si>
  <si>
    <t xml:space="preserve">Epíteto especifico de sinónimos. Si son varios, separarlos por coma y espacio.
Si son varios sinónimos, se debe seguir el orden de sus géneros correspondientes en la columna anterior. 
Si la especie no tiene sinónimos reportados, rellenar con N/A
</t>
  </si>
  <si>
    <t>Autor de sinónimos (siguiendo IPNI). Si son varios, separar por coma y espacio. No usar punto final a menos que lo incluya el nombre de autor.
Si son varios, se debe conservar el mismo orden que en la columna anterior de forma que corresponda a los epiptetos y géneros de las columnas. 
Si la especie no tiene sinónimos reportados, rellenar con N/A</t>
  </si>
  <si>
    <t>Código SIS (sólo la sigla en mayúsculas) de los países donde la especie ocurre. Si son varios países, separar por coma y espacio.
Opciones= 
CO : Colombia
PA : Panama
VE : Venezuela
BR : Brazil
PE : Peru
EC : Ecuador
Para ver otros códigos de países ir a http://connect.iucnredlist.org/sis_classifications/128/findvalues</t>
  </si>
  <si>
    <t>Código SIS (según las opciones del SIS, en inglés, tal cual como aparecen acá abajo) del nombre completo del paíes (sin sigla y sin tildes) en donde ocurre la especie. Si hay varios países, separar por coma y espacio.
Opciones= 
CO : Colombia
PA : Panama
VE : Venezuela
BR : Brazil
PE : Peru
EC : Ecuador
Para ver otros códigos de países ir a http://connect.iucnredlist.org/sis_classifications/128/findvalues</t>
  </si>
  <si>
    <t>Código SIS (según las opciones del SIS, en inglés, tal cual como aparecen acá abajo) sobre si la especie es nativa o introducida.
Opciones=
Native : la especie es nativa en el país (es la opción usada casi siempre)
Reintroduced : reintroducida luego de extinción en la distribución (no usamos mucho esta opción)
Introduced : introdución en sitios nuevos donde no se distribuia la especie (no usamos mucho esta opción)
Origin Uncertain : no se conoce el origen de la especie (no usamos mucho esta opción)</t>
  </si>
  <si>
    <t xml:space="preserve">Estimado de ConR (valor numérico entero, sin decimales). No usar puntos ni comas para indicar miles.
Si no se calculó (porque hay menos de tres ocurrencias o alguna otra razón) llenar la celda con N/A
</t>
  </si>
  <si>
    <t>Estimado de ConR (valor numérico entero, sin decimales). 
Si no se cuenta con esta información, llenar la celda con N/A</t>
  </si>
  <si>
    <t>Estimado de ConR (valor numérico entero, sin decimales). NO poner el signo "%"
Si no se cuenta con esta información, llenar la celda con N/A</t>
  </si>
  <si>
    <t>Estimado del Código R del GEPC (valor numérico entero, sin decimales). NO poner el signo "%"
Si no se cuenta con esta información, llenar la celda con N/A</t>
  </si>
  <si>
    <t>Estimado del Código R del GEPC, el reporte debe ser SI ó NO, según si se proponen subpoblaciones desaparecidas.</t>
  </si>
  <si>
    <t>Código SIS (según las opciones del SIS de YES/NO/Unknown) para reportar si la especie tiene "disminución continua" ESPECÍFICAMENTE por disminución del # SUBPOBLACIONES.
Se declara una especie con "disminución continua en el # subpoblaciones", si según los análisis de hábitat realizados con el Código R del GEPC se determinó que al menos una subpoblación ya desapareció por destrucción completa de tu hábitat.
Opciones=
YES : si hay disminución continua en # subpoblaciones
NO : no hay disminución continua en # subpoblaciones
Unknown: no se sabe si hay disminución continua en # subpoblaciones</t>
  </si>
  <si>
    <t>Código SIS (según las opciones del SIS de YES/NO/Unknown) para reportar si la especie presenta "fragmentación severa".
Se declará una especie con fragmentación severa si el % subpoblaciones en parches de hábitat pequeños y aislados es mayor al 50% (este porcentaje es según los lineamientos de la IUCN, no se puede cambiar), según los análisis de hábitat realizados con el Código R del GEPC.
Opciones= 
YES : si hay fragmentación severa
NO : no hay fragmentación severa
Unknown : no se sabe si hay fragmentación severa</t>
  </si>
  <si>
    <t>Declarar (según las opciones del SIS de TRUE/FALSE) si la especie SI tiene amenazas PERO NO SE SABE cuales son estas amenazas. Si la especie NO tiene amenazas, llenar la celda con N/A
Opciones=
TRUE : Si se asume que la especie SI tiene amenazas PERO NO SE SABE NADA sobre estas amenazas.
FALSE : SI se conocen las amenazas para la especie, y fueron declaradas en el campo de "Código SIS Amenazas".</t>
  </si>
  <si>
    <t>Código SIS (según las opciones del SIS, en inglés, tal cual como aparecen aca abajo) para reportar si la tendencia en la población fué inferida, observada, etc.
Opciones=
Unknown : si la tendencia de la población la declaramos desconocida en el campo anterior
Inferred : si inferimos la tendencia según la presencia de disminución continua en el hábitat (u otra variable proxy de la abundancia poblacional). Será la opcion en nuestras evalaciones (a menos de ya haya literatura para soportar alguna de las opciones siguientes)
Observed : si para la especie hay reportes de expertos o literatura sobre la tendencia poblacional
Estimated : sólo si se tiene modelos estadísticos para la tendencia poblacional
Suspected : sólo si un experto dio su opinión pero no hay evidencia concreta
Not Applicable : si no se sabe cómo se obtuvo la información de la tendencia poblacional</t>
  </si>
  <si>
    <t>Descripción general de los usos (o no uso) de la especie. Por favor especificar si el uso es de subsistencia o si es a mayor escala, y si existe comercialización de los individuos o de productos derivados del uso de la especie.
Campo de texto libre! Seguir el siguiente formato (incluyendo las citas o fuentes de información) e incluir un punto final:
- Si la especie SI es usada:
La especie es usada como [maderable / alimenticia / medicinal / etc.] por comunidades [campesinas / afroamericanas / indigenas ? / otras / en la región de  ?, si se sabe esto]. [Describir cómo se usa la especie de manera breve, si se sabe]. [Describir si la especie es sobre-explotada o no, y si usa para subsistencia y/o se comercializa]. [Si se desean reportar varios nombres comunes o agregar otra información etnobotánica se puede hacer acá].
- Si la especie NO es usada: 
No se han reportado usos para la especie.</t>
  </si>
  <si>
    <t>Descripción morfológica BREVE de la especie. Evitar demasiada prosa, jerga botánica y el uso de medidas de tamaños (excepto por la altura máxima). Esta NO es una descripción taxonómica formal, sólo es un párrafo para ilustrar la apariencia de la especie en la ficha de la evaluación de lista roja. En el texto reportar los números de 1 a 10 como palabras (no números), excepto cuando se estan citando las alturas.
Campo de texto libre! Seguir el siguiente formato (incluyendo las citas o fuentes de información) e incluir un punto final:
[Árbol / Arbusto / Hierba / otro tipo de hábito, si son varios repórtelos] de hasta X m de altura. Hojas [simples / compuestas], [alternas / opuestas / verticiladas]. [Flores solitarias / Inflorescencia en racimo / panícula / otro tipo], flores [color]. Fruto [baya / cápsula / otro tipo], [color]. Semillas [color, forma y descripción de arilo si lo presenta].</t>
  </si>
  <si>
    <t>Descripción general de la información ecológica disponible para la especie.
NO incluir acá información de abundancia o dinámica poblacional, esa información va en el campo del "Estado Poblacional"
Campo de texto libre! Seguir el siguiente formato (incluyendo las citas o fuentes de información) e incluir un punto final:
La especie es posiblemente polinizada por [insectos / vertebrados / viento] y dispersada por [gravedad / viento / insectos / vertebrados]. [Describir cualquier información que se reporte en literatura sobre la ecología de la especie, como asociaciones con microorganismos, fenología, etc.]. 
- Si no se puede decir nada de lo anterior para la especie, solo usar la siguiente oracion:
No se cuenta con información publicada sobre la ecología de la especie.</t>
  </si>
  <si>
    <t>Declarar (según las opciones del SIS de YES/NO/Unknown) si la especie está presente en áreas protegidas (según lo consignado en el campo de "Descripción de acciones de conservación").
Opciones= 
YES : la especie SI está presente dentro de áreas protegidas
NO : la especie NO está presente dentro de áreas protegidas
Unknown : no se sabe si la especie está presente dentro de áreas protegidas</t>
  </si>
  <si>
    <t>Código SIS (sigla en mayúsculas) de la categoría de riesgo de extinción de la especie, que asignamos según los análisis realizados.
Opciones=
CR : En Peligro Crítico
EN : En Peligro
VU : Vulnerable
NT : Casi amenzada
LC : En Preocupación menor
DD : Datos deficientes</t>
  </si>
  <si>
    <t>Declarar (según la opción del SIS) que se proporcionan los criterios de manera manual.
Opciones=
TRUE : siempre usar esta opción</t>
  </si>
  <si>
    <t xml:space="preserve">Declarar (según las opciones del SIS) la version usada de los criterios de la IUCN. Usar PUNTO para el número decimal que se reporta.
Opciones=
3.1 : siempre usar esta opción
</t>
  </si>
  <si>
    <t>Código SIS (según las opciones del SIS, en inglés, tal cual como aparecen aca abajo) el lenguaje en que se redacta la evaluación.
Opciones=
Spanish; Castilian : se debe poner así, con las dos palabras separadas por el signo de punto y coma
English
French
Portuguese</t>
  </si>
  <si>
    <t>Fecha es que se realizó la evaluación (es decir cuando se asignó la categoría de riesgo):
Formato: día/mes/año. Por ejemplo: 01/12/2020</t>
  </si>
  <si>
    <t>Explicación detallada de la justificación para las evaluaciones previas conocidas para la especie, descritas en el campo anterior. Campo de texto libre! Si no existen evaluaciones previas para la especie, llenar la celda con N/A</t>
  </si>
  <si>
    <t>REPORTE DE EVALUACIONES PREVIAS</t>
  </si>
  <si>
    <t>JUSTIFICACIONES DE EVALUACIONES PREVIAS</t>
  </si>
  <si>
    <t>RAZONES DE CAMBIO DE CATEGORÍA</t>
  </si>
  <si>
    <t>SOLO si la especie tiene una evaluación publicada en la página web de la Lista Roja Global: usar el Código SIS (según las opciones del SIS, en inglés, tal cual como aparecen aca abajo) para el tipo de cambio en la categorización. Si la especie NO ha sido publicada en la Lista Roja Globa, llenar la celda con N/A
Opciones=
-Genuine Change : la especie cambio de categoria debido al efecto real de cambio en las amenazas o acciones de conservación
-Non Genuine Change : la especie cambio de categoria por cambios taxonómicos o aumento en la información disponible (no por amenazas o acciones de conservación)
-No Change : la especie no cambió de categoria</t>
  </si>
  <si>
    <t>Vinculo web al protólogo, especimen tipo o donde aparece publicado el tipo de la especie. 
Si no esta disponible llenar la celda con N/A</t>
  </si>
  <si>
    <t>Código SIS (sólo el número) para reportar los usos de la especie (para los humanos). Si son varios usos, enumerar en ascendentemente y separar por coma y espacio.
Si no se conocen usos para la especie, rellenar con N/A  (y usar el campo de "Reporte de NO USO SIS") 
Opciones= 
1 - Food-human: uso alimenticio para humanos.
2 - Food-animal: uso alimenticio para animales domésticos.
3 - Medicine-human &amp; veterinary: uso medicinal.
4 - Poisons: uso como veneno.
5 - Manufacturing chemicals: uso en la industria química.
6 - Other chemicals: uso como químico en otras actividades no industriales.
7 - Fuels: uso como combustibles, leña, etc.
8 - Fibre: uso como fibras.
9 - Construction or structural materials: uso en construcción, como madera o de otra manera.
10 - Wearing apparel, accesories: uso para ropa o accesorios.
11 - Other household goods: uso en hogares (diferentes a los ya mencionados).
12 - Handicrafts, jewellery, etc.: uso en artesanías, joyería, etc.
13 - Pets/display animals, horticulture: uso como mascotas o como plantas ornamentales.
14 - Research: uso en investigación.
15 - Sport hunting/specimen collecting: uso en actividades deportivas o de colección.
16 - Establishing ex-situ production: uso para establecer colecciones exsitu.
17 - Other (free text): otros usos no mencionados
18 - Unknown: la especie SI SE USA, pero NO SE SABE cual es el uso concreto segun estos codigos.
Estas son todas las opciones disponibles.</t>
  </si>
  <si>
    <t>CÓDIGOS SIS HÁBITO</t>
  </si>
  <si>
    <t>CÓDIGO SIS HABITO TEXTO</t>
  </si>
  <si>
    <t>DESCRIPCIÓN MORFOLÓGICA</t>
  </si>
  <si>
    <t>Código SIS (según las opciones del SIS, en inglés, tal cual como estan acá abajo) con el nombre completo del hábito (sin sigla, como esta escrito acá abajo incluyendo guión medio si lo tiene), que debe corresponder al mismo hábito que se asignó en el campo anterior. Si la especie tiene varios hábitos, separar por coma y espacio.
Opciones= 
T = Tree - size unknown
TL = Tree - large
TS = Tree - small
S = Shrub - size unknown
SL = Shrub - large
SS = Shrub - small
F = Forb or Herb
A = Annual
GR = Graminoid
G = Geophyte
PT = Fern
C = Cycad
M = Fungus
B = Moss
LC = Lichen
V = Vine 
H = Hydrophyte
P = Parasite
E = Epiphyte
L = Lithophyte
SA = Succulent - annual
SH = Succulent - shrub
ST = Succulent - tree</t>
  </si>
  <si>
    <t>Valor numérico de la elevación mínima donde se ha reportado la especie. Expresar el valor en metros (numero entero sin decimales), y emplear un número redondeado a cientos de metros (no usar espacios, ni el simbolo de metros). NO usar PUNTOS (ni comas) para indicar miles. Obtener este valor de la base de datos de goerreferenciacion de especimenes. Si no se cuentan con especímenes de la especie, usar el rango reportado en el Catálogo de Plantas de Colombia o una revisión taxonómica reciente. Si la especie solo se conoce de una sola ocurrencia, usar este campo para la elevacion conocida (redondeada a decenas de metros). Si no se tiene información del rango altitudinal para la especies, llenar la celda con N/A</t>
  </si>
  <si>
    <t>Estimado de ConR (valor numérico entero, sin decimales). No usar puntos ni comas para indicar miles.
SI se decide que para la evaluación el AOO NO se va a utilizar, entonces ignorar el estimado de ConR y llenar la celda con N/A</t>
  </si>
  <si>
    <t>Estimado de ConR (valor numérico entero, sin decimales).
SI la especie NO presenta amenazas (NO hay disminución continua en el hábitat), entonces NO se deben definir localidades, se debe ignorar el estimado de ConR y llenar la celda con N/A
Si por alguna otra razón no se cuenta con esta información, llenar la celda con N/A</t>
  </si>
  <si>
    <t>Si el Código R del GEPC determina que SI hay fragmentación severa en el hábitat, llenar esta celda. Si no hay fragmentación severa en el hábitat, llenar la celda con N/A
SI hay fragmentación severa en el hábitat, seguir el siguiente formato para describirla:
El [X]% de parches de hábitat donde se encuentra la especie son pequeños y aislados. Estos parches se encuentran en el/los Municipio(s) de [X] (departamento de [Y]) y [W] (departamento de [Z]).</t>
  </si>
  <si>
    <t>Si se declaró en la columna anteror que SI hay disminución continua en el hábitat, llenar esta celda. Si no hay disminución continua en el hábitat, llenar la celda con N/A
Si la especie no alcanza el umbral pero tiene amenazas en algunas subpoblaciones, incluir esta información en la columna de observaciones y llenar la celda con N/A
SI hay disminución continua en el hábitat, seguir el siguiente formato para describirla:
[X= número o en letras si son entre 1 y 10] subpoblaciones de la especie se encuentran en paisajes con destrucción y degradación de su hábitat. Estas subpoblaciones se encuentran en el/los Municipio(s) de [X] (departamento de [Y]) y W (departamento de [Z]).</t>
  </si>
  <si>
    <t>Si se declaró en la columna anteror que SI hay disminución continua en el # subpoblaciones, llenar esta celda. Si no hay disminución continua en el # subpoblaciones, llenar la celda con N/A
SI hay disminución continua en el # subpoblaciones, seguir el siguiente formato para describirla:
Es posible que la(s) subpoblación(es) de la(s) localidad(es) [W] del/de los Municipio(s) de [X] (departamento de [Y]) haya(n) desaparecido por la destrucción de su hábitat.</t>
  </si>
  <si>
    <t>Código SIS (según las opciones del SIS, en inglés, tal cual como aparecen aca abajo) para reportar el TIEMPO en que ocurren cada una de las amenazas. Si la especie presenta "disminución continua del hábitat" (según el estimado del % de huella humana), asumimos que las amenazas son actuales. Para declarar que una amenaza es pasada o futura debemos tener literatura a citar para respaldar esto.
DEBE haber un código (palabra) para CADA UNA de las amenazas declaradas (cómo números) para la especie. Los códigos (palabras) en este campo se separan por comas.  Si la especie NO tiene amenazas declaradas, llenar la celda con N/A
Opciones=
Ongoing : amenazas en el presente, esta debe ser la opción si la especie SI presenta disminución continua del hábitat
Past, Unlikely to return : si se conocen amenazas que en el pasado afectaron la especie y no pueden recurrir
Past, Likely to return : si se conocen amenazas que en el pasado afectaron la especie y pueden recurrir
Future : si se conocen amenazas que podrían afectar a la especie en un futuro cercano (próximos 10 años o una generación)
Unknown : NO se conoce si las amenazas son pasadas o están ocurriendo en el presente</t>
  </si>
  <si>
    <t>Código SIS (según las opciones del SIS, en inglés, tal cual como aparecen aca abajo) para reportar el ALCANCE de cada una de las amenazas. Para determinar el alcance de la amenaza, usar el análisis realizado para llenar el campo de descripción de la "disminución continua del hábitat", en donde se especfica cuantas subpoblaciones están afectadas por destrucción y degradación del hábitat. Si la especie sufre de la amenaza de sobreexplotación, se debe hacer un estimado de cuantas o si todas las subpoblaciones de la especie son explotadas.
DEBE haber un código (palabra) para CADA UNA de las amenazas declaradas (cómo números) para la especie. Los códigos (palabras) en este campo se separan por comas.  Si la especie NO tiene amenazas declaradas, llenar la celda con N/A
Opciones=
Whole (&gt;90%): más del 90% de las subpoblaciones sufren de esta amenaza
Majority (50-90%) : entre el 50 y el 90% de las subpoblaciones sufren de esta amenaza
Minority (&lt;50%) : menos del 50% de las subpoblaciones sufren de esta amenaza
Unknown : NO se conoce el alcance de las amenazas</t>
  </si>
  <si>
    <t>SI la especie está amenazada o casi amenazada (categorías de CR/EN/VU/NT), entonces llenar esta celda, de lo contrario llenar la celda con N/A
Códigos SIS (grupo de letras mayúsculas, minúsculas y números romanos) para la lista de los criterios, subcriterios y umbrales usados que la especie cumple para definir la categoría. Si son varios criterios se debe citar cada uno y separar por COMA (SIN espacio) y con sus respectivos subcrierios y umbrales. NO se deben usar paréntesis. Ejemplo:  B1a,B1biii,B1biv
Ejemplos
B1a : si cumple con los valores de B1 y ademas la espeie tiene fragmenacion severa y/o menos de 10 localidades
B1biii : si cumple con los valores de B1 y ademas la especie tiene disminucion continua en el habitat
B1biv : si cumple con los valores de B1 y ademas la especie tiene disminucion continua en el # subpoblaciones</t>
  </si>
  <si>
    <t xml:space="preserve">Definir el o los vectores de dispersión de semillas, según la información de literatura o expertos recopilada. Si son varios vectores, separar por coma y espacio. Si no se puede determinar el tipo de dispersion (pero se debe intentar!), llenar la ceda con N/A
Opciones= 
Gravedad : dispersión principal por gravedad.
Viento con corta dispersión : dispersión por viento limitadas (menos de 10 metros), como para muchas orquídeas
Invertebrados : dispersión principal por insectos u otros invertebrados.
Vertebrados de poca movilidad : dispersión principal por animales que no vuelan.
Vertebrados de gran movilidad : dispersión principal por animales que vuelan (aves, murciélagos, etc.)
Viento : dispersión principal por viento a grandes distancias. </t>
  </si>
  <si>
    <t>Asignar la distancia MAXIMA de dispersión de la especie (sólo el valor numérico entero, que son km), según los vectores que se reportaron. Este valor se usará para determinar si existe "fragmentación severa" para el hábitat (con el % de parches de hábitat que son pequeños y aislados). Si no se puede determinar el tipo de dispersion (pero se debe intentar!), llenar la ceda con N/A
Opciones:
5 : Si la dispersión es por GRAVEDAD
10 : Si la dispersión es por INVERTEBRADOS o VIENTO DE CORTA DISPERSIÓN
15 : Si la dispersión es por VERTEBRADOS DE POCA MOVILIDAD (como mamíferos pequeños no voladores)
25 : Si la dispersión es por VERTEBRADOS DE GRAN MOVILIDAD (como aves, murciélagos, mamiferos grandes)
50 : Si la dispersión es por VIENTO</t>
  </si>
  <si>
    <t>Declarar (según las opciones del SIS de YES/NO/Unknown) si la especie está presente en colecciones vivas (según lo consignado en el campo de "Descripción de acciones de conservación").
Opciones= 
YES : la especie SI está presente en colecciones exsitu
NO : la especie NO está presente en colecciones exsitu
Unknown : no se sabe si la especie está presente en colecciones exsitu</t>
  </si>
  <si>
    <t>SÓLO aplica para especies categorizadas en DD! Declarar la razón para categorizar las especie en DD. Si la especie no es DD, llenar la celda con N/A
Opciones=
-Provenance : Cuando la especie no se puede evaluar porque solo se conoce de uno o mas especímenes con extrema incertidumbre de la información de la localidad
-Taxonomic : Cuando la especie no se puede evaluar porque no se sabe bien cuales son sus subpoblaciones por incertidumbre taxonómica. Esta opción no incluye taxones con problemas nomenclaturales, estos problemas se deben resolver según las indicaciones del GEPC.</t>
  </si>
  <si>
    <t>SÓLO para especies candidatas a EX! Declarar (según opciones del SIS de TRUE/NO) si la especie está extinta. Si la especie no es EX, llenar la celda con N/A
Opciones=
TRUE : la especie podria estar extinta
NO : la especie no esta extinta</t>
  </si>
  <si>
    <t>Nombres y Apellidos de las personas que participaron activamente en la recolección de información y/o estimación de parámetros de la evaluación (si la persona sólo se contrató para georreferenciar o alguna tarea técnica y no participó en ningún otro aspecto de la evaluación NO se debe incluir). Los nombres y apellidos deben ir SIN PUNTOS (como la persona quiere ser citada) y las personas deben ir separadas por COMAS y espacio. Si no hay personas contribuyentes, llenar la celda con N/A
MIRAR LAS INSTRUCCIONES EN LA PESTAÑA "README" SOBRE MANEJO DE LOS CONTRIBUYENTES/EVALUADORES/REVISORES.</t>
  </si>
  <si>
    <t>Nombres y Apellidos de las personas que participaron activamente en la evaluación y finalmente determinaron la categoria de Lista Roja para la especie. Los nombres y apellidos deben ir SIN PUNTOS (como la persona quiere ser citada) y las personas deben ir separadas por COMAS y espacio. Siempre debe haber por lo menos una persona evaluadora.
MIRAR LAS INSTRUCCIONES EN LA PESTAÑA "README" SOBRE MANEJO DE LOS CONTRIBUYENTES/EVALUADORES/REVISORES.</t>
  </si>
  <si>
    <t>Nombres y Apellidos de las personas que participaron activamente en REVISIÓN de la evaluación (estos revisores son asignados por el GEPC y/o la UICN). Los nombres y apellidos deben ir SIN PUNTOS (como la persona quiere ser citada) y las personas deben ir separadas por COMAS y espacio. Simpre debe haber por lo menos una persona revisora.
MIRAR LAS INSTRUCCIONES EN LA PESTAÑA "README" SOBRE MANEJO DE LOS CONTRIBUYENTES/EVALUADORES/REVISORES.</t>
  </si>
  <si>
    <t>Nombres y Apellidos de las personas que participaron activamente como "expertos de la especie" (taxónom@s, ecólog@s, etc.) y que realizaron sugerencias importantes para la evaluación (como revisión de las ocurrencias, revisión de los mapas con EOO, AOO, aportes a las amenazas, etc.). Los nombres y apellidos deben ir SIN PUNTOS (como la persona quiere ser citada) y las personas deben ir separadas por COMAS y espacio. Si no hay expertos que revisaron las evaluaciones, llenar la celda con N/A
MIRAR LAS INSTRUCCIONES EN LA PESTAÑA "README" SOBRE MANEJO DE LOS CONTRIBUYENTES/EVALUADORES/REVISORES.</t>
  </si>
  <si>
    <t>"Para tener en cuenta ANTES de subir evaluaciones de especies a la plataforma "SIS connect":
- Para subir información de las evaluaciones a la plataforma "SIS connect" se deben producir 14 archivos tipo .csv y compilarlos en una carpeta ".zip"  Esta carpeta se sube en la plataforma SIS connect como un "working set", y desde allí automáticamente se crean archivos individuales para cada especie en la plataforma "SIS".  Las evaluaciones se pueden revisar posterioremente en la plataforma "SIS", si es necesario. Para realizar todo el proceso, es necesitario contactar la Unidad de Lista Roja de la IUCN, para obtener UNA CUENTA que permite acceder (con el mismo usuario y contraseña) a las plataformas de "SIS" y "SIS connect".
- ANTES de subir tu "working set" en la plataforma de "SIS connect" debes contactar al Grupo de Especialistas de Plantas de Colombia &lt;ge.plantascolombia@gmail.com&gt;, para coordinar la revisión de estas evaluaciones y contactar a la Unidad de Lista Roja de la IUCN para su publicación.
- Es MUY IMPORTANTE establecer si las especies que se están evaluando en tu proyecto YA se han evaluado antes Y/O YA están publicadas en la plataforma web de la Lista Roja Global. También es importante determinar si existe en este momento algún otro Grupo de especialistas de la IUCN que esté realizando esas evaluaciones. Si algunas de la especies que estás evaluando ya han sido o están siendo evaluadas actualmente, se debe coordinar la situación con el Grupo de Especialistas de Plantas de Colombia y la Unidad de Lista Roja de la IUCN (para decidir unir las dos evaluaciones, reemplazar las evaluaciones viejas, u otra opción) ANTES de subir su información al "SIS connect".</t>
  </si>
  <si>
    <r>
      <rPr>
        <b/>
        <sz val="8"/>
        <color theme="1"/>
        <rFont val="Arial Narrow"/>
        <family val="2"/>
      </rPr>
      <t>Procedimiento general para compilar la información para las evaluaciones:</t>
    </r>
    <r>
      <rPr>
        <sz val="8"/>
        <color theme="1"/>
        <rFont val="Arial Narrow"/>
        <family val="2"/>
      </rPr>
      <t xml:space="preserve">
- En este archivo de excel, se usa la pestaña "BASE MAESTRA" para digitar toda la información que se obtenga para la evaluación de cada especie. La información para cada especie se consigna en difrentes campos (las columnas). El archivo tiene instrucciones detalladas de como llenar cada uno de los campos, por favor seguir esas instrucciones detalladamente (de lo contrario, podrían haber errores al subir la información a "SIS connect"). La información de cada especie está en filas, y en este archivo se puede diligenciar información para un máximo de 200 especies. Recomendamos hacer archivos de menos de 200 especies, para facilitar su ingreso a la plataforma "SIS connect". Si su proyecto tiene menos de 200 especies a evaluar, BORRE las fórmulas en las filas que no se necesitan en todas las pestañas para construir los archivos .csv
- Algunos de los campos (columnas) se deben llenar con códigos y opciones específicas de la plataforma SIS connect. En las instrucciones para llenar ese campo están descritas las opciones que se pueden usar, pero en algunos casos no estan todas las opciones disponibles. Si se considera que se necesitan opciones adicionales, en las instrucciones del campo se referencia la página web de SIS connect en donde se pueden consultar. En esa página, puedes ir a la pestaña "OAuth" (pestaña amarilla arriba) y entrar con tu cuenta de google o facebook (si no tienes cuenta en el SIS de IUCN).
- Este archivo de excel tiene además 14 pestañas (nombradas en minúscula) que corresponden a los archivos .csv requeridos para subir la información a la plataforma "SIS connect".  Este archivo tiene fórmulas de excel (por favor no modificarlas) que permiten que a medida que la información se llena en la pestaña "BASE MAESTRA", </t>
    </r>
    <r>
      <rPr>
        <sz val="8"/>
        <rFont val="Arial Narrow"/>
        <family val="2"/>
      </rPr>
      <t>esa misma información se va copiando en 12 de las 14 pestañas del libro de excel (todas menos la de "credits" &amp; "references")</t>
    </r>
    <r>
      <rPr>
        <sz val="8"/>
        <color rgb="FFFF0000"/>
        <rFont val="Arial Narrow"/>
        <family val="2"/>
      </rPr>
      <t xml:space="preserve">
- </t>
    </r>
    <r>
      <rPr>
        <sz val="8"/>
        <color theme="1"/>
        <rFont val="Arial Narrow"/>
        <family val="2"/>
      </rPr>
      <t>Las pestañas de "credits" &amp; "references" se deben diligenciar de forma manual (ver instrucciones acá abajo).
- Luego de que toda la información para la evaluación este ingresada en la BASE MAESTRA y en las 14 pestañas de los .csv, siga el procedimiento descrito acá abajo para obtener los 14 archivos .csv a subir a la plataforma "SIS connect".
- Luego de subir su información al "SIS connect", la Unidad de Lista Roja de la IUCN lo contactará para confirmar que todo este bien. Con esta persona de contacto de IUCN se debe acordar como enviar los datos espaciales de ocurrencias y los mapas elaborados para la evaluaciones (y fotos si se desea).</t>
    </r>
  </si>
  <si>
    <t>1. Llena por completo los campos de información para cada especie en la pestaña "BASE MAESTRA", según las instrucciones para cada campo. Esa información se va consigando automáticamente en las pestañas (las pestañas despues de la pestaña "BASE MAESTRA") que serán la base para crear los archivos .csv para el "SIS connect" (excepto en las pestañas de "credits" y "references", que deben ser diligenciadas de manera manual, ver instrucciones más abajo).</t>
  </si>
  <si>
    <t>2. Para crear los archivos .csv a partir de las pestañas correspondientes, debes hacer algunas modificaciones ANTES de guardarlos como .csv. 
Primero, para cada una de las pestañas de .csv, copia y pega (opción de pegar "sólo valores") la información de CADA pestaña en un nuevo archivo de excel (que tenga el nombre de la pestaña) por separado. En cada uno de los nuevos archivos (14 en total), realiza las siguientes modificaciones:
- Borra la COLUMNA A &amp; FILA 2 (que estan en fondo cafecito y con letra roja en el archivo original), esta información en letra roja NO debe estar en el .csv final a subir al SIS connect.
- Borra las filas que NO se usaron para evaluaciones de especies (si es que había menos de 200 especies con información en la pestaña "BASE MAESTRA").
- Borra el contenido de las celdas que tengan valores de N/A para que queden como celdas vacías (esas son las celdas para los que no había información original en la pestaña de la "BASE MAESTRA"), con la función buscar y reemplazar de excel.</t>
  </si>
  <si>
    <t>4. Cuando todos los archivos correspondientes a las 14 pestañas para el "SIS connect" estén listos, guarda cada archivo en formato .csv (separado por comas). Se DEBE usar el mismo nombre de la pestaña original para nombrar cada archivo .csv  NO usar la opción .csv UTF8, esta opción genera conflictos de idioma en esta plataforma.</t>
  </si>
  <si>
    <t>- La pestaña "credits" se debe diligenciar manualmente. Para cada especie, se debe tener en cuenta cuántas personas participaron en la evaluación de esa especie (se pueden considerar a los Herbarios o instituciones que participen, pero se recomienda considerar a todos los Herbarios como UNA SOLA "institución contribuyente"). En esta pestaña "credits", cada especie debe tener un número de filas equivalente al número de personas que participaron en la evaluación. CADA FILA que corresponda a personas participantes en la evaluación, DEBE tener en mismo "internal_taxon_id", que es el número único que permite identificar a la especie en la pestaña "BASE MAESTRA". 
- Las filas que correspondan a las personas participantes de la evaluación se debe organizar de una manera específica. Se debe establecer un orden jerárquico ("order") de contribución de cada persona a la evaluación de la especie. Esta información se consiga en la Columna B ("order"). Este orden lo puede definir el equipo de trabajo del proyecto, según el grado de participación de cada persona en la evaluación.
En este orden jerárquico:
* Van primero los EVALUADORES (persona-s que hacen análisis de la información total y asignan la categoría de lista roja de la especie) 
* Van despúes los CONTRIBUYENTES (persona-s o instuciones que contribuyen con infromación de base, georreferenciación, análisis de datos, revisión de información, etc.)
* Van de último los REVISORES (persona-s que revisan la evaluación de lista roja una vez a sido finalizada)
- Luego de llenar la información alusiva a las personas que particiaron en la evaluación de cada especie en esta pestaña, procede a copiar y pegar la información en otra hoja de excel con la opción de "pegar solo valores", borre la Columna A y las Filas 2 a la 6 con las instrucciones de llenado y el ejemplo (filas y columnas en beige y con texto rojo). Guarde el archivo en formato .csv nombrandolo con la palabra "credits".</t>
  </si>
  <si>
    <r>
      <rPr>
        <b/>
        <sz val="10"/>
        <rFont val="Arial Narrow"/>
        <family val="2"/>
      </rPr>
      <t>Recomendaciones importantes para diligenciar la Pestaña "references"</t>
    </r>
    <r>
      <rPr>
        <sz val="10"/>
        <rFont val="Arial Narrow"/>
        <family val="2"/>
      </rPr>
      <t xml:space="preserve">
- Trate de hacer las referencias bibliográficas lo más sencillas posibles, minimizando los signos de puntuación y los caracteres que sean raros en inglés (como tildes, etc.), evite el uso de puntos finales en cada campo.
- Use Mayúsculas para cada palabra inicial en los títulos de las referencias, especialmente en las que son en inglés.
- Si la referencia es en inglés use "and" antes del último autor, si es en español use "y", si es en portugués use "e", no use "&amp;".
- Todas las referencias deben contar con año de publicación, fecha de acceso, lugar de publicación, editorial (publisher) y tipo de publicación.
- Revise que un mismo recurso bibliográfico NO esté ingresado de formas diferentes para diferentes especies. En caso de usar un mismo recurso bibliográfico para diferentes especies, solo debe variar el "internal_taxon_id" ó número único identificador de la especie entre las filas que correspondan a ese recurso.</t>
    </r>
  </si>
  <si>
    <t>3. Hay algunos archivos de las pestañas que requieren de trabajo adicional antes de subirlos al "SIS connect". Por favor sigue estas instrucciones detalladamente para la pestaña de "synonims" y para las siguientes pestañas con códigos del SIS: "conservationneeded", "countries", "habitats", "plantspecific", "researchneeded", "threats", "usetrade"
 --&gt; En estas pestañas, hay algunos campos (columnas en la "BASE MAESTRA") que pueden tener varias opciones (separadas por comas) para una misma especie. Estas son las Columnas N (sinónimos), U (códigos usos), Y (códigos hábitos), AB (códigos países), AM (códigos hábitats), BN (códigos amenazas), CB &amp; CC (códigos conservación &amp; investigación requeridas). 
 --&gt; Para estas pestañas, luego de grabar el archivo nuevo de excel correspondiente, se debe realizar el siguiente procedimiento:
En el archivo DEBE HABER UNA SÓLA FILA para cada una de las opciones del campo de opciones múltiples para una especie. Si para una especie hay opciones múltiples en alguno de los campos referenciados arriba, se debe dejar sólo una opción en la primera fila, y se deben insertar nuevas filas en el archivo, para que cada fila contenga una opción diferente para la especie (sin comas). TODAS las filas que correspondan a opciones de la misma especie DEBEN tener el mismo número único identificador de la especie ("internal_taxon-id"). Así, para las especies que tenían múltiples opciones en los campos que lo permiten (sinónimos, amenazas, etc), quedáran múltiples filas, tantas filas como opciones tenía la especie en la base de datos original (pestaña "BASE MAESTRA").
 --&gt; Finalmente, diligencia las pestañas de "credits" &amp; "references" según las instrucciones acá abajo.</t>
  </si>
  <si>
    <t>Plantae</t>
  </si>
  <si>
    <t>Tracheophyta</t>
  </si>
  <si>
    <t>Nombre del taxón, que debe seguir la clasificación de "World Flora Online". 
El nombre debe inicar con mayúscula seguida de minúsculas. Para plantas la opción es: Plantae</t>
  </si>
  <si>
    <t>Nombre del taxón, que debe seguir la clasificación de "World Flora Online".
Para plantas las opciones son: Tracheophyta, Briophyta, Marchantiophyta, Anthoceratophyta
Para algas las opciones son: Charophyta, Rhodophyta, Chlorophyta</t>
  </si>
  <si>
    <t>Nombre del taxón, que debe seguir la clasificación de "World Flora Online".
Para plantas vasculares las opcione son: Magnoliopsida, Liliopsida, Polypodiopsida, Pinopsida, Cycadopsida, Lycopodiopsida, Gnetopsida, Ginkgoopsida</t>
  </si>
  <si>
    <t>Nombre del taxón, que debe seguir la clasificación de "World Flora Online"</t>
  </si>
  <si>
    <t>Nombre de la especie, sin el autor (para poderla ubicar fácilmente en el archivo)</t>
  </si>
  <si>
    <t>Nombre del Género</t>
  </si>
  <si>
    <t>Epíteto de la especie</t>
  </si>
  <si>
    <t>Nombre científico de todos los sinónimos reportados para la especie, con autor (siguiendo IPNI). Si son varios sinónimos, separar por coma y espacio. No usar punto final a menos que lo incluya el nombre de autor. Si la especie no tiene sinónimos reportados, rellenar con N/A</t>
  </si>
  <si>
    <t>Spanish; Castilian</t>
  </si>
  <si>
    <t>Declarar (según las opciones del SIS, en inglés, tal cual como aparecen acá abajo) el lenguaje del nombre común principal.
Si la especie no tiene nombre común reportado, llenar la celda con N/A
Opciones=
Spanish; Castilian : se debe poner así, con las dos palabras separadas por el signo de punto y coma
Chibcha
Quechua
South American Indian (Other) : se usa para cualquier lengua indígena que no sea Chibcha o Quechua, se debe poner tal cual con el paréntesis.
Portuguese
English
Para ver otras opciones de lenguajes ir a http://connect.iucnredlist.org/sis_lookups/3705/findvalues</t>
  </si>
  <si>
    <t>Nombre común PRINCIPAL reportado para la especie. Si son varios nombres comunes, SOLO reportar UNO, el que se considere el más utilizado (de lo contrario se complica mucho este campo). Si la especie tiene otros nombres comunes, se pueden reportar en el texto de la columna "Descripción del uso y comercio de la especie" más adelante. Poner el nombre común principal con la letra inicial en mayúscula. 
Si la especie no tiene nombre común reportado, llenar la celda con N/A</t>
  </si>
  <si>
    <t xml:space="preserve">Declarar (según las opciones del SIS de TRUE/FALSE) que el nombre común reportado es el principal.
Si la especie NO tiene nombre común reportado, llenar la celda con N/A
Opciones= 
TRUE : significa que el nombre común reportado es el principal (esta siempre será la opción en nuestro caso, si se reporto algún nombre común)
NO : si el nombre reportado NO es el principal (nosotros no usamos esta opcion)
</t>
  </si>
  <si>
    <t>TRUE</t>
  </si>
  <si>
    <t>FALSE</t>
  </si>
  <si>
    <t xml:space="preserve">Declarar (según las opciones del SIS de TRUE/FALSE) que NO se conocen usos para la especie.
Opciones= 
TRUE : significa que la especie NO tiene usos (la celda en la columna anterior debe tener N/A)
FALSE : significa que la especie SI ES USADA, y se debio reportar su tipo de uso en la columna anterior
N/A: En el caso de especies declaradas DD
</t>
  </si>
  <si>
    <t>No se han reportado usos para la especie.</t>
  </si>
  <si>
    <t>Declarar (según las opciones del SIS de TRUE//FALSE) si la especie tiene "uso de no consumo". "Uso de no consumo" es un uso indirecto (como usos culturales), diferentes a usos directos (como maderable, medicinal, alimento, etc). Para llenar esta casilla debe haber un uso reportado en la columna "CODIGO SIS USOS".
Opciones=
TRUE : si la especie es usada de manera indirecta para practicas culturales, ecoturismo, etc.
NO : si la especie NO es usada de manera indirecta (aunque podría tener usos directos) O NO es usada para nada</t>
  </si>
  <si>
    <t>NO</t>
  </si>
  <si>
    <t>CO</t>
  </si>
  <si>
    <t>Native</t>
  </si>
  <si>
    <t>Código SIS (según las opciones del SIS, en inglés, tal cual como aparecen aca abajo) sobre si la especie está extinta o no.
Opciones=
Extant: la especie sobrevive actualmente, esta debe ser la opción en nuestras evaluaciones
Possibly Extinct: la especie podría estar extinta en hábitats naturales
Presence Uncertain : no se sabe si la especie está extinta o no</t>
  </si>
  <si>
    <t>Extant</t>
  </si>
  <si>
    <t>350</t>
  </si>
  <si>
    <t>Código SIS (según las opciones del SIS, en inglés, tal cual como aparecen aca abajo) de la región biogeográfica a nivel global donde ocurre la especie.
Opciones=
Neotropical : es la opción para todas las especies en Colombia y alrededores
Para ver otras opciones ir a http://connect.iucnredlist.org/sis_lookups/3502/findvalues</t>
  </si>
  <si>
    <t>Neotropical</t>
  </si>
  <si>
    <t>Descripción general de la distribución de la especie en Colombia (y en países vecinos si aplica). Basar esta descripción en el mapa producido por ConR (NO en el Catalogo de Plantas de Colombia, pues esta desactualizado).
Campo de texto libre! Seguir el siguiente formato, incluyendo un punto final:
[La especie es endémica de Colombia / La especie está presente en Colombia y en X, Z]. Se distribuye en la(s) región(es) X, Y, y Z [ de los Andes / de los Valles interandinos / del Pacífico / del Caribe / de la Amazonia / de la Orinoquia ]. Se ha registrado en el(los) departamento(s) de X, Y, Z.  [Añadir más detalles si se conocen, por ejemplo que la especie es exclusiva de una cuenca, o de una región particular como el Darien o la Sierra Nevada de Santa Marta].</t>
  </si>
  <si>
    <t xml:space="preserve">  IUCN - SSC - GRUPO DE ESPECIALISTAS DE PLANTAS DE COLOMBIA
   INSTRUCCIONES PARA DILIGENCIAR ESTE ARCHIVO PARA EVALUACIONES DE LISTA ROJA DE PLANTAS A NIVEL NACIONAL</t>
  </si>
  <si>
    <t>Código SIS (según las opciones del SIS, en inglés, tal cual como aparecen aca abajo) sobre el mapa de distribución de la especie.
Opciones=
Done : esta debe ser la opcion para nuestras especies, ya que se hacen mapas para todas con ConR
Missing : no hay mapa
Incomplete : hay mapa incompleto
Not possible : no se puede hacer mapa (esta opcion podria usarse en algunas de las especies declaradas DD)</t>
  </si>
  <si>
    <t>Done</t>
  </si>
  <si>
    <t>Código SIS (según las opciones del SIS, en inglés, tal cual como aparecen aca abajo) sobre si la especie es terrestre o acuática.
Opciones=
Terrestrial : la especie es terrestre
Freshwater: la especie de es agua dulce
Marine: la especie es marina</t>
  </si>
  <si>
    <t>Terrestrial</t>
  </si>
  <si>
    <t>Código SIS (según las opciones del SIS, en inglés, tal cual como aparecen aca abajo) que describe si el hábitat reportado para la especie es un hábitat en donde las poblaciones biológicas se pueden establecer adecuadamente (diseñado sobretodo para animales).
Opciones=
Suitable : si el habitat que se le asignó a la especie es donde crecen la mayoría de sus subpoblaciones viables, debe ser nuestra opción para plantas
Marginal : solo en casos en los que la especie sólo esté reportada en un hábitat en donde sus subpoblaciones no son viables
Unknown : no se sabe si el hábitat reportado para la especie es adecuado o no para su establecieminto</t>
  </si>
  <si>
    <t>Suitable</t>
  </si>
  <si>
    <t>1.6</t>
  </si>
  <si>
    <t>Código SIS (sólo el número, entero o decimal) del hábitat de la especie (en caso de usar las opciones con decimales, usar el PUNTO como separador). Si la especie ocurre en varios hábitats, enumerar en ascendentemente y separar por coma y espacio. Por favor tener MUCHO cuidado con el uso de puntos y comas en este campo. No usar punto y coma.
Opciones=
1.5 - Forest-Subtropical/Tropical Dry : para bosques secos
1.6 - Forest-Subtropical/Tropical Moist Lowland: para bosques humedos de tierras bajas (elevación &lt; 1000 msnm)
1.7 - Forest - Subtropical/Tropical Mangrove Vegetation: para bosques de manglares
1.8 - Forest - Subtropical/Tropical Swamp: para bosques inundables (como cativales, etc)
1.9 - Forest - Subtropical/Tropical Moist Montane: para bosques de tierras altas (elevación &gt; 1000 msnm)
2.1 - Savanna - Dry : para sabanas secas
2.2 -Savanna - Moist : para sabanas humedas
3.5 - Shrubland - Subtropical/Tropical Dry : para arbustales secos, zonas xericas
3 - Shrubland - Subtropical/Tropical Moist : para arbustales húmedos
3.7 - Shrubland - Subtropical/Tropical High Altitude : para arbustales en altitud (elevación &gt; 1000 msnm)
4.5 - Grassland - Subtropical/Tropical Dry : para pastizales naturales secos (no pastos de ganadería)
4.6 - Grassland - Subtropical/Tropical Seasonally Wet/Flooded : para pastizales naturales húmedos (no pastos de ganadería)
4.7 - Grassland - Subtropical/Tropical High Altitude : para pastizales naturales de alta elevación, incluyendo páramos
6 - Rocky areas : para afloramientos rocosos, karsticos, tepuyes, etc.
8 - Desert : para desiertos
18 - Unknown : si no se sabe nada el hábitat
Para otras opciones de hábitats ir a http://connect.iucnredlist.org/sis_classifications/131/findvalues</t>
  </si>
  <si>
    <t>La especie ocurre en hábitats de bosques húmedos en tierras bajas (elevación menor a 1.000 msnm).</t>
  </si>
  <si>
    <t>- La pestaña "references" se debe diligenciar manualmente. Para cada especie, se debe tener en cuenta cuántos recursos bibliográficos se usaron en la evaluación. En los campos de la "BASE MAESTRA" por favor hacer las citacion lo mas simple posible (con autores y año sin comas ni puntos). En la pestaña "references", cada especie debe tener un número de filas equivalente al número de recursos bibliográficos usados en su evaluación. CADA FILA que corresponda a recurso bibliográfico usado, DEBE tener un "internal_taxon_id", que corresponde al número único que permite identificar a la especie en la pestaña "BASE MAESTRA", y así se puede identificar a cuál especie corresponde ese recurso bilbiográfico. 
- Luego de llenar la información alusiva a los recursos bibliográficos usados en la evaluación de cada especie en esta pestaña, procede a copiar y pegar la información en otra hoja de excel con la opción de "pegar solo valores", borre la Columna A y las Filas 2 a la 5 con las instrucciones y el ejemplo (filas y columnas en beige y con texto rojo). Guarde el archivo en formato .csv nombrandolo con la palabra "references".</t>
  </si>
  <si>
    <t>16</t>
  </si>
  <si>
    <t>Código SIS para reportar de donde se obtuvo la información para declarar disminución continua en hábitat. Si no existe dismincuión continua en el habitat, llenar la celda con N/A
Opciones=
-Inferred : cuando se infirió la disminución continua con base en analisis espaciales del habitat (que es lo que hacemos con el código del GEPC). Esta es la opción que usaremos siempre, a menos de que exista un estudio publicado que haga lo que se describe en las siguientes opciones
-Observed : cuando la información es basada directamente en observaciones de las subpoblaciones
-Estimated : cuando la information es basada sobre cálculos estadísticos a partir de muestreos o supuestos biológicos entre la relación previamente observada entre una variable observada (abundancia) y una variable de interés (e.g., numero de individuos maduros).
-Projected : similar a "estimated”, pero la variable de interés es extrapolada o proyectada en tiempo y espacio hacia el futuro. Los métodos de extrapolación deben discutirse y justificarse</t>
  </si>
  <si>
    <t>Inferred</t>
  </si>
  <si>
    <t>Código SIS para reportar de donde se obtuvo la informacion para la disminucion continua en # subpoblaciones. Si no existe disminucion continua en las subpoblaciones llenar la celda con N/A. 
Opciones=
-Inferred : cuando se infirió la disminución continua con base en analisis espaciales del habitat (que es lo que hacemos con el código del GEPC). Esta es la opción que usaremos siempre, a menos de que exista un estudio publicado que haga lo que se describe en las siguientes opciones
-Observed : cuando la información es basada directamente en observaciones de las subpoblaciones
-Estimated : cuando la information es basada sobre cálculos estadísticos a partir de muestreos o supuestos biológicos entre la relación previamente observada entre una variable observada (abundancia) y una variable de interés (e.g., numero de individuos maduros).
-Projected : similar a "estimated”, pero la variable de interés es extrapolada o proyectada en tiempo y espacio hacia el futuro. Los métodos de extrapolación deben discutirse y justificarse</t>
  </si>
  <si>
    <t>Es posible que la subpoblación de la localidad de Murrí del Municipio de Frontino (departamento de Antioquia) haya desaparecido por la destrucción de su hábitat.</t>
  </si>
  <si>
    <t xml:space="preserve">Descripción del tamaño poblacional y lo que se conozca de la demografía de la especie.
Campo de texto libre! Seguir el siguiente formato (incluyendo las citas o fuentes de información) e incluir un punto final:
- SI para la especie se conoce algo sobre demografía, es decir parámetros de abundancia de adultos, estructura poblacional (% de plántulas, juveniles, adultos) y/o dinámica de la población (tasa de crecimiento poblacional): 
La especie tiene registradas hasta el momento [X= número o en letras si son entre 1 y 10] subpoblaciones.  [Describir con detalle lo que se conoce sobre la especie, con citas].
- SI para la especie no hay literatura sobre demografía, entonces usar el siguiente formato (según parámetros estimados con ConR):
La especie tiene registradas hasta el momento [X= número o en letras si son entre 1 y 10] subpoblaciones. No se conoce nada sobre la abundancia o tendencia poblacional de la especie.
</t>
  </si>
  <si>
    <t>La especie tiene registradas hasta el momento cuatro subpoblaciones. Una de las subpoblaciones posiblemente desapareción por la destrucción y otras dos suppoblaciones tienen un bajo número de adultos (menos de 1000 individuos). Para una subpoblación se tiene información de un tamaño poblacional grande (más de 2500 adultos) y su estructura poblacional sugiere que la subpoblación es viable en términos demográficos (alto porcentaje de plántulas y juveniles). No se tiene información sobre fenología, dinámica poblacional y otros aspectos de la demografía de la especie (Lopez-Gallego et al 2015).</t>
  </si>
  <si>
    <t>Tres de las cuatro subpoblaciones conocidas de la especie se encuentran en sitios con destrucción y degradación de su hábitat. Las alteraciones del hábitat se deben principalmente a la ampliación de la frontera agropecuaria (para ganaderia y para cultivos), la mineria (de metales) y la construcción de infraestructura (vias, centros poblados]. Además, las subpoblaciones conocidas de la especie están amenazadas por la extracción no sostenible de individuos por su uso como ornamentales.</t>
  </si>
  <si>
    <t>1.1, 2.1.4, 2.3.4, 3.2, 4.1, 5.2.1</t>
  </si>
  <si>
    <t>Ongoing, Ongoing, Ongoing, Ongoing, Ongoing, Ongoing</t>
  </si>
  <si>
    <t>Majority. Majority, Majority, Minority, Majority, Whole</t>
  </si>
  <si>
    <t>Very rapid declines, Very rapid declines, Very rapid declines, Very rapid declines, Very rapid declines, Rapid declines</t>
  </si>
  <si>
    <t>1.1 | 1.2 | 2.1 | 2.2 // 1.1 | 1.2 | 2.1 | 2.2 // 1.1 | 1.2 | 2.1 | 2.2 // 1.1 | 1.2 | 2.1 | 2.2 // 1.1 | 1.2 | 2.1 | 2.2 // 2.1 | 2.2</t>
  </si>
  <si>
    <t>Declarar (según las opciones del SIS de TRUE/FALSE) si la especie parece NO tener amenazas.
Opciones=
TRUE : Si para la especie NO se conoce ninguna amenaza (NO tenia disminución continua del hábitat o sobreexplotación)
FALSE : SI se conocen amenazas para la especie, y fueron declaradas en el campo de "Código SIS Amenazas".</t>
  </si>
  <si>
    <t>Decreasing</t>
  </si>
  <si>
    <t>Stable</t>
  </si>
  <si>
    <t>Código SIS (según las opciones del SIS, en inglés, tal cual como aparecen aca abajo) sobre la tendencia actual en el tamaño de la población total (puede ser inferida de "disminución continua del hábitat"). No diligenciar en casos de especies con categorias EX ó EW
Opciones=
Stable : si la especie NO tiene disminución continua y NO tiene otras amenazas (no debe ser una especie amenazada)
Decreasing : si la especie SI tiene disminución continua en el hábitat, ó si hay reportes de que la población está disminuyendo por sobreexplotación u otra causa
Increasing : sólo si existe información el la literatura de que la especie está incrementando su tamaño poblacional
Unknown : si no se pudo realizar análisis de hábitat o no se sabe nada para la especie</t>
  </si>
  <si>
    <t>Describir las acciones de conservación conocidas para la especie en la actualidad (no incluir acciones que fueron ejecutadas hace más de 10 años, pues es posible que no tengan impacto sobre la especie en este momento). Estas pueden ser acciones de conservación in-situ (según el análisis de ConR de presencia en áreas protegidas), conservación ex-situ (si se tiene registro de que la especie esta en colecciones), o acciones de restauración (reintroducciones, etc), programas de uso sostenible, educación, etc. que estén reportadas por expertos o en literatura. Si para la especie no existe nada reportado en es tema en literatura, por lo menos se puede describir su presencia o no en áreas protegidas. En cuanto a presencia en áreas protegidas, hay que tener en cuenta que la especie si esta bien protegida si tiene subpoblaciones en figuras fuertes (que con Parques Nacionales y Regionales, Santuarios y otros pocos). Si la especie tiene presencia en áreas protegidas, pero TODAS las áreas son de figuras débiles, eso lo vamos a resaltar (las áreas con figuras débiles son los Distritos de Manejo Integrado, Reservas Forestales, Areas de Conservacion de Suelos, sean nacionales o regionales):
Campo de texto libre! Seguir el siguiente formato (incluyendo las citas o fuentes de información) e incluir un punto final:
- Si la especie SI tiene subpoblaciones dentro de áreas protegidas (en al menos un PNN o figura fuerte de conservación):
La especie está presente en áreas del "Sistema Nacional de Áreas Protegidas". [Si las hay, listar las acciones de presencia en colecciones vivas, planes de manejo para uso sostenible, etc.]. No se conocen otras acciones de conservación para la especie.
Tener en cuenta las siguientes variaciones:
- Si el 100% de las ocurrencias de la especie están dentro de áreas protegidas con figuras fuertes:
Todas las subpoblaciones conocidas de la especie están dentro de áreas del "Sistema Nacional de Áreas Protegidas".  [Si las hay, listar las acciones de presencia en colecciones vivas, planes de manejo para uso sostenible, etc.]. No se conocen otras acciones de conservación para la especie.
- Si TODAS las subpoblaciones que están en áreas protegidas están en áreas con figuras débiles de protección:
[La especie / Todas las subpoblaciones conocidas de la especie] está(n) presente(s) en áreas del "Sistema Nacional de Áreas Protegidas"; sin embargo, las subpoblaciones se encuentran en áreas bajo figuras legales que son poco efectivas para la conservación de la biodiversidad.  [Si las hay, listar las acciones de presencia en colecciones vivas, planes de manejo para uso sostenible, etc.]. No se conocen otras acciones de conservación para la especie.
- Si la especie NO tiene subpoblaciones dentro de áreas protegidas:
La especie no está presente en áreas del "Sistema Nacional de Áreas Protegidas". [Si las hay, listar las acciones de presencia en colecciones vivas, planes de manejo para uso sostenible, etc.]. [No se conocen acciones de conservación para la especie / No se conocen otras acciones de conservación para la especie - si tenia acciones de presencia en colecciones u otras-].</t>
  </si>
  <si>
    <t>Todas las subpoblaciones conocidas de la especie están presentes en áreas del "Sistema Nacional de Áreas Protegidas"; sin embargo, las subpoblaciones se encuentran en áreas bajo figuras legales que son poco efectivas para la conservación de la biodiversidad.  La especie tiene algunos individuos en colecciones vivas en Colombia. No se conocen otras acciones de conservación para la especie.</t>
  </si>
  <si>
    <t>Jardín Botánico de Medellín, Jardín Botánico del Quindío</t>
  </si>
  <si>
    <t>Listar las áreas protegidas públicas (no reservas privadas) de nivel nacional o regional donde haya ocurrencias de la especie. Si no se sabe si la especies está dentro de áreas protegidas, llenar la celda con N/A
Campo de texto libre!
Si la especie si tiene ocurrencias en áreas protegidas, listas las áreas con su nombre completo y su correspondiente categoría sin siglas (por ejemplo, Parque Nacional Natural [X]). Las áreas se deben separar por coma y espacio. La lista debe ir desde las figuras de área protegida más importante a la menos importante (primero las nacionales y luego las regionales, y primero los PNN, SFF, etc. y luego los DMI, Reservas Forestales, etc.)</t>
  </si>
  <si>
    <t>Listar las colecciones vivas (jardines botánicos y otras) de nivel nacional o regional donde haya individuos de la especie. Si no se sabe si la especies está en colecciones vivas, llenar la celda con N/A
Campo de texto libre! 
Si la especie está en colecciones, cada colección debe citarce con su nombre completo y su correspondiente categoría sin siglas (por ejemplo, Jardin Botánico [X]). Las distintas colecciones se deben separar por coma y un espacio.</t>
  </si>
  <si>
    <t>1.1, 3.4.2, 4.3</t>
  </si>
  <si>
    <t>1.2, 1.3, 1.4, 1.5, 1.6, 2.1, 2.2, 2.3, 3.1, 3.2, 3.3, 3.4</t>
  </si>
  <si>
    <t>Códigos SIS (los números decimales, usando PUNTO como separador) para declarar si se necesitan acciones de investigación para la especie. Si se necesitan varias acciones, separar por COMA y espacio. Por favor tener mucho cuidado con el uso de puntos y comas en este campo.
SI la especie no tiene disminución continua en el hábitat y por ende NO está amenazada, entonces la especie NO necesita acciones de investigación y se llena esta celda con N/A
Si la especie SI presenta disminución continua en el hábitat y SI está amenazada, entonces se declaran acciones de investigación requeridas. 
SI la especie está amenazada por destrucción/degradación de hábitat usar: 1.2, 1.3, 1.5, 1.6, 2.2, 3.1, 3.4
SI la especie tiene sobrexplotación ademas de la destrucción/degradación de hábitat, usar:  1.2, 1.3, 1.4, 1.5, 1.6, 2.1, 2.2, 2.3, 3.1, 3.2, 3.3, 3.4
SI la especie sólo tienen sobreexplotación y ninguna otra amenaza, usar:  1.4, 2.1, 2.3, 3.2, 3.3
Si la especie fue declarada DD, usar 1.2, 1.3, 1.5, 1.6
Opciones=
1.1 - Taxonomy : taxonomía (usar sólo si se sabe que la especie tiene problemas taxonómicos, no nomenclaturales)
1.2 - Population size, distribution &amp; trends : tendencias en la distibución y abundancia de poblaciones
1.3 - Life history &amp; ecology : ecología
1.4 - Harvest, use &amp; livelihoods : uso de la especie
1.5 - Threats : amenazas, si no se sabe muy bien sobre ellas
1.6 - Actions : acciones de conservación, si no se sabe muy bien sobre ellas
2.1 - Species Action/Recovery Plan : plan de manejo para recuperar la especie
2.2 - Area-based Management Plan : plan de manejo de áreas donde la especie ocurre
2.3 - Harvest &amp; Trade Management Plan : plan de manejo si la especie es usada
3.1 - Monitoring Population trends : monitoreo de tendencias poblacionales
3.2 - Monitoring Harvest &amp; Trade Management Plan : monitoreo de plan de manejo
3.3 - Monitoring Trade trends : monitoreo de tendencias de uso
3.4 - Monitoring Habitat trends : monitoreo de tendencias en el hábitat
Estas son todas las opciones para acciones de investigación.</t>
  </si>
  <si>
    <t>EN</t>
  </si>
  <si>
    <t>B1a,B1biii,B1biv</t>
  </si>
  <si>
    <t>3.1</t>
  </si>
  <si>
    <t>01/12/2020</t>
  </si>
  <si>
    <t>Listar las evaluaciones o sugerencias de evaluaciones (en artículos por ejemplo) de lista roja ya disponibles para la especie y la fuente. Si son varias evaluaciones, separarla por comas, citando la categoría, el año, los criterios y la fuente. Si no existen evaluaciones previas para la especie, llenar la celda con N/A</t>
  </si>
  <si>
    <t>CR 2005 B1ab(iii) en Libros Rojos de Plantas de Colombia VolX, EN 2015 B1ab(iii) en Plan Nacional de Conservación de Zamias de Colombia</t>
  </si>
  <si>
    <t>En las dos evaluaciones anteriores la especie se declaró como CR porque solo se conocia una subpoblación en sitios con destrucción/degradación de su hábitat.</t>
  </si>
  <si>
    <t>Declarar si la especie ya tiene una evaluación previa Y PUBLICADA en la pagina web de la Lista Roja Global. Si la espeice NO tienen evaluación ya publicada en esta página web, llenar la celda con N/A
Campo de texto libre! Seguir el siguiente formato e incluir un punto final.</t>
  </si>
  <si>
    <t>Una de las evaluaciones realizadas para la especie (la del Plan de Conservación para las Zamias de Colombia) está publicada en el portal web de la Lista Roja Global de la UICN.</t>
  </si>
  <si>
    <t>SOLO si la especie tiene una evaluación publicada en la página web de la Lista Roja Global: Describir si la especie permanece en la misma categoría (al comparar con la evaluación de este proyecto) o si cambia de categoría. Si cambia de categoría, describir las razones del cambio (si se tiene información adicional de subpoblaciones, se conocen mejor las amenazas o aparecieron nuevas amenazas, etc.)  Si la especie NO ha sido publicada en la Lista Roja Globa, llenar la celda con N/A
Este es un campo de texto libre! Seguir el siguiente formato e incluir un punto final:
La especie fue evaluada como [sigla de la categoria] en el año [XXXX] por [autor(es)]. En esta evaluación se usaron los criterios [incluir criterios] de la versión 3.1 [o la versión que usaron] de los lineamientos de la UICN. La especie [cambió / no cambió] de categoría de riesgo de extinción porque [explicación de la razones del cambio].</t>
  </si>
  <si>
    <t>La especie fue evaluada como CR en el año 2015 por Lopez-Gallego. En esta evaluación se usaron los criterios B1ab(iii) de la versión 3.1 de los lineamientos de la UICN. La especie [cambió de categoría de riesgo de extinción porque en la evaluación del 2015 la especie se conocía de una única subpoblación, pero actualmente se conoce de al menos cuatro subpoblaciones.</t>
  </si>
  <si>
    <t>Non Genuine Change</t>
  </si>
  <si>
    <t>SOLO si la especie tiene una evaluación publicada en la página web de la Lista Roja Global y ADEMÁS en el campo de "Código SIS Tipo de cambio de categoría" se declaró "No Cambio" ("No Change"): Código SIS (según las opciones del SIS, en inglés, tal cual como aparecen aca abajo) de las razones de NO CAMBIO de la categoría. Si la especie NO ha sido publicada en la Lista Roja Globa o si no se declaró la opción de "No Change" en el campo anterior, llenar la celda con N/A
Opciones =
- Same category and criteria : los criterios son iguales entre las dos evaluaciones (y de la version 3.1!) 
- Same category but change in criteria : los criterios cambiaron (aunque la especie quedo en la misma categoria)</t>
  </si>
  <si>
    <t>SOLO si la especie tiene una evaluación publicada en la página web de la Lista Roja Global y ADEMÁS en el campo de "Código SIS Tipo de cambio de categoría" se declaró que hubo cambios "genuinos" o "no genuinos": Código SIS (según las opciones del SIS, en inglés, tal cual como aparecen aca abajo) de las razones de CAMBIO de la categoría. Si la especie NO ha sido publicada en la Lista Roja Globa o si se declaro con la opcion "No Change", llenar la celda con N/A
- Para "Cambios No Genuinos" ("Non Genuine Change") las opciones son:
New information, Knowledge of criteria, Incorrect data used previously, Taxonomy, Criteria revision, Other
- Para "Cambios Genuinos" ("Genuine Change") las opciones son:
Recent, Since first assessment</t>
  </si>
  <si>
    <t>New information</t>
  </si>
  <si>
    <t>ninguna</t>
  </si>
  <si>
    <t>Diligenciadas en la pestaña de referencias</t>
  </si>
  <si>
    <t>El experto aportó información sobre las amenazas para la especie y conformó las subpoblaciones conocidas.</t>
  </si>
  <si>
    <t>Alvaro Idarraga</t>
  </si>
  <si>
    <t>Descripción detallada de los comentarios que los expertos hagan sobre la evaluación de la especie. Si no hay comentarios, llenar la celda con N/A
Campo de texto libre!</t>
  </si>
  <si>
    <t>Carolina Castellanos</t>
  </si>
  <si>
    <t>Paula A Morales</t>
  </si>
  <si>
    <t>Herbarios COL HUA JAUM</t>
  </si>
  <si>
    <t>Lista de los Herbarios que contribuyen con información para la evaluación de la especie. TODOS los herbarios quedarán en una sóla entrada (como si fueran un solo contribuyente), y se usaran sus SIGLAS (no los nombres completos). NO deben ir COMAS entre las siglas de los Herbarios. Si no hay Herbarios contribuyentes, llenar la celda con N/A
Es un campo de texto libre! Se debe usar el formato "Herbarios X Y Z"
MIRAR LAS INSTRUCCIONES EN LA PESTAÑA "README" SOBRE MANEJO DE LOS CONTRIBUYENTES/EVALUADORES/REVISORES.</t>
  </si>
  <si>
    <t>Jonatan Castro. David Taborda</t>
  </si>
  <si>
    <t>Zamia xxxx es endémica de Colombia. La especie tiene cuatro subpoblaciones registradas actualmente, con una distribución geográfica restringida (EOO = 2569 km2). Tres de las cuatro subpoblaciones conocidas persisten en paisajes con destrucción y degradación de sus hábitats, principalmente por actividades de ampliación de la frontera agropecuaria, minería y construcción de infraestructura. La especie exhibe fragmentación severa, disminución continua de la cantidad y calidad del hábitat y disminución continua del número de subpoblaciones. Además, la especie es sobrexplotada para su uso como ornamental. La especie no tiene registros dentro de áreas protegidas y no tiene individuos en colecciones vivas. Se considera que esta especie está en la categoría de "en peligro".</t>
  </si>
  <si>
    <t>Descripción general de la justificación para la categorización de la especie. Acá se resumen todos los análisis que se realizaron para la especie, que son la evidencia que respalda la categoría asignada.
Campo de texto libre! Seguir el siguiente formato (SIN incluir citas) e incluir un punto final:
- Si la especie SI está amenazada:
[Nombre de la especie] [es endémica de Colombia / se distribuye en Colombia, paisX y paisY]. La especie tiene [X= número o en letras si está entre 1 y 10] subpoblaciones registradas actualmente, [con una distribución geográfica restringida (EOO = X km2) -o no reportar esto si no tiene EOO-]. [X=número o en letras si está entre 1 y 10] de las [Y=número o en letras si está entre 1 y 10] subpoblaciones conocidas persisten en paisajes con destrucción y degradación de sus hábitats, principalmente por actividades de [X, Y y Z -citar las amenazas de manera general, sin sus causas-]. La especie exhibe [fragmentación severa / disminución continua de la cantidad y calidad del hábitat / disminución continua del número de subpoblaciones]. [Además, la especie es sobrexplotada para su uso como X -si aplica lo de sobreexplotación-]. [La especie tiene registros dentro de áreas protegidas / La especie no tiene registros dentro de áreas protegidas] y [tiene individuos en colecciones vivas / no tiene individuos en colecciones vivas]. Se considera que esta especie está en la categoría de ["en peligro crítico" / "en peligro" / "vulnerable"].
- Si la especie NO esta amenazada:
[Nombre de la especie] [es endémica de Colombia / se distribuye en Colombia, paisX y paisY]. La especie tiene [X= número o en letras si está entre 1 y 10] subpoblaciones registradas actualmente, [con una distribución geográfica amplia (EOO = X km2) -o no reportar esto si no tiene EOO-]. Las subpoblaciones se encuentran en paisajes con poca perturbación por actividades humanas. [La especie tiene registros dentro de áreas protegidas / La especie no tiene registros dentro de áreas protegidas] y [tiene individuos en colecciones vivas / no tiene individuos en colecciones vivas]. Se considera que esta especie está en la categoría de ["casi amenazada" / "preocupación menor"]. [-Si la especie esta en NT, agregar la oracion- Se recomienda hacer monitoreo de las subpoblaciones para determinar si existe declive drástico de su abundancia poblacional].
- Si la especie es DD:
[Nombre de la especie] [es endémica de Colombia / se distribuye en Colombia, paisX y paisY]. No existe información confiable de la distibución o la abundancia poblacional de la especie, por lo cual no se pueden estimar parámetros de riesgo de extinción. Se considera que esta especie está en la categoría de "deficiente de datos".</t>
  </si>
  <si>
    <t>Zamia yyyy se distribuye en Colombia y Panamá. La especie tiene 16 subpoblaciones registradas actualmente en Colombia, con una distribución geográfica amplia (EOO = 32470 km2). Las subpoblaciones se encuentran en paisajes con poca perturbación por actividades humanas. La especie tiene registros dentro de áreas protegidas y tiene individuos en colecciones vivas. Se considera que esta especie está en la categoría de "preocupación menor".</t>
  </si>
  <si>
    <t>1</t>
  </si>
  <si>
    <t>2</t>
  </si>
  <si>
    <t>Código SIS (solamente la sigla de una o dos letras en mayúsculas) para el hábito de la especie. Solo reportar varios hábitos de crecimiento si la especie realmente tiene muchos individuos de cada hábito (no si solo se han obervado unos pocos individuos excepcionales con otro hábito distinto al principal). Si la especie tiene varios hábitos de crecimiento, separar por coma y espacio.
Opciones= 
T - Tree - size unknown : Arbol para el que no se conoce la altura maxima
TL - Tree - large : Arbol grande (altura maxima &gt; 15m)
TS - Tree - small : Arbol pequeño (altura maxima &lt; 15m)
S - Shrub - size unknown : Arbusto para el que no se conoce la altura maxima
SL - Shrub - large: Arbusto grande (altura maxima &gt; 1m)
SS - Shrub - small: Arbusto pequeño (altura maxima &lt; 1m)
F - Forb or Herb : Hierba
A - Annual: plantas anuales
GR - Graminoid : Graminea o similar
G - Geophyte: plantas con bulbos subterráneos, cormos, rizomas
PT - Fern: Helecho
C - Cycad : Cycada
M - Fungus: Hongo
B - Moss : Briofita
LC - Lichen : Liquen
V - Vines : Liana, OJO: requiere declarar también un "hábito de formas únicas" de entre las opciones anteriores (de "T" hasta "LC") 
H - Hydrophyte: Acuática, OJO: requiere declarar también un "hábito de formas únicas" de entre las opciones anteriores (de "T" hasta "LC") 
P - Parasite : Parásita, OJO: requiere declarar también un "hábito de formas únicas" de entre las opciones anteriores (de "T" hasta "LC") 
E - Epiphyte : Epifita, OJO: requiere declarar también un "hábito de formas únicas" de entre las opciones anteriores (de "T" hasta "LC") 
L - Lithophyte : Rupicola, OJO: requiere declarar también un "hábito de formas únicas" de entre las opciones anteriores (de "T" hasta "LC") 
SA - Succulent - annual: Suculenta anual
SH - Succulent - shrub : Suculenta arbustiva, incluyendo cactus arborescentes
ST - Succulent - tree: Árbol suculento con altura maxima &gt; 1m
Para ver otros códigos de hábitos ir a http://connect.iucnredlist.org/sis_classifications/135/findvalues</t>
  </si>
  <si>
    <t>Valor numérico de la elevación máxima donde se ha reportado la especie. Expresar el valor en metros (numero entero sin decimales), y emplear un número redondeado a cientos de metros (no usar espacios, ni el simbolo de metros). NO Usar PUNTOS (ni comas) para indicar miles. Obtener este valor de la base de datos de goerreferenciacion de especimenes. Si no se cuentan con especímenes de la especie, usar el rango reportado en el Catálogo de Plantas de Colombia o una revisión taxonómica reciente. Si la especie solo se conoce de una sola ocurrencia o si no se tiene informacion de su rango altitudinal, llenar la celda con N/A (El valor único conocido para elevación va en la columna anterior).</t>
  </si>
  <si>
    <t>Descripción específica del hábitat principal de la especie.
Campo de texto libre! Seguir el siguiente formato (incluyendo las citas o fuentes de información) e incluir un punto final:
La especie ocurre en hábitats de [bosques humedos / bosques secos / paramos / sabanas / otro tipo de ecosistema general] en tierras [bajas (elevación menor a 1.000 m snm) / altas (elevación  mayor a 1.000 m snm) / omitir esto si es paramos]. [agregar detalles conocidos, como si crece al borde de quebradas, en claros y borde de bosque, etc.]]</t>
  </si>
  <si>
    <t>Asignar el tamaño MAXIMO de un parche de hábitat que se considera PEQUEÑO para la especie (sólo el valor numérico entero, que son hectáreas), según lo que se discuta con expertos. Este valor se usará para determinar si existe "fragmentación severa" para el hábitat (con el % de parches de hábitat que son pequeños y aislados)
Opciones:
500 : para especies de árboles y arbustos
150 : para especies de hierbas, epífitas, o plantas pequeñas.</t>
  </si>
  <si>
    <t>Código SIS (según las opciones del SIS de YES/NO/Unknown) para reportar si la especie tiene "disminución continua" ESPECÍFICAMENTE por disminución de la cantidad/calidad del HÁBITAT.
Se declara una especie con "disminución continua en el hábitat" si el % de huella humana es mayor o igual al 40% (o el porcentaje que defina el equipo del proyecto), según los análisis de hábitat realizados con el Código R del GEPC.
Opciones=
YES : si hay disminución continua en la calidad del hábitat
NO : no hay disminución continua en la calidad del hábitat
Unknown: no se sabe si hay disminución continua en la calidad del hábitat</t>
  </si>
  <si>
    <t>Descripción detallada de las amenazas actuales (en el presente o en los últimos 10 años, o hasta 25 años para especies muy longevas) sobre las subpoblaciones de la especie y sus hábitats. Si se conoce de amenazas que ocurrieron en el pasado (hace mas de 10-25 años) y que ya no son vigentes, se debe especificar cuando ocurrieron esas amenazas y que ya no existen (esto sería si se tiene reportes de literatura o expertos). Si existe evidencia concreta de que puede haber una amenaza en el futuro cercano (próximos 10 años), especifique que es una potencial amenaza en el futuro (por ejemplo si se sabe que se va a construir un embalse o un centro poblado se está expandiendo al hábitat donde está una subpoblación). Para describir las causas de la destrucción y degradación del hábitat, especificar la actividad humana. Por ejemplo, si la causa es la "ampliación de la frontera agropecuaria", especificar si es para ganadería y/o para cultivos, sin demasidado detalles (no es necesario decir que tipo de cultivos, a menos que sea un fenómeno muy relevante como cultivos de palma de aceite a gran escala). En otros ejemplos, si la causa es la "minería", especificar si es minería de metales o de hidrocarburos; si la causa es la "construcción de infraestructura", especificar sin es la construcción/ampliación de centros poblados, de vías, etc.
Campo de texto libre! Seguir el siguiente formato (incluyendo las citas o fuentes de información) e incluir un punto final:
- Si la especie SI tiene disminución continua en el hábitat:
[X de las Y= números o en letras sin son entre 1 y 10 / Todas las] subpoblaciones conocidas de la especie se encuentran en sitios con destrucción y degradación de su hábitat. Las alteraciones del hábitat se deben principalmente a [la ampliación de la frontera agropecuaria (para ganaderia y/o para cultivos) / la mineria (de metales y/o de hidrocarburos) / la construcción de infraestructura (embalses, vias, centros poblados) / las plantaciones forestales / otra causa].
- Si la especie es sobreexplotada (para comercialización, pues normalmente usos de subsistencia no son tan drásticos como para representar amenazas), usar o agregar la siguiente oración:
Las subpoblaciones conocidas de la especie están amenazadas por la extracción no sostenible de individuos por su uso como [maderable / medicinal / ornamental / otro].
- Si la especie NO tiene disminución continua en el hábitat y por tanto no tiene amenazas importantes (a menos de que sea sobrexplotada):
Las subpoblaciones conocidas de la especie se encuentran en hábitats poco perturbados por actividades humanas. 
-Si la especie es categorizada como DD:
No existe información disponible sobre amenazas para esta especie.</t>
  </si>
  <si>
    <t>Código SIS (sólo el número decimal) de las amenazas para la especie (usar el PUNTO como separador del decimal). Si la especie tiene varias amenazas, separar por COMA y espacio. Por favor tener mucho cuidado con el uso de puntos y comas en este campo.  Si la especie NO tiene amenazas, llenar la celda con N/A
Opciones=
1.1 - Housing &amp; urban areas : destrucción de hábitat por urbanización.
1.2 - Commercial &amp; industrial areas : destrucción de hábitat por actividades industriales urbanas.
1.3 - Tourism &amp; recreation areas : destrucción de hábitat por actividades de recreación.
2.1.4 - Annual &amp; perennial non-timber crops / Scale unrecorded : destrucción de hábitat por cultivos.
2.2.3 - Wood &amp; pulp plantations  / Scale unrecorded : destrucción de hábitat por plantaciones forestales.
2.3.4 - Livestock farming &amp; ranching  / Scale unrecorded : destrucción de hábitat por ganadería.
3.1 - Oil &amp; gas drilling : destrucción de hábitat por minería de hidrocarburos (petróleo y/o gas).
3.2 - Mining &amp; quarrying : destrucción de hábitat por minería de metales y/o piedras.
4.1 -Roads &amp; railroads : destrucción de hábitat por construcción de vías (carreteras, ferrocarriles, etc).
5.2.1 - Gathering terrestrial plants / Intentional use : sobreexplotación por uso directo de los individuos o sus partes.
5.2.2. - Gathering terrestrial plants / Unintentional effects : sobreexplotación producto de actividades no dirigidas a la especie.
5.3.2 - Logging &amp; wood harvesting / Intentional use at large scale : sobreexplotación por uso directo como maderable, leña o pulpa. 
7.2.11 - Dams &amp; water management/use / Dams size unknown : destrucción de hábitat por construcción de embalses.
8.1.1 - Invasive non-native/alien species/diseases / Unspecified species : degradación por especies invasoras o exóticas. 
9.1.3 - Domestic &amp; urban waste water / Unknown : contaminación por aguas negras domésticas o urbanas. 
9.2.3 - Industrial &amp; military effluents / Unknown : contaminación por efluentes industriales.
9.3.4 - Agricultural &amp; forestry effluents / Unknown : contaminación por agroquímicos.
9.4 - Garbage &amp; solid waste : contaminación por residuos sólidos.
11.1 - Climate change / Habitat shifting and alteration : cambios en la distribución o alteraciones del hábitat por efectos directos de cambio climático.
11.2 - Climate change / Droughts : degradación directa de los individuos por sequía producida directamente por cambio climático.
12.1 - Other threats : otras amenazas que no se puedan describir con los codigos disponibles.
Para ver otros códigos de amenazas ir a http://connect.iucnredlist.org/sis_classifications/139/findvalues</t>
  </si>
  <si>
    <t>researchneeded</t>
  </si>
  <si>
    <t>Código SIS (sólo el número decimal) de las PRESIONES de cada amenaza para la especie (usar el PUNTO como separador del decimal).  Las presiones son los procesos ecológicos que resultan de las acciones humanas (que son las amenazas) y que afectan de manera negativa las subpoblaciones de la especie. OJO: una amenaza puede generar VARIAS presiones y las presiones se deben repotar en estricto orden para cada amenaza declarada en campo "Código SIS Amenazas".
Para las especies con "disminución continua del hábitat", las amenazas corresponden con destrucción/degradación del hábitat y siempre se deben usar los siguientes códigos de las presiones: 1.1 | 1.2 | 2.1 | 2.2
Si la especie sólo presenta amenaza por sobreexplotación siempre se deben usar los siguientes códigos de las presiones: 2.1 | 2.2
Si existen otras amenazas (reportadas por expertos o la literatura) se podrían usar otros códigos de las presiones. Si la especie NO tiene amenazas declaradas, llenar la celda con N/A
OJO: cada amenaza puede tener una o varias presiones. Si una amenaza tiene mas de una presión, los códigos de presiones se separan con una barra vertical "|"  La o las presiones de cada amenaza se separan usando una doble barra diagnoal "//"  Por ejemplo, si la especie tienen dos amenazas reportadas, la primera con cuatro presiones y la segunda con dos presiones el campo quedaría así:  1.1 | 1.2 | 2.1 | 2.2 // 2.1 | 2.2
Opciones=
1.1 = Ecosystem conversion = Destrucción de hábitats
1.2 = Ecosystem degradation = Degradación de hábitats
1.3 = Indirect ecosystem effects = otros efectos indirectos (esta opción no la usamos)
2.1 = Species mortality = Mortalidad de adultos en las subpoblaciones
2.2 = Species disturbance = Cambios en fenologia, disminución de supervivencia y/o fecundidad, etc. en las subpoblaciones
2.3.1 = Indirect effects-Hybridisation = degradación de subpoblaciones por hibridación con otras especies
2.3.2 = Indirect effects-Competition = degradación de subpoblaciones por competencia con otras especies
2.3.3 = Indirect effects-Loss of mutualism = degradación de subpoblaciones por pérdida de especies mutualistas
2.3.4 = Indirect effects-Loss of pollinator = degradación de subpoblaciones por pérdida de polinizadores específicamente
2.3.5 = Indirect effects-Inbreeding = degradación de subpoblaciones por efectos de la depresión por endogamia
2.3.6 = Indirect effects-Skewed sex ratios = degradación de subpoblaciones por sesgos en la relación de sexos
2.3.7 = Indirect effects-Reduced reproductive success = degradación de subpoblaciones por pérdida de fecunidad por causas concretas</t>
  </si>
  <si>
    <t>Códigos SIS (los números decimales, usando PUNTO como separador) para declarar si se necesitan acciones de conservación para la especie. Si se necesitan varias acciones, separar por COMA y espacio. Por favor tener mucho cuidado con el uso de puntos y comas en este campo.
SI la especie no tiene disminución continua en el hábitat y por ende NO está amenazada, entonces la especie NO necesita acciones de conservación y se llena esta celda con N/A
Si la especie SI presenta disminución continua en el hábitat y SI está amenazada, entonces se declaran acciones de conservación requeridas. Se deben declarar siempre las opciones 1.1, 3.4.2, 4.3  y usar otras opciones según las recomendaciones a continuación.
Opciones=
1.1 - Site/area protection : usar esta opción siempre si la especie está amenazada y las áreas protegidas donde tiene presencia la especie tienen figuras de áreas de conservación débiles i.e: DRMI
2.2 - Invasive/problematic species control : usar esta opción sólo si la especie está amenazada por la acción de especies invasoras o problemáticas
2.3 - Hábitat and natural process restoration : usar esta opción si la especie requiere de resturación de su hábitat, ya que está demasiado degradado (huella humana superior al 90%)
3.3.1 - Reintroduction : usar esta opción si se sabe que la especie está amenazada y tiene subpoblaciones muy pequeñas (menos de 250 adultos)
3.4.2 - Ex-situ conservation / Banco genético : usar esta opción siempre, si la especie está amenazada
4.3 - Awareness and communication : usar esta opción siempre, si la especie está amenazada
Para ver otros códigos de acciones de conservación ir a http://connect.iucnredlist.org/sis_classifications/127/findvalues</t>
  </si>
  <si>
    <t>Código SIS (según las opciones del SIS, en inglés, tal cual como aparecen aca abajo) para reportar la SEVERIDAD de cada una de las amenazas. Si la especie presenta "disminución continua del hábitat", asumimos que las amenazas son muy severas ("Very rapid declines"), pues lo adultos desaparecen al destruir o degradar drásticamente el hábitat. Si la especie presenta sobreexplotación, se puede asumir que la severidad es menor ("Rapid declines"), pues generalmente no se extraen todos los adultos de una subpoblación (a menos de que haya evidencia de lo contrario).
DEBE haber un código (palabra) para CADA UNA de las amenazas declaradas (cómo números) para la especie. Los códigos (palabras) en este campo se separan por comas.  Si la especie NO tiene amenazas declaradas, llenar la celda con N/A. En el caso de amenazas por sobreexplotación se requiere información sobre el número de individuos adultos y la frecuencia si no se tiene esta información usar la opción "unknown".
Opciones=
Very rapid declines : la amenaza causa declives muy rápidos en el # adultos de las subpoblaciones (esta opción es la más común para nosotros).
Rapid declines: la amenaza causa declives rápidos en el # adultos de las subpoblaciones. 
Slow, Significant declines: la amenaza causa declives en el # adultos en las subpoblaciones de manera drástica, pero lenta
Causing/Could cause fluctuations : la amenaza causa fluctuaciones en el # adultos en las subpoblaciones
Negligible declines : la amenaza causa declives leves en el # adultos en las subpoblaciones
No decline : la amenaza no causa desaparición de adultos en las subpoblaciones
Unknown : NO se conoce las amenazas</t>
  </si>
  <si>
    <t>Cristina Lopez-Gallego &amp; Paula A. Morales Morales
Grupo de Especialistas de Plantas de Colombia
Grupo EECO - Instituto de Biología, Universidad de Antioquia</t>
  </si>
  <si>
    <t>Verónica Bedoya Calle</t>
  </si>
  <si>
    <t>Polypodiaceae</t>
  </si>
  <si>
    <t>Serpocaulon</t>
  </si>
  <si>
    <t>adnatum</t>
  </si>
  <si>
    <t>Serpocaulon adnatum</t>
  </si>
  <si>
    <t xml:space="preserve">Goniophlebium adnatum (Kunze ex Klotzsch) T.Moore, Goniophlebium meniscifolium var. adnatum Farw., Polypodium adnatum Kunze ex Klotzsch, Polypodium fraxinifolium var. adnatum (Kunze ex Klotzsch) Baker </t>
  </si>
  <si>
    <t>meniscifolium, fraxinifolium</t>
  </si>
  <si>
    <t>(Kunze ex Klotzsch) T.Moore, Farw, Kunze ex Klotzsch, (Kunze ex Klotzsch) Baker</t>
  </si>
  <si>
    <t>PT, E</t>
  </si>
  <si>
    <t>Fern, Epiphyte</t>
  </si>
  <si>
    <t>3700</t>
  </si>
  <si>
    <t>1.6, 1.9</t>
  </si>
  <si>
    <t>Viento</t>
  </si>
  <si>
    <t>Las especies de la familia tienen dispersión a largas distancias (long distance dispersal) (Moran y Smith, 2001).</t>
  </si>
  <si>
    <t>antioquianum</t>
  </si>
  <si>
    <t>400</t>
  </si>
  <si>
    <t>900</t>
  </si>
  <si>
    <t>Serpocaulon antioquianum</t>
  </si>
  <si>
    <t>F, PT, E, L</t>
  </si>
  <si>
    <t>Forb, Fern, Epiphyte, Lithophyte</t>
  </si>
  <si>
    <t>D. Sanín</t>
  </si>
  <si>
    <t>articulatum</t>
  </si>
  <si>
    <t>5</t>
  </si>
  <si>
    <t>2050</t>
  </si>
  <si>
    <t>Serpocaulon articulatum</t>
  </si>
  <si>
    <t>En Perú se utiliza para infecciones renales, hepáticas y uterinas (D. Sanín 2023)</t>
  </si>
  <si>
    <t>F, PT, E</t>
  </si>
  <si>
    <t>Forb, Fern, Epiphyte</t>
  </si>
  <si>
    <t>(Humb. &amp; Bonpl. ex Willd.) A.R.Sm.</t>
  </si>
  <si>
    <t>attenuatum</t>
  </si>
  <si>
    <t>Serpocaulon attenuatum</t>
  </si>
  <si>
    <t>Taxon 55(4): 927 (-928) (2006)</t>
  </si>
  <si>
    <t xml:space="preserve">Goniophlebium, Goniophlebium, Polypodium, Polypodium
</t>
  </si>
  <si>
    <t>Goniophlebium, Marginaria, Polypodium, Goniophlebium, Polypodium, Goniophlebium, Polypodium, Polypodium, Polypodium</t>
  </si>
  <si>
    <t>Portuguese</t>
  </si>
  <si>
    <t>Plantas epífitas, terrestres y rupícolas. Rizomas cortos y rastreros, de color marrón oscuro a rojizo, sin pruina o con una pruina muy tenue; filopodios separados entre 0,5 y 1,5 cm. Escamas del rizoma densas, de forma ovado-lanceolada a lanceolada, de un solo color, de color marrón claro a naranja, con la base redondeada y el ápice agudo. Frondas de 20-155 cm de largo. Pecíolos de 7-45 cm de largo, subcilíndricos en la parte proximal, ligeramente sulcados en la distal, con un pequeño ala, de color marrón claro a marrón oscuro.</t>
  </si>
  <si>
    <t>concolorum</t>
  </si>
  <si>
    <t>(M.Kessler &amp; A.R.Sm.) A.R.Sm.</t>
  </si>
  <si>
    <t>Serpocaulon concolorum</t>
  </si>
  <si>
    <t>Polypodium, Polypodium, Polypodium, Serpocaulon</t>
  </si>
  <si>
    <t>(Kunze ex Klotzsch) ARSm.</t>
  </si>
  <si>
    <t>Taxon 55: 927 (2006)</t>
  </si>
  <si>
    <t>Equisetopsida</t>
  </si>
  <si>
    <t>Fl. Colombia 32: 43 (2018)</t>
  </si>
  <si>
    <t>(C.Presl) Schwartsb. &amp; ARSm.</t>
  </si>
  <si>
    <t>J. Bot. Res. Inst. Texas 7: 85 (2013)</t>
  </si>
  <si>
    <t>Goniophlebium articulatum (Desv.) Presl, Polypodium articulatum Desv., Polypodium adnatum var. glaucescens Mille, Polypodium caceresii Sodiro, Polypodium fraxinifolium var. articulatum C.Chr., Polypodium fraxinifolium subsp. luridum Christ, Serpocaulon caceresii (Sodiro) ARSm.</t>
  </si>
  <si>
    <t>Goniophlebium, Polypodium, Polypodium, Polypodium, Polypodium, Polypodium, Serpocaulon</t>
  </si>
  <si>
    <t>articulatum, articulatum, adnatum var. glaucescens, caceresii, fraxinifolium var. articulatum, fraxinifolium subsp. luridum, caceresii</t>
  </si>
  <si>
    <t>(Desv.) Presl, Desv., Mille, Sodiro, C. Chr, Christ, (Sodiro) ARSm.</t>
  </si>
  <si>
    <t>Polypodium attenuatum	Humb. &amp; Bonpl. ex Willd., Polypodium brasiliense var. attenuatum (Humb. &amp; Bonpl. ex Willd.) Baker, Goniophlebium attenuatum C.Presl, Goniophlebium kuhnii (E.Fourn.) Pic.Serm., Goniophlebium oleandrifolium T.Moore, Marginaria oleandrifolia C.Presl, Polypodium kuhnii E.Fourn., Polypodium pycnosorum Link</t>
  </si>
  <si>
    <t>Humb. &amp; Bonpl. ex Willd., (Humb. &amp; Bonpl. ex Willd.) Baker, C.Presl, (E.Fourn.) Pic.Serm., T. Moore, C. Presl, E.Fourn, Link</t>
  </si>
  <si>
    <t>attenuatum, brasiliense var. attenuatum, attenuatum, kuhnii, oleandrifolium, oleaodrifolia, kuhnii, pycnosorum</t>
  </si>
  <si>
    <t>3</t>
  </si>
  <si>
    <t>4</t>
  </si>
  <si>
    <t>6</t>
  </si>
  <si>
    <t>7</t>
  </si>
  <si>
    <t>8</t>
  </si>
  <si>
    <t>9</t>
  </si>
  <si>
    <t>10</t>
  </si>
  <si>
    <t>11</t>
  </si>
  <si>
    <t>12</t>
  </si>
  <si>
    <t>13</t>
  </si>
  <si>
    <t>14</t>
  </si>
  <si>
    <t>15</t>
  </si>
  <si>
    <t>17</t>
  </si>
  <si>
    <t>18</t>
  </si>
  <si>
    <t>19</t>
  </si>
  <si>
    <t>20</t>
  </si>
  <si>
    <t>21</t>
  </si>
  <si>
    <t>22</t>
  </si>
  <si>
    <t>23</t>
  </si>
  <si>
    <t>24</t>
  </si>
  <si>
    <t>25</t>
  </si>
  <si>
    <t>26</t>
  </si>
  <si>
    <t>27</t>
  </si>
  <si>
    <t>28</t>
  </si>
  <si>
    <t>29</t>
  </si>
  <si>
    <t>30</t>
  </si>
  <si>
    <t>31</t>
  </si>
  <si>
    <t>32</t>
  </si>
  <si>
    <t>33</t>
  </si>
  <si>
    <t>34</t>
  </si>
  <si>
    <t>35</t>
  </si>
  <si>
    <t>36</t>
  </si>
  <si>
    <t>37</t>
  </si>
  <si>
    <t>38</t>
  </si>
  <si>
    <t>39</t>
  </si>
  <si>
    <t>biauriculatum</t>
  </si>
  <si>
    <t>Taxon 55: 928 (2006)</t>
  </si>
  <si>
    <t>Polypodium concolorum M.Kessler &amp; A.R.Sm., Polypodium loriceum var. obscurum Rosenst., Polypodium loriceum var. squamuligerum Rosenst., Serpocaulon obscurinervium	D.Sanín</t>
  </si>
  <si>
    <t xml:space="preserve"> concolorum, loriceum var. obscurum, loriceum var. squamuligerum, obscurinervium</t>
  </si>
  <si>
    <t>M.Kessler &amp; A.R.Sm., Rosenst, Rosenst, D. Sanín</t>
  </si>
  <si>
    <t>Polypodiales</t>
  </si>
  <si>
    <t>F, PT</t>
  </si>
  <si>
    <t>Forb, Fern</t>
  </si>
  <si>
    <t>1820</t>
  </si>
  <si>
    <t>3000</t>
  </si>
  <si>
    <t>1.9</t>
  </si>
  <si>
    <t>La especie ocurre en hábitats de bosques húmedos en tierras altas (elevación mayor a 1000 msnm) (Sanín et at. 2023).</t>
  </si>
  <si>
    <t>La especie ocurre en hábitats de bosques húmedos en tierras bajas (elevación menor a 1.000 msnm), y en bosques de tierras altas (elevación mayor a 1000 msnm) (Sanín et at. 2023).</t>
  </si>
  <si>
    <t>Plantas hemiepífitas, epífitas, terrestres o, en raras ocasiones, rupícolas. Rizomas largos y rastreros, de color marrón oscuro a rojizo, pruinosos; filopodios separados entre 1,7 y siete cm. Escamas del rizoma densas, redondeadas, de forma ovada a elíptica, adpresas, peltadas y bicoloras. Frondas de 35–155 cm de largo. Pecíolos de 17–65 cm de largo, subcilíndricos en la parte proximal, ligeramente sulcados en la distal, de color marrón claro a marrón oscuro. (Sanín et al. 2023).</t>
  </si>
  <si>
    <t>Plantas hemiepífitas o terrestres. Rizomas largos y rastreros, de color naranja a rojizo en los ápices, marrón amarillento en la base, pruinosos; filopodios separados entre dos y cuatro cm. Escamas del rizoma densas, lanceoladas a estrechamente lanceoladas, de un solo color, de color naranja oscuro, iridiscentes y con la base redondeada. Frondas de 54-61 cm de largo. Pecíolos de 25-28 cm de largo, subcilíndricos en la parte proximal, triangulares en la distal, de color pajizo a marrón.</t>
  </si>
  <si>
    <t>dissimile</t>
  </si>
  <si>
    <t>(L.) A.R.Sm.</t>
  </si>
  <si>
    <t>Serpocaulon dissimile</t>
  </si>
  <si>
    <t>Goniophlebium, Polypodium, Goniophlebium, Goniophlebium, Marginaria, Polypodium, Polypodium, Polypodium, Polypodium, Polypodium, Polypodium</t>
  </si>
  <si>
    <t>dissimile, dissimile, assimile, chnoodes, chnoodes, assimile, chnoodes, chnoodes, falciforme, loriceum var. Umbraticum, retrofractum</t>
  </si>
  <si>
    <t>(L.) J.Sm., L., Lodd., (Spreng.) Fée, (Spreng.) C.Presl, Kunze, Spreng., Christ, Siebold, Christ, Desv.</t>
  </si>
  <si>
    <t>Goniophlebium dissimile (L.) J.Sm., Polypodium dissimile L., Goniophlebium assimile Lodd., Goniophlebium chnoodes (Spreng.) Fée, Marginaria chnoodes (Spreng.) C.Presl, Polypodium assimile Kunze, Polypodium chnoodes Spreng., Polypodium chnoodes var. minus Christ, Polypodium falciforme Siebold, Polypodium loriceum var. umbraticum Christ, Polypodium retrofractum Desv.</t>
  </si>
  <si>
    <t>En Guatemala, el rizoma se utiliza para tratar los dolores de cabeza, aplicando en la frente la infusión realizada con este</t>
  </si>
  <si>
    <t>1950</t>
  </si>
  <si>
    <t>Serpocaulon eleutherophlebium</t>
  </si>
  <si>
    <t>eleutherophlebium</t>
  </si>
  <si>
    <t>(Fée) A.R.Sm.</t>
  </si>
  <si>
    <t>Goniophlebium eleutherophlebium Fée, Polypodium eleutherophlebium (Fée) Mett., Goniophlebium chondrocheilon Fée, Polypodium chondrocheilon (Fée) C.Chr., Polypodium mindense Sodiro, Polypodium punctulatum Hook., Polypodium vagans Mett., Polypodium wiesbaurii Sodiro</t>
  </si>
  <si>
    <t>eleutherophlebium, eleutherophlebium, chondrocheilon, chondrocheilon, mindense, punctulatum, vagans, wiesbaurii</t>
  </si>
  <si>
    <t>Fée, (Fée) Mett., Fée, (Fée) C.Chr., Sodiro, Hook., Mett., Sodiro</t>
  </si>
  <si>
    <t>Goniophlebium, Polypodium, Goniophlebium, Goniophlebium, Polypodium, Polypodium, Polypodium, Polypodium, Polypodium</t>
  </si>
  <si>
    <t>Plantas epífitas, hemiepífitas, terrestres o, en raras ocasiones, rupícolas. Rizomas largos y rastreros, de color marrón claro a oscuro, pruinosos; filopodios separados entre 1 y 5,5 cm. Escamas del rizoma densas, principalmente en el ápice del rizoma y en los filopodios, peltadas, de un solo color, de color marrón oscuro a rojizo, con la base redondeada, el ápice acicular y extendido, y los márgenes ciliados. Frondas de 8–42 cm de largo. Pecíolos de 3,4–25 cm de largo, subcilíndricos en la parte proximal, ligeramente sulcados en la distal, de color marrón claro a rojizo o verdoso.</t>
  </si>
  <si>
    <t>Plantas epífitas, terrestres o rupícolas. Rizomas cortos y rastreros, de color marrón oscuro a rojizo, pruinosos; filopodios separados entre 0,4 y 2,5 cm. Escamas del rizoma densas, lanceoladas a aciculolanceoladas, de un solo color, marrón oscuro, iridiscentes, con la base redondeada, el ápice largamente acuminado, patentes y los márgenes dentados. Frondas de 20–146 cm de largo. Pecíolos de 4,5–35 cm de largo, subcilíndricos, de color marrón claro a oscuro.</t>
  </si>
  <si>
    <t>2430</t>
  </si>
  <si>
    <t>3950</t>
  </si>
  <si>
    <t>Serpocaulon fraxinifolium</t>
  </si>
  <si>
    <t>fraxinifolium</t>
  </si>
  <si>
    <t>(Jacq.) A.R.Sm.</t>
  </si>
  <si>
    <t>Polypodium fraxinifolium Jacq., Goniophlebium deflexum T.Moore &amp; Houlston, Goniophlebium distans J.Sm., Goniophlebium fraxinifolium T.Moore, Goniophlebium ornatum Fée, Goniophlebium rhizocaulon C.Presl, Marginaria distans C.Presl, Polypodium cymatodes Kunze, Polypodium deflexum E.J.Lowe, Polypodium fraxinifolium var. fraxinellum Christ, Polypodium fraxinifolium subsp. ornatum (Klotzsch) Christ, Polypodium fraxinifolium var. rhizocaulon Rosenst., Polypodium mutabile Kunze, Polypodium ornatum Klotzsch, Polypodium rhizocaulon Willd., Polypodium scutulatum Sodiro</t>
  </si>
  <si>
    <t>Polypodium, Goniophlebium, Goniophlebium, Goniophlebium, Goniophlebium, Goniophlebium, Marginaria, Polypodium, Polypodium, Polypodium, Polypodium, Polypodium, Polypodium, Polypodium, Polypodium, Polypodium</t>
  </si>
  <si>
    <t>fraxinifolium, deflexum, distans, fraxinifolium, ornatum, rhizocaulon, distans, cymatodes, deflexum, fraxinifolium var. fraxinellum, fraxinifolium subsp. ornatum, fraxinifolium var. rhizocaulon, mutabile, ornatum, rhizocaulon, scutulatum</t>
  </si>
  <si>
    <t>Jacq., T.Moore &amp; Houlston, J.Sm., T.Moore, Fée, C.Presl, C.Presl, Kunze, E.J.Lowe, Christ, Klotzsch) Christ, Rosenst., Kunze, Klotzsch, Willd., Sodiro</t>
  </si>
  <si>
    <t>Jé yei remedio tape (Cayapa language) (Kvist &amp; Asanza 40798, QCA).</t>
  </si>
  <si>
    <t>La cultura cayapa de Ecuador utilizaba esta especie para eliminar la mucosidad de la nariz y la garganta, hirviendo la planta y bebiendo la decocción (Kvist &amp; Asanza 40798, QCA). En Ecuador, el Serpocaulon fraxinifolium se utiliza para prevenir trastornos del sistema respiratorio (Navarrete et al., 2006).</t>
  </si>
  <si>
    <t xml:space="preserve">Plantas hemiepífitas, epífitas o terrestres. Rizomas largos y rastreros, de color marrón oscuro, a menudo pruinosos; filopodios separados entre 1 y 12 cm. Escamas del rizoma densas, lanceoladas, bicoloras, de color marrón claro a rojizo en los márgenes con células paralelas, y marrón oscuro hacia el centro; bases peltadas, redondeadas; ápices acuminados a caudados. Frondas de 32–102 cm de largo. Pecíolos de 10–40 cm de largo.
</t>
  </si>
  <si>
    <t>Plantas epífitas. Rizomas largos y rastreros, de color marrón oscuro a rojizo, no pruinosos; filopodios separados entre dos y tres cm. Escamas del rizoma densas, de forma ovada a redondeada, adpresas, peltadas, bicoloras, de color salmón en los márgenes y marrón oscuro hacia el centro, con la base y el ápice redondeados a obtusos y adpresos, y los márgenes dentados y superpuestos a las escamas adyacentes. Frondas de 34–107 cm de largo. Pecíolos de 10–47 cm de largo.</t>
  </si>
  <si>
    <t>Plantas epífitas, terrestres, rupícolas o hemiepífitas. Rizomas largos y rastreros, de color marrón claro a verdoso, pruinosos; filopodios separados entre 0,6 y 10 cm. Escamas del rizoma dispersas o densas, redondeadas, de forma ovada a elíptica (nunca largamente acuminadas), adpresas, peltadas, bicoloras, de color marrón claro en los márgenes y marrón oscuro hacia el centro. Frondas de 21–111 cm de largo. Pecíolos de 4–29 cm de largo, subcilíndricos en la parte proximal, ligeramente sulcados en la distal, de color marrón claro a oscuro.</t>
  </si>
  <si>
    <t>75</t>
  </si>
  <si>
    <t>funckii</t>
  </si>
  <si>
    <t>(Mett.) A.R.Sm.</t>
  </si>
  <si>
    <t>Serpocaulon funckii </t>
  </si>
  <si>
    <t>Polypodium funckii Mett.</t>
  </si>
  <si>
    <t>Polypodium</t>
  </si>
  <si>
    <t>Mett.</t>
  </si>
  <si>
    <t>Plantas epífitas o hemiepífitas. Rizomas largos y rastreros, de color marrón oscuro a rojizo, pruinosos; filopodios separados entre 1,5 y 7 cm. Escamas del rizoma dispersas, elípticas, adpresas, peltadas, bicolores, de color marrón claro en los márgenes y marrón oscuro hacia el centro, con la base y el ápice obtusos a redondeados, y los márgenes dentados. Frondas de 16–42 cm de largo. Pecíolos de 2,5–14 cm de largo, subcilíndricos en la parte proximal, sulcados en la distal, de color marrón claro a oscuro.</t>
  </si>
  <si>
    <t>1240</t>
  </si>
  <si>
    <t>Serpocaulon biauriculatum</t>
  </si>
  <si>
    <t>D. Sanín &amp; Testo</t>
  </si>
  <si>
    <t>Brittonia 77, 411–418 (2025)</t>
  </si>
  <si>
    <t>Plantas terrestres en su fase juvenil, terrestres y trepadoras en su madurez. Rizomas largos y rastreros, superficie no pruinosa, de color verde en plantas vivas y marrón oscuro cuando secas, densamente escamosos; filopodios separados entre 4 y 8 cm, del mismo color que el rizoma. Escamas del rizoma extendidas, lineares-lanceoladas, reticuladas, con márgenes enteros, del mismo color, de color marrón pálido, base truncada a redondeada y ápice largamente atenuado. Frondas de 60-115 × 30–45 cm. Pecíolos de aprox. 1/2–1/5 de la longitud de la fronda, de color pajizo a marrón brillante, redondeados en el envés, sulcados en el haz, con tonos dorado oscuro.</t>
  </si>
  <si>
    <t>1401</t>
  </si>
  <si>
    <t>1900</t>
  </si>
  <si>
    <t>La especie es endémica de Colombia. Se ha registrado en la vertiente occidental de la Serranía de Los Yariguíes, en los municipios de Carmen del Chucurí y San Vicente del Chucurí, Santander. En bosques nubosos premontanos y montanos.</t>
  </si>
  <si>
    <t>0</t>
  </si>
  <si>
    <t>2450</t>
  </si>
  <si>
    <t>(Klotzsch) A.R.Sm.</t>
  </si>
  <si>
    <t>lasiopus</t>
  </si>
  <si>
    <t>Serpocaulon lasiopus</t>
  </si>
  <si>
    <t>Polypodium lasiopus Klotzsch, Goniophlebium lasiopus T.Moore, Goniophlebium pubescens T.Moore, Polypodium argyrolepis Sodiro, Polypodium gilliesii C.Chr., Polypodium loriceum var. hirto-pubescens Hieron., Polypodium pubescens Gillies ex Hook. &amp; Grev., Serpocaulon gilliesii (C.Chr.) A.R.Sm.</t>
  </si>
  <si>
    <t>Polypodium, Goniophlebium, Goniophlebium, Polypodium, Polypodium, Polypodium, Polypodium, Serpocaulon</t>
  </si>
  <si>
    <t>lasiopus, lasiopus, pubescens, argyrolepis, gilliesii, loriceum var. hirto-pubescens, pubescens, gilliesii</t>
  </si>
  <si>
    <t>Klotzsch, T. Moore, T. Moore, Sodiro, Hieron, Gillies ex Hook. &amp; Grev., (C.Chr.) A.R.Sm.</t>
  </si>
  <si>
    <t>South American Indian (Other)</t>
  </si>
  <si>
    <t>Calaguala by the Saraguro in Ecuador (Ellemann 66815, QCA).</t>
  </si>
  <si>
    <t>Kalahuala in Guatemala (Williams et al. 40250, F).</t>
  </si>
  <si>
    <t>Avento in Pernambuco, Brazil (Fonseca 20343, UFP).</t>
  </si>
  <si>
    <t>Lengua de ciervo in Lambayeque, Peru (Esposto s.n., USM). No se han reportado usos para la especie.</t>
  </si>
  <si>
    <t>250</t>
  </si>
  <si>
    <t>3210</t>
  </si>
  <si>
    <t>Plantas epífitas, rupícolas o, en raras ocasiones, terrestres. Rizomas cortos y rastreros, de color marrón a rojizo oscuro, pruinosos o no; filopodios separados entre 1 y 2,5 cm. Escamas del rizoma densas, ovado-lanceoladas, lanceoladas a ligeramente subuladas, bicoloras o, en raras ocasiones, ligeramente concoloras (marrón claro en los márgenes y marrón oscuro hacia el centro), con la base redondeada y el ápice largamente acuminado. Frondas de 6–56 cm de largo. Pecíolos de 1–23 cm de largo, subcilíndricos, de color marrón claro.</t>
  </si>
  <si>
    <t>latissimum</t>
  </si>
  <si>
    <t>(R.C.Moran &amp; B.Øllg.) A.R.Sm.</t>
  </si>
  <si>
    <t>Serpocaulon latissimum</t>
  </si>
  <si>
    <t>Polypodium latissimum R.C.Moran &amp; B.Øllg.</t>
  </si>
  <si>
    <t>R.C.Moran &amp; B.Øllg.</t>
  </si>
  <si>
    <t>Plantas hemiepífitas, epífitas, terrestres o, en raras ocasiones, rupícolas. Rizomas largos y rastreros, de color marrón oscuro, sin pruina; filopodios separados entre 3,5 y 8 cm. Escamas del rizoma densas o dispersas, redondeadas, adpresas, peltadas, bicoloras, de color marrón claro en los márgenes y marrón oscuro hacia el centro. Frondas de 49-110 cm de largo. Pecíolos de 14-41 cm de largo, subcilíndricos en la parte proximal, ligeramente sulcados en la distal, de color marrón claro en la base y a menudo se oscurecen en la parte distal.</t>
  </si>
  <si>
    <t>2080</t>
  </si>
  <si>
    <t>700</t>
  </si>
  <si>
    <t>levigatum</t>
  </si>
  <si>
    <t>(Cav.) A.R.Sm.</t>
  </si>
  <si>
    <t>Serpocaulon levigatum</t>
  </si>
  <si>
    <t>Campyloneurum levigatum (Cav.) C.Presl, Goniophlebium levigatum (Cav.) Conz., Polypodium levigatum Cav., Goniophlebium glaucophyllum (Kunze ex Klotzsch) Fée, Polypodium glaucophyllum Kunze ex Klotzsch</t>
  </si>
  <si>
    <t>Campyloneurum, Goniophlebium, Polypodium, Goniophlebium, Polypodium</t>
  </si>
  <si>
    <t>levigatum, levigatum, levigatum, glaucophyllum, glaucophyllum</t>
  </si>
  <si>
    <t>(Cav.) C.Presl, (Cav.) Conz., Cav., (Kunze ex Klotzsch) Fée, Kunze ex Klotzsch</t>
  </si>
  <si>
    <t>Jala wala in Quechua from Peru (Morales Huamán 7, Herbarium of University of San Cristóbal de Huamanga, Ayacucho).</t>
  </si>
  <si>
    <t>Catchi panga in Quechua from Ecuador (Shemluck &amp; Ness 203, F); Calaguala (Acosta Solis 14385, F). In the Peruvian department of Ayacucho, it is used to cure kidney sickness (Morales Huamán 7, Herbarium of University of San Cristóbal de Huamanga, Ayacucho). In Ecuador, the leaves are said to be very sweet and used as a flavoring for monkey meat and to prevent blood coagulation (Shemluck &amp; Ness 203, F). In Bolivia, the leaves are chewed by natives, have a sweet flavor like coconut, and may contain an alkaloid (A. Quesada 7, F).</t>
  </si>
  <si>
    <t>Plantas hemiepífitas, epífitas, terrestres o rupícolas. Rizomas largos y rastreros, de color marrón blanquecino a oscuro o rojizo, volviéndose blanquecinos hacia el ápice, pruinosos; filopodios separados entre 0,5 y 9 cm. Escamas del rizoma dispersas, redondeadas, elípticas u ovadas, adpresas, peltadas, bicolores, de color marrón claro en los márgenes y marrón oscuro hacia el centro, con la base y el ápice redondeados a subagudos, adpresas, de márgenes erosos. Frondas de 6–50 cm de largo. Pecíolos de 1–23 cm de largo, subcilíndricos en la parte proximal, ligeramente sulcados en la distal, de color marrón claro a oscuro.</t>
  </si>
  <si>
    <t>loriceum</t>
  </si>
  <si>
    <t>Serpocaulon loriceum</t>
  </si>
  <si>
    <t>Goniophlebium loriceum (L.) J.Sm., Marginaria loricea (L.) C.Presl, Polypodium loriceum L., Goniophlebium arcuatum Fée, Goniophlebium pectinatum J.Sm., Goniophlebium punctulatum T.Moore, Goniophlebium ramosum (Lodd. ex Link) Fée, Marginaria falcata Fée, Polypodium chartaceum Baker, Polypodium elegans Cav. ex Sw., Polypodium karwinskianum E.J.Lowe, Polypodium lineare Houtt., Polypodium loriceum var. heterolepis Sodiro, Polypodium loriceum var. pectinatum (J.Sm.) Baker, Polypodium ramosum Lodd. ex Link</t>
  </si>
  <si>
    <t xml:space="preserve">Goniophlebium, Marginaria, Polypodium, Goniophlebium, Goniophlebium, Goniophlebium, Goniophlebium, Marginaria, Polypodium, Polypodium, Polypodium, Polypodium, Polypodium, Polypodium, Polypodium
</t>
  </si>
  <si>
    <t>loriceum, loricea, loriceum, arcuatum, pectinatum, punctulatum, ramosum, falcata, chartaceum, elegans, karwinskianum, lineare, loriceum var. heterolepis, loriceum var. pectinatum, ramosum</t>
  </si>
  <si>
    <t>(L.) J.Sm., (L.) C.Presl, L., Fée, J.Sm., T.Moore, (Lodd. ex Link) Fée, Fée, Baker, Cav. ex Sw., E.J.Lowe, Houtt., Sodiro, (J.Sm.) Baker, Lodd. ex Link</t>
  </si>
  <si>
    <t>Plantas hemiepífitas o terrestres. Rizomas largos y rastreros, de color marrón oscuro, pruinosos; filopodios separados entre 1 y 8,5 cm. Escamas del rizoma dispersas, de forma redondeada a elíptica, adpresas, peltadas, bicoloras, de color marrón claro en los márgenes y marrón oscuro hacia el centro, con la base redondeada, el ápice redondeado a ampliamente agudo y adpreso, y los márgenes erosos. Frondas de 22–89 cm de largo. Pecíolos de 7,5–38 cm de largo, de color marrón oscuro, más claros en la parte distal.</t>
  </si>
  <si>
    <t>150</t>
  </si>
  <si>
    <t>3020</t>
  </si>
  <si>
    <t>Serpocaulon maritimum</t>
  </si>
  <si>
    <t>maritimum</t>
  </si>
  <si>
    <t>(Hieron.) A.R.Sm.</t>
  </si>
  <si>
    <t>Polypodium maritimum Hieron., Polypodium beyerianum Rosenst.</t>
  </si>
  <si>
    <t>Polypodium, Polypodium</t>
  </si>
  <si>
    <t>maritimum, beyerianum</t>
  </si>
  <si>
    <t>Hieron., Rosenst.</t>
  </si>
  <si>
    <t>50</t>
  </si>
  <si>
    <t>1600</t>
  </si>
  <si>
    <t>EOO (S RedList)</t>
  </si>
  <si>
    <t>AOO (S RedList)</t>
  </si>
  <si>
    <t>60</t>
  </si>
  <si>
    <t>365587</t>
  </si>
  <si>
    <t>216517</t>
  </si>
  <si>
    <t>340</t>
  </si>
  <si>
    <t>20*</t>
  </si>
  <si>
    <t>2*</t>
  </si>
  <si>
    <t>12*</t>
  </si>
  <si>
    <t>52337*</t>
  </si>
  <si>
    <t>8*</t>
  </si>
  <si>
    <t>32*</t>
  </si>
  <si>
    <t>183341*</t>
  </si>
  <si>
    <t>11112</t>
  </si>
  <si>
    <t>52105</t>
  </si>
  <si>
    <t>72</t>
  </si>
  <si>
    <t>164197</t>
  </si>
  <si>
    <t>177568</t>
  </si>
  <si>
    <t>196</t>
  </si>
  <si>
    <t>318075</t>
  </si>
  <si>
    <t>460</t>
  </si>
  <si>
    <t>137734</t>
  </si>
  <si>
    <t>120</t>
  </si>
  <si>
    <t>58599</t>
  </si>
  <si>
    <t>48</t>
  </si>
  <si>
    <t>517891</t>
  </si>
  <si>
    <t>128</t>
  </si>
  <si>
    <t>352104</t>
  </si>
  <si>
    <t>572</t>
  </si>
  <si>
    <t>182314</t>
  </si>
  <si>
    <t>180554</t>
  </si>
  <si>
    <t>52</t>
  </si>
  <si>
    <t>nanegalense</t>
  </si>
  <si>
    <t>(Sodiro) A.R.Sm.</t>
  </si>
  <si>
    <t>Serpocaulon nanegalense</t>
  </si>
  <si>
    <t>Polypodium nanegalense Sodiro</t>
  </si>
  <si>
    <t>Sodiro</t>
  </si>
  <si>
    <t>Plantas hemiepífitas, epífitas o terrestres. Rizomas largos y rastreros, de color marrón oscuro a rojizo, generalmente sin pruina; filopodios separados entre 2,5 y 8 cm. Escamas del rizoma densas o dispersas de forma escasa a lo largo de los rizomas, lanceoladas a subuladas, adpresas, subpeltadas, bicolores, de color marrón claro en los márgenes y de marrón oscuro a rojizo hacia el centro, con la base redondeada, el ápice largamente acuminado y patente, y los márgenes dentados. Frondas de 20-100 cm de largo. Pecíolos de 10-35 cm de largo, subteretes en la parte proximal, sulcados en la distal, de color marrón oscuro y lustrosos.</t>
  </si>
  <si>
    <t>2170</t>
  </si>
  <si>
    <t>3500</t>
  </si>
  <si>
    <t>151428</t>
  </si>
  <si>
    <t>104</t>
  </si>
  <si>
    <t>30224</t>
  </si>
  <si>
    <t>Serpocaulon patentissimum</t>
  </si>
  <si>
    <t>Serpocaulon psychotrium</t>
  </si>
  <si>
    <t>patentissimum</t>
  </si>
  <si>
    <t>psychotrium</t>
  </si>
  <si>
    <t>Ctenopteris patentissima (Mett.) Copel., Polypodium patentissimum Mett., Polypodium manabyanum Baker</t>
  </si>
  <si>
    <t>patentissima, patentissimum, manabyanum</t>
  </si>
  <si>
    <t>Ctenopteris, Polypodium, Polypodium</t>
  </si>
  <si>
    <t>(Mett.) Copel., Mett., Baker</t>
  </si>
  <si>
    <t>442709</t>
  </si>
  <si>
    <t>80</t>
  </si>
  <si>
    <t>450</t>
  </si>
  <si>
    <t>2400</t>
  </si>
  <si>
    <t>Plantas hemiepífitas, rara vez terrestres (solo en las primeras etapas de crecimiento). Rizomas largos y rastreros, de color marrón claro a oscuro, ligeramente pruinosos; filopodios separados entre 1 y 6 cm. Escamas del rizoma dispersas, escasas, de forma ovado-lanceolada a triangular o deltada, con la base adpresada y el ápice patente, peltadas, algo bicolores, de color marrón claro a amarillento en los márgenes y de amarillo oscuro a dorado oscuro hacia el centro. Frondas de 16–39 cm de largo. Pecíolos de 1,5–5 cm de largo, subteretes en la parte proximal, con alas de 1 mm de ancho, confluentes con el tejido laminar, de color pajizo, marrón oscuro o rojizo en la parte proximal, y marrón claro en la parte distal.</t>
  </si>
  <si>
    <t>Yashpilla in Azuay, Ecuador (Steyermark 52684, F).</t>
  </si>
  <si>
    <t>Serpocaulon ptilorhizon</t>
  </si>
  <si>
    <t>3128</t>
  </si>
  <si>
    <t>Mostacero, D.Sanín &amp; A.R.Sm.</t>
  </si>
  <si>
    <t>Amer. Fern J. 111: 69 (2021)</t>
  </si>
  <si>
    <t>Uap-hia in Zulia Province, Venezuela (Matos &amp; Arias 1270, CAR).</t>
  </si>
  <si>
    <t>2000</t>
  </si>
  <si>
    <t xml:space="preserve">Plantas epífitas, hemiepífitas y, ocasionalmente, terrestres. Rizomas largos y rastreros, de color marrón oscuro y mate, gris verdoso cuando están frescos, sin pruina, que se oxidan al cortarlos; filopodios separados entre 1 y 4,5 cm. Escamas del rizoma densas, subuladas, patentes, bicolores en la base, de color marrón claro en los márgenes y marrón oscuro hacia el centro; bases ovadas a redondeadas, adpresas y peltadas; ápices reduciéndose bruscamente a una punta larga y estrecha. Frondas de 28–150 cm de largo. Pecíolos de (8–)17–50(–70) cm de largo, subteretes en la parte proximal, ligeramente sulcados en la distal, generalmente de color pajizo. </t>
  </si>
  <si>
    <t>ptilorhizon</t>
  </si>
  <si>
    <t>(Christ) A.R.Sm.</t>
  </si>
  <si>
    <t>Taxon 55: 929 (2006)</t>
  </si>
  <si>
    <t>Polypodium ptilorhizon Christ</t>
  </si>
  <si>
    <t>Christ</t>
  </si>
  <si>
    <t>Plantas hemiepífitas, epífitas o, en raras ocasiones, rupícolas. Rizomas largos y rastreros, de color marrón oscuro a amarillento, pruinosos; filopodios separados entre 1 y 5,5 cm. Escamas del rizoma dispersas, redondeadas a elípticas, adpresas, peltadas, bicolores, de color marrón claro en los márgenes y marrón oscuro hacia el centro, con la base y el ápice redondeados a ampliamente agudos y adpresos, y los márgenes erosos. Frondas de 6,5–38 cm de largo. Pecíolos de 1,5–17 cm de largo, subteretes en la parte proximal, ligeramente alados en la parte distal, de color marrón claro. Láminas de 5–21 × 2–8 cm, lanceoladas, pinnatisectas, truncadas en la parte proximal, con ápices que se estrechan gradualmente.</t>
  </si>
  <si>
    <t>650</t>
  </si>
  <si>
    <t>2680</t>
  </si>
  <si>
    <t>sessilifolium</t>
  </si>
  <si>
    <t>Serpocaulon sessilifolium</t>
  </si>
  <si>
    <t>(Desv.) A.R.Sm.</t>
  </si>
  <si>
    <t>Polypodium sessilifolium Desv., Goniophlebium acuminatum Fée, Goniophlebium surucuchense (Hook.) T.Moore, Polypodium andinum H.Karst., Polypodium antillense Maxon, Polypodium biauriculatum Hook., Polypodium chacapoyense Hook., Polypodium pseudofraternum A.C.Sm., Polypodium remotum Baker, Polypodium rimbachii Sodiro, Polypodium sessilifolium var. lobulatum E.Fourn., Polypodium sessilifolium var. surucuchensis Mille, Polypodium surucuchense Hook., Polypodium uniseriale C.Chr., Serpocaulon acuminatum (Fée) Christenh., Serpocaulon antillense (Maxon) A.R.Sm. Serpocaulon chacapoyense (Hook.) A.R.Sm.</t>
  </si>
  <si>
    <t>Polypodium, Goniophlebium, Goniophlebium, Polypodium, Polypodium, Polypodium, Polypodium, Polypodium, Polypodium, Polypodium, Polypodium, Polypodium, Polypodium, Polypodium, Serpocaulon, Serpocaulon, Serpocaulon</t>
  </si>
  <si>
    <t>sessilifolium, acuminatum, surucuchense, andinum, antillense, biauriculatum, chacapoyense, pseudofraternum, remotum, rimbachii, sessilifolium var. lobulatum, sessilifolium var. surucuchensis, surucuchense, uniseriale, acuminatum, antillense, chacapoyense</t>
  </si>
  <si>
    <t>950</t>
  </si>
  <si>
    <t>4000</t>
  </si>
  <si>
    <t>Desv., Fée, (Hook.) T.Moore, H.Karst., Maxon, Hook., Hook., A.C.Sm., Baker, Sodiro, var. lobulatum E.Fourn., var. surucuchensis Mille, Hook., C.Chr., (Fée) Christenh., (Maxon) A.R.Sm., (Hook.) A.R.Sm.</t>
  </si>
  <si>
    <t>Plantas epífitas, rara vez terrestres o rupícolas. Rizomas cortos y rastreros, de color marrón oscuro en la parte distal, marrón claro hacia el ápice, pruinosos; filopodios separados entre 1 y 2,6 cm. Escamas del rizoma densas, aciculares-lanceoladas, concoloras, marrón oscuro, iridiscentes, con la base truncada a redondeada y adpresa, auriculadas y a menudo superpuestas, con el ápice largamente acuminado y patente. Frondas de 9–135 cm de largo. Pecíolos de 2–53 cm de largo, subteretes en la parte proximal, ligeramente sulcados en la parte distal, de color marrón oscuro a claro.</t>
  </si>
  <si>
    <t>195947</t>
  </si>
  <si>
    <t>160</t>
  </si>
  <si>
    <t>subandinum</t>
  </si>
  <si>
    <t>Serpocaulon subandinum</t>
  </si>
  <si>
    <t>1450</t>
  </si>
  <si>
    <t>4150</t>
  </si>
  <si>
    <t>Polypodium subandinum Sodiro</t>
  </si>
  <si>
    <t>Plantas hemiepífitas, epífitas, en raras ocasiones rupícolas o terrestres. Rizomas largos y rastreros, de color marrón claro a amarillento o, en raras ocasiones, de marrón oscuro a rojizo, pruinosos; filopodios separados entre 0,3 y 11 cm. Escamas del rizoma dispersas, densas hacia el ápice, ovado-lanceoladas, lanceoladas a triangulares, adpresas, bicolores, de color marrón claro a amarillento en los márgenes y de marrón oscuro a amarillo oscuro hacia el centro; bases truncadas a redondeadas; ápices agudos a largamente acuminados; márgenes ciliados. Frondas de 13-76 cm de largo. Pecíolo de 2-28 cm de largo, subterete en la parte proximal, sulcado en la distal, de color marrón oscuro a claro.</t>
  </si>
  <si>
    <t>236335</t>
  </si>
  <si>
    <t>152</t>
  </si>
  <si>
    <t>triseriale</t>
  </si>
  <si>
    <t>(Sw.) A.R.Sm.</t>
  </si>
  <si>
    <t>Serpocaulon triseriale</t>
  </si>
  <si>
    <t>Goniophlebium triseriale (Sw.) Wherry, Polypodium triseriale Sw., Goniophlebium ampliatum Maxon, Goniophlebium brasiliense Farw., Goniophlebium brasiliense var. preslianum Farw., Goniophlebium gladiatum (C.Presl)  Fée, Goniophlebium haenkei C.Presl, Goniophlebium intermedium Fée, Goniophlebium neriifolium (Schkuhr) Hook., Goniophlebium xiphophorum (Kunze ex Mett.) Fée, Marginaria gladiata C.Presl, Marginaria neriifolia (Schkuhr) C.Presl, Marginaria rhoifolia C.Presl, Polypodium ampliatum (Maxon) Proctor, Polypodium brasiliense Poir., Polypodium brasiliense var. gladiatum Kuhn, Polypodium brasiliense var. neriifolium (Schkuhr) Baker, Polypodium brasiliense var. subcordatum Christ ex Duss, Polypodium campylopodum Klotzsch, Polypodium ensiforme Vell., Polypodium gladiatum Kunze, Polypodium haenkei (C.Presl) Liebm., Polypodium longifolium C.Presl, Polypodium lucens Schrad., Polypodium neriifolium Schkuhr, Polypodium neriifolium var. acuminatissimum Kuntze, Polypodium neriifolium var. heterophyllum Kuntze, Polypodium palma Vell., Polypodium palmatum Vell., Polypodium preslianum Spreng., Polypodium preslianum var. immersum Rosenst., Polypodium subalatum Klotzsch, Polypodium triseriale var. gladiatum (Kuhn) Proctor, Polypodium variolatum Willd., Polypodium xiphophoron Kunze ex Mett.</t>
  </si>
  <si>
    <t xml:space="preserve">Goniophlebium, Polypodium, Goniophlebium, Goniophlebium, Goniophlebium, Goniophlebium, Goniophlebium, Goniophlebium, Goniophlebium, Goniophlebium, Marginaria, Marginaria, Marginaria, Polypodium, Polypodium, Polypodium, Polypodium, Polypodium, Polypodium, Polypodium, Polypodium, Polypodium, Polypodium, Polypodium, Polypodium, Polypodium, Polypodium, Polypodium, Polypodium, Polypodium, Polypodium, Polypodium, Polypodium, Polypodium, Polypodium, </t>
  </si>
  <si>
    <t xml:space="preserve">triseriale, triseriale, ampliatum, brasiliense, brasiliense var. preslianum, gladiatum, haenkei, intermedium, neriifolium, xiphophorum, gladiata, neriifolia, rhoifolia, ampliatum, brasiliense, brasiliense var. gladiatum, brasiliense var. neriifolium, brasiliense var. subcordatum, campylopodum, ensiforme, gladiatum, haenkei, longifolium, lucens, neriifolium, neriifolium var. acuminatissimum, neriifolium var. heterophyllum, palma, palmatum, preslianum, preslianum var. immersum, subalatum, triseriale var. gladiatum, variolatum, xiphophoron, </t>
  </si>
  <si>
    <t>(Sw.) Wherry, Sw., Maxon, Farw., Farw., (C.Presl) Fée, C.Presl, Fée, (Schkuhr) Hook., (Kunze ex Mett.) Fée, C.Presl, (Schkuhr) C.Presl, C.Presl, (Maxon) Proctor, Poir., Kuhn, (Schkuhr) Baker, Christ ex Duss, Klotzsch, Vell., Kunze, (C.Presl) Liebm., C.Presl, Schrad., Schkuhr, Kuntze, Kuntze, Vell., Vell., Spreng., Rosenst., Klotzsch, (Kuhn) Proctor, Willd., Kunze ex Mett.</t>
  </si>
  <si>
    <t>Calaguala in Honduras (Gómez 55, F).</t>
  </si>
  <si>
    <t>Silva et al. (2011) reportaron que la especie Serpocaulon triseriale se utilizaba como planta ornamental que sirve de refugio a la fauna autóctona en Bahía (Brasil).</t>
  </si>
  <si>
    <t>Plantas epífitas, terrestres, rara vez subterráneas o rupícolas. Rizomas cortos y rastreros, de color marrón oscuro, a menudo pruinosos; filopodios separados entre 1 y 12 cm. Escamas del rizoma densas, de forma ovado-lanceolada a lanceolada, patentes, subpeltadas, con un punto de inserción prominente, bicolores, de color marrón claro o naranja en los márgenes y de naranja a marrón oscuro hacia el centro, bases redondeadas a obtusas, ápices acuminados a largamente decurrentes y patentes, márgenes erosos a dentados. Frondas de 15–126 cm de largo. Pecíolos de 5,5–49 cm de largo, subteretes en la parte proximal, ligeramente sulcados en la distal, de color marrón claro a oscuro.</t>
  </si>
  <si>
    <t>richardii</t>
  </si>
  <si>
    <t>2500</t>
  </si>
  <si>
    <t>Serpocaulon wagneri</t>
  </si>
  <si>
    <t>wagneri</t>
  </si>
  <si>
    <t>Polypodium wagneri Mett., Goniophlebium pectinatum J.Sm., Polypodium costaricense Christ, Polypodium kuhlmannii A.Samp., Polypodium panorense C.Chr., Polypodium pectinatum var. wagneri Jenman, Serpocaulon panorense (C.Chr.) A.R.Sm.</t>
  </si>
  <si>
    <t>Polypodium, Goniophlebium, Polypodium, Polypodium, Polypodium, Polypodium, Serpocaulon</t>
  </si>
  <si>
    <t>wagneri, pectinatum, costaricense, kuhlmannii, panorense, pectinatum var. Wagneri, panorense</t>
  </si>
  <si>
    <t>Mett., J.Sm., Christ, A.Samp., C.Chr., Jenman, (C.Chr.) A.R.Sm.</t>
  </si>
  <si>
    <t>991875</t>
  </si>
  <si>
    <t>364</t>
  </si>
  <si>
    <t>The Chacobo from the Amazonian province of Vaca Díez, Bolivia, has used two names: xëqui jahëhua (Boom 4380, LPB, NY) and mitaisa (Boom 5050, LPB, NY)</t>
  </si>
  <si>
    <t>2550</t>
  </si>
  <si>
    <t>Plantas epífitas. Rizomas cortos y rastreros, de color marrón oscuro a rojizo, ligeramente pruinosos; filopodios separados entre 3,6 y 6,5 cm. Escamas del rizoma densas, subuladas, subapresadas, peltadas, bicolores, de color marrón claro en los márgenes y marrón rojizo oscuro hacia el centro, con la base redondeada y el ápice de caudado a acuminado. Frondas de 29–66 cm de largo. Pecíolos de 4–5,5 cm de largo, subteretes en la parte proximal, ligeramente alados en la parte distal, sobre todo en la unión con la lámina, de color marrón claro a marrón opaco.</t>
  </si>
  <si>
    <t>La especie tiene registradas hasta el momento 2 subpoblaciones. No se conoce nada sobre la abundancia o tendencia poblacional de la especie.</t>
  </si>
  <si>
    <t>3200</t>
  </si>
  <si>
    <t xml:space="preserve">La especie es endémica de Colombia, se distribuye en la vertiente oriental de la Cordillera Central Andina, en la cuenca media del río Magdalena. Se ha registrado en los departamentos Antioquia y Caldas. </t>
  </si>
  <si>
    <t>Las dos subpoblaciones conocidas de la especie se encuentran en sitios con destrucción y degradación de su hábitat. Las alteraciones del hábitat se deben principalmente a la ampliación de la frontera agropecuaria (para ganaderia y para cultivos), la mineria (de metales) y la construcción de infraestructura (vias, centros poblados]. Además, las subpoblaciones conocidas de la especie están amenazadas por la extracción no sostenible de individuos por su uso como ornamentales.</t>
  </si>
  <si>
    <t>La especie tiene registradas hasta el momento 3 subpoblaciones. No se conoce nada sobre la abundancia o tendencia poblacional de la especie.</t>
  </si>
  <si>
    <t>Las tres subpoblaciones conocidas de la especie se encuentran en sitios con destrucción y degradación de su hábitat. Las alteraciones del hábitat se deben principalmente a la ampliación de la frontera agropecuaria (para ganaderia y para cultivos), la mineria (de metales) y la construcción de infraestructura (vias, centros poblados]. Además, las subpoblaciones conocidas de la especie están amenazadas por la extracción no sostenible de individuos por su uso como ornamentales.</t>
  </si>
  <si>
    <t>Las dos subpoblaciones de la especie se encuentran en paisajes con destrucción y degradación de su hábitat. Estas subpoblaciones se encuentran en los municipios de Anorí y San Luis (departamento de Antioquia) y Florencia (departamento de Caldas).</t>
  </si>
  <si>
    <t>En Colombia, la especie se distribuye en las regiones de los Andes. Se ha registrado en los departamentos Antioquia, Boyacá, Caldas, Caquetá, Cauca, Chocó, Cundinamarca, Huila, Nariño, Putumayo, Quindío, Risaralda, Santander, Tolima y Valle del Cauca.</t>
  </si>
  <si>
    <t>En Colombia, la especie se ha registrado en los departametos Magdalena, Meta y Guaviare, principalmente en zonas expuestas de las tierras bajas, en bosques que van de húmedos a secos.</t>
  </si>
  <si>
    <t>En Colombia, la especie se ha registrado en los departamentos Antioquia, Caldas, Cauca, Chocó, Cundinamarca, Huila, Nariño, Quindío y Valle del Cauca; principalmente como epífita en bosques alterados de las tierras bajas y en bosques húmedos.</t>
  </si>
  <si>
    <t>En Colombia, la especie se ha registrado en los departamentos de Antioquia, Caldas, Cauca, Cundinamarca, Huila, Nariño, Norte de Santander, Putumayo, Quindío, Risaralda, Santander y Tolima; en bosques de alta montaña y subpáramos.</t>
  </si>
  <si>
    <t>En Colombia, la especie se ha registrado en los departamentos Antioquia, Boyacá, Caldas, Cauca, Cesar, Chocó, Cundinamarca, Huila, Magdalena, Meta, Nariño, Putumayo, Quindío, Risaralda, Santander, Tolima y Valle del Cauca; desde las tierras bajas hasta los bosques premontanos, en bosques húmedos.</t>
  </si>
  <si>
    <t>En Colombia, la especie se ha registrado en los departamentos de Antioquia, Barbosa, Boyacá, Cauca, Chocó, Cundinamarca, Norte de Santander y Risaralda; principalmente en las regiones andinas, en bosques de niebla.</t>
  </si>
  <si>
    <t>En Colombia, la especie se ha registrado en Antioquia, Cauca y Cundinamarca, principalmente en altitudes medias.</t>
  </si>
  <si>
    <t>En Colombia, la especie se ha registrado en los departamentos Amazonas, Antioquia, Cauca, Chocó, Huila, Nariño, Putumayo, Santander y Valle del Cauca; principalmente en bosques húmedos.</t>
  </si>
  <si>
    <t>En Colombia, la especie se ha registrado en los departamentos Antioquia, Boyacá, Caldas, Cauca, Chocó, Cundinamarca, Huila, Magdalena, Meta, Nariño, Norte de Santander, Putumayo, Quindío, Risaralda, Santander, Tolima y Valle del Cauca; principalmente en bosques nublados.</t>
  </si>
  <si>
    <t>En Colombia, la especie se ha registrado en los departamentos Antioquia, Chocó, Guajira, Magdalena, Nariño y Valle del Cauca; en bosques húmedos.</t>
  </si>
  <si>
    <t>En Colombia, la especie se ha registrado en los departamentos Antioquia, Boyacá, Cauca, Cundinamarca, Nariño, Norte de Santander, Putumayo, Quindío, Risaralda y Valle del Cauca. La especie está presente en bosques nublados y bosques tropicales de montaña hasta el subpáramo.</t>
  </si>
  <si>
    <t>En Colombia, la especie se ha registrado en los departamentos Antioquia, Nariño y Valle del Cauca; en bosques húmedos de altitud baja a media.</t>
  </si>
  <si>
    <t>En Colombia, la especie se ha registrado en los departamentos Amazonas, Antioquia, Boyacá, Caquetá, Cesar, Cundinamarca, Guaviare y Huila; principalmente en las estribaciones andino-amazónicas, en bosques premontanos húmedos.</t>
  </si>
  <si>
    <t>En Colombia, se ha registrado en el departamento de Antioquia, en bosques nublados.</t>
  </si>
  <si>
    <t>En Colombia, la especie se ha registrado en los departamentos Antioquia, Boyacá, Caldas, Cauca, Cundinamarca, Huila, Nariño, Quindío, Risaralda, Santander, Tolima y Valle del Cauca; crece en bosques nubosos de alta montaña y subpáramos en el continente, y en altitudes más bajas en las islas del Caribe.</t>
  </si>
  <si>
    <t>En Colombia, la especie se ha registrado en los departamentos Antioquia, Boyacá, Caldas, Cauca, Cesar, Cundinamarca, Magdalena, Nariño, Norte de Santander, Quindío, Risaralda y Tolima; principalmente en ecosistemas premontanos, montanos y de subpáramo andinos.</t>
  </si>
  <si>
    <t>En Colombia, la especie se ha registrado en los departamentos Amazonas, Antioquia, Boyacá, Caldas, Caquetá, Cauca, Chocó, Cundinamarca, Guainía, Guaviare, Huila, Magdalena, Meta, Putumayo, Quindío, Risaralda, Santander, Tolima, Valle del Cauca, Vaupés y Vichada. Esta especie presenta una amplia distribución en ecosistemas de tierras bajas a premontanos, desde los 0 hasta los 2500 m, en bosques secos o húmedos, con o sin perturbaciones.</t>
  </si>
  <si>
    <t>En Colombia, la especie se ha registrado en los departamentos Antioquia, Chocó, Cundinamarca y Norte de Santander; en las tierras bajas de los bosques húmedos.</t>
  </si>
  <si>
    <t>En Colombia, la especie se ha registrado en los departamentos Antioquia, Chocó, Cundinamarca, Huila, Nariño, Norte de Santander y Putumayo; en bosques húmedos.</t>
  </si>
  <si>
    <t>En Colombia, la especie se ha registrado en los departamentos Caquetá, Chocó y la Amazonía.</t>
  </si>
  <si>
    <t>En Colombia, la especie se distribuye en las regiones de los Andes. Se ha registrado en los departamentos Caquetá, Chocó, Huila y Nariño.</t>
  </si>
  <si>
    <t>91473</t>
  </si>
  <si>
    <t>La especie está fertil todo el año (Sanín et at. 2023), y posiblemente es dispersada por viento. No se cuenta con información publicada sobre la ecología de la especie. El área de hábitat calculada tiene un valor de 124.866 km2.</t>
  </si>
  <si>
    <t>La especie está fértil en enero, marzo, abril, julio, octubre y diciembre (Sanín et at. 2023), y posiblemente es dispersada por viento. No se cuenta con información publicada sobre la ecología de la especie. El área de hábitat calculada tiene un valor de 664 km2.</t>
  </si>
  <si>
    <t>La especie está fertil todo el año (Sanín et at. 2023), y posiblemente es dispersada por viento. No se cuenta con información publicada sobre la ecología de la especie. El área de hábitat calculada tiene un valor de 160.527 km2.</t>
  </si>
  <si>
    <t>La especie está fertil todo el año (Sanín et at. 2023), y posiblemente es dispersada por viento. No se cuenta con información publicada sobre la ecología de la especie. El área de hábitat calculada tiene un valor de 6.141 km2.</t>
  </si>
  <si>
    <t>No se cuenta con información publicada sobre la ecología de la especie. El área de hábitat calculada tiene un valor de 22 km2.</t>
  </si>
  <si>
    <t>La especie está fértil en enero, marzo, mayo, julio, agosto, septiembre y noviembre (Sanín et at. 2023), y posiblemente es dispersada por viento. No se cuenta con información publicada sobre la ecología de la especie. El área de hábitat calculada tiene un valor de 17.325 km2.</t>
  </si>
  <si>
    <t>La especie está fertil todo el año (Sanín et at. 2023), y posiblemente es dispersada por viento. No se cuenta con información publicada sobre la ecología de la especie. El área de hábitat calculada tiene un valor de 93.249 km2.</t>
  </si>
  <si>
    <t>La especie está fertil todo el año (Sanín et at. 2023), y posiblemente es dispersada por viento. No se cuenta con información publicada sobre la ecología de la especie. El área de hábitat calculada tiene un valor de 35.614 km2.</t>
  </si>
  <si>
    <t>La especie está fertil todo el año (Sanín et at. 2023), y posiblemente es dispersada por viento. No se cuenta con información publicada sobre la ecología de la especie. El área de hábitat calculada tiene un valor de 175.282 km2.</t>
  </si>
  <si>
    <t>La especie está fértil casi todo el año, excepto en junio y agosto (Sanín et at. 2023), y posiblemente es dispersada por viento. No se cuenta con información publicada sobre la ecología de la especie. El área de hábitat calculada tiene un valor de 54.650 km2.</t>
  </si>
  <si>
    <t>La especie está fertil todo el año (Sanín et at. 2023), y posiblemente es dispersada por viento. No se cuenta con información publicada sobre la ecología de la especie. El área de hábitat calculada tiene un valor de 30.966 km2.</t>
  </si>
  <si>
    <t>La especie está fértil casi todo el año, excepto en marzo y diciembre (Sanín et at. 2023), y posiblemente es dispersada por viento. No se cuenta con información publicada sobre la ecología de la especie. El área de hábitat calculada tiene un valor de 361.052 km2.</t>
  </si>
  <si>
    <t>La especie está fertil todo el año (Sanín et at. 2023), y posiblemente es dispersada por viento. No se cuenta con información publicada sobre la ecología de la especie. El área de hábitat calculada tiene un valor de 147.576 km2.</t>
  </si>
  <si>
    <t>La especie está fértil casi todo el año, excepto en febrero (Sanín et at. 2023), y posiblemente es dispersada por viento. No se cuenta con información publicada sobre la ecología de la especie. El área de hábitat calculada tiene un valor de 107.449 km2.</t>
  </si>
  <si>
    <t>La especie está fértil casi todo el año, excepto en septiembre (Sanín et at. 2023), y posiblemente es dispersada por viento. No se cuenta con información publicada sobre la ecología de la especie. El área de hábitat calculada tiene un valor de 90.590 km2.</t>
  </si>
  <si>
    <t>La especie está fértil casi todo el año, excepto en noviembre (Sanín et at. 2023), y posiblemente es dispersada por viento. No se cuenta con información publicada sobre la ecología de la especie. El área de hábitat calculada tiene un valor de 31.821 km2.</t>
  </si>
  <si>
    <t>La especie está fertil todo el año (Sanín et at. 2023), y posiblemente es dispersada por viento. No se cuenta con información publicada sobre la ecología de la especie. El área de hábitat calculada tiene un valor de 25.741 km2.</t>
  </si>
  <si>
    <t>La especie está fertil todo el año (Sanín et at. 2023), y posiblemente es dispersada por viento. No se cuenta con información publicada sobre la ecología de la especie. El área de hábitat calculada tiene un valor de 270.332 km2.</t>
  </si>
  <si>
    <t>La especie está fertil todo el año (Sanín et at. 2023), y posiblemente es dispersada por viento. No se cuenta con información publicada sobre la ecología de la especie. El área de hábitat calculada tiene un valor de 1.552 km2.</t>
  </si>
  <si>
    <t>La especie está fertil todo el año (Sanín et at. 2023), y posiblemente es dispersada por viento. No se cuenta con información publicada sobre la ecología de la especie. El área de hábitat calculada tiene un valor de 108.520 km2.</t>
  </si>
  <si>
    <t>La especie está fertil todo el año (Sanín et at. 2023), y posiblemente es dispersada por viento. No se cuenta con información publicada sobre la ecología de la especie. El área de hábitat calculada tiene un valor de 127.381 km2.</t>
  </si>
  <si>
    <t>La especie está fertil todo el año (Sanín et at. 2023), y posiblemente es dispersada por viento. No se cuenta con información publicada sobre la ecología de la especie. El área de hábitat calculada tiene un valor de 54.533 km2.</t>
  </si>
  <si>
    <t>La especie está fertil todo el año (Sanín et at. 2023), y posiblemente es dispersada por viento. No se cuenta con información publicada sobre la ecología de la especie. El área de hábitat calculada tiene un valor de 675.077 km2.</t>
  </si>
  <si>
    <t>Serpocaulon richardii</t>
  </si>
  <si>
    <t>235</t>
  </si>
  <si>
    <t>2225</t>
  </si>
  <si>
    <t>Plantas hemiepífitas, epífitas, terrestres o, en raras ocasiones, rupícolas. Rizomas largos y rastreros, de color marrón oscuro a rojizo, sin pruina; filopodios separados entre 2 y 5 cm. Escamas del rizoma densas, con la base peltada, los ápices patentes a reflejos, bicoloros, de color marrón claro en los márgenes y de marrón oscuro a rojizo hacia el centro, la base redondeada a obtusa, los ápices acuminados y con una larga cola, los márgenes erosos a ligeramente dentados. Frondas de 45–120 cm de largo. Pecíolos de 15–58 cm de largo, subteretes en la parte proximal, ligeramente sulcados en la distal, de color marrón claro a marrón oscuro, mate.</t>
  </si>
  <si>
    <t>En Colombia, la especie se ha registrado en los departamentos Boyacá, Cundinamarca y Putumayo; principalmente en los bosques premontanos de la zona de transición entre la Amazonía y los Andes.</t>
  </si>
  <si>
    <t>5131</t>
  </si>
  <si>
    <t>La especie está fertil todo el año (Sanín et at. 2023), y posiblemente es dispersada por viento. No se cuenta con información publicada sobre la ecología de la especie. El área de hábitat calculada tiene un valor de 108.520 km2. El área de hábitat calculada tiene un valor de 1.524 km2.</t>
  </si>
  <si>
    <t>XXXX subpoblaciones de la especie se encuentran en paisajes con destrucción y degradación de su hábitat. Estas subpoblaciones se encuentran en los municipios de Frontino (departamento de Antioquia) y Quibdó y Lloró (departamento de Chocó).</t>
  </si>
  <si>
    <t>XXX subpoblaciones conocidas de la especie están presentes en áreas del "Sistema Nacional de Áreas Protegidas"; sin embargo, las subpoblaciones se encuentran en áreas bajo figuras legales que son poco efectivas para la conservación de la biodiversidad.  La especie tiene algunos individuos en colecciones vivas en Colombia. No se conocen otras acciones de conservación para la especie.</t>
  </si>
  <si>
    <t>Distrito Regional de Manejo Integrado Bosques, Marmoles, y Pantagoras, Distrito Regional de Manejo Integrado Bajo Cauca Nechí</t>
  </si>
  <si>
    <t>Parque Nacional Natural Serranía de los Yariguíes</t>
  </si>
  <si>
    <t>Reserva Forestal Protectora Nacional La Planada</t>
  </si>
  <si>
    <t>Parque Nacional Natural Las Orquídeas, Distrito Regional de Manejo Integrado de la Cuenca Alta del Rio Quindio de Salento</t>
  </si>
  <si>
    <t>Parque Nacional Natural Sierra de la Macarena, Parque Nacional Natural Sierra Nevada de Santa Marta, Parque Nacional Natural Farallones de Cali, Parque Nacional Natural Las Orquídeas, Parque Nacional Natural Tatamá, Parque Nacional Natural Selva de Florencia, Parque Natural Regional del Nima, Parque Regional Natural Ucumari, Santuario de Fauna y Flora Iguaque, Santuario de Fauna y Flora Guanenta Alto Rio Fonce, Santuario de Fauna y Flora Otun Quimbaya, Distrito de Conservacion de Suelos Campoalegre, Distrito de Conservacion de Suelos Barbas Bremen, Reserva Forestal Protectora Nacional Carauta, Reserva Forestal Protectora Nacional Rio Nare, Reserva Forestal Protectora Nacional Cuenca Alta del Rio Cali, Reserva Forestal Protectora Nacional Paramo Grande, Reserva Forestal Protectora Nacional Rio Anchicaya, Reserva Forestal Protectora Regional Cerro Bravo, Distrito Regional de Manejo Integrado De la Cuenca Alta del Rio Quindio de Salento, Distrito Regional de Manejo Integrado Sistema de Paramos y Bosques Altoandinos del Noroccidente Medio Antioqueño, Distrito Regional de Manejo Integrado Serrania de los Yariguies, Distrito Regional de Manejo Integrado Embalse el Penol y Cuenca Alta del Rio Guatape, Distrito Regional de Manejo Integrado Sector Salto del Tequendama y Cerro Manjui, Distrito Regional de Manejo Integrado Divisoria Valle de Aburra Rio Cauca, Distrito Regional de Manejo Integrado Serrania de Peñas Blancas, Distrito Regional de Manejo Integrado Paramo de Vida Maitama - Sonson, Reserva Forestal Protectora Regional Farallones del Citara, Distrito Regional de Manejo Integrado Cuenca Alta del Rio Atrato, Distrito Regional de Manejo Integrado Cacica Noria</t>
  </si>
  <si>
    <t>Reserva Forestal Protectora Nacional Rio Nare</t>
  </si>
  <si>
    <t>Parque Nacional Natural Las Orquideas, Reserva Forestal Protectora Nacional Darien, Parque Nacional Natural Utria, Parque Nacional Natural Serrania de los Churumbelos Auka Wasi</t>
  </si>
  <si>
    <t>Parque Nacional Natural Las Orquideas, Distrito Regional de Manejo Integrado Serrania de Penas Blancas</t>
  </si>
  <si>
    <t>Parque Nacional Natural Cordillera de los Picachos, Santuario de Fauna y Flora Otún Quimbaya, Distrito de Conservacion de Suelos Barbas Bremen, Reserva Forestal Protectora Nacional Río Nare, Reserva Forestal Protectora Nacional La Planada, Distrito Regional de Manejo Integrado de la Cuenca Alta del Rio Quindio de Salento, Distrito Regional de Manejo Integrado Cuchilla Jardín Támesis, Distrito Regional de Manejo Integrado Planes de San Rafael, Distrito Regional de Manejo Integrado Serranía de Peñas Blancas</t>
  </si>
  <si>
    <t>Parque Nacional Natural Serrania de los Churumbelos Auka Wasi, Reserva Forestal Protectora Nacional Carauta, Reserva Forestal Protectora Nacional Río Anchicayá</t>
  </si>
  <si>
    <t>Parque Nacional Natural Sierra de La Macarena, Reserva Forestal Protectora Nacional Serrania La Lindosa - Angosturas II</t>
  </si>
  <si>
    <t>Parque Nacional Natural Los Nevados, Parque Nacional Natural Puracé, Parque Nacional Natural Sumapaz, Parque Nacional Natural Tatamá, Reserva Forestal Protectora Nacional de Urrao, Reserva Forestal Protectora Nacional Río Blanco y Quebrada Olivares, Reserva Forestal Protectora Nacional Páramo Grande, Reserva Forestal Protectora Nacional Bosque Oriental de Bogotá, Distrito Regional de Manejo Integrado de la Cuenca Alta del Rio Quindio de Salento, Distrito Regional de Manejo Integrado Paramo de Guargua y Laguna Verde, Distrito Regional de Manejo Integrado Sistema de Paramos y Bosques Altoandinos del Noroccidente Medio Antioqueño, Reserva Forestal Protectora Regional Torre Cuatro, Reserva Forestal Protectora Regional Bosques de la CHEC</t>
  </si>
  <si>
    <t>Parque Nacional Natural Las Orquideas, Parque Natural Regional Paramo de Rabanal, Reserva Forestal Protectora Nacional Carauta, Reserva Forestal Protector Nacional Rio Nare, Reserva Forestal Protectora Nacional De Urrao, Distrito Regional de Manejo Integrado Embalse el Peñol y Cuenca Alta del Rio Guatape, Distrito Regional de Manejo Integrado Divisoria Valle de Aburra Rio Cauca, Distrito Regional de Manejo Integrado Paramo de Vida Maitama - Sonson, Distrito Regional de Manejo Integrado Cacica Noria</t>
  </si>
  <si>
    <t>Parque Nacional Natural Sierra de la Macarena, Parque Nacional Natural Sierra Nevada de Santa Marta, Parque Nacional Natural Farallones de Cali, Parque Nacional Natural Tatama, Parque Natural Regional Serrania de Minas, Parque Natural Regional Ucumari, Santuario de Fauna y Flora Isla de la Corota, Santuario de Fauna y Flora Otun Quimbaya, Distrito de Conservacion de Suelos Barbas Bremen, Distrito de Conservacion de Suelos Campoalegre, Reserva Forestal Protectora Nacional Cuenca Alta del Rio Mocoa, Reserva Forestal Protectora Nacional Carauta, Reserva Forestal Protectora Nacional Rio Nare, Reserva Forestal Protectora Nacional de Urrao, Reserva Forestal Protectora Nacional Cuenca del Rio las Ceibas, Reserva Forestal Protectora Nacional Laguna La Cocha Cerro Patascoy, Reserva Forestal Protectora Nacional Cuenca Alta del Rio Cali, Reserva Forestal Protectora Nacional Paramo Grande, Reserva Forestal Protectora Nacional Bosque Oriental de Bogota, Reserva Forestal Protectora Nacional Rio Guadalajara, Distrito Regional de Manejo Integrado De la Cuenca Alta del Rio Quindio de Salento, Distrito Regional de Manejo Integrado Cuchilla Jardin Tamesis, Distrito Regional de Manejo Integrado Sistema de Paramos y Bosques Altoandinos del Noroccidente Medio Antioqueño, Distrito Regional de Manejo Integrado Paramos de Guantiva y la Rusia, Distrito Regional de Manejo Integrado Sector Salto del Tequendama y Cerro Manjui, Distrito Regional de Manejo Integrado Divisoria Valle de Aburra Rio Cauca, Distrito Regional de Manejo Integrado Serrania de Penas Blancas, Distrito Regional de Manejo Integrado Alto de Ventanas, Distrito Regional de Manejo Integrado Paramo de Vida Maitama - Sonson, Reserva Natural de la Sociedad Civil San Pedro Y El Recuerdo, Reserva Forestal Protectora Regional Sabinas, Reserva Forestal Protectora Nacional Rio Amaime</t>
  </si>
  <si>
    <t>Parque Nacional Natural Farallones de Cali, Parque Nacional Natural Macuira, Parque Nacional Natural Tayrona, Reserva Forestal Protectora Nacional De Urrao, Reserva Forestal Protectora Nacional Rio Anchicaya</t>
  </si>
  <si>
    <t>Serpocaulon richardii**</t>
  </si>
  <si>
    <t>B1biii</t>
  </si>
  <si>
    <t>VU</t>
  </si>
  <si>
    <t>0??</t>
  </si>
  <si>
    <t>La especie tiene registradas hasta el momento 14 subpoblaciones. No se conoce nada sobre la abundancia o tendencia poblacional de la especie.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</si>
</sst>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5" x14ac:knownFonts="1">
    <font>
      <sz val="11"/>
      <color theme="1"/>
      <name val="Calibri"/>
      <family val="2"/>
      <scheme val="minor"/>
    </font>
    <font>
      <sz val="11"/>
      <color rgb="FFFF0000"/>
      <name val="Calibri"/>
      <family val="2"/>
      <scheme val="minor"/>
    </font>
    <font>
      <sz val="9"/>
      <color theme="1"/>
      <name val="Arial"/>
      <family val="2"/>
    </font>
    <font>
      <sz val="9"/>
      <color rgb="FF0070C0"/>
      <name val="Arial"/>
      <family val="2"/>
    </font>
    <font>
      <b/>
      <sz val="11"/>
      <color rgb="FFFF0000"/>
      <name val="Calibri"/>
      <family val="2"/>
      <scheme val="minor"/>
    </font>
    <font>
      <b/>
      <sz val="9"/>
      <color theme="1"/>
      <name val="Arial Narrow"/>
      <family val="2"/>
    </font>
    <font>
      <sz val="9"/>
      <color theme="1"/>
      <name val="Arial Narrow"/>
      <family val="2"/>
    </font>
    <font>
      <sz val="9"/>
      <color rgb="FFFF0000"/>
      <name val="Arial Narrow"/>
      <family val="2"/>
    </font>
    <font>
      <sz val="9"/>
      <name val="Arial Narrow"/>
      <family val="2"/>
    </font>
    <font>
      <b/>
      <sz val="9"/>
      <name val="Arial Narrow"/>
      <family val="2"/>
    </font>
    <font>
      <b/>
      <sz val="10"/>
      <color theme="1"/>
      <name val="Arial Narrow"/>
      <family val="2"/>
    </font>
    <font>
      <sz val="10"/>
      <color theme="1"/>
      <name val="Arial Narrow"/>
      <family val="2"/>
    </font>
    <font>
      <sz val="10"/>
      <name val="Arial Narrow"/>
      <family val="2"/>
    </font>
    <font>
      <b/>
      <sz val="10"/>
      <name val="Arial Narrow"/>
      <family val="2"/>
    </font>
    <font>
      <sz val="10"/>
      <color rgb="FF0070C0"/>
      <name val="Arial Narrow"/>
      <family val="2"/>
    </font>
    <font>
      <sz val="9"/>
      <color rgb="FF000000"/>
      <name val="Arial Narrow"/>
      <family val="2"/>
    </font>
    <font>
      <sz val="9"/>
      <color rgb="FF213140"/>
      <name val="Arial Narrow"/>
      <family val="2"/>
    </font>
    <font>
      <b/>
      <sz val="9"/>
      <color rgb="FFFF0000"/>
      <name val="Arial Narrow"/>
      <family val="2"/>
    </font>
    <font>
      <sz val="8"/>
      <color rgb="FFFF0000"/>
      <name val="Calibri"/>
      <family val="2"/>
      <scheme val="minor"/>
    </font>
    <font>
      <sz val="8"/>
      <color theme="1"/>
      <name val="Arial Narrow"/>
      <family val="2"/>
    </font>
    <font>
      <b/>
      <sz val="8"/>
      <color theme="1"/>
      <name val="Arial Narrow"/>
      <family val="2"/>
    </font>
    <font>
      <sz val="8"/>
      <name val="Arial Narrow"/>
      <family val="2"/>
    </font>
    <font>
      <sz val="8"/>
      <color rgb="FFFF0000"/>
      <name val="Arial Narrow"/>
      <family val="2"/>
    </font>
    <font>
      <b/>
      <sz val="10"/>
      <color rgb="FFFF0000"/>
      <name val="Arial Narrow"/>
      <family val="2"/>
    </font>
    <font>
      <sz val="10"/>
      <color rgb="FFFF0000"/>
      <name val="Arial Narrow"/>
      <family val="2"/>
    </font>
    <font>
      <b/>
      <sz val="11"/>
      <color rgb="FFFF0000"/>
      <name val="Arial Narrow"/>
      <family val="2"/>
    </font>
    <font>
      <sz val="11"/>
      <color theme="1"/>
      <name val="Arial Narrow"/>
      <family val="2"/>
    </font>
    <font>
      <sz val="11"/>
      <color rgb="FFFF0000"/>
      <name val="Arial Narrow"/>
      <family val="2"/>
    </font>
    <font>
      <sz val="12"/>
      <color theme="1"/>
      <name val="Arial Narrow"/>
      <family val="2"/>
    </font>
    <font>
      <b/>
      <sz val="11"/>
      <name val="Arial Narrow"/>
      <family val="2"/>
    </font>
    <font>
      <b/>
      <sz val="11"/>
      <color theme="1"/>
      <name val="Calibri"/>
      <family val="2"/>
      <scheme val="minor"/>
    </font>
    <font>
      <sz val="13"/>
      <name val="Arial Narrow"/>
      <family val="2"/>
    </font>
    <font>
      <sz val="13"/>
      <color theme="1"/>
      <name val="Arial Narrow"/>
      <family val="2"/>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sz val="9"/>
      <color rgb="FFD9D9D9"/>
      <name val="Arial Narrow"/>
      <family val="2"/>
    </font>
    <font>
      <sz val="11"/>
      <name val="Arial Narrow"/>
      <family val="2"/>
    </font>
    <font>
      <sz val="12"/>
      <name val="Arial Narrow"/>
      <family val="2"/>
    </font>
    <font>
      <sz val="12"/>
      <color rgb="FF000000"/>
      <name val="Arial Narrow"/>
      <family val="2"/>
    </font>
    <font>
      <b/>
      <sz val="9"/>
      <color rgb="FF0070C0"/>
      <name val="Arial Narrow"/>
      <family val="2"/>
    </font>
    <font>
      <sz val="9"/>
      <color rgb="FF0070C0"/>
      <name val="Arial Narrow"/>
      <family val="2"/>
    </font>
    <font>
      <sz val="8"/>
      <name val="Calibri"/>
      <family val="2"/>
      <scheme val="minor"/>
    </font>
    <font>
      <b/>
      <sz val="12"/>
      <color rgb="FFFF0000"/>
      <name val="Arial Narrow"/>
      <family val="2"/>
    </font>
    <font>
      <b/>
      <sz val="12"/>
      <name val="Arial Narrow"/>
      <family val="2"/>
    </font>
    <font>
      <sz val="12"/>
      <color rgb="FFFF0000"/>
      <name val="Arial Narrow"/>
      <family val="2"/>
    </font>
    <font>
      <b/>
      <sz val="9"/>
      <color theme="7" tint="-0.499984740745262"/>
      <name val="Arial Narrow"/>
      <family val="2"/>
    </font>
    <font>
      <sz val="9"/>
      <color theme="7" tint="-0.499984740745262"/>
      <name val="Arial Narrow"/>
      <family val="2"/>
    </font>
    <font>
      <b/>
      <sz val="10"/>
      <color rgb="FFFF0000"/>
      <name val="Arial"/>
      <family val="2"/>
    </font>
    <font>
      <sz val="9"/>
      <color rgb="FFFF0000"/>
      <name val="Arial"/>
      <family val="2"/>
    </font>
    <font>
      <b/>
      <sz val="10"/>
      <color rgb="FFFFFFFF"/>
      <name val="Arial Narrow"/>
      <family val="2"/>
    </font>
    <font>
      <b/>
      <sz val="10"/>
      <color rgb="FF000000"/>
      <name val="Arial Narrow"/>
      <family val="2"/>
    </font>
    <font>
      <sz val="10"/>
      <color theme="0"/>
      <name val="Arial Narrow"/>
      <family val="2"/>
    </font>
  </fonts>
  <fills count="66">
    <fill>
      <patternFill patternType="none"/>
    </fill>
    <fill>
      <patternFill patternType="gray125"/>
    </fill>
    <fill>
      <patternFill patternType="solid">
        <fgColor rgb="FFFFFF00"/>
        <bgColor indexed="64"/>
      </patternFill>
    </fill>
    <fill>
      <patternFill patternType="solid">
        <fgColor rgb="FFD9D9D9"/>
        <bgColor rgb="FFD9D9D9"/>
      </patternFill>
    </fill>
    <fill>
      <patternFill patternType="solid">
        <fgColor rgb="FFFFFFFF"/>
        <bgColor rgb="FFFFFFFF"/>
      </patternFill>
    </fill>
    <fill>
      <patternFill patternType="solid">
        <fgColor rgb="FF92D050"/>
        <bgColor indexed="64"/>
      </patternFill>
    </fill>
    <fill>
      <patternFill patternType="solid">
        <fgColor theme="7" tint="0.79998168889431442"/>
        <bgColor indexed="64"/>
      </patternFill>
    </fill>
    <fill>
      <patternFill patternType="solid">
        <fgColor rgb="FFF2DCDB"/>
        <bgColor indexed="64"/>
      </patternFill>
    </fill>
    <fill>
      <patternFill patternType="solid">
        <fgColor rgb="FFF2F2F2"/>
        <bgColor indexed="64"/>
      </patternFill>
    </fill>
    <fill>
      <patternFill patternType="solid">
        <fgColor rgb="FFEBF1DE"/>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9D2E9"/>
        <bgColor rgb="FFD9D2E9"/>
      </patternFill>
    </fill>
    <fill>
      <patternFill patternType="solid">
        <fgColor rgb="FFD9EAD3"/>
        <bgColor rgb="FFD9EAD3"/>
      </patternFill>
    </fill>
    <fill>
      <patternFill patternType="solid">
        <fgColor rgb="FFFFF2CC"/>
        <bgColor rgb="FFFFF2CC"/>
      </patternFill>
    </fill>
    <fill>
      <patternFill patternType="solid">
        <fgColor rgb="FFFCE5CD"/>
        <bgColor rgb="FFFCE5CD"/>
      </patternFill>
    </fill>
    <fill>
      <patternFill patternType="solid">
        <fgColor rgb="FFF4CCCC"/>
        <bgColor rgb="FFF4CCCC"/>
      </patternFill>
    </fill>
    <fill>
      <patternFill patternType="solid">
        <fgColor rgb="FFD0E0E3"/>
        <bgColor rgb="FFD0E0E3"/>
      </patternFill>
    </fill>
    <fill>
      <patternFill patternType="solid">
        <fgColor rgb="FFC9DAF8"/>
        <bgColor rgb="FFC9DAF8"/>
      </patternFill>
    </fill>
    <fill>
      <patternFill patternType="solid">
        <fgColor rgb="FFCFE2F3"/>
        <bgColor rgb="FFCFE2F3"/>
      </patternFill>
    </fill>
    <fill>
      <patternFill patternType="solid">
        <fgColor rgb="FFEAD1DC"/>
        <bgColor rgb="FFEAD1DC"/>
      </patternFill>
    </fill>
    <fill>
      <patternFill patternType="solid">
        <fgColor rgb="FFFFD966"/>
        <bgColor rgb="FFFFD966"/>
      </patternFill>
    </fill>
    <fill>
      <patternFill patternType="solid">
        <fgColor rgb="FF38761D"/>
        <bgColor rgb="FF38761D"/>
      </patternFill>
    </fill>
    <fill>
      <patternFill patternType="solid">
        <fgColor rgb="FF3D85C6"/>
        <bgColor rgb="FF3D85C6"/>
      </patternFill>
    </fill>
    <fill>
      <patternFill patternType="solid">
        <fgColor rgb="FFB6D7A8"/>
        <bgColor rgb="FFB6D7A8"/>
      </patternFill>
    </fill>
    <fill>
      <patternFill patternType="solid">
        <fgColor rgb="FFFF9900"/>
        <bgColor rgb="FFFF9900"/>
      </patternFill>
    </fill>
    <fill>
      <patternFill patternType="solid">
        <fgColor rgb="FFF7CAAC"/>
        <bgColor indexed="64"/>
      </patternFill>
    </fill>
    <fill>
      <patternFill patternType="solid">
        <fgColor rgb="FFFBE4D5"/>
        <bgColor indexed="64"/>
      </patternFill>
    </fill>
    <fill>
      <patternFill patternType="solid">
        <fgColor rgb="FFBFBFBF"/>
        <bgColor indexed="64"/>
      </patternFill>
    </fill>
    <fill>
      <patternFill patternType="solid">
        <fgColor rgb="FFC5E0B3"/>
        <bgColor indexed="64"/>
      </patternFill>
    </fill>
    <fill>
      <patternFill patternType="solid">
        <fgColor rgb="FF8E7CC3"/>
        <bgColor indexed="64"/>
      </patternFill>
    </fill>
    <fill>
      <patternFill patternType="solid">
        <fgColor theme="5" tint="0.79998168889431442"/>
        <bgColor indexed="64"/>
      </patternFill>
    </fill>
    <fill>
      <patternFill patternType="solid">
        <fgColor theme="1" tint="0.14999847407452621"/>
        <bgColor indexed="64"/>
      </patternFill>
    </fill>
    <fill>
      <patternFill patternType="solid">
        <fgColor theme="5" tint="0.39997558519241921"/>
        <bgColor indexed="64"/>
      </patternFill>
    </fill>
    <fill>
      <patternFill patternType="solid">
        <fgColor rgb="FFD05AF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42">
    <xf numFmtId="0" fontId="0" fillId="0" borderId="0"/>
    <xf numFmtId="0" fontId="34" fillId="0" borderId="0" applyNumberFormat="0" applyFill="0" applyBorder="0" applyAlignment="0" applyProtection="0"/>
    <xf numFmtId="0" fontId="35" fillId="0" borderId="2" applyNumberFormat="0" applyFill="0" applyAlignment="0" applyProtection="0"/>
    <xf numFmtId="0" fontId="36" fillId="0" borderId="3" applyNumberFormat="0" applyFill="0" applyAlignment="0" applyProtection="0"/>
    <xf numFmtId="0" fontId="37" fillId="0" borderId="4" applyNumberFormat="0" applyFill="0" applyAlignment="0" applyProtection="0"/>
    <xf numFmtId="0" fontId="37" fillId="0" borderId="0" applyNumberFormat="0" applyFill="0" applyBorder="0" applyAlignment="0" applyProtection="0"/>
    <xf numFmtId="0" fontId="38" fillId="12" borderId="0" applyNumberFormat="0" applyBorder="0" applyAlignment="0" applyProtection="0"/>
    <xf numFmtId="0" fontId="39" fillId="13" borderId="0" applyNumberFormat="0" applyBorder="0" applyAlignment="0" applyProtection="0"/>
    <xf numFmtId="0" fontId="40" fillId="14" borderId="0" applyNumberFormat="0" applyBorder="0" applyAlignment="0" applyProtection="0"/>
    <xf numFmtId="0" fontId="41" fillId="15" borderId="5" applyNumberFormat="0" applyAlignment="0" applyProtection="0"/>
    <xf numFmtId="0" fontId="42" fillId="16" borderId="6" applyNumberFormat="0" applyAlignment="0" applyProtection="0"/>
    <xf numFmtId="0" fontId="43" fillId="16" borderId="5" applyNumberFormat="0" applyAlignment="0" applyProtection="0"/>
    <xf numFmtId="0" fontId="44" fillId="0" borderId="7" applyNumberFormat="0" applyFill="0" applyAlignment="0" applyProtection="0"/>
    <xf numFmtId="0" fontId="45" fillId="17" borderId="8" applyNumberFormat="0" applyAlignment="0" applyProtection="0"/>
    <xf numFmtId="0" fontId="1" fillId="0" borderId="0" applyNumberFormat="0" applyFill="0" applyBorder="0" applyAlignment="0" applyProtection="0"/>
    <xf numFmtId="0" fontId="33" fillId="18" borderId="9" applyNumberFormat="0" applyFont="0" applyAlignment="0" applyProtection="0"/>
    <xf numFmtId="0" fontId="46" fillId="0" borderId="0" applyNumberFormat="0" applyFill="0" applyBorder="0" applyAlignment="0" applyProtection="0"/>
    <xf numFmtId="0" fontId="30" fillId="0" borderId="10" applyNumberFormat="0" applyFill="0" applyAlignment="0" applyProtection="0"/>
    <xf numFmtId="0" fontId="47" fillId="19" borderId="0" applyNumberFormat="0" applyBorder="0" applyAlignment="0" applyProtection="0"/>
    <xf numFmtId="0" fontId="33" fillId="20" borderId="0" applyNumberFormat="0" applyBorder="0" applyAlignment="0" applyProtection="0"/>
    <xf numFmtId="0" fontId="33" fillId="21" borderId="0" applyNumberFormat="0" applyBorder="0" applyAlignment="0" applyProtection="0"/>
    <xf numFmtId="0" fontId="47" fillId="22" borderId="0" applyNumberFormat="0" applyBorder="0" applyAlignment="0" applyProtection="0"/>
    <xf numFmtId="0" fontId="47" fillId="23" borderId="0" applyNumberFormat="0" applyBorder="0" applyAlignment="0" applyProtection="0"/>
    <xf numFmtId="0" fontId="33" fillId="24" borderId="0" applyNumberFormat="0" applyBorder="0" applyAlignment="0" applyProtection="0"/>
    <xf numFmtId="0" fontId="33" fillId="25" borderId="0" applyNumberFormat="0" applyBorder="0" applyAlignment="0" applyProtection="0"/>
    <xf numFmtId="0" fontId="47" fillId="26" borderId="0" applyNumberFormat="0" applyBorder="0" applyAlignment="0" applyProtection="0"/>
    <xf numFmtId="0" fontId="47" fillId="27" borderId="0" applyNumberFormat="0" applyBorder="0" applyAlignment="0" applyProtection="0"/>
    <xf numFmtId="0" fontId="33" fillId="28" borderId="0" applyNumberFormat="0" applyBorder="0" applyAlignment="0" applyProtection="0"/>
    <xf numFmtId="0" fontId="33" fillId="29" borderId="0" applyNumberFormat="0" applyBorder="0" applyAlignment="0" applyProtection="0"/>
    <xf numFmtId="0" fontId="47" fillId="30" borderId="0" applyNumberFormat="0" applyBorder="0" applyAlignment="0" applyProtection="0"/>
    <xf numFmtId="0" fontId="47" fillId="31" borderId="0" applyNumberFormat="0" applyBorder="0" applyAlignment="0" applyProtection="0"/>
    <xf numFmtId="0" fontId="33" fillId="32" borderId="0" applyNumberFormat="0" applyBorder="0" applyAlignment="0" applyProtection="0"/>
    <xf numFmtId="0" fontId="33" fillId="33" borderId="0" applyNumberFormat="0" applyBorder="0" applyAlignment="0" applyProtection="0"/>
    <xf numFmtId="0" fontId="47" fillId="34" borderId="0" applyNumberFormat="0" applyBorder="0" applyAlignment="0" applyProtection="0"/>
    <xf numFmtId="0" fontId="47" fillId="35" borderId="0" applyNumberFormat="0" applyBorder="0" applyAlignment="0" applyProtection="0"/>
    <xf numFmtId="0" fontId="33" fillId="36" borderId="0" applyNumberFormat="0" applyBorder="0" applyAlignment="0" applyProtection="0"/>
    <xf numFmtId="0" fontId="33" fillId="37" borderId="0" applyNumberFormat="0" applyBorder="0" applyAlignment="0" applyProtection="0"/>
    <xf numFmtId="0" fontId="47" fillId="38" borderId="0" applyNumberFormat="0" applyBorder="0" applyAlignment="0" applyProtection="0"/>
    <xf numFmtId="0" fontId="47" fillId="39" borderId="0" applyNumberFormat="0" applyBorder="0" applyAlignment="0" applyProtection="0"/>
    <xf numFmtId="0" fontId="33" fillId="40" borderId="0" applyNumberFormat="0" applyBorder="0" applyAlignment="0" applyProtection="0"/>
    <xf numFmtId="0" fontId="33" fillId="41" borderId="0" applyNumberFormat="0" applyBorder="0" applyAlignment="0" applyProtection="0"/>
    <xf numFmtId="0" fontId="47" fillId="42" borderId="0" applyNumberFormat="0" applyBorder="0" applyAlignment="0" applyProtection="0"/>
  </cellStyleXfs>
  <cellXfs count="244">
    <xf numFmtId="0" fontId="0" fillId="0" borderId="0" xfId="0"/>
    <xf numFmtId="0" fontId="6" fillId="0" borderId="0" xfId="0" applyFont="1" applyBorder="1" applyAlignment="1">
      <alignment horizontal="left"/>
    </xf>
    <xf numFmtId="0" fontId="9" fillId="0" borderId="0" xfId="0" applyFont="1" applyBorder="1" applyAlignment="1">
      <alignment horizontal="left" vertical="top" wrapText="1"/>
    </xf>
    <xf numFmtId="0" fontId="6" fillId="0" borderId="0" xfId="0" applyFont="1" applyBorder="1" applyAlignment="1">
      <alignment horizontal="left" vertical="top" wrapText="1"/>
    </xf>
    <xf numFmtId="0" fontId="5" fillId="0" borderId="0" xfId="0" applyFont="1" applyBorder="1" applyAlignment="1">
      <alignment horizontal="left" vertical="top" wrapText="1"/>
    </xf>
    <xf numFmtId="0" fontId="6" fillId="0" borderId="0" xfId="0" applyFont="1" applyBorder="1" applyAlignment="1">
      <alignment horizontal="left" vertical="top"/>
    </xf>
    <xf numFmtId="0" fontId="8" fillId="0" borderId="0" xfId="0" applyFont="1" applyBorder="1" applyAlignment="1">
      <alignment horizontal="left" vertical="top"/>
    </xf>
    <xf numFmtId="0" fontId="9" fillId="3" borderId="0" xfId="0" applyFont="1" applyFill="1" applyAlignment="1">
      <alignment horizontal="left" vertical="center" wrapText="1"/>
    </xf>
    <xf numFmtId="0" fontId="9" fillId="3" borderId="0" xfId="0" applyFont="1" applyFill="1" applyAlignment="1">
      <alignment vertical="center" wrapText="1"/>
    </xf>
    <xf numFmtId="0" fontId="6" fillId="0" borderId="0" xfId="0" applyFont="1" applyAlignment="1">
      <alignment vertical="center" wrapText="1"/>
    </xf>
    <xf numFmtId="0" fontId="15" fillId="0" borderId="0" xfId="0" applyFont="1" applyAlignment="1"/>
    <xf numFmtId="0" fontId="6" fillId="0" borderId="0" xfId="0" applyFont="1"/>
    <xf numFmtId="0" fontId="8" fillId="0" borderId="0" xfId="0" applyFont="1" applyAlignment="1"/>
    <xf numFmtId="0" fontId="16" fillId="4" borderId="0" xfId="0" applyFont="1" applyFill="1" applyAlignment="1">
      <alignment horizontal="left"/>
    </xf>
    <xf numFmtId="0" fontId="9" fillId="3" borderId="0" xfId="0" applyFont="1" applyFill="1" applyAlignment="1">
      <alignment horizontal="center" vertical="center" wrapText="1"/>
    </xf>
    <xf numFmtId="0" fontId="15" fillId="0" borderId="0" xfId="0" applyFont="1" applyAlignment="1">
      <alignment horizontal="center"/>
    </xf>
    <xf numFmtId="0" fontId="6" fillId="0" borderId="0" xfId="0" applyFont="1" applyAlignment="1">
      <alignment horizontal="center"/>
    </xf>
    <xf numFmtId="0" fontId="8" fillId="0" borderId="0" xfId="0" applyFont="1" applyAlignment="1">
      <alignment horizontal="center"/>
    </xf>
    <xf numFmtId="0" fontId="7" fillId="0" borderId="0" xfId="0" applyFont="1" applyFill="1" applyBorder="1" applyAlignment="1">
      <alignment horizontal="left" vertical="top"/>
    </xf>
    <xf numFmtId="0" fontId="6" fillId="0" borderId="0" xfId="0" applyFont="1" applyFill="1" applyBorder="1" applyAlignment="1">
      <alignment horizontal="left" vertical="top"/>
    </xf>
    <xf numFmtId="0" fontId="11" fillId="0" borderId="0" xfId="0" applyFont="1" applyBorder="1" applyAlignment="1">
      <alignment horizontal="left" vertical="top"/>
    </xf>
    <xf numFmtId="0" fontId="17" fillId="6" borderId="0" xfId="0" applyFont="1" applyFill="1" applyBorder="1" applyAlignment="1">
      <alignment horizontal="left" vertical="top" wrapText="1"/>
    </xf>
    <xf numFmtId="0" fontId="7" fillId="0" borderId="0" xfId="0" applyFont="1" applyBorder="1" applyAlignment="1">
      <alignment horizontal="left" vertical="top"/>
    </xf>
    <xf numFmtId="0" fontId="17" fillId="6" borderId="0" xfId="0" applyFont="1" applyFill="1" applyBorder="1" applyAlignment="1">
      <alignment horizontal="left" vertical="center" wrapText="1"/>
    </xf>
    <xf numFmtId="0" fontId="7" fillId="0" borderId="0" xfId="0" applyFont="1" applyBorder="1" applyAlignment="1">
      <alignment horizontal="left"/>
    </xf>
    <xf numFmtId="0" fontId="7" fillId="0" borderId="0" xfId="0" applyFont="1" applyBorder="1" applyAlignment="1">
      <alignment horizontal="left" vertical="top" wrapText="1"/>
    </xf>
    <xf numFmtId="0" fontId="17" fillId="0" borderId="0" xfId="0" applyFont="1" applyFill="1" applyBorder="1" applyAlignment="1">
      <alignment horizontal="left" vertical="top" wrapText="1"/>
    </xf>
    <xf numFmtId="0" fontId="10" fillId="0" borderId="0" xfId="0" applyFont="1" applyBorder="1" applyAlignment="1">
      <alignment horizontal="left" vertical="top"/>
    </xf>
    <xf numFmtId="49" fontId="5" fillId="0" borderId="1" xfId="0" applyNumberFormat="1" applyFont="1" applyFill="1" applyBorder="1" applyAlignment="1">
      <alignment horizontal="left" vertical="top" wrapText="1"/>
    </xf>
    <xf numFmtId="49" fontId="5" fillId="0" borderId="1" xfId="0" applyNumberFormat="1" applyFont="1" applyFill="1" applyBorder="1" applyAlignment="1">
      <alignment horizontal="left" vertical="top"/>
    </xf>
    <xf numFmtId="49" fontId="6" fillId="0" borderId="0" xfId="0" applyNumberFormat="1" applyFont="1" applyFill="1" applyBorder="1" applyAlignment="1">
      <alignment horizontal="left" vertical="top"/>
    </xf>
    <xf numFmtId="49" fontId="9" fillId="0" borderId="1" xfId="0" applyNumberFormat="1" applyFont="1" applyFill="1" applyBorder="1" applyAlignment="1">
      <alignment horizontal="left" vertical="top"/>
    </xf>
    <xf numFmtId="49" fontId="8" fillId="0" borderId="0" xfId="0" applyNumberFormat="1" applyFont="1" applyFill="1" applyBorder="1" applyAlignment="1">
      <alignment horizontal="left" vertical="top"/>
    </xf>
    <xf numFmtId="49" fontId="8" fillId="0" borderId="0" xfId="0" applyNumberFormat="1" applyFont="1" applyBorder="1" applyAlignment="1">
      <alignment horizontal="left" vertical="top"/>
    </xf>
    <xf numFmtId="49" fontId="8" fillId="0" borderId="0" xfId="0" applyNumberFormat="1" applyFont="1" applyAlignment="1">
      <alignment vertical="top" wrapText="1"/>
    </xf>
    <xf numFmtId="0" fontId="0" fillId="0" borderId="0" xfId="0" applyAlignment="1">
      <alignment vertical="top"/>
    </xf>
    <xf numFmtId="0" fontId="11" fillId="0" borderId="0" xfId="0" applyFont="1" applyAlignment="1">
      <alignment horizontal="left" vertical="top"/>
    </xf>
    <xf numFmtId="49" fontId="11" fillId="0" borderId="1" xfId="0" applyNumberFormat="1" applyFont="1" applyBorder="1" applyAlignment="1">
      <alignment horizontal="left" vertical="top" wrapText="1"/>
    </xf>
    <xf numFmtId="49" fontId="19" fillId="0" borderId="1" xfId="0" applyNumberFormat="1" applyFont="1" applyBorder="1" applyAlignment="1">
      <alignment horizontal="left" vertical="top" wrapText="1"/>
    </xf>
    <xf numFmtId="0" fontId="5" fillId="0" borderId="1" xfId="0" applyFont="1" applyBorder="1" applyAlignment="1">
      <alignment horizontal="left" vertical="top"/>
    </xf>
    <xf numFmtId="0" fontId="6" fillId="0" borderId="1" xfId="0" applyFont="1" applyBorder="1" applyAlignment="1">
      <alignment horizontal="left" vertical="top" wrapText="1"/>
    </xf>
    <xf numFmtId="0" fontId="11" fillId="0" borderId="0" xfId="0" applyFont="1" applyAlignment="1">
      <alignment horizontal="left" vertical="top" wrapText="1"/>
    </xf>
    <xf numFmtId="49" fontId="12" fillId="0" borderId="1" xfId="0" applyNumberFormat="1" applyFont="1" applyBorder="1" applyAlignment="1">
      <alignment horizontal="left" vertical="top" wrapText="1"/>
    </xf>
    <xf numFmtId="0" fontId="11" fillId="0" borderId="0" xfId="0" applyFont="1" applyBorder="1" applyAlignment="1">
      <alignment horizontal="left" vertical="top" wrapText="1"/>
    </xf>
    <xf numFmtId="0" fontId="1" fillId="0" borderId="0" xfId="0" applyFont="1" applyFill="1" applyBorder="1" applyAlignment="1">
      <alignment horizontal="left" vertical="top" wrapText="1"/>
    </xf>
    <xf numFmtId="0" fontId="18" fillId="0" borderId="0" xfId="0" applyFont="1" applyFill="1" applyBorder="1" applyAlignment="1">
      <alignment horizontal="left" vertical="top" wrapText="1"/>
    </xf>
    <xf numFmtId="0" fontId="2" fillId="0" borderId="0" xfId="0" applyFont="1" applyBorder="1" applyAlignment="1">
      <alignment vertical="top"/>
    </xf>
    <xf numFmtId="0" fontId="0" fillId="0" borderId="0" xfId="0" applyFill="1" applyBorder="1" applyAlignment="1">
      <alignment horizontal="left" vertical="top"/>
    </xf>
    <xf numFmtId="0" fontId="3" fillId="0" borderId="0" xfId="0" applyFont="1" applyFill="1" applyBorder="1" applyAlignment="1">
      <alignment vertical="top" wrapText="1"/>
    </xf>
    <xf numFmtId="0" fontId="0" fillId="0" borderId="0" xfId="0" applyFill="1" applyBorder="1" applyAlignment="1">
      <alignment vertical="top" wrapText="1"/>
    </xf>
    <xf numFmtId="0" fontId="0" fillId="0" borderId="0" xfId="0" applyAlignment="1">
      <alignment vertical="top" wrapText="1"/>
    </xf>
    <xf numFmtId="0" fontId="0" fillId="0" borderId="0" xfId="0" applyAlignment="1">
      <alignment horizontal="left" vertical="top"/>
    </xf>
    <xf numFmtId="49" fontId="28" fillId="0" borderId="0" xfId="0" applyNumberFormat="1" applyFont="1" applyBorder="1" applyAlignment="1">
      <alignment horizontal="left" vertical="top"/>
    </xf>
    <xf numFmtId="1" fontId="28" fillId="0" borderId="0" xfId="0" applyNumberFormat="1" applyFont="1" applyBorder="1" applyAlignment="1">
      <alignment horizontal="left" vertical="top"/>
    </xf>
    <xf numFmtId="49" fontId="28" fillId="0" borderId="0" xfId="0" applyNumberFormat="1" applyFont="1" applyFill="1" applyBorder="1" applyAlignment="1">
      <alignment horizontal="left" vertical="top"/>
    </xf>
    <xf numFmtId="0" fontId="23" fillId="6" borderId="0" xfId="0" applyFont="1" applyFill="1" applyBorder="1" applyAlignment="1">
      <alignment horizontal="left" vertical="top" wrapText="1"/>
    </xf>
    <xf numFmtId="0" fontId="24" fillId="0" borderId="0" xfId="0" applyFont="1" applyBorder="1" applyAlignment="1">
      <alignment horizontal="left" vertical="top"/>
    </xf>
    <xf numFmtId="0" fontId="25" fillId="6" borderId="0" xfId="0" applyFont="1" applyFill="1" applyBorder="1" applyAlignment="1">
      <alignment horizontal="left" vertical="top" wrapText="1"/>
    </xf>
    <xf numFmtId="0" fontId="29" fillId="0" borderId="0" xfId="0" applyFont="1" applyFill="1" applyBorder="1" applyAlignment="1">
      <alignment horizontal="left" vertical="top" wrapText="1"/>
    </xf>
    <xf numFmtId="0" fontId="29" fillId="0" borderId="0" xfId="0" applyFont="1" applyBorder="1" applyAlignment="1">
      <alignment horizontal="left" vertical="top" wrapText="1"/>
    </xf>
    <xf numFmtId="0" fontId="27" fillId="0" borderId="0" xfId="0" applyFont="1" applyBorder="1" applyAlignment="1">
      <alignment horizontal="left" vertical="top"/>
    </xf>
    <xf numFmtId="0" fontId="26" fillId="0" borderId="0" xfId="0" applyFont="1" applyBorder="1" applyAlignment="1">
      <alignment horizontal="left" vertical="top"/>
    </xf>
    <xf numFmtId="0" fontId="27" fillId="0" borderId="0" xfId="0" applyFont="1" applyFill="1" applyBorder="1" applyAlignment="1">
      <alignment horizontal="left" vertical="top"/>
    </xf>
    <xf numFmtId="0" fontId="26" fillId="0" borderId="0" xfId="0" applyFont="1" applyFill="1" applyBorder="1" applyAlignment="1">
      <alignment horizontal="left" vertical="top"/>
    </xf>
    <xf numFmtId="0" fontId="10" fillId="0" borderId="0" xfId="0" applyFont="1" applyBorder="1" applyAlignment="1">
      <alignment horizontal="left" vertical="top" wrapText="1"/>
    </xf>
    <xf numFmtId="0" fontId="11" fillId="0" borderId="0" xfId="0" applyFont="1" applyFill="1" applyBorder="1" applyAlignment="1">
      <alignment horizontal="left" vertical="top"/>
    </xf>
    <xf numFmtId="0" fontId="23" fillId="0" borderId="0" xfId="0" applyFont="1" applyFill="1" applyBorder="1" applyAlignment="1">
      <alignment horizontal="left" vertical="top"/>
    </xf>
    <xf numFmtId="0" fontId="14" fillId="0" borderId="0" xfId="0" applyFont="1" applyFill="1" applyBorder="1" applyAlignment="1">
      <alignment vertical="top" wrapText="1"/>
    </xf>
    <xf numFmtId="0" fontId="0" fillId="0" borderId="0" xfId="0" applyFill="1" applyBorder="1" applyAlignment="1">
      <alignment vertical="top"/>
    </xf>
    <xf numFmtId="0" fontId="14" fillId="0" borderId="0" xfId="0" applyFont="1" applyFill="1" applyBorder="1" applyAlignment="1">
      <alignment vertical="top"/>
    </xf>
    <xf numFmtId="0" fontId="31" fillId="0" borderId="0" xfId="0" applyFont="1" applyAlignment="1">
      <alignment horizontal="left" vertical="top"/>
    </xf>
    <xf numFmtId="0" fontId="8" fillId="43" borderId="0" xfId="0" applyFont="1" applyFill="1" applyAlignment="1"/>
    <xf numFmtId="0" fontId="9" fillId="43" borderId="0" xfId="0" applyFont="1" applyFill="1" applyAlignment="1"/>
    <xf numFmtId="0" fontId="8" fillId="43" borderId="0" xfId="0" applyFont="1" applyFill="1" applyAlignment="1">
      <alignment horizontal="center"/>
    </xf>
    <xf numFmtId="0" fontId="9" fillId="44" borderId="0" xfId="0" applyFont="1" applyFill="1" applyAlignment="1"/>
    <xf numFmtId="0" fontId="9" fillId="44" borderId="0" xfId="0" applyFont="1" applyFill="1" applyAlignment="1">
      <alignment horizontal="center"/>
    </xf>
    <xf numFmtId="0" fontId="8" fillId="0" borderId="0" xfId="0" applyFont="1" applyAlignment="1">
      <alignment vertical="top"/>
    </xf>
    <xf numFmtId="0" fontId="15" fillId="0" borderId="0" xfId="0" applyFont="1" applyAlignment="1">
      <alignment vertical="top"/>
    </xf>
    <xf numFmtId="0" fontId="8" fillId="0" borderId="0" xfId="0" applyFont="1" applyAlignment="1">
      <alignment horizontal="left" vertical="top"/>
    </xf>
    <xf numFmtId="0" fontId="15" fillId="0" borderId="0" xfId="0" applyFont="1" applyAlignment="1">
      <alignment horizontal="center" vertical="top"/>
    </xf>
    <xf numFmtId="0" fontId="8" fillId="0" borderId="0" xfId="0" applyFont="1" applyAlignment="1">
      <alignment horizontal="center" vertical="top"/>
    </xf>
    <xf numFmtId="0" fontId="8" fillId="0" borderId="0" xfId="0" applyFont="1" applyAlignment="1">
      <alignment horizontal="left"/>
    </xf>
    <xf numFmtId="0" fontId="8" fillId="4" borderId="0" xfId="0" applyFont="1" applyFill="1" applyAlignment="1"/>
    <xf numFmtId="0" fontId="8" fillId="44" borderId="0" xfId="0" applyFont="1" applyFill="1" applyAlignment="1"/>
    <xf numFmtId="0" fontId="8" fillId="44" borderId="0" xfId="0" applyFont="1" applyFill="1" applyAlignment="1">
      <alignment horizontal="center"/>
    </xf>
    <xf numFmtId="0" fontId="9" fillId="45" borderId="0" xfId="0" applyFont="1" applyFill="1" applyAlignment="1"/>
    <xf numFmtId="0" fontId="9" fillId="45" borderId="0" xfId="0" applyFont="1" applyFill="1" applyAlignment="1">
      <alignment horizontal="center"/>
    </xf>
    <xf numFmtId="0" fontId="8" fillId="45" borderId="0" xfId="0" applyFont="1" applyFill="1" applyAlignment="1"/>
    <xf numFmtId="0" fontId="9" fillId="46" borderId="0" xfId="0" applyFont="1" applyFill="1" applyAlignment="1"/>
    <xf numFmtId="0" fontId="9" fillId="46" borderId="0" xfId="0" applyFont="1" applyFill="1" applyAlignment="1">
      <alignment horizontal="center"/>
    </xf>
    <xf numFmtId="0" fontId="15" fillId="0" borderId="0" xfId="0" applyFont="1" applyAlignment="1">
      <alignment horizontal="left"/>
    </xf>
    <xf numFmtId="0" fontId="9" fillId="47" borderId="0" xfId="0" applyFont="1" applyFill="1" applyAlignment="1"/>
    <xf numFmtId="0" fontId="9" fillId="47" borderId="0" xfId="0" applyFont="1" applyFill="1" applyAlignment="1">
      <alignment horizontal="center"/>
    </xf>
    <xf numFmtId="0" fontId="8" fillId="47" borderId="0" xfId="0" applyFont="1" applyFill="1" applyAlignment="1"/>
    <xf numFmtId="0" fontId="8" fillId="47" borderId="0" xfId="0" applyFont="1" applyFill="1" applyAlignment="1">
      <alignment horizontal="center"/>
    </xf>
    <xf numFmtId="0" fontId="9" fillId="48" borderId="0" xfId="0" applyFont="1" applyFill="1" applyAlignment="1"/>
    <xf numFmtId="0" fontId="9" fillId="48" borderId="0" xfId="0" applyFont="1" applyFill="1" applyAlignment="1">
      <alignment horizontal="center"/>
    </xf>
    <xf numFmtId="0" fontId="9" fillId="49" borderId="0" xfId="0" applyFont="1" applyFill="1" applyAlignment="1"/>
    <xf numFmtId="0" fontId="9" fillId="49" borderId="0" xfId="0" applyFont="1" applyFill="1" applyAlignment="1">
      <alignment horizontal="center"/>
    </xf>
    <xf numFmtId="0" fontId="9" fillId="0" borderId="0" xfId="0" applyFont="1" applyAlignment="1">
      <alignment horizontal="center"/>
    </xf>
    <xf numFmtId="0" fontId="48" fillId="0" borderId="0" xfId="0" applyFont="1" applyAlignment="1"/>
    <xf numFmtId="0" fontId="48" fillId="0" borderId="0" xfId="0" applyFont="1" applyAlignment="1">
      <alignment horizontal="center"/>
    </xf>
    <xf numFmtId="0" fontId="9" fillId="50" borderId="0" xfId="0" applyFont="1" applyFill="1" applyAlignment="1"/>
    <xf numFmtId="0" fontId="9" fillId="50" borderId="0" xfId="0" applyFont="1" applyFill="1" applyAlignment="1">
      <alignment horizontal="center"/>
    </xf>
    <xf numFmtId="0" fontId="9" fillId="51" borderId="0" xfId="0" applyFont="1" applyFill="1" applyAlignment="1"/>
    <xf numFmtId="0" fontId="9" fillId="51" borderId="0" xfId="0" applyFont="1" applyFill="1" applyAlignment="1">
      <alignment horizontal="center"/>
    </xf>
    <xf numFmtId="0" fontId="15" fillId="4" borderId="0" xfId="0" applyFont="1" applyFill="1" applyAlignment="1">
      <alignment vertical="top"/>
    </xf>
    <xf numFmtId="0" fontId="15" fillId="4" borderId="0" xfId="0" applyFont="1" applyFill="1" applyAlignment="1">
      <alignment horizontal="left" vertical="top"/>
    </xf>
    <xf numFmtId="0" fontId="9" fillId="0" borderId="0" xfId="0" applyFont="1" applyFill="1" applyAlignment="1">
      <alignment vertical="top"/>
    </xf>
    <xf numFmtId="0" fontId="8" fillId="51" borderId="0" xfId="0" applyFont="1" applyFill="1" applyAlignment="1"/>
    <xf numFmtId="0" fontId="8" fillId="51" borderId="0" xfId="0" applyFont="1" applyFill="1" applyAlignment="1">
      <alignment horizontal="center"/>
    </xf>
    <xf numFmtId="0" fontId="9" fillId="52" borderId="0" xfId="0" applyFont="1" applyFill="1" applyAlignment="1"/>
    <xf numFmtId="0" fontId="9" fillId="52" borderId="0" xfId="0" applyFont="1" applyFill="1" applyAlignment="1">
      <alignment horizontal="center"/>
    </xf>
    <xf numFmtId="0" fontId="8" fillId="0" borderId="0" xfId="0" applyFont="1" applyFill="1" applyAlignment="1"/>
    <xf numFmtId="0" fontId="8" fillId="53" borderId="0" xfId="0" applyFont="1" applyFill="1" applyAlignment="1"/>
    <xf numFmtId="0" fontId="9" fillId="53" borderId="0" xfId="0" applyFont="1" applyFill="1" applyAlignment="1">
      <alignment vertical="center"/>
    </xf>
    <xf numFmtId="0" fontId="8" fillId="53" borderId="0" xfId="0" applyFont="1" applyFill="1" applyAlignment="1">
      <alignment horizontal="center"/>
    </xf>
    <xf numFmtId="0" fontId="9" fillId="0" borderId="0" xfId="0" applyFont="1" applyAlignment="1"/>
    <xf numFmtId="0" fontId="8" fillId="54" borderId="0" xfId="0" applyFont="1" applyFill="1" applyAlignment="1"/>
    <xf numFmtId="0" fontId="8" fillId="54" borderId="0" xfId="0" applyFont="1" applyFill="1" applyAlignment="1">
      <alignment horizontal="center"/>
    </xf>
    <xf numFmtId="0" fontId="8" fillId="55" borderId="0" xfId="0" applyFont="1" applyFill="1" applyAlignment="1"/>
    <xf numFmtId="0" fontId="8" fillId="55" borderId="0" xfId="0" applyFont="1" applyFill="1" applyAlignment="1">
      <alignment horizontal="center"/>
    </xf>
    <xf numFmtId="0" fontId="8" fillId="56" borderId="0" xfId="0" applyFont="1" applyFill="1" applyAlignment="1"/>
    <xf numFmtId="0" fontId="8" fillId="56" borderId="0" xfId="0" applyFont="1" applyFill="1" applyAlignment="1">
      <alignment horizontal="center"/>
    </xf>
    <xf numFmtId="49" fontId="26" fillId="0" borderId="0" xfId="0" applyNumberFormat="1" applyFont="1" applyBorder="1" applyAlignment="1">
      <alignment horizontal="left" vertical="top"/>
    </xf>
    <xf numFmtId="1" fontId="49" fillId="0" borderId="0" xfId="0" applyNumberFormat="1" applyFont="1" applyBorder="1" applyAlignment="1">
      <alignment horizontal="left" vertical="top"/>
    </xf>
    <xf numFmtId="49" fontId="49" fillId="0" borderId="0" xfId="0" applyNumberFormat="1" applyFont="1" applyBorder="1" applyAlignment="1">
      <alignment horizontal="left" vertical="top"/>
    </xf>
    <xf numFmtId="1" fontId="49" fillId="0" borderId="0" xfId="0" applyNumberFormat="1" applyFont="1" applyAlignment="1">
      <alignment horizontal="left" vertical="top"/>
    </xf>
    <xf numFmtId="49" fontId="49" fillId="0" borderId="0" xfId="0" applyNumberFormat="1" applyFont="1" applyAlignment="1">
      <alignment horizontal="left" vertical="top"/>
    </xf>
    <xf numFmtId="0" fontId="28" fillId="0" borderId="0" xfId="0" applyFont="1" applyAlignment="1">
      <alignment horizontal="left" vertical="top"/>
    </xf>
    <xf numFmtId="49" fontId="17" fillId="0" borderId="0" xfId="0" applyNumberFormat="1" applyFont="1" applyFill="1" applyBorder="1" applyAlignment="1">
      <alignment horizontal="center" vertical="top" wrapText="1"/>
    </xf>
    <xf numFmtId="49" fontId="8" fillId="0" borderId="0" xfId="0" applyNumberFormat="1" applyFont="1" applyFill="1" applyAlignment="1">
      <alignment vertical="top" wrapText="1"/>
    </xf>
    <xf numFmtId="49" fontId="52" fillId="6" borderId="1" xfId="0" applyNumberFormat="1" applyFont="1" applyFill="1" applyBorder="1" applyAlignment="1">
      <alignment horizontal="left" vertical="top" wrapText="1"/>
    </xf>
    <xf numFmtId="49" fontId="53" fillId="6" borderId="1" xfId="0" applyNumberFormat="1" applyFont="1" applyFill="1" applyBorder="1" applyAlignment="1">
      <alignment vertical="top" wrapText="1"/>
    </xf>
    <xf numFmtId="49" fontId="53" fillId="2" borderId="1" xfId="0" applyNumberFormat="1" applyFont="1" applyFill="1" applyBorder="1" applyAlignment="1">
      <alignment vertical="top" wrapText="1"/>
    </xf>
    <xf numFmtId="49" fontId="52" fillId="6" borderId="1" xfId="0" applyNumberFormat="1" applyFont="1" applyFill="1" applyBorder="1" applyAlignment="1">
      <alignment vertical="top" wrapText="1"/>
    </xf>
    <xf numFmtId="1" fontId="53" fillId="6" borderId="1" xfId="0" applyNumberFormat="1" applyFont="1" applyFill="1" applyBorder="1" applyAlignment="1">
      <alignment horizontal="left" vertical="top" wrapText="1"/>
    </xf>
    <xf numFmtId="49" fontId="53" fillId="6" borderId="1" xfId="0" applyNumberFormat="1" applyFont="1" applyFill="1" applyBorder="1" applyAlignment="1">
      <alignment horizontal="left" vertical="top" wrapText="1"/>
    </xf>
    <xf numFmtId="0" fontId="53" fillId="6" borderId="1" xfId="0" applyNumberFormat="1" applyFont="1" applyFill="1" applyBorder="1" applyAlignment="1">
      <alignment horizontal="left" vertical="top" wrapText="1"/>
    </xf>
    <xf numFmtId="1" fontId="53" fillId="2" borderId="1" xfId="0" applyNumberFormat="1" applyFont="1" applyFill="1" applyBorder="1" applyAlignment="1">
      <alignment horizontal="left" vertical="top" wrapText="1"/>
    </xf>
    <xf numFmtId="49" fontId="53" fillId="2" borderId="1" xfId="0" applyNumberFormat="1" applyFont="1" applyFill="1" applyBorder="1" applyAlignment="1">
      <alignment horizontal="left" vertical="top" wrapText="1"/>
    </xf>
    <xf numFmtId="0" fontId="53" fillId="2" borderId="1" xfId="0" applyNumberFormat="1" applyFont="1" applyFill="1" applyBorder="1" applyAlignment="1">
      <alignment horizontal="left" vertical="top" wrapText="1"/>
    </xf>
    <xf numFmtId="49" fontId="9" fillId="6" borderId="1" xfId="0" applyNumberFormat="1" applyFont="1" applyFill="1" applyBorder="1" applyAlignment="1">
      <alignment horizontal="left" vertical="top" wrapText="1"/>
    </xf>
    <xf numFmtId="49" fontId="9" fillId="0" borderId="1" xfId="0" applyNumberFormat="1" applyFont="1" applyFill="1" applyBorder="1" applyAlignment="1">
      <alignment horizontal="left" vertical="top" wrapText="1"/>
    </xf>
    <xf numFmtId="49" fontId="10" fillId="0" borderId="1" xfId="0" applyNumberFormat="1" applyFont="1" applyBorder="1" applyAlignment="1">
      <alignment horizontal="left" vertical="top" wrapText="1"/>
    </xf>
    <xf numFmtId="0" fontId="55" fillId="6" borderId="0" xfId="0" applyFont="1" applyFill="1" applyBorder="1" applyAlignment="1">
      <alignment horizontal="left" vertical="top" wrapText="1"/>
    </xf>
    <xf numFmtId="0" fontId="56" fillId="0" borderId="0" xfId="0" applyFont="1" applyBorder="1" applyAlignment="1">
      <alignment horizontal="left" vertical="top"/>
    </xf>
    <xf numFmtId="0" fontId="50" fillId="0" borderId="0" xfId="0" applyFont="1" applyBorder="1" applyAlignment="1">
      <alignment horizontal="left" vertical="top"/>
    </xf>
    <xf numFmtId="0" fontId="57" fillId="0" borderId="0" xfId="0" applyFont="1" applyFill="1" applyBorder="1" applyAlignment="1">
      <alignment horizontal="left" vertical="top"/>
    </xf>
    <xf numFmtId="0" fontId="50" fillId="0" borderId="0" xfId="0" applyFont="1" applyAlignment="1">
      <alignment horizontal="left" vertical="top"/>
    </xf>
    <xf numFmtId="0" fontId="28" fillId="0" borderId="0" xfId="0" applyFont="1" applyBorder="1" applyAlignment="1">
      <alignment horizontal="left" vertical="top"/>
    </xf>
    <xf numFmtId="0" fontId="57" fillId="0" borderId="0" xfId="0" applyFont="1" applyBorder="1" applyAlignment="1">
      <alignment horizontal="left" vertical="top"/>
    </xf>
    <xf numFmtId="49" fontId="28" fillId="0" borderId="0" xfId="0" applyNumberFormat="1" applyFont="1" applyFill="1" applyAlignment="1">
      <alignment horizontal="left" vertical="top"/>
    </xf>
    <xf numFmtId="49" fontId="58" fillId="6" borderId="1" xfId="0" applyNumberFormat="1" applyFont="1" applyFill="1" applyBorder="1" applyAlignment="1">
      <alignment horizontal="left" vertical="top" wrapText="1"/>
    </xf>
    <xf numFmtId="49" fontId="59" fillId="6" borderId="1" xfId="0" applyNumberFormat="1" applyFont="1" applyFill="1" applyBorder="1" applyAlignment="1">
      <alignment horizontal="left" vertical="top" wrapText="1"/>
    </xf>
    <xf numFmtId="49" fontId="59" fillId="6" borderId="1" xfId="0" applyNumberFormat="1" applyFont="1" applyFill="1" applyBorder="1" applyAlignment="1">
      <alignment vertical="top" wrapText="1"/>
    </xf>
    <xf numFmtId="49" fontId="59" fillId="0" borderId="0" xfId="0" applyNumberFormat="1" applyFont="1" applyFill="1" applyBorder="1" applyAlignment="1">
      <alignment horizontal="left" vertical="top" wrapText="1"/>
    </xf>
    <xf numFmtId="49" fontId="59" fillId="6" borderId="1" xfId="0" applyNumberFormat="1" applyFont="1" applyFill="1" applyBorder="1" applyAlignment="1">
      <alignment horizontal="left" vertical="top"/>
    </xf>
    <xf numFmtId="0" fontId="59" fillId="6" borderId="1" xfId="0" applyNumberFormat="1" applyFont="1" applyFill="1" applyBorder="1" applyAlignment="1">
      <alignment horizontal="left" vertical="top"/>
    </xf>
    <xf numFmtId="1" fontId="59" fillId="6" borderId="1" xfId="0" applyNumberFormat="1" applyFont="1" applyFill="1" applyBorder="1" applyAlignment="1">
      <alignment horizontal="left" vertical="top"/>
    </xf>
    <xf numFmtId="49" fontId="59" fillId="0" borderId="0" xfId="0" applyNumberFormat="1" applyFont="1" applyFill="1" applyBorder="1" applyAlignment="1">
      <alignment horizontal="left" vertical="top"/>
    </xf>
    <xf numFmtId="49" fontId="59" fillId="6" borderId="1" xfId="0" applyNumberFormat="1" applyFont="1" applyFill="1" applyBorder="1"/>
    <xf numFmtId="0" fontId="28" fillId="0" borderId="0" xfId="0" applyFont="1" applyFill="1" applyAlignment="1">
      <alignment horizontal="left" vertical="top"/>
    </xf>
    <xf numFmtId="49" fontId="51" fillId="0" borderId="0" xfId="0" applyNumberFormat="1" applyFont="1" applyFill="1" applyAlignment="1">
      <alignment horizontal="left" vertical="top"/>
    </xf>
    <xf numFmtId="1" fontId="28" fillId="0" borderId="0" xfId="0" applyNumberFormat="1" applyFont="1" applyFill="1" applyBorder="1" applyAlignment="1">
      <alignment horizontal="left" vertical="top"/>
    </xf>
    <xf numFmtId="1" fontId="28" fillId="0" borderId="0" xfId="0" applyNumberFormat="1" applyFont="1" applyFill="1" applyAlignment="1">
      <alignment horizontal="left" vertical="top"/>
    </xf>
    <xf numFmtId="1" fontId="51" fillId="0" borderId="0" xfId="0" applyNumberFormat="1" applyFont="1" applyFill="1" applyAlignment="1">
      <alignment horizontal="left" vertical="top"/>
    </xf>
    <xf numFmtId="0" fontId="28" fillId="0" borderId="0" xfId="0" applyNumberFormat="1" applyFont="1" applyFill="1" applyAlignment="1">
      <alignment horizontal="left" vertical="top"/>
    </xf>
    <xf numFmtId="0" fontId="26" fillId="0" borderId="0" xfId="0" applyFont="1" applyFill="1"/>
    <xf numFmtId="49" fontId="12" fillId="0" borderId="1" xfId="0" applyNumberFormat="1" applyFont="1" applyFill="1" applyBorder="1" applyAlignment="1">
      <alignment horizontal="left" vertical="top" wrapText="1"/>
    </xf>
    <xf numFmtId="0" fontId="61" fillId="0" borderId="0" xfId="0" applyFont="1" applyFill="1" applyBorder="1" applyAlignment="1">
      <alignment horizontal="left" vertical="top" wrapText="1"/>
    </xf>
    <xf numFmtId="0" fontId="60" fillId="0" borderId="0" xfId="0" applyFont="1" applyFill="1" applyBorder="1" applyAlignment="1">
      <alignment vertical="top" wrapText="1"/>
    </xf>
    <xf numFmtId="0" fontId="60" fillId="0" borderId="0" xfId="0" applyFont="1" applyFill="1" applyBorder="1" applyAlignment="1">
      <alignment horizontal="left" vertical="top"/>
    </xf>
    <xf numFmtId="0" fontId="14" fillId="5" borderId="1" xfId="0" applyFont="1" applyFill="1" applyBorder="1" applyAlignment="1">
      <alignment horizontal="left"/>
    </xf>
    <xf numFmtId="0" fontId="14" fillId="59" borderId="1" xfId="0" applyFont="1" applyFill="1" applyBorder="1" applyAlignment="1">
      <alignment horizontal="left"/>
    </xf>
    <xf numFmtId="0" fontId="14" fillId="0" borderId="1" xfId="0" applyFont="1" applyBorder="1" applyAlignment="1">
      <alignment horizontal="left"/>
    </xf>
    <xf numFmtId="0" fontId="14" fillId="61" borderId="1" xfId="0" applyFont="1" applyFill="1" applyBorder="1" applyAlignment="1">
      <alignment horizontal="left"/>
    </xf>
    <xf numFmtId="49" fontId="62" fillId="63" borderId="1" xfId="0" applyNumberFormat="1" applyFont="1" applyFill="1" applyBorder="1" applyAlignment="1">
      <alignment horizontal="left" vertical="top" wrapText="1"/>
    </xf>
    <xf numFmtId="49" fontId="10" fillId="7" borderId="1" xfId="0" applyNumberFormat="1" applyFont="1" applyFill="1" applyBorder="1" applyAlignment="1">
      <alignment horizontal="left" vertical="top" wrapText="1"/>
    </xf>
    <xf numFmtId="49" fontId="10" fillId="57" borderId="1" xfId="0" applyNumberFormat="1" applyFont="1" applyFill="1" applyBorder="1" applyAlignment="1">
      <alignment horizontal="left" vertical="top" wrapText="1"/>
    </xf>
    <xf numFmtId="49" fontId="10" fillId="60" borderId="1" xfId="0" applyNumberFormat="1" applyFont="1" applyFill="1" applyBorder="1" applyAlignment="1">
      <alignment horizontal="left" vertical="top" wrapText="1"/>
    </xf>
    <xf numFmtId="49" fontId="10" fillId="8" borderId="1" xfId="0" applyNumberFormat="1" applyFont="1" applyFill="1" applyBorder="1" applyAlignment="1">
      <alignment horizontal="left" vertical="top" wrapText="1"/>
    </xf>
    <xf numFmtId="49" fontId="10" fillId="58" borderId="1" xfId="0" applyNumberFormat="1" applyFont="1" applyFill="1" applyBorder="1" applyAlignment="1">
      <alignment horizontal="left" vertical="top" wrapText="1"/>
    </xf>
    <xf numFmtId="49" fontId="10" fillId="62" borderId="1" xfId="0" applyNumberFormat="1" applyFont="1" applyFill="1" applyBorder="1" applyAlignment="1">
      <alignment horizontal="left" vertical="top" wrapText="1"/>
    </xf>
    <xf numFmtId="49" fontId="10" fillId="9" borderId="1" xfId="0" applyNumberFormat="1" applyFont="1" applyFill="1" applyBorder="1" applyAlignment="1">
      <alignment horizontal="left" vertical="top" wrapText="1"/>
    </xf>
    <xf numFmtId="49" fontId="63" fillId="9" borderId="1" xfId="0" applyNumberFormat="1" applyFont="1" applyFill="1" applyBorder="1" applyAlignment="1">
      <alignment horizontal="left" vertical="top" wrapText="1"/>
    </xf>
    <xf numFmtId="49" fontId="10" fillId="0" borderId="0" xfId="0" applyNumberFormat="1" applyFont="1" applyFill="1" applyBorder="1" applyAlignment="1">
      <alignment horizontal="left" vertical="top" wrapText="1"/>
    </xf>
    <xf numFmtId="49" fontId="8" fillId="0" borderId="1" xfId="0" applyNumberFormat="1" applyFont="1" applyBorder="1" applyAlignment="1">
      <alignment horizontal="left" vertical="top" wrapText="1"/>
    </xf>
    <xf numFmtId="49" fontId="8" fillId="0" borderId="0" xfId="0" applyNumberFormat="1" applyFont="1" applyBorder="1" applyAlignment="1">
      <alignment horizontal="left" vertical="top" wrapText="1"/>
    </xf>
    <xf numFmtId="49" fontId="10" fillId="0" borderId="1" xfId="0" applyNumberFormat="1" applyFont="1" applyBorder="1" applyAlignment="1">
      <alignment horizontal="left" vertical="top" wrapText="1"/>
    </xf>
    <xf numFmtId="49" fontId="64" fillId="63" borderId="0" xfId="0" applyNumberFormat="1" applyFont="1" applyFill="1" applyAlignment="1">
      <alignment vertical="top" wrapText="1"/>
    </xf>
    <xf numFmtId="49" fontId="12" fillId="0" borderId="0" xfId="0" applyNumberFormat="1" applyFont="1" applyFill="1" applyAlignment="1">
      <alignment horizontal="left" vertical="top" wrapText="1"/>
    </xf>
    <xf numFmtId="49" fontId="32" fillId="0" borderId="0" xfId="0" applyNumberFormat="1" applyFont="1" applyFill="1" applyAlignment="1">
      <alignment horizontal="left" vertical="top" wrapText="1"/>
    </xf>
    <xf numFmtId="49" fontId="11" fillId="0" borderId="0" xfId="0" applyNumberFormat="1" applyFont="1" applyFill="1" applyAlignment="1">
      <alignment horizontal="left" vertical="top" wrapText="1"/>
    </xf>
    <xf numFmtId="1" fontId="32" fillId="0" borderId="0" xfId="0" applyNumberFormat="1" applyFont="1" applyFill="1" applyAlignment="1">
      <alignment horizontal="left" vertical="top" wrapText="1"/>
    </xf>
    <xf numFmtId="49" fontId="32" fillId="0" borderId="0" xfId="0" applyNumberFormat="1" applyFont="1" applyFill="1" applyBorder="1" applyAlignment="1">
      <alignment horizontal="left" vertical="top" wrapText="1"/>
    </xf>
    <xf numFmtId="0" fontId="32" fillId="0" borderId="0" xfId="0" applyNumberFormat="1" applyFont="1" applyFill="1" applyAlignment="1">
      <alignment horizontal="left" vertical="top" wrapText="1"/>
    </xf>
    <xf numFmtId="49" fontId="53" fillId="59" borderId="1" xfId="0" applyNumberFormat="1" applyFont="1" applyFill="1" applyBorder="1" applyAlignment="1">
      <alignment horizontal="left" vertical="top" wrapText="1"/>
    </xf>
    <xf numFmtId="49" fontId="53" fillId="5" borderId="1" xfId="0" applyNumberFormat="1" applyFont="1" applyFill="1" applyBorder="1" applyAlignment="1">
      <alignment horizontal="left" vertical="top" wrapText="1"/>
    </xf>
    <xf numFmtId="49" fontId="53" fillId="0" borderId="1" xfId="0" applyNumberFormat="1" applyFont="1" applyBorder="1" applyAlignment="1">
      <alignment horizontal="left" vertical="top" wrapText="1"/>
    </xf>
    <xf numFmtId="49" fontId="53" fillId="0" borderId="0" xfId="0" applyNumberFormat="1" applyFont="1" applyFill="1" applyBorder="1" applyAlignment="1">
      <alignment horizontal="left" vertical="top" wrapText="1"/>
    </xf>
    <xf numFmtId="49" fontId="53" fillId="0" borderId="1" xfId="0" applyNumberFormat="1" applyFont="1" applyFill="1" applyBorder="1" applyAlignment="1">
      <alignment horizontal="left" vertical="top" wrapText="1"/>
    </xf>
    <xf numFmtId="49" fontId="8" fillId="0" borderId="1" xfId="0" applyNumberFormat="1" applyFont="1" applyFill="1" applyBorder="1" applyAlignment="1">
      <alignment horizontal="left" vertical="top" wrapText="1"/>
    </xf>
    <xf numFmtId="0" fontId="12" fillId="0" borderId="0" xfId="0" applyNumberFormat="1" applyFont="1" applyFill="1" applyAlignment="1">
      <alignment horizontal="left" vertical="top" wrapText="1"/>
    </xf>
    <xf numFmtId="1" fontId="12" fillId="0" borderId="0" xfId="0" applyNumberFormat="1" applyFont="1" applyFill="1" applyAlignment="1">
      <alignment horizontal="left" vertical="top" wrapText="1"/>
    </xf>
    <xf numFmtId="49" fontId="12" fillId="0" borderId="0" xfId="0" applyNumberFormat="1" applyFont="1" applyFill="1" applyBorder="1" applyAlignment="1">
      <alignment horizontal="left" vertical="top" wrapText="1"/>
    </xf>
    <xf numFmtId="49" fontId="12" fillId="0" borderId="0" xfId="0" applyNumberFormat="1" applyFont="1" applyBorder="1" applyAlignment="1">
      <alignment horizontal="left" vertical="top" wrapText="1"/>
    </xf>
    <xf numFmtId="0" fontId="12" fillId="0" borderId="0" xfId="0" applyFont="1" applyFill="1"/>
    <xf numFmtId="0" fontId="12" fillId="0" borderId="0" xfId="0" applyNumberFormat="1" applyFont="1" applyBorder="1" applyAlignment="1">
      <alignment horizontal="left" vertical="top" wrapText="1"/>
    </xf>
    <xf numFmtId="1" fontId="12" fillId="0" borderId="0" xfId="0" applyNumberFormat="1" applyFont="1" applyBorder="1" applyAlignment="1">
      <alignment horizontal="left" vertical="top" wrapText="1"/>
    </xf>
    <xf numFmtId="0" fontId="11" fillId="0" borderId="0" xfId="0" applyNumberFormat="1" applyFont="1" applyFill="1" applyAlignment="1">
      <alignment horizontal="left" vertical="top" wrapText="1"/>
    </xf>
    <xf numFmtId="1" fontId="11" fillId="0" borderId="0" xfId="0" applyNumberFormat="1" applyFont="1" applyFill="1" applyAlignment="1">
      <alignment horizontal="left" vertical="top" wrapText="1"/>
    </xf>
    <xf numFmtId="49" fontId="11" fillId="0" borderId="0" xfId="0" applyNumberFormat="1" applyFont="1" applyFill="1" applyBorder="1" applyAlignment="1">
      <alignment horizontal="left" vertical="top" wrapText="1"/>
    </xf>
    <xf numFmtId="49" fontId="11" fillId="2" borderId="0" xfId="0" applyNumberFormat="1" applyFont="1" applyFill="1" applyAlignment="1">
      <alignment horizontal="left" vertical="top" wrapText="1"/>
    </xf>
    <xf numFmtId="49" fontId="12" fillId="2" borderId="0" xfId="0" applyNumberFormat="1" applyFont="1" applyFill="1" applyBorder="1" applyAlignment="1">
      <alignment horizontal="left" vertical="top" wrapText="1"/>
    </xf>
    <xf numFmtId="49" fontId="10" fillId="64" borderId="1" xfId="0" applyNumberFormat="1" applyFont="1" applyFill="1" applyBorder="1" applyAlignment="1">
      <alignment horizontal="left" vertical="top" wrapText="1"/>
    </xf>
    <xf numFmtId="49" fontId="10" fillId="2" borderId="1" xfId="0" applyNumberFormat="1" applyFont="1" applyFill="1" applyBorder="1" applyAlignment="1">
      <alignment horizontal="left" vertical="top" wrapText="1"/>
    </xf>
    <xf numFmtId="49" fontId="8" fillId="2" borderId="1" xfId="0" applyNumberFormat="1" applyFont="1" applyFill="1" applyBorder="1" applyAlignment="1">
      <alignment horizontal="left" vertical="top" wrapText="1"/>
    </xf>
    <xf numFmtId="49" fontId="12" fillId="2" borderId="0" xfId="0" applyNumberFormat="1" applyFont="1" applyFill="1" applyAlignment="1">
      <alignment horizontal="left" vertical="top" wrapText="1"/>
    </xf>
    <xf numFmtId="49" fontId="32" fillId="2" borderId="0" xfId="0" applyNumberFormat="1" applyFont="1" applyFill="1" applyAlignment="1">
      <alignment horizontal="left" vertical="top" wrapText="1"/>
    </xf>
    <xf numFmtId="49" fontId="12" fillId="65" borderId="0" xfId="0" applyNumberFormat="1" applyFont="1" applyFill="1" applyBorder="1" applyAlignment="1">
      <alignment horizontal="left" vertical="top" wrapText="1"/>
    </xf>
    <xf numFmtId="0" fontId="12" fillId="65" borderId="0" xfId="0" applyNumberFormat="1" applyFont="1" applyFill="1" applyBorder="1" applyAlignment="1">
      <alignment horizontal="left" vertical="top" wrapText="1"/>
    </xf>
    <xf numFmtId="1" fontId="12" fillId="65" borderId="0" xfId="0" applyNumberFormat="1" applyFont="1" applyFill="1" applyBorder="1" applyAlignment="1">
      <alignment horizontal="left" vertical="top" wrapText="1"/>
    </xf>
    <xf numFmtId="49" fontId="12" fillId="65" borderId="0" xfId="0" applyNumberFormat="1" applyFont="1" applyFill="1" applyAlignment="1">
      <alignment horizontal="left" vertical="top" wrapText="1"/>
    </xf>
    <xf numFmtId="0" fontId="12" fillId="65" borderId="0" xfId="0" applyNumberFormat="1" applyFont="1" applyFill="1" applyAlignment="1">
      <alignment horizontal="left" vertical="top" wrapText="1"/>
    </xf>
    <xf numFmtId="1" fontId="12" fillId="65" borderId="0" xfId="0" applyNumberFormat="1" applyFont="1" applyFill="1" applyAlignment="1">
      <alignment horizontal="left" vertical="top" wrapText="1"/>
    </xf>
    <xf numFmtId="49" fontId="11" fillId="65" borderId="0" xfId="0" applyNumberFormat="1" applyFont="1" applyFill="1" applyAlignment="1">
      <alignment horizontal="left" vertical="top" wrapText="1"/>
    </xf>
    <xf numFmtId="0" fontId="11" fillId="65" borderId="0" xfId="0" applyNumberFormat="1" applyFont="1" applyFill="1" applyAlignment="1">
      <alignment horizontal="left" vertical="top" wrapText="1"/>
    </xf>
    <xf numFmtId="1" fontId="11" fillId="65" borderId="0" xfId="0" applyNumberFormat="1" applyFont="1" applyFill="1" applyAlignment="1">
      <alignment horizontal="left" vertical="top" wrapText="1"/>
    </xf>
    <xf numFmtId="49" fontId="11" fillId="65" borderId="0" xfId="0" applyNumberFormat="1" applyFont="1" applyFill="1" applyBorder="1" applyAlignment="1">
      <alignment horizontal="left" vertical="top" wrapText="1"/>
    </xf>
    <xf numFmtId="1" fontId="12" fillId="0" borderId="0" xfId="0" applyNumberFormat="1" applyFont="1" applyFill="1" applyBorder="1" applyAlignment="1">
      <alignment horizontal="left" vertical="top" wrapText="1"/>
    </xf>
    <xf numFmtId="1" fontId="12" fillId="2" borderId="0" xfId="0" applyNumberFormat="1" applyFont="1" applyFill="1" applyBorder="1" applyAlignment="1">
      <alignment horizontal="left" vertical="top" wrapText="1"/>
    </xf>
    <xf numFmtId="0" fontId="4" fillId="0" borderId="0" xfId="0" applyFont="1" applyFill="1" applyBorder="1" applyAlignment="1">
      <alignment horizontal="left" vertical="top" wrapText="1"/>
    </xf>
    <xf numFmtId="49" fontId="10" fillId="0" borderId="1" xfId="0" applyNumberFormat="1" applyFont="1" applyBorder="1" applyAlignment="1">
      <alignment horizontal="left" vertical="top" wrapText="1"/>
    </xf>
    <xf numFmtId="0" fontId="10" fillId="0" borderId="1" xfId="0" applyFont="1" applyBorder="1" applyAlignment="1">
      <alignment horizontal="left" vertical="top" wrapText="1"/>
    </xf>
    <xf numFmtId="49" fontId="10" fillId="11" borderId="12" xfId="0" applyNumberFormat="1" applyFont="1" applyFill="1" applyBorder="1" applyAlignment="1">
      <alignment horizontal="center" vertical="top" wrapText="1"/>
    </xf>
    <xf numFmtId="0" fontId="0" fillId="11" borderId="13" xfId="0" applyFill="1" applyBorder="1" applyAlignment="1">
      <alignment horizontal="center" vertical="top" wrapText="1"/>
    </xf>
    <xf numFmtId="0" fontId="0" fillId="11" borderId="11" xfId="0" applyFill="1" applyBorder="1" applyAlignment="1">
      <alignment horizontal="left" vertical="top" wrapText="1"/>
    </xf>
    <xf numFmtId="0" fontId="11" fillId="11" borderId="12" xfId="0" applyFont="1" applyFill="1" applyBorder="1" applyAlignment="1">
      <alignment horizontal="center" vertical="top" wrapText="1"/>
    </xf>
    <xf numFmtId="0" fontId="10" fillId="11" borderId="12" xfId="0" applyFont="1" applyFill="1" applyBorder="1" applyAlignment="1">
      <alignment horizontal="center" vertical="top" wrapText="1"/>
    </xf>
    <xf numFmtId="0" fontId="10" fillId="10" borderId="1" xfId="0" applyFont="1" applyFill="1" applyBorder="1" applyAlignment="1">
      <alignment horizontal="left" vertical="top" wrapText="1"/>
    </xf>
    <xf numFmtId="0" fontId="10" fillId="10" borderId="1" xfId="0" applyFont="1" applyFill="1" applyBorder="1" applyAlignment="1">
      <alignment horizontal="left" vertical="top"/>
    </xf>
    <xf numFmtId="49" fontId="58" fillId="6" borderId="1" xfId="0" applyNumberFormat="1" applyFont="1" applyFill="1" applyBorder="1" applyAlignment="1">
      <alignment horizontal="left" vertical="top" wrapText="1"/>
    </xf>
    <xf numFmtId="49" fontId="52" fillId="6" borderId="1" xfId="0" applyNumberFormat="1" applyFont="1" applyFill="1" applyBorder="1" applyAlignment="1">
      <alignment horizontal="center"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D05AF0"/>
      <color rgb="FFABF7FB"/>
      <color rgb="FFCC0099"/>
      <color rgb="FFF78DF7"/>
      <color rgb="FFFFFF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PAULA/Documents/LR%20Arboles%20endemicos%20Col/_Evaluaciones%20BGCI/Proyecto%20LRAE%20Colombia_InformacionEvaluacionListaRoja_21Fe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osEvaluaciones"/>
      <sheetName val="TD"/>
      <sheetName val="TD SIS"/>
      <sheetName val="PregExpertos"/>
      <sheetName val="Herbarios"/>
      <sheetName val="ConR +Tax"/>
      <sheetName val="RedListCol2018"/>
      <sheetName val="CatPlantCol"/>
      <sheetName val="Voluntarios"/>
      <sheetName val="Pot LC"/>
      <sheetName val="Distrib notes"/>
      <sheetName val="Hoja1"/>
    </sheetNames>
    <sheetDataSet>
      <sheetData sheetId="0" refreshError="1"/>
      <sheetData sheetId="1" refreshError="1"/>
      <sheetData sheetId="2" refreshError="1"/>
      <sheetData sheetId="3" refreshError="1"/>
      <sheetData sheetId="4" refreshError="1"/>
      <sheetData sheetId="5">
        <row r="1">
          <cell r="A1" t="str">
            <v>Especie completa</v>
          </cell>
          <cell r="B1" t="str">
            <v>InternalTaxonID</v>
          </cell>
          <cell r="C1" t="str">
            <v>Reino</v>
          </cell>
          <cell r="D1" t="str">
            <v>Filo</v>
          </cell>
          <cell r="E1" t="str">
            <v>Clase</v>
          </cell>
          <cell r="F1" t="str">
            <v>Orden</v>
          </cell>
          <cell r="G1" t="str">
            <v>Familia</v>
          </cell>
          <cell r="H1" t="str">
            <v>Género</v>
          </cell>
          <cell r="I1" t="str">
            <v>epiteto específico</v>
          </cell>
          <cell r="J1" t="str">
            <v>Nombre cientifico</v>
          </cell>
          <cell r="K1" t="str">
            <v>Autor</v>
          </cell>
          <cell r="L1" t="str">
            <v>Nombre común principal</v>
          </cell>
          <cell r="M1" t="str">
            <v>Otros Nombres comunes</v>
          </cell>
        </row>
        <row r="2">
          <cell r="A2" t="str">
            <v>Abarema callejasii</v>
          </cell>
          <cell r="B2">
            <v>1</v>
          </cell>
          <cell r="C2" t="str">
            <v>Plantae</v>
          </cell>
          <cell r="D2" t="str">
            <v>Magnoliophyta</v>
          </cell>
          <cell r="E2" t="str">
            <v>Equisetopsida</v>
          </cell>
          <cell r="F2" t="str">
            <v>Fabales</v>
          </cell>
          <cell r="G2" t="str">
            <v>Fabaceae</v>
          </cell>
          <cell r="H2" t="str">
            <v>Abarema</v>
          </cell>
          <cell r="I2" t="str">
            <v>callejasii</v>
          </cell>
          <cell r="J2" t="str">
            <v>Abarema callejasii Barneby &amp; J.W.Grimes</v>
          </cell>
          <cell r="K2" t="str">
            <v>Barneby &amp; J.W.Grimes</v>
          </cell>
          <cell r="L2" t="str">
            <v>inga edionda</v>
          </cell>
        </row>
        <row r="3">
          <cell r="A3" t="str">
            <v>Abarema josephi</v>
          </cell>
          <cell r="B3">
            <v>2</v>
          </cell>
          <cell r="C3" t="str">
            <v>Plantae</v>
          </cell>
          <cell r="D3" t="str">
            <v>Magnoliophyta</v>
          </cell>
          <cell r="E3" t="str">
            <v>Equisetopsida</v>
          </cell>
          <cell r="F3" t="str">
            <v>Fabales</v>
          </cell>
          <cell r="G3" t="str">
            <v>Fabaceae</v>
          </cell>
          <cell r="H3" t="str">
            <v>Abarema</v>
          </cell>
          <cell r="I3" t="str">
            <v>josephi</v>
          </cell>
          <cell r="J3" t="str">
            <v>Abarema josephi Barneby &amp; J.W.Grimes</v>
          </cell>
          <cell r="K3" t="str">
            <v>Barneby &amp; J.W.Grimes</v>
          </cell>
          <cell r="L3" t="str">
            <v>guayacán</v>
          </cell>
        </row>
        <row r="4">
          <cell r="A4" t="str">
            <v>Abarema lehmannii</v>
          </cell>
          <cell r="B4">
            <v>3</v>
          </cell>
          <cell r="C4" t="str">
            <v>Plantae</v>
          </cell>
          <cell r="D4" t="str">
            <v>Magnoliophyta</v>
          </cell>
          <cell r="E4" t="str">
            <v>Equisetopsida</v>
          </cell>
          <cell r="F4" t="str">
            <v>Fabales</v>
          </cell>
          <cell r="G4" t="str">
            <v>Fabaceae</v>
          </cell>
          <cell r="H4" t="str">
            <v>Abarema</v>
          </cell>
          <cell r="I4" t="str">
            <v>lehmannii</v>
          </cell>
          <cell r="J4" t="str">
            <v>Abarema lehmannii (Britton &amp; Killip) Barneby &amp; J.</v>
          </cell>
          <cell r="K4" t="str">
            <v>(Britton &amp; Killip) Barneby &amp; J.</v>
          </cell>
          <cell r="M4" t="str">
            <v>chocho azul, churimito, churimo, guamo, guamo churimo, laurel, riñón, soya, soya perenne</v>
          </cell>
        </row>
        <row r="5">
          <cell r="A5" t="str">
            <v>Adelobotrys antioquiensis</v>
          </cell>
          <cell r="B5">
            <v>4</v>
          </cell>
          <cell r="C5" t="str">
            <v>Plantae</v>
          </cell>
          <cell r="D5" t="str">
            <v>Magnoliophyta</v>
          </cell>
          <cell r="E5" t="str">
            <v>Equisetopsida</v>
          </cell>
          <cell r="F5" t="str">
            <v>Myrtales</v>
          </cell>
          <cell r="G5" t="str">
            <v>Melastomataceae</v>
          </cell>
          <cell r="H5" t="str">
            <v>Adelobotrys</v>
          </cell>
          <cell r="I5" t="str">
            <v>antioquiensis</v>
          </cell>
          <cell r="J5" t="str">
            <v>Adelobotrys antioquiensis Wurdack</v>
          </cell>
          <cell r="K5" t="str">
            <v>Wurdack</v>
          </cell>
        </row>
        <row r="6">
          <cell r="A6" t="str">
            <v>Aiouea angulata</v>
          </cell>
          <cell r="B6">
            <v>5</v>
          </cell>
          <cell r="C6" t="str">
            <v>Plantae</v>
          </cell>
          <cell r="D6" t="str">
            <v>Magnoliophyta</v>
          </cell>
          <cell r="E6" t="str">
            <v>Equisetopsida</v>
          </cell>
          <cell r="F6" t="str">
            <v>Laurales</v>
          </cell>
          <cell r="G6" t="str">
            <v>Lauraceae</v>
          </cell>
          <cell r="H6" t="str">
            <v>Aiouea</v>
          </cell>
          <cell r="I6" t="str">
            <v>angulata</v>
          </cell>
          <cell r="J6" t="str">
            <v>Aiouea angulata Kosterm.</v>
          </cell>
          <cell r="K6" t="str">
            <v>Kosterm.</v>
          </cell>
          <cell r="L6" t="str">
            <v>muena común</v>
          </cell>
        </row>
        <row r="7">
          <cell r="A7" t="str">
            <v>Allomaieta hirsuta</v>
          </cell>
          <cell r="B7">
            <v>6</v>
          </cell>
          <cell r="C7" t="str">
            <v>Plantae</v>
          </cell>
          <cell r="D7" t="str">
            <v>Magnoliophyta</v>
          </cell>
          <cell r="E7" t="str">
            <v>Equisetopsida</v>
          </cell>
          <cell r="F7" t="str">
            <v>Myrtales</v>
          </cell>
          <cell r="G7" t="str">
            <v>Melastomataceae</v>
          </cell>
          <cell r="H7" t="str">
            <v>Allomaieta</v>
          </cell>
          <cell r="I7" t="str">
            <v>hirsuta</v>
          </cell>
          <cell r="J7" t="str">
            <v>Allomaieta hirsuta (Gleason) Lozano</v>
          </cell>
          <cell r="K7" t="str">
            <v>(Gleason) Lozano</v>
          </cell>
        </row>
        <row r="8">
          <cell r="A8" t="str">
            <v>Allomaieta pancurana</v>
          </cell>
          <cell r="B8">
            <v>7</v>
          </cell>
          <cell r="C8" t="str">
            <v>Plantae</v>
          </cell>
          <cell r="D8" t="str">
            <v>Magnoliophyta</v>
          </cell>
          <cell r="E8" t="str">
            <v>Equisetopsida</v>
          </cell>
          <cell r="F8" t="str">
            <v>Myrtales</v>
          </cell>
          <cell r="G8" t="str">
            <v>Melastomataceae</v>
          </cell>
          <cell r="H8" t="str">
            <v>Allomaieta</v>
          </cell>
          <cell r="I8" t="str">
            <v>pancurana</v>
          </cell>
          <cell r="J8" t="str">
            <v>Allomaieta pancurana Lozano</v>
          </cell>
          <cell r="K8" t="str">
            <v>Lozano</v>
          </cell>
        </row>
        <row r="9">
          <cell r="A9" t="str">
            <v>Allomaieta strigosa</v>
          </cell>
          <cell r="B9">
            <v>8</v>
          </cell>
          <cell r="C9" t="str">
            <v>Plantae</v>
          </cell>
          <cell r="D9" t="str">
            <v>Magnoliophyta</v>
          </cell>
          <cell r="E9" t="str">
            <v>Equisetopsida</v>
          </cell>
          <cell r="F9" t="str">
            <v>Myrtales</v>
          </cell>
          <cell r="G9" t="str">
            <v>Melastomataceae</v>
          </cell>
          <cell r="H9" t="str">
            <v>Allomaieta</v>
          </cell>
          <cell r="I9" t="str">
            <v>strigosa</v>
          </cell>
          <cell r="J9" t="str">
            <v>Allomaieta strigosa (Gleason) Lozano</v>
          </cell>
          <cell r="K9" t="str">
            <v>(Gleason) Lozano</v>
          </cell>
        </row>
        <row r="10">
          <cell r="A10" t="str">
            <v>Allomaieta villosa</v>
          </cell>
          <cell r="B10">
            <v>9</v>
          </cell>
          <cell r="C10" t="str">
            <v>Plantae</v>
          </cell>
          <cell r="D10" t="str">
            <v>Magnoliophyta</v>
          </cell>
          <cell r="E10" t="str">
            <v>Equisetopsida</v>
          </cell>
          <cell r="F10" t="str">
            <v>Myrtales</v>
          </cell>
          <cell r="G10" t="str">
            <v>Melastomataceae</v>
          </cell>
          <cell r="H10" t="str">
            <v>Allomaieta</v>
          </cell>
          <cell r="I10" t="str">
            <v>villosa</v>
          </cell>
          <cell r="J10" t="str">
            <v>Allomaieta villosa (Gleason) Lozano</v>
          </cell>
          <cell r="K10" t="str">
            <v>(Gleason) Lozano</v>
          </cell>
        </row>
        <row r="11">
          <cell r="A11" t="str">
            <v>Andira chigorodensis</v>
          </cell>
          <cell r="B11">
            <v>10</v>
          </cell>
          <cell r="C11" t="str">
            <v>Plantae</v>
          </cell>
          <cell r="D11" t="str">
            <v>Magnoliophyta</v>
          </cell>
          <cell r="E11" t="str">
            <v>Equisetopsida</v>
          </cell>
          <cell r="F11" t="str">
            <v>Fabales</v>
          </cell>
          <cell r="G11" t="str">
            <v>Fabaceae</v>
          </cell>
          <cell r="H11" t="str">
            <v>Andira</v>
          </cell>
          <cell r="I11" t="str">
            <v>chigorodensis</v>
          </cell>
          <cell r="J11" t="str">
            <v>Andira chigorodensis R.T.Penn.</v>
          </cell>
          <cell r="K11" t="str">
            <v>R.T.Penn.</v>
          </cell>
          <cell r="M11" t="str">
            <v>arroz con coco, barbasquillo, caña bravo, purga, embagatao</v>
          </cell>
        </row>
        <row r="12">
          <cell r="A12" t="str">
            <v>Aniba vaupesiana</v>
          </cell>
          <cell r="B12">
            <v>11</v>
          </cell>
          <cell r="C12" t="str">
            <v>Plantae</v>
          </cell>
          <cell r="D12" t="str">
            <v>Magnoliophyta</v>
          </cell>
          <cell r="E12" t="str">
            <v>Equisetopsida</v>
          </cell>
          <cell r="F12" t="str">
            <v>Laurales</v>
          </cell>
          <cell r="G12" t="str">
            <v>Lauraceae</v>
          </cell>
          <cell r="H12" t="str">
            <v>Aniba</v>
          </cell>
          <cell r="I12" t="str">
            <v>vaupesiana</v>
          </cell>
          <cell r="J12" t="str">
            <v>Aniba vaupesiana Kubitzki</v>
          </cell>
          <cell r="K12" t="str">
            <v>Kubitzki</v>
          </cell>
          <cell r="L12" t="str">
            <v>laurel comino</v>
          </cell>
        </row>
        <row r="13">
          <cell r="A13" t="str">
            <v>Annona rufinervis</v>
          </cell>
          <cell r="B13">
            <v>12</v>
          </cell>
          <cell r="C13" t="str">
            <v>Plantae</v>
          </cell>
          <cell r="D13" t="str">
            <v>Magnoliophyta</v>
          </cell>
          <cell r="E13" t="str">
            <v>Equisetopsida</v>
          </cell>
          <cell r="F13" t="str">
            <v>Magnoliales</v>
          </cell>
          <cell r="G13" t="str">
            <v>Annonaceae</v>
          </cell>
          <cell r="H13" t="str">
            <v>Annona</v>
          </cell>
          <cell r="I13" t="str">
            <v>rufinervis</v>
          </cell>
          <cell r="J13" t="str">
            <v>Annona rufinervis (Triana &amp; Planch.) H.Rainer</v>
          </cell>
          <cell r="K13" t="str">
            <v>(Triana &amp; Planch.) H.Rainer</v>
          </cell>
          <cell r="L13" t="str">
            <v>guanabana de monte</v>
          </cell>
        </row>
        <row r="14">
          <cell r="A14" t="str">
            <v>Arachnothryx colombiana</v>
          </cell>
          <cell r="B14">
            <v>13</v>
          </cell>
          <cell r="C14" t="str">
            <v>Plantae</v>
          </cell>
          <cell r="D14" t="str">
            <v>Magnoliophyta</v>
          </cell>
          <cell r="E14" t="str">
            <v>Equisetopsida</v>
          </cell>
          <cell r="F14" t="str">
            <v>Gentianales</v>
          </cell>
          <cell r="G14" t="str">
            <v>Rubiaceae</v>
          </cell>
          <cell r="H14" t="str">
            <v>Arachnothryx</v>
          </cell>
          <cell r="I14" t="str">
            <v>colombiana</v>
          </cell>
          <cell r="J14" t="str">
            <v>Arachnothryx colombiana (Rusby) Steyerm.</v>
          </cell>
          <cell r="K14" t="str">
            <v>(Rusby) Steyerm.</v>
          </cell>
        </row>
        <row r="15">
          <cell r="A15" t="str">
            <v>Arachnothryx spectabilis</v>
          </cell>
          <cell r="B15">
            <v>14</v>
          </cell>
          <cell r="C15" t="str">
            <v>Plantae</v>
          </cell>
          <cell r="D15" t="str">
            <v>Magnoliophyta</v>
          </cell>
          <cell r="E15" t="str">
            <v>Equisetopsida</v>
          </cell>
          <cell r="F15" t="str">
            <v>Gentianales</v>
          </cell>
          <cell r="G15" t="str">
            <v>Rubiaceae</v>
          </cell>
          <cell r="H15" t="str">
            <v>Arachnothryx</v>
          </cell>
          <cell r="I15" t="str">
            <v>spectabilis</v>
          </cell>
          <cell r="J15" t="str">
            <v>Arachnothryx spectabilis (Steyerm.) Rova et al.</v>
          </cell>
          <cell r="K15" t="str">
            <v>(Steyerm.) Rova et al.</v>
          </cell>
        </row>
        <row r="16">
          <cell r="A16" t="str">
            <v>Axinaea colombiana</v>
          </cell>
          <cell r="B16">
            <v>15</v>
          </cell>
          <cell r="C16" t="str">
            <v xml:space="preserve">Plantae </v>
          </cell>
          <cell r="D16" t="str">
            <v>Magnoliophyta</v>
          </cell>
          <cell r="E16" t="str">
            <v>Equisetopsida</v>
          </cell>
          <cell r="F16" t="str">
            <v>Myrtales</v>
          </cell>
          <cell r="G16" t="str">
            <v>Melastomataceae</v>
          </cell>
          <cell r="H16" t="str">
            <v>Axinaea</v>
          </cell>
          <cell r="I16" t="str">
            <v>colombiana</v>
          </cell>
          <cell r="J16" t="str">
            <v>Axinaea colombiana Lozano &amp; Alvear</v>
          </cell>
          <cell r="K16" t="str">
            <v>Lozano &amp; Alvear</v>
          </cell>
          <cell r="L16" t="str">
            <v>danto</v>
          </cell>
        </row>
        <row r="17">
          <cell r="A17" t="str">
            <v>Axinaea fallax</v>
          </cell>
          <cell r="B17">
            <v>16</v>
          </cell>
          <cell r="C17" t="str">
            <v>Plantae</v>
          </cell>
          <cell r="D17" t="str">
            <v>Magnoliophyta</v>
          </cell>
          <cell r="E17" t="str">
            <v>Equisetopsida</v>
          </cell>
          <cell r="F17" t="str">
            <v>Myrtales</v>
          </cell>
          <cell r="G17" t="str">
            <v>Melastomataceae</v>
          </cell>
          <cell r="H17" t="str">
            <v>Axinaea</v>
          </cell>
          <cell r="I17" t="str">
            <v>fallax</v>
          </cell>
          <cell r="J17" t="str">
            <v>Axinaea fallax Cuatrec.</v>
          </cell>
          <cell r="K17" t="str">
            <v>Cuatrec.</v>
          </cell>
          <cell r="M17" t="str">
            <v>mayo, amarillo, amarraboyo, nigüito</v>
          </cell>
        </row>
        <row r="18">
          <cell r="A18" t="str">
            <v>Bernoullia uribeana</v>
          </cell>
          <cell r="B18">
            <v>17</v>
          </cell>
          <cell r="C18" t="str">
            <v>Plantae</v>
          </cell>
          <cell r="D18" t="str">
            <v>Magnoliophyta</v>
          </cell>
          <cell r="E18" t="str">
            <v>Equisetopsida</v>
          </cell>
          <cell r="F18" t="str">
            <v>Malvales</v>
          </cell>
          <cell r="G18" t="str">
            <v>Malvaceae</v>
          </cell>
          <cell r="H18" t="str">
            <v>Bernoullia</v>
          </cell>
          <cell r="I18" t="str">
            <v>uribeana</v>
          </cell>
          <cell r="J18" t="str">
            <v>Bernoullia uribeana Cuatrec.</v>
          </cell>
          <cell r="K18" t="str">
            <v>Cuatrec.</v>
          </cell>
          <cell r="L18" t="str">
            <v>algodón de monte</v>
          </cell>
        </row>
        <row r="19">
          <cell r="A19" t="str">
            <v>Blakea andreana</v>
          </cell>
          <cell r="B19">
            <v>18</v>
          </cell>
          <cell r="C19" t="str">
            <v>Plantae</v>
          </cell>
          <cell r="D19" t="str">
            <v>Magnoliophyta</v>
          </cell>
          <cell r="E19" t="str">
            <v>Equisetopsida</v>
          </cell>
          <cell r="F19" t="str">
            <v>Myrtales</v>
          </cell>
          <cell r="G19" t="str">
            <v>Melastomataceae</v>
          </cell>
          <cell r="H19" t="str">
            <v>Blakea</v>
          </cell>
          <cell r="I19" t="str">
            <v>andreana</v>
          </cell>
          <cell r="J19" t="str">
            <v>Blakea andreana Cogn.</v>
          </cell>
          <cell r="K19" t="str">
            <v>Cogn.</v>
          </cell>
          <cell r="M19" t="str">
            <v>danto, mayo</v>
          </cell>
        </row>
        <row r="20">
          <cell r="A20" t="str">
            <v>Blakea argentea</v>
          </cell>
          <cell r="B20">
            <v>19</v>
          </cell>
          <cell r="C20" t="str">
            <v xml:space="preserve">Plantae </v>
          </cell>
          <cell r="D20" t="str">
            <v>Magnoliophyta</v>
          </cell>
          <cell r="E20" t="str">
            <v>Equisetopsida</v>
          </cell>
          <cell r="F20" t="str">
            <v>Myrtales</v>
          </cell>
          <cell r="G20" t="str">
            <v>Melastomataceae</v>
          </cell>
          <cell r="H20" t="str">
            <v>Blakea</v>
          </cell>
          <cell r="I20" t="str">
            <v>argentea</v>
          </cell>
          <cell r="J20" t="str">
            <v>Blakea argentea Gleason</v>
          </cell>
          <cell r="K20" t="str">
            <v>Gleason</v>
          </cell>
        </row>
        <row r="21">
          <cell r="A21" t="str">
            <v>Blakea brachyura</v>
          </cell>
          <cell r="B21">
            <v>20</v>
          </cell>
          <cell r="C21" t="str">
            <v>Plantae</v>
          </cell>
          <cell r="D21" t="str">
            <v>Magnoliophyta</v>
          </cell>
          <cell r="E21" t="str">
            <v>Equisetopsida</v>
          </cell>
          <cell r="F21" t="str">
            <v>Myrtales</v>
          </cell>
          <cell r="G21" t="str">
            <v>Melastomataceae</v>
          </cell>
          <cell r="H21" t="str">
            <v>Blakea</v>
          </cell>
          <cell r="I21" t="str">
            <v>brachyura</v>
          </cell>
          <cell r="J21" t="str">
            <v>Blakea brachyura Gleason</v>
          </cell>
          <cell r="K21" t="str">
            <v>Gleason</v>
          </cell>
          <cell r="L21" t="str">
            <v>morochillo</v>
          </cell>
        </row>
        <row r="22">
          <cell r="A22" t="str">
            <v>Blakea calcarata</v>
          </cell>
          <cell r="B22">
            <v>21</v>
          </cell>
          <cell r="C22" t="str">
            <v xml:space="preserve">Plantae </v>
          </cell>
          <cell r="D22" t="str">
            <v>Magnoliophyta</v>
          </cell>
          <cell r="E22" t="str">
            <v>Equisetopsida</v>
          </cell>
          <cell r="F22" t="str">
            <v>Myrtales</v>
          </cell>
          <cell r="G22" t="str">
            <v>Melastomataceae</v>
          </cell>
          <cell r="H22" t="str">
            <v>Blakea</v>
          </cell>
          <cell r="I22" t="str">
            <v>calcarata</v>
          </cell>
          <cell r="J22" t="str">
            <v>Blakea calcarata (L.Uribe) Penneys &amp; Judd</v>
          </cell>
          <cell r="K22" t="str">
            <v>(L.Uribe) Penneys &amp; Judd</v>
          </cell>
        </row>
        <row r="23">
          <cell r="A23" t="str">
            <v>Blakea calyptrata</v>
          </cell>
          <cell r="B23">
            <v>22</v>
          </cell>
          <cell r="C23" t="str">
            <v xml:space="preserve">Plantae </v>
          </cell>
          <cell r="D23" t="str">
            <v>Magnoliophyta</v>
          </cell>
          <cell r="E23" t="str">
            <v>Equisetopsida</v>
          </cell>
          <cell r="F23" t="str">
            <v>Myrtales</v>
          </cell>
          <cell r="G23" t="str">
            <v>Melastomataceae</v>
          </cell>
          <cell r="H23" t="str">
            <v>Blakea</v>
          </cell>
          <cell r="I23" t="str">
            <v>calyptrata</v>
          </cell>
          <cell r="J23" t="str">
            <v>Blakea calyptrata Gleason</v>
          </cell>
          <cell r="K23" t="str">
            <v>Gleason</v>
          </cell>
          <cell r="L23" t="str">
            <v>danto negro</v>
          </cell>
        </row>
        <row r="24">
          <cell r="A24" t="str">
            <v>Blakea castanedae</v>
          </cell>
          <cell r="B24">
            <v>23</v>
          </cell>
          <cell r="C24" t="str">
            <v xml:space="preserve">Plantae </v>
          </cell>
          <cell r="D24" t="str">
            <v>Magnoliophyta</v>
          </cell>
          <cell r="E24" t="str">
            <v>Equisetopsida</v>
          </cell>
          <cell r="F24" t="str">
            <v>Myrtales</v>
          </cell>
          <cell r="G24" t="str">
            <v>Melastomataceae</v>
          </cell>
          <cell r="H24" t="str">
            <v>Blakea</v>
          </cell>
          <cell r="I24" t="str">
            <v>castanedae</v>
          </cell>
          <cell r="J24" t="str">
            <v>Blakea castanedae (Wurdack) Penneys &amp; Judd</v>
          </cell>
          <cell r="K24" t="str">
            <v>(Wurdack) Penneys &amp; Judd</v>
          </cell>
        </row>
        <row r="25">
          <cell r="A25" t="str">
            <v>Blakea clusiifolia</v>
          </cell>
          <cell r="B25">
            <v>24</v>
          </cell>
          <cell r="C25" t="str">
            <v xml:space="preserve">Plantae </v>
          </cell>
          <cell r="D25" t="str">
            <v>Magnoliophyta</v>
          </cell>
          <cell r="E25" t="str">
            <v>Equisetopsida</v>
          </cell>
          <cell r="F25" t="str">
            <v>Myrtales</v>
          </cell>
          <cell r="G25" t="str">
            <v>Melastomataceae</v>
          </cell>
          <cell r="H25" t="str">
            <v>Blakea</v>
          </cell>
          <cell r="I25" t="str">
            <v>clusiifolia</v>
          </cell>
          <cell r="J25" t="str">
            <v>Blakea clusiifolia Gleason</v>
          </cell>
          <cell r="K25" t="str">
            <v>Gleason</v>
          </cell>
          <cell r="L25" t="str">
            <v>macanillo</v>
          </cell>
        </row>
        <row r="26">
          <cell r="A26" t="str">
            <v>Blakea cuprina</v>
          </cell>
          <cell r="B26">
            <v>25</v>
          </cell>
          <cell r="C26" t="str">
            <v xml:space="preserve">Plantae </v>
          </cell>
          <cell r="D26" t="str">
            <v>Magnoliophyta</v>
          </cell>
          <cell r="E26" t="str">
            <v>Equisetopsida</v>
          </cell>
          <cell r="F26" t="str">
            <v>Myrtales</v>
          </cell>
          <cell r="G26" t="str">
            <v>Melastomataceae</v>
          </cell>
          <cell r="H26" t="str">
            <v>Blakea</v>
          </cell>
          <cell r="I26" t="str">
            <v>cuprina</v>
          </cell>
          <cell r="J26" t="str">
            <v>Blakea cuprina Penneys &amp; Judd</v>
          </cell>
          <cell r="K26" t="str">
            <v>Penneys &amp; Judd</v>
          </cell>
        </row>
        <row r="27">
          <cell r="A27" t="str">
            <v>Blakea discolor</v>
          </cell>
          <cell r="B27">
            <v>26</v>
          </cell>
          <cell r="C27" t="str">
            <v xml:space="preserve">Plantae </v>
          </cell>
          <cell r="D27" t="str">
            <v>Magnoliophyta</v>
          </cell>
          <cell r="E27" t="str">
            <v>Equisetopsida</v>
          </cell>
          <cell r="F27" t="str">
            <v>Myrtales</v>
          </cell>
          <cell r="G27" t="str">
            <v>Melastomataceae</v>
          </cell>
          <cell r="H27" t="str">
            <v>Blakea</v>
          </cell>
          <cell r="I27" t="str">
            <v>discolor</v>
          </cell>
          <cell r="J27" t="str">
            <v>Blakea discolor (Hochr.) Penneys &amp; Judd</v>
          </cell>
          <cell r="K27" t="str">
            <v>(Hochr.) Penneys &amp; Judd</v>
          </cell>
        </row>
        <row r="28">
          <cell r="A28" t="str">
            <v>Blakea glaberrima</v>
          </cell>
          <cell r="B28">
            <v>27</v>
          </cell>
          <cell r="C28" t="str">
            <v>Plantae</v>
          </cell>
          <cell r="D28" t="str">
            <v>Magnoliophyta</v>
          </cell>
          <cell r="E28" t="str">
            <v>Equisetopsida</v>
          </cell>
          <cell r="F28" t="str">
            <v>Myrtales</v>
          </cell>
          <cell r="G28" t="str">
            <v>Melastomataceae</v>
          </cell>
          <cell r="H28" t="str">
            <v>Blakea</v>
          </cell>
          <cell r="I28" t="str">
            <v>glaberrima</v>
          </cell>
          <cell r="J28" t="str">
            <v>Blakea glaberrima (Triana) Penneys &amp; Judd</v>
          </cell>
          <cell r="K28" t="str">
            <v>(Triana) Penneys &amp; Judd</v>
          </cell>
        </row>
        <row r="29">
          <cell r="A29" t="str">
            <v>Blakea granatensis</v>
          </cell>
          <cell r="B29">
            <v>28</v>
          </cell>
          <cell r="C29" t="str">
            <v>Plantae</v>
          </cell>
          <cell r="D29" t="str">
            <v>Magnoliophyta</v>
          </cell>
          <cell r="E29" t="str">
            <v>Equisetopsida</v>
          </cell>
          <cell r="F29" t="str">
            <v>Myrtales</v>
          </cell>
          <cell r="G29" t="str">
            <v>Melastomataceae</v>
          </cell>
          <cell r="H29" t="str">
            <v>Blakea</v>
          </cell>
          <cell r="I29" t="str">
            <v>granatensis</v>
          </cell>
          <cell r="J29" t="str">
            <v>Blakea granatensis Naudin</v>
          </cell>
          <cell r="K29" t="str">
            <v>Naudin</v>
          </cell>
          <cell r="M29" t="str">
            <v>gaque, kaambunsii</v>
          </cell>
        </row>
        <row r="30">
          <cell r="A30" t="str">
            <v>Blakea holtonii</v>
          </cell>
          <cell r="B30">
            <v>29</v>
          </cell>
          <cell r="C30" t="str">
            <v>Plantae</v>
          </cell>
          <cell r="D30" t="str">
            <v>Magnoliophyta</v>
          </cell>
          <cell r="E30" t="str">
            <v>Equisetopsida</v>
          </cell>
          <cell r="F30" t="str">
            <v>Myrtales</v>
          </cell>
          <cell r="G30" t="str">
            <v>Melastomataceae</v>
          </cell>
          <cell r="H30" t="str">
            <v>Blakea</v>
          </cell>
          <cell r="I30" t="str">
            <v>holtonii</v>
          </cell>
          <cell r="J30" t="str">
            <v>Blakea holtonii Hochr.</v>
          </cell>
          <cell r="K30" t="str">
            <v>Hochr.</v>
          </cell>
          <cell r="L30" t="str">
            <v>jazmín de monte</v>
          </cell>
        </row>
        <row r="31">
          <cell r="A31" t="str">
            <v>Blakea killipii</v>
          </cell>
          <cell r="B31">
            <v>30</v>
          </cell>
          <cell r="C31" t="str">
            <v xml:space="preserve">Plantae </v>
          </cell>
          <cell r="D31" t="str">
            <v>Magnoliophyta</v>
          </cell>
          <cell r="E31" t="str">
            <v>Equisetopsida</v>
          </cell>
          <cell r="F31" t="str">
            <v>Myrtales</v>
          </cell>
          <cell r="G31" t="str">
            <v>Melastomataceae</v>
          </cell>
          <cell r="H31" t="str">
            <v>Blakea</v>
          </cell>
          <cell r="I31" t="str">
            <v>killipii</v>
          </cell>
          <cell r="J31" t="str">
            <v>Blakea killipii (Wurdack) Penneys &amp; Judd</v>
          </cell>
          <cell r="K31" t="str">
            <v>(Wurdack) Penneys &amp; Judd</v>
          </cell>
        </row>
        <row r="32">
          <cell r="A32" t="str">
            <v>Blakea longipes</v>
          </cell>
          <cell r="B32">
            <v>31</v>
          </cell>
          <cell r="C32" t="str">
            <v xml:space="preserve">Plantae </v>
          </cell>
          <cell r="D32" t="str">
            <v>Magnoliophyta</v>
          </cell>
          <cell r="E32" t="str">
            <v>Equisetopsida</v>
          </cell>
          <cell r="F32" t="str">
            <v>Myrtales</v>
          </cell>
          <cell r="G32" t="str">
            <v>Melastomataceae</v>
          </cell>
          <cell r="H32" t="str">
            <v>Blakea</v>
          </cell>
          <cell r="I32" t="str">
            <v>longipes</v>
          </cell>
          <cell r="J32" t="str">
            <v>Blakea longipes L. Uribe</v>
          </cell>
          <cell r="K32" t="str">
            <v>L. Uribe</v>
          </cell>
        </row>
        <row r="33">
          <cell r="A33" t="str">
            <v>Blakea megaphylla</v>
          </cell>
          <cell r="B33">
            <v>32</v>
          </cell>
          <cell r="C33" t="str">
            <v xml:space="preserve">Plantae </v>
          </cell>
          <cell r="D33" t="str">
            <v>Magnoliophyta</v>
          </cell>
          <cell r="E33" t="str">
            <v>Equisetopsida</v>
          </cell>
          <cell r="F33" t="str">
            <v>Myrtales</v>
          </cell>
          <cell r="G33" t="str">
            <v>Melastomataceae</v>
          </cell>
          <cell r="H33" t="str">
            <v>Blakea</v>
          </cell>
          <cell r="I33" t="str">
            <v>megaphylla</v>
          </cell>
          <cell r="J33" t="str">
            <v>Blakea megaphylla Wurdack</v>
          </cell>
          <cell r="K33" t="str">
            <v>Wurdack</v>
          </cell>
        </row>
        <row r="34">
          <cell r="A34" t="str">
            <v>Blakea muricata</v>
          </cell>
          <cell r="B34">
            <v>33</v>
          </cell>
          <cell r="C34" t="str">
            <v>Plantae</v>
          </cell>
          <cell r="D34" t="str">
            <v>Magnoliophyta</v>
          </cell>
          <cell r="E34" t="str">
            <v>Equisetopsida</v>
          </cell>
          <cell r="F34" t="str">
            <v>Myrtales</v>
          </cell>
          <cell r="G34" t="str">
            <v>Melastomataceae</v>
          </cell>
          <cell r="H34" t="str">
            <v>Blakea</v>
          </cell>
          <cell r="I34" t="str">
            <v>muricata</v>
          </cell>
          <cell r="J34" t="str">
            <v>Blakea muricata (Lozano) Penneys &amp; Judd</v>
          </cell>
          <cell r="K34" t="str">
            <v>(Lozano) Penneys &amp; Judd</v>
          </cell>
        </row>
        <row r="35">
          <cell r="A35" t="str">
            <v>Blakea nodosa</v>
          </cell>
          <cell r="B35">
            <v>34</v>
          </cell>
          <cell r="C35" t="str">
            <v xml:space="preserve">Plantae </v>
          </cell>
          <cell r="D35" t="str">
            <v>Magnoliophyta</v>
          </cell>
          <cell r="E35" t="str">
            <v>Equisetopsida</v>
          </cell>
          <cell r="F35" t="str">
            <v>Myrtales</v>
          </cell>
          <cell r="G35" t="str">
            <v>Melastomataceae</v>
          </cell>
          <cell r="H35" t="str">
            <v>Blakea</v>
          </cell>
          <cell r="I35" t="str">
            <v>nodosa</v>
          </cell>
          <cell r="J35" t="str">
            <v>Blakea nodosa Wurdack</v>
          </cell>
          <cell r="K35" t="str">
            <v>Wurdack</v>
          </cell>
        </row>
        <row r="36">
          <cell r="A36" t="str">
            <v>Blakea paleacea</v>
          </cell>
          <cell r="B36">
            <v>35</v>
          </cell>
          <cell r="C36" t="str">
            <v xml:space="preserve">Plantae </v>
          </cell>
          <cell r="D36" t="str">
            <v>Magnoliophyta</v>
          </cell>
          <cell r="E36" t="str">
            <v>Equisetopsida</v>
          </cell>
          <cell r="F36" t="str">
            <v>Myrtales</v>
          </cell>
          <cell r="G36" t="str">
            <v>Melastomataceae</v>
          </cell>
          <cell r="H36" t="str">
            <v>Blakea</v>
          </cell>
          <cell r="I36" t="str">
            <v>paleacea</v>
          </cell>
          <cell r="J36" t="str">
            <v>Blakea paleacea Gleason</v>
          </cell>
          <cell r="K36" t="str">
            <v>Gleason</v>
          </cell>
        </row>
        <row r="37">
          <cell r="A37" t="str">
            <v>Blakea platypoda</v>
          </cell>
          <cell r="B37">
            <v>36</v>
          </cell>
          <cell r="C37" t="str">
            <v xml:space="preserve">Plantae </v>
          </cell>
          <cell r="D37" t="str">
            <v>Magnoliophyta</v>
          </cell>
          <cell r="E37" t="str">
            <v>Equisetopsida</v>
          </cell>
          <cell r="F37" t="str">
            <v>Myrtales</v>
          </cell>
          <cell r="G37" t="str">
            <v>Melastomataceae</v>
          </cell>
          <cell r="H37" t="str">
            <v>Blakea</v>
          </cell>
          <cell r="I37" t="str">
            <v>platypoda</v>
          </cell>
          <cell r="J37" t="str">
            <v>Blakea platypoda Gleason</v>
          </cell>
          <cell r="K37" t="str">
            <v>Gleason</v>
          </cell>
        </row>
        <row r="38">
          <cell r="A38" t="str">
            <v>Blakea princeps</v>
          </cell>
          <cell r="B38">
            <v>37</v>
          </cell>
          <cell r="C38" t="str">
            <v>Plantae</v>
          </cell>
          <cell r="D38" t="str">
            <v>Magnoliophyta</v>
          </cell>
          <cell r="E38" t="str">
            <v>Equisetopsida</v>
          </cell>
          <cell r="F38" t="str">
            <v>Myrtales</v>
          </cell>
          <cell r="G38" t="str">
            <v>Melastomataceae</v>
          </cell>
          <cell r="H38" t="str">
            <v>Blakea</v>
          </cell>
          <cell r="I38" t="str">
            <v>princeps</v>
          </cell>
          <cell r="J38" t="str">
            <v>Blakea princeps (Linden &amp; Mast.) Cogn.</v>
          </cell>
          <cell r="K38" t="str">
            <v>(Linden &amp; Mast.) Cogn.</v>
          </cell>
          <cell r="M38" t="str">
            <v>chagualo, marrabollo</v>
          </cell>
        </row>
        <row r="39">
          <cell r="A39" t="str">
            <v>Blakea pyxidanthus</v>
          </cell>
          <cell r="B39">
            <v>38</v>
          </cell>
          <cell r="C39" t="str">
            <v>Plantae</v>
          </cell>
          <cell r="D39" t="str">
            <v>Magnoliophyta</v>
          </cell>
          <cell r="E39" t="str">
            <v>Equisetopsida</v>
          </cell>
          <cell r="F39" t="str">
            <v>Myrtales</v>
          </cell>
          <cell r="G39" t="str">
            <v>Melastomataceae</v>
          </cell>
          <cell r="H39" t="str">
            <v>Blakea</v>
          </cell>
          <cell r="I39" t="str">
            <v>pyxidanthus</v>
          </cell>
          <cell r="J39" t="str">
            <v>Blakea pyxidanthus Triana</v>
          </cell>
          <cell r="K39" t="str">
            <v>Triana</v>
          </cell>
        </row>
        <row r="40">
          <cell r="A40" t="str">
            <v>Blakea quadrangularis</v>
          </cell>
          <cell r="B40">
            <v>39</v>
          </cell>
          <cell r="C40" t="str">
            <v>Plantae</v>
          </cell>
          <cell r="D40" t="str">
            <v>Magnoliophyta</v>
          </cell>
          <cell r="E40" t="str">
            <v>Equisetopsida</v>
          </cell>
          <cell r="F40" t="str">
            <v>Myrtales</v>
          </cell>
          <cell r="G40" t="str">
            <v>Melastomataceae</v>
          </cell>
          <cell r="H40" t="str">
            <v>Blakea</v>
          </cell>
          <cell r="I40" t="str">
            <v>quadrangularis</v>
          </cell>
          <cell r="J40" t="str">
            <v>Blakea quadrangularis Triana</v>
          </cell>
          <cell r="K40" t="str">
            <v>Triana</v>
          </cell>
          <cell r="M40" t="str">
            <v>mión, miona, nigüito, tiraagua, tuno, mioncita, tiramiaos</v>
          </cell>
        </row>
        <row r="41">
          <cell r="A41" t="str">
            <v>Blakea squamigera</v>
          </cell>
          <cell r="B41">
            <v>40</v>
          </cell>
          <cell r="C41" t="str">
            <v xml:space="preserve">Plantae </v>
          </cell>
          <cell r="D41" t="str">
            <v>Magnoliophyta</v>
          </cell>
          <cell r="E41" t="str">
            <v>Equisetopsida</v>
          </cell>
          <cell r="F41" t="str">
            <v>Myrtales</v>
          </cell>
          <cell r="G41" t="str">
            <v>Melastomataceae</v>
          </cell>
          <cell r="H41" t="str">
            <v>Blakea</v>
          </cell>
          <cell r="I41" t="str">
            <v>squamigera</v>
          </cell>
          <cell r="J41" t="str">
            <v>Blakea squamigera L.Uribe</v>
          </cell>
          <cell r="K41" t="str">
            <v>L.Uribe</v>
          </cell>
        </row>
        <row r="42">
          <cell r="A42" t="str">
            <v>Blakea stipulacea</v>
          </cell>
          <cell r="B42">
            <v>41</v>
          </cell>
          <cell r="C42" t="str">
            <v>Plantae</v>
          </cell>
          <cell r="D42" t="str">
            <v>Magnoliophyta</v>
          </cell>
          <cell r="E42" t="str">
            <v>Equisetopsida</v>
          </cell>
          <cell r="F42" t="str">
            <v>Myrtales</v>
          </cell>
          <cell r="G42" t="str">
            <v>Melastomataceae</v>
          </cell>
          <cell r="H42" t="str">
            <v>Blakea</v>
          </cell>
          <cell r="I42" t="str">
            <v>stipulacea</v>
          </cell>
          <cell r="J42" t="str">
            <v>Blakea stipulacea Wurdack</v>
          </cell>
          <cell r="K42" t="str">
            <v>Wurdack</v>
          </cell>
          <cell r="M42" t="str">
            <v>morochillo, palohueso</v>
          </cell>
        </row>
        <row r="43">
          <cell r="A43" t="str">
            <v>Blakea subbarbata</v>
          </cell>
          <cell r="B43">
            <v>42</v>
          </cell>
          <cell r="C43" t="str">
            <v xml:space="preserve">Plantae </v>
          </cell>
          <cell r="D43" t="str">
            <v>Magnoliophyta</v>
          </cell>
          <cell r="E43" t="str">
            <v>Equisetopsida</v>
          </cell>
          <cell r="F43" t="str">
            <v>Myrtales</v>
          </cell>
          <cell r="G43" t="str">
            <v>Melastomataceae</v>
          </cell>
          <cell r="H43" t="str">
            <v>Blakea</v>
          </cell>
          <cell r="I43" t="str">
            <v>subbarbata</v>
          </cell>
          <cell r="J43" t="str">
            <v>Blakea subbarbata (Wurdack) Penneys &amp; Judd</v>
          </cell>
          <cell r="K43" t="str">
            <v>(Wurdack) Penneys &amp; Judd</v>
          </cell>
        </row>
        <row r="44">
          <cell r="A44" t="str">
            <v>Blakea superba</v>
          </cell>
          <cell r="B44">
            <v>43</v>
          </cell>
          <cell r="C44" t="str">
            <v xml:space="preserve">Plantae </v>
          </cell>
          <cell r="D44" t="str">
            <v>Magnoliophyta</v>
          </cell>
          <cell r="E44" t="str">
            <v>Equisetopsida</v>
          </cell>
          <cell r="F44" t="str">
            <v>Myrtales</v>
          </cell>
          <cell r="G44" t="str">
            <v>Melastomataceae</v>
          </cell>
          <cell r="H44" t="str">
            <v>Blakea</v>
          </cell>
          <cell r="I44" t="str">
            <v>superba</v>
          </cell>
          <cell r="J44" t="str">
            <v>Blakea superba (Naudin) Penneys &amp; Judd</v>
          </cell>
          <cell r="K44" t="str">
            <v>(Naudin) Penneys &amp; Judd</v>
          </cell>
        </row>
        <row r="45">
          <cell r="A45" t="str">
            <v>Blakea trianae</v>
          </cell>
          <cell r="B45">
            <v>44</v>
          </cell>
          <cell r="C45" t="str">
            <v xml:space="preserve">Plantae </v>
          </cell>
          <cell r="D45" t="str">
            <v>Magnoliophyta</v>
          </cell>
          <cell r="E45" t="str">
            <v>Equisetopsida</v>
          </cell>
          <cell r="F45" t="str">
            <v>Myrtales</v>
          </cell>
          <cell r="G45" t="str">
            <v>Melastomataceae</v>
          </cell>
          <cell r="H45" t="str">
            <v>Blakea</v>
          </cell>
          <cell r="I45" t="str">
            <v>trianae</v>
          </cell>
          <cell r="J45" t="str">
            <v>Blakea trianae (Cogn.) Penneys &amp; Judd</v>
          </cell>
          <cell r="K45" t="str">
            <v>(Cogn.) Penneys &amp; Judd</v>
          </cell>
          <cell r="L45" t="str">
            <v>mora</v>
          </cell>
        </row>
        <row r="46">
          <cell r="A46" t="str">
            <v>Blakea vallensis</v>
          </cell>
          <cell r="B46">
            <v>45</v>
          </cell>
          <cell r="C46" t="str">
            <v>Plantae</v>
          </cell>
          <cell r="D46" t="str">
            <v>Magnoliophyta</v>
          </cell>
          <cell r="E46" t="str">
            <v>Equisetopsida</v>
          </cell>
          <cell r="F46" t="str">
            <v>Myrtales</v>
          </cell>
          <cell r="G46" t="str">
            <v>Melastomataceae</v>
          </cell>
          <cell r="H46" t="str">
            <v>Blakea</v>
          </cell>
          <cell r="I46" t="str">
            <v>vallensis</v>
          </cell>
          <cell r="J46" t="str">
            <v>Blakea vallensis Wurdack</v>
          </cell>
          <cell r="K46" t="str">
            <v>Wurdack</v>
          </cell>
        </row>
        <row r="47">
          <cell r="A47" t="str">
            <v>Brachycylix vageleri</v>
          </cell>
          <cell r="B47">
            <v>46</v>
          </cell>
          <cell r="C47" t="str">
            <v>Plantae</v>
          </cell>
          <cell r="D47" t="str">
            <v>Magnoliophyta</v>
          </cell>
          <cell r="E47" t="str">
            <v>Equisetopsida</v>
          </cell>
          <cell r="F47" t="str">
            <v>Fabales</v>
          </cell>
          <cell r="G47" t="str">
            <v>Fabaceae</v>
          </cell>
          <cell r="H47" t="str">
            <v>Brachycylix</v>
          </cell>
          <cell r="I47" t="str">
            <v>vageleri</v>
          </cell>
          <cell r="J47" t="str">
            <v>Brachycylix vageleri (Harms) Cowan</v>
          </cell>
          <cell r="K47" t="str">
            <v>(Harms) Cowan</v>
          </cell>
          <cell r="M47" t="str">
            <v>guamo rosado, guamo rosao</v>
          </cell>
        </row>
        <row r="48">
          <cell r="A48" t="str">
            <v>Brownea santanderensis</v>
          </cell>
          <cell r="B48">
            <v>47</v>
          </cell>
          <cell r="C48" t="str">
            <v>Plantae</v>
          </cell>
          <cell r="D48" t="str">
            <v>Magnoliophyta</v>
          </cell>
          <cell r="E48" t="str">
            <v>Equisetopsida</v>
          </cell>
          <cell r="F48" t="str">
            <v>Fabales</v>
          </cell>
          <cell r="G48" t="str">
            <v>Fabaceae</v>
          </cell>
          <cell r="H48" t="str">
            <v>Brownea</v>
          </cell>
          <cell r="I48" t="str">
            <v>santanderensis</v>
          </cell>
          <cell r="J48" t="str">
            <v>Brownea santanderensis Quiñones</v>
          </cell>
          <cell r="K48" t="str">
            <v>Quiñones</v>
          </cell>
          <cell r="L48" t="str">
            <v>ariza</v>
          </cell>
        </row>
        <row r="49">
          <cell r="A49" t="str">
            <v>Brownea stenantha</v>
          </cell>
          <cell r="B49">
            <v>48</v>
          </cell>
          <cell r="C49" t="str">
            <v>Plantae</v>
          </cell>
          <cell r="D49" t="str">
            <v>Magnoliophyta</v>
          </cell>
          <cell r="E49" t="str">
            <v>Equisetopsida</v>
          </cell>
          <cell r="F49" t="str">
            <v>Fabales</v>
          </cell>
          <cell r="G49" t="str">
            <v>Fabaceae</v>
          </cell>
          <cell r="H49" t="str">
            <v>Brownea</v>
          </cell>
          <cell r="I49" t="str">
            <v>stenantha</v>
          </cell>
          <cell r="J49" t="str">
            <v>Brownea stenantha Britton &amp; Killip</v>
          </cell>
          <cell r="K49" t="str">
            <v>Britton &amp; Killip</v>
          </cell>
          <cell r="M49" t="str">
            <v>árbol de la cruz, arizá, arizal, ariza de hoja pequeña, florisanto, clavellino</v>
          </cell>
        </row>
        <row r="50">
          <cell r="A50" t="str">
            <v>Bucquetia glutinosa</v>
          </cell>
          <cell r="B50">
            <v>49</v>
          </cell>
          <cell r="C50" t="str">
            <v>Plantae</v>
          </cell>
          <cell r="D50" t="str">
            <v>Magnoliophyta</v>
          </cell>
          <cell r="E50" t="str">
            <v>Equisetopsida</v>
          </cell>
          <cell r="F50" t="str">
            <v>Myrtales</v>
          </cell>
          <cell r="G50" t="str">
            <v>Melastomataceae</v>
          </cell>
          <cell r="H50" t="str">
            <v>Bucquetia</v>
          </cell>
          <cell r="I50" t="str">
            <v>glutinosa</v>
          </cell>
          <cell r="J50" t="str">
            <v>Bucquetia glutinosa (L.f.) DC.</v>
          </cell>
          <cell r="K50" t="str">
            <v>(L.f.) DC.</v>
          </cell>
          <cell r="M50" t="str">
            <v>angelito, charne, corazón, saltón, chirriador, escobito, quebroyo, pajarito, el palo, quebraolla, sietecueros, tuno, charne saltón, quebroollo, quiebraollo, ayuela, chispeador, guayabo</v>
          </cell>
        </row>
        <row r="51">
          <cell r="A51" t="str">
            <v>Calliandra antioquiae</v>
          </cell>
          <cell r="B51">
            <v>50</v>
          </cell>
          <cell r="C51" t="str">
            <v>Plantae</v>
          </cell>
          <cell r="D51" t="str">
            <v>Magnoliophyta</v>
          </cell>
          <cell r="E51" t="str">
            <v>Equisetopsida</v>
          </cell>
          <cell r="F51" t="str">
            <v>Fabales</v>
          </cell>
          <cell r="G51" t="str">
            <v>Fabaceae</v>
          </cell>
          <cell r="H51" t="str">
            <v>Calliandra</v>
          </cell>
          <cell r="I51" t="str">
            <v>antioquiae</v>
          </cell>
          <cell r="J51" t="str">
            <v>Calliandra antioquiae Barneby</v>
          </cell>
          <cell r="K51" t="str">
            <v>Barneby</v>
          </cell>
          <cell r="M51" t="str">
            <v>carbonerito liso, carbonero, carbonero de pluma</v>
          </cell>
        </row>
        <row r="52">
          <cell r="A52" t="str">
            <v>Calliandra tolimensis</v>
          </cell>
          <cell r="B52">
            <v>51</v>
          </cell>
          <cell r="C52" t="str">
            <v>Plantae</v>
          </cell>
          <cell r="D52" t="str">
            <v>Magnoliophyta</v>
          </cell>
          <cell r="E52" t="str">
            <v>Equisetopsida</v>
          </cell>
          <cell r="F52" t="str">
            <v>Fabales</v>
          </cell>
          <cell r="G52" t="str">
            <v>Fabaceae</v>
          </cell>
          <cell r="H52" t="str">
            <v>Calliandra</v>
          </cell>
          <cell r="I52" t="str">
            <v>tolimensis</v>
          </cell>
          <cell r="J52" t="str">
            <v>Calliandra tolimensis Taub.</v>
          </cell>
          <cell r="K52" t="str">
            <v>Taub.</v>
          </cell>
          <cell r="M52" t="str">
            <v>carbonero, rajado, rayado, guayacán rayado, algarrobo</v>
          </cell>
        </row>
        <row r="53">
          <cell r="A53" t="str">
            <v>Calyptranthes killipii</v>
          </cell>
          <cell r="B53">
            <v>52</v>
          </cell>
          <cell r="C53" t="str">
            <v>Plantae</v>
          </cell>
          <cell r="D53" t="str">
            <v>Magnoliophyta</v>
          </cell>
          <cell r="E53" t="str">
            <v>Equisetopsida</v>
          </cell>
          <cell r="F53" t="str">
            <v>Myrtales</v>
          </cell>
          <cell r="G53" t="str">
            <v>Myrtaceae</v>
          </cell>
          <cell r="H53" t="str">
            <v>Calyptranthes</v>
          </cell>
          <cell r="I53" t="str">
            <v>killipii</v>
          </cell>
          <cell r="J53" t="str">
            <v>Calyptranthes killipii Standl.</v>
          </cell>
          <cell r="K53" t="str">
            <v>Standl.</v>
          </cell>
          <cell r="L53" t="str">
            <v>bejuco matapalo</v>
          </cell>
        </row>
        <row r="54">
          <cell r="A54" t="str">
            <v>Calyptranthes lozanoi</v>
          </cell>
          <cell r="B54">
            <v>53</v>
          </cell>
          <cell r="C54" t="str">
            <v>Plantae</v>
          </cell>
          <cell r="D54" t="str">
            <v>Magnoliophyta</v>
          </cell>
          <cell r="E54" t="str">
            <v>Equisetopsida</v>
          </cell>
          <cell r="F54" t="str">
            <v>Myrtales</v>
          </cell>
          <cell r="G54" t="str">
            <v>Myrtaceae</v>
          </cell>
          <cell r="H54" t="str">
            <v>Calyptranthes</v>
          </cell>
          <cell r="I54" t="str">
            <v>lozanoi</v>
          </cell>
          <cell r="J54" t="str">
            <v>Calyptranthes lozanoi Parra-Os.</v>
          </cell>
          <cell r="K54" t="str">
            <v>Parra-Os.</v>
          </cell>
          <cell r="L54" t="str">
            <v>guayabo liso</v>
          </cell>
        </row>
        <row r="55">
          <cell r="A55" t="str">
            <v>Calyptranthes pseudobrunneica</v>
          </cell>
          <cell r="B55">
            <v>54</v>
          </cell>
          <cell r="C55" t="str">
            <v xml:space="preserve">Plantae </v>
          </cell>
          <cell r="D55" t="str">
            <v>Magnoliophyta</v>
          </cell>
          <cell r="E55" t="str">
            <v>Equisetopsida</v>
          </cell>
          <cell r="F55" t="str">
            <v>Myrtales</v>
          </cell>
          <cell r="G55" t="str">
            <v>Myrtaceae</v>
          </cell>
          <cell r="H55" t="str">
            <v>Calyptranthes</v>
          </cell>
          <cell r="I55" t="str">
            <v>pseudobrunneica</v>
          </cell>
          <cell r="J55" t="str">
            <v>Calyptranthes pseudobrunneica Parra-Os.</v>
          </cell>
          <cell r="K55" t="str">
            <v>Parra-Os.</v>
          </cell>
        </row>
        <row r="56">
          <cell r="A56" t="str">
            <v>Caryodaphnopsis cogolloi</v>
          </cell>
          <cell r="B56">
            <v>55</v>
          </cell>
          <cell r="C56" t="str">
            <v>Plantae</v>
          </cell>
          <cell r="D56" t="str">
            <v>Magnoliophyta</v>
          </cell>
          <cell r="E56" t="str">
            <v>Equisetopsida</v>
          </cell>
          <cell r="F56" t="str">
            <v>Laurales</v>
          </cell>
          <cell r="G56" t="str">
            <v>Lauraceae</v>
          </cell>
          <cell r="H56" t="str">
            <v>Caryodaphnopsis</v>
          </cell>
          <cell r="I56" t="str">
            <v>cogolloi</v>
          </cell>
          <cell r="J56" t="str">
            <v>Caryodaphnopsis cogolloi van der Werff</v>
          </cell>
          <cell r="K56" t="str">
            <v>van der Werff</v>
          </cell>
          <cell r="M56" t="str">
            <v>escobo, yumbé</v>
          </cell>
        </row>
        <row r="57">
          <cell r="A57" t="str">
            <v>Cavanillesia chicamochae</v>
          </cell>
          <cell r="B57">
            <v>56</v>
          </cell>
          <cell r="C57" t="str">
            <v>Plantae</v>
          </cell>
          <cell r="D57" t="str">
            <v>Magnoliophyta</v>
          </cell>
          <cell r="E57" t="str">
            <v>Equisetopsida</v>
          </cell>
          <cell r="F57" t="str">
            <v>Malvales</v>
          </cell>
          <cell r="G57" t="str">
            <v>Malvaceae</v>
          </cell>
          <cell r="H57" t="str">
            <v>Cavanillesia</v>
          </cell>
          <cell r="I57" t="str">
            <v>chicamochae</v>
          </cell>
          <cell r="J57" t="str">
            <v>Cavanillesia chicamochae Fern.Alonso</v>
          </cell>
          <cell r="K57" t="str">
            <v>Fern.Alonso</v>
          </cell>
          <cell r="L57" t="str">
            <v xml:space="preserve">Ceiba barrigona </v>
          </cell>
          <cell r="M57" t="str">
            <v>barrigón</v>
          </cell>
        </row>
        <row r="58">
          <cell r="A58" t="str">
            <v>Chalybea corymbifera</v>
          </cell>
          <cell r="B58">
            <v>57</v>
          </cell>
          <cell r="C58" t="str">
            <v xml:space="preserve">Plantae </v>
          </cell>
          <cell r="D58" t="str">
            <v>Magnoliophyta</v>
          </cell>
          <cell r="E58" t="str">
            <v>Equisetopsida</v>
          </cell>
          <cell r="F58" t="str">
            <v>Myrtales</v>
          </cell>
          <cell r="G58" t="str">
            <v>Melastomataceae</v>
          </cell>
          <cell r="H58" t="str">
            <v>Chalybea</v>
          </cell>
          <cell r="I58" t="str">
            <v>corymbifera</v>
          </cell>
          <cell r="J58" t="str">
            <v>Chalybea corymbifera Naudin</v>
          </cell>
          <cell r="K58" t="str">
            <v>Naudin</v>
          </cell>
        </row>
        <row r="59">
          <cell r="A59" t="str">
            <v>Chalybea kirkbridei</v>
          </cell>
          <cell r="B59">
            <v>58</v>
          </cell>
          <cell r="C59" t="str">
            <v xml:space="preserve">Plantae </v>
          </cell>
          <cell r="D59" t="str">
            <v>Magnoliophyta</v>
          </cell>
          <cell r="E59" t="str">
            <v>Equisetopsida</v>
          </cell>
          <cell r="F59" t="str">
            <v>Myrtales</v>
          </cell>
          <cell r="G59" t="str">
            <v>Melastomataceae</v>
          </cell>
          <cell r="H59" t="str">
            <v>Chalybea</v>
          </cell>
          <cell r="I59" t="str">
            <v>kirkbridei</v>
          </cell>
          <cell r="J59" t="str">
            <v>Chalybea kirkbridei (Wurdack) Morales-P. &amp; Penneys</v>
          </cell>
          <cell r="K59" t="str">
            <v>(Wurdack) Morales-P. &amp; Penneys</v>
          </cell>
        </row>
        <row r="60">
          <cell r="A60" t="str">
            <v>Chalybea macrocarpa</v>
          </cell>
          <cell r="B60">
            <v>59</v>
          </cell>
          <cell r="C60" t="str">
            <v xml:space="preserve">Plantae </v>
          </cell>
          <cell r="D60" t="str">
            <v>Magnoliophyta</v>
          </cell>
          <cell r="E60" t="str">
            <v>Equisetopsida</v>
          </cell>
          <cell r="F60" t="str">
            <v>Myrtales</v>
          </cell>
          <cell r="G60" t="str">
            <v>Melastomataceae</v>
          </cell>
          <cell r="H60" t="str">
            <v>Chalybea</v>
          </cell>
          <cell r="I60" t="str">
            <v>macrocarpa</v>
          </cell>
          <cell r="J60" t="str">
            <v>Chalybea macrocarpa (Uribe) Morales-P. &amp; Penneys</v>
          </cell>
          <cell r="K60" t="str">
            <v>(Uribe) Morales-P. &amp; Penneys</v>
          </cell>
          <cell r="M60" t="str">
            <v>churumbelita, macanillo, tuno</v>
          </cell>
        </row>
        <row r="61">
          <cell r="A61" t="str">
            <v>Chalybea mutisiana</v>
          </cell>
          <cell r="B61">
            <v>60</v>
          </cell>
          <cell r="C61" t="str">
            <v xml:space="preserve">Plantae </v>
          </cell>
          <cell r="D61" t="str">
            <v>Magnoliophyta</v>
          </cell>
          <cell r="E61" t="str">
            <v>Equisetopsida</v>
          </cell>
          <cell r="F61" t="str">
            <v>Myrtales</v>
          </cell>
          <cell r="G61" t="str">
            <v>Melastomataceae</v>
          </cell>
          <cell r="H61" t="str">
            <v>Chalybea</v>
          </cell>
          <cell r="I61" t="str">
            <v>mutisiana</v>
          </cell>
          <cell r="J61" t="str">
            <v>Chalybea mutisiana (Uribe) Morales-P. &amp; Penneys</v>
          </cell>
          <cell r="K61" t="str">
            <v>(Uribe) Morales-P. &amp; Penneys</v>
          </cell>
        </row>
        <row r="62">
          <cell r="A62" t="str">
            <v>Chalybea occidentalis</v>
          </cell>
          <cell r="B62">
            <v>61</v>
          </cell>
          <cell r="C62" t="str">
            <v xml:space="preserve">Plantae </v>
          </cell>
          <cell r="D62" t="str">
            <v>Magnoliophyta</v>
          </cell>
          <cell r="E62" t="str">
            <v>Equisetopsida</v>
          </cell>
          <cell r="F62" t="str">
            <v>Myrtales</v>
          </cell>
          <cell r="G62" t="str">
            <v>Melastomataceae</v>
          </cell>
          <cell r="H62" t="str">
            <v>Chalybea</v>
          </cell>
          <cell r="I62" t="str">
            <v>occidentalis</v>
          </cell>
          <cell r="J62" t="str">
            <v>Chalybea occidentalis (Lozano-C. &amp; Ruiz) Morales-P. &amp; Penneys</v>
          </cell>
          <cell r="K62" t="str">
            <v>(Lozano-C. &amp; Ruiz) Morales-P. &amp; Penneys</v>
          </cell>
        </row>
        <row r="63">
          <cell r="A63" t="str">
            <v>Chalybea penduliflora</v>
          </cell>
          <cell r="B63">
            <v>62</v>
          </cell>
          <cell r="C63" t="str">
            <v xml:space="preserve">Plantae </v>
          </cell>
          <cell r="D63" t="str">
            <v>Magnoliophyta</v>
          </cell>
          <cell r="E63" t="str">
            <v>Equisetopsida</v>
          </cell>
          <cell r="F63" t="str">
            <v>Myrtales</v>
          </cell>
          <cell r="G63" t="str">
            <v>Melastomataceae</v>
          </cell>
          <cell r="H63" t="str">
            <v>Chalybea</v>
          </cell>
          <cell r="I63" t="str">
            <v>penduliflora</v>
          </cell>
          <cell r="J63" t="str">
            <v>Chalybea penduliflora (Wurdack) Morales-P. &amp; Penneys</v>
          </cell>
          <cell r="K63" t="str">
            <v>(Wurdack) Morales-P. &amp; Penneys</v>
          </cell>
        </row>
        <row r="64">
          <cell r="A64" t="str">
            <v>Ciliosemina purdieana</v>
          </cell>
          <cell r="B64">
            <v>63</v>
          </cell>
          <cell r="C64" t="str">
            <v>Plantae</v>
          </cell>
          <cell r="D64" t="str">
            <v>Magnoliophyta</v>
          </cell>
          <cell r="E64" t="str">
            <v>Equisetopsida</v>
          </cell>
          <cell r="F64" t="str">
            <v>Gentianales</v>
          </cell>
          <cell r="G64" t="str">
            <v>Rubiaceae</v>
          </cell>
          <cell r="H64" t="str">
            <v>Ciliosemina</v>
          </cell>
          <cell r="I64" t="str">
            <v>purdieana</v>
          </cell>
          <cell r="J64" t="str">
            <v>Ciliosemina purdieana (Wedd.) Antonelli</v>
          </cell>
          <cell r="K64" t="str">
            <v>(Wedd.) Antonelli</v>
          </cell>
          <cell r="L64" t="str">
            <v>cascarillo</v>
          </cell>
        </row>
        <row r="65">
          <cell r="A65" t="str">
            <v>Cinchona antioquiae</v>
          </cell>
          <cell r="B65">
            <v>64</v>
          </cell>
          <cell r="C65" t="str">
            <v>Plantae</v>
          </cell>
          <cell r="D65" t="str">
            <v>Magnoliophyta</v>
          </cell>
          <cell r="E65" t="str">
            <v>Equisetopsida</v>
          </cell>
          <cell r="F65" t="str">
            <v>Gentianales</v>
          </cell>
          <cell r="G65" t="str">
            <v>Rubiaceae</v>
          </cell>
          <cell r="H65" t="str">
            <v>Cinchona</v>
          </cell>
          <cell r="I65" t="str">
            <v>antioquiae</v>
          </cell>
          <cell r="J65" t="str">
            <v>Cinchona antioquiae L.Andersson</v>
          </cell>
          <cell r="K65" t="str">
            <v>L.Andersson</v>
          </cell>
          <cell r="L65" t="str">
            <v>tabaquillo</v>
          </cell>
        </row>
        <row r="66">
          <cell r="A66" t="str">
            <v>Conostegia rubiginosa</v>
          </cell>
          <cell r="B66">
            <v>65</v>
          </cell>
          <cell r="C66" t="str">
            <v xml:space="preserve">Plantae </v>
          </cell>
          <cell r="D66" t="str">
            <v>Magnoliophyta</v>
          </cell>
          <cell r="E66" t="str">
            <v>Equisetopsida</v>
          </cell>
          <cell r="F66" t="str">
            <v>Myrtales</v>
          </cell>
          <cell r="G66" t="str">
            <v>Melastomataceae</v>
          </cell>
          <cell r="H66" t="str">
            <v>Conostegia</v>
          </cell>
          <cell r="I66" t="str">
            <v>rubiginosa</v>
          </cell>
          <cell r="J66" t="str">
            <v>Conostegia rubiginosa Gleason</v>
          </cell>
          <cell r="K66" t="str">
            <v>Gleason</v>
          </cell>
        </row>
        <row r="67">
          <cell r="A67" t="str">
            <v>Coussarea antioquiana</v>
          </cell>
          <cell r="B67">
            <v>66</v>
          </cell>
          <cell r="C67" t="str">
            <v>Plantae</v>
          </cell>
          <cell r="D67" t="str">
            <v>Magnoliophyta</v>
          </cell>
          <cell r="E67" t="str">
            <v>Equisetopsida</v>
          </cell>
          <cell r="F67" t="str">
            <v>Gentianales</v>
          </cell>
          <cell r="G67" t="str">
            <v>Rubiaceae</v>
          </cell>
          <cell r="H67" t="str">
            <v>Coussarea</v>
          </cell>
          <cell r="I67" t="str">
            <v>antioquiana</v>
          </cell>
          <cell r="J67" t="str">
            <v>Coussarea antioquiana C.M.Taylor</v>
          </cell>
          <cell r="K67" t="str">
            <v>C.M.Taylor</v>
          </cell>
        </row>
        <row r="68">
          <cell r="A68" t="str">
            <v>Coussarea cuatrecasasii</v>
          </cell>
          <cell r="B68">
            <v>67</v>
          </cell>
          <cell r="C68" t="str">
            <v>Plantae</v>
          </cell>
          <cell r="D68" t="str">
            <v>Magnoliophyta</v>
          </cell>
          <cell r="E68" t="str">
            <v>Equisetopsida</v>
          </cell>
          <cell r="F68" t="str">
            <v>Gentianales</v>
          </cell>
          <cell r="G68" t="str">
            <v>Rubiaceae</v>
          </cell>
          <cell r="H68" t="str">
            <v>Coussarea</v>
          </cell>
          <cell r="I68" t="str">
            <v>cuatrecasasii</v>
          </cell>
          <cell r="J68" t="str">
            <v>Coussarea cuatrecasasii Steyerm.</v>
          </cell>
          <cell r="K68" t="str">
            <v>Steyerm.</v>
          </cell>
        </row>
        <row r="69">
          <cell r="A69" t="str">
            <v>Coussarea sancti-ciprianii</v>
          </cell>
          <cell r="B69">
            <v>68</v>
          </cell>
          <cell r="C69" t="str">
            <v>Plantae</v>
          </cell>
          <cell r="D69" t="str">
            <v>Magnoliophyta</v>
          </cell>
          <cell r="E69" t="str">
            <v>Equisetopsida</v>
          </cell>
          <cell r="F69" t="str">
            <v>Gentianales</v>
          </cell>
          <cell r="G69" t="str">
            <v>Rubiaceae</v>
          </cell>
          <cell r="H69" t="str">
            <v>Coussarea</v>
          </cell>
          <cell r="I69" t="str">
            <v>sancti-ciprianii</v>
          </cell>
          <cell r="J69" t="str">
            <v>Coussarea sancti-ciprianii C.M. Taylor</v>
          </cell>
          <cell r="K69" t="str">
            <v>C.M. Taylor</v>
          </cell>
        </row>
        <row r="70">
          <cell r="A70" t="str">
            <v>Coussarea vallis</v>
          </cell>
          <cell r="B70">
            <v>69</v>
          </cell>
          <cell r="C70" t="str">
            <v>Plantae</v>
          </cell>
          <cell r="D70" t="str">
            <v>Magnoliophyta</v>
          </cell>
          <cell r="E70" t="str">
            <v>Equisetopsida</v>
          </cell>
          <cell r="F70" t="str">
            <v>Gentianales</v>
          </cell>
          <cell r="G70" t="str">
            <v>Rubiaceae</v>
          </cell>
          <cell r="H70" t="str">
            <v>Coussarea</v>
          </cell>
          <cell r="I70" t="str">
            <v>vallis</v>
          </cell>
          <cell r="J70" t="str">
            <v>Coussarea vallis Steyerm.</v>
          </cell>
          <cell r="K70" t="str">
            <v>Steyerm.</v>
          </cell>
        </row>
        <row r="71">
          <cell r="A71" t="str">
            <v>Coussarea venosa</v>
          </cell>
          <cell r="B71">
            <v>70</v>
          </cell>
          <cell r="C71" t="str">
            <v>Plantae</v>
          </cell>
          <cell r="D71" t="str">
            <v>Magnoliophyta</v>
          </cell>
          <cell r="E71" t="str">
            <v>Equisetopsida</v>
          </cell>
          <cell r="F71" t="str">
            <v>Gentianales</v>
          </cell>
          <cell r="G71" t="str">
            <v>Rubiaceae</v>
          </cell>
          <cell r="H71" t="str">
            <v>Coussarea</v>
          </cell>
          <cell r="I71" t="str">
            <v>venosa</v>
          </cell>
          <cell r="J71" t="str">
            <v>Coussarea venosa Standl.</v>
          </cell>
          <cell r="K71" t="str">
            <v>Standl.</v>
          </cell>
        </row>
        <row r="72">
          <cell r="A72" t="str">
            <v>Crepidospermum cuneifolium</v>
          </cell>
          <cell r="B72">
            <v>71</v>
          </cell>
          <cell r="C72" t="str">
            <v>Plantae</v>
          </cell>
          <cell r="D72" t="str">
            <v>Magnoliophyta</v>
          </cell>
          <cell r="E72" t="str">
            <v>Equisetopsida</v>
          </cell>
          <cell r="F72" t="str">
            <v>Sapindales</v>
          </cell>
          <cell r="G72" t="str">
            <v>Burseraceae</v>
          </cell>
          <cell r="H72" t="str">
            <v>Crepidospermum</v>
          </cell>
          <cell r="I72" t="str">
            <v>cuneifolium</v>
          </cell>
          <cell r="J72" t="str">
            <v>Crepidospermum cuneifolium (Cuatrec.) Daly</v>
          </cell>
          <cell r="K72" t="str">
            <v>(Cuatrec.) Daly</v>
          </cell>
          <cell r="L72" t="str">
            <v>palo de incienso</v>
          </cell>
        </row>
        <row r="73">
          <cell r="A73" t="str">
            <v>Cymbopetalum oppositiflorum</v>
          </cell>
          <cell r="B73">
            <v>72</v>
          </cell>
          <cell r="C73" t="str">
            <v>Plantae</v>
          </cell>
          <cell r="D73" t="str">
            <v>Magnoliophyta</v>
          </cell>
          <cell r="E73" t="str">
            <v>Equisetopsida</v>
          </cell>
          <cell r="F73" t="str">
            <v>Magnoliales</v>
          </cell>
          <cell r="G73" t="str">
            <v>Annonaceae</v>
          </cell>
          <cell r="H73" t="str">
            <v>Cymbopetalum</v>
          </cell>
          <cell r="I73" t="str">
            <v>oppositiflorum</v>
          </cell>
          <cell r="J73" t="str">
            <v>Cymbopetalum oppositiflorum N.A.Murray</v>
          </cell>
          <cell r="K73" t="str">
            <v>N.A.Murray</v>
          </cell>
        </row>
        <row r="74">
          <cell r="A74" t="str">
            <v>Dacryodes acutipyrena</v>
          </cell>
          <cell r="B74">
            <v>73</v>
          </cell>
          <cell r="C74" t="str">
            <v>Plantae</v>
          </cell>
          <cell r="D74" t="str">
            <v>Magnoliophyta</v>
          </cell>
          <cell r="E74" t="str">
            <v>Equisetopsida</v>
          </cell>
          <cell r="F74" t="str">
            <v>Sapindales</v>
          </cell>
          <cell r="G74" t="str">
            <v>Burseraceae</v>
          </cell>
          <cell r="H74" t="str">
            <v>Dacryodes</v>
          </cell>
          <cell r="I74" t="str">
            <v>acutipyrena</v>
          </cell>
          <cell r="J74" t="str">
            <v>Dacryodes acutipyrena Cuatrec.</v>
          </cell>
          <cell r="K74" t="str">
            <v>Cuatrec.</v>
          </cell>
          <cell r="M74" t="str">
            <v>caraño, anime</v>
          </cell>
        </row>
        <row r="75">
          <cell r="A75" t="str">
            <v>Dacryodes colombiana</v>
          </cell>
          <cell r="B75">
            <v>74</v>
          </cell>
          <cell r="C75" t="str">
            <v>Plantae</v>
          </cell>
          <cell r="D75" t="str">
            <v>Magnoliophyta</v>
          </cell>
          <cell r="E75" t="str">
            <v>Equisetopsida</v>
          </cell>
          <cell r="F75" t="str">
            <v>Sapindales</v>
          </cell>
          <cell r="G75" t="str">
            <v>Burseraceae</v>
          </cell>
          <cell r="H75" t="str">
            <v>Dacryodes</v>
          </cell>
          <cell r="I75" t="str">
            <v>colombiana</v>
          </cell>
          <cell r="J75" t="str">
            <v>Dacryodes colombiana Cuatrec.</v>
          </cell>
          <cell r="K75" t="str">
            <v>Cuatrec.</v>
          </cell>
          <cell r="L75" t="str">
            <v>anime blanco</v>
          </cell>
          <cell r="M75" t="str">
            <v>anime, anime blanco, caraño, cariaño</v>
          </cell>
        </row>
        <row r="76">
          <cell r="A76" t="str">
            <v>Dacryodes granatensis</v>
          </cell>
          <cell r="B76">
            <v>75</v>
          </cell>
          <cell r="C76" t="str">
            <v>Plantae</v>
          </cell>
          <cell r="D76" t="str">
            <v>Magnoliophyta</v>
          </cell>
          <cell r="E76" t="str">
            <v>Equisetopsida</v>
          </cell>
          <cell r="F76" t="str">
            <v>Sapindales</v>
          </cell>
          <cell r="G76" t="str">
            <v>Burseraceae</v>
          </cell>
          <cell r="H76" t="str">
            <v>Dacryodes</v>
          </cell>
          <cell r="I76" t="str">
            <v>granatensis</v>
          </cell>
          <cell r="J76" t="str">
            <v>Dacryodes granatensis Cuatrec.</v>
          </cell>
          <cell r="K76" t="str">
            <v>Cuatrec.</v>
          </cell>
          <cell r="L76" t="str">
            <v>laurel de monte</v>
          </cell>
        </row>
        <row r="77">
          <cell r="A77" t="str">
            <v>Dendropanax amplifolius</v>
          </cell>
          <cell r="B77">
            <v>76</v>
          </cell>
          <cell r="C77" t="str">
            <v>Plantae</v>
          </cell>
          <cell r="D77" t="str">
            <v>Magnoliophyta</v>
          </cell>
          <cell r="E77" t="str">
            <v>Equisetopsida</v>
          </cell>
          <cell r="F77" t="str">
            <v>Apiales</v>
          </cell>
          <cell r="G77" t="str">
            <v>Araliaceae</v>
          </cell>
          <cell r="H77" t="str">
            <v>Dendropanax</v>
          </cell>
          <cell r="I77" t="str">
            <v>amplifolius</v>
          </cell>
          <cell r="J77" t="str">
            <v>Dendropanax amplifolius (I.M.Johnst.) Frodin</v>
          </cell>
          <cell r="K77" t="str">
            <v>(I.M.Johnst.) Frodin</v>
          </cell>
        </row>
        <row r="78">
          <cell r="A78" t="str">
            <v>Dendropanax lehmannii</v>
          </cell>
          <cell r="B78">
            <v>77</v>
          </cell>
          <cell r="C78" t="str">
            <v>Plantae</v>
          </cell>
          <cell r="D78" t="str">
            <v>Magnoliophyta</v>
          </cell>
          <cell r="E78" t="str">
            <v>Equisetopsida</v>
          </cell>
          <cell r="F78" t="str">
            <v>Apiales</v>
          </cell>
          <cell r="G78" t="str">
            <v>Araliaceae</v>
          </cell>
          <cell r="H78" t="str">
            <v>Dendropanax</v>
          </cell>
          <cell r="I78" t="str">
            <v>lehmannii</v>
          </cell>
          <cell r="J78" t="str">
            <v>Dendropanax lehmannii (Harms) Harms</v>
          </cell>
          <cell r="K78" t="str">
            <v>(Harms) Harms</v>
          </cell>
        </row>
        <row r="79">
          <cell r="A79" t="str">
            <v>Dendropanax macrophyllus</v>
          </cell>
          <cell r="B79">
            <v>78</v>
          </cell>
          <cell r="C79" t="str">
            <v>Plantae</v>
          </cell>
          <cell r="D79" t="str">
            <v>Magnoliophyta</v>
          </cell>
          <cell r="E79" t="str">
            <v>Equisetopsida</v>
          </cell>
          <cell r="F79" t="str">
            <v>Apiales</v>
          </cell>
          <cell r="G79" t="str">
            <v>Araliaceae</v>
          </cell>
          <cell r="H79" t="str">
            <v>Dendropanax</v>
          </cell>
          <cell r="I79" t="str">
            <v>macrophyllus</v>
          </cell>
          <cell r="J79" t="str">
            <v>Dendropanax macrophyllus Cuatrec.</v>
          </cell>
          <cell r="K79" t="str">
            <v>Cuatrec.</v>
          </cell>
          <cell r="L79" t="str">
            <v>platero</v>
          </cell>
          <cell r="M79" t="str">
            <v>algodoncillo</v>
          </cell>
        </row>
        <row r="80">
          <cell r="A80" t="str">
            <v>Duguetia antioquensis</v>
          </cell>
          <cell r="B80">
            <v>79</v>
          </cell>
          <cell r="C80" t="str">
            <v>Plantae</v>
          </cell>
          <cell r="D80" t="str">
            <v>Magnoliophyta</v>
          </cell>
          <cell r="E80" t="str">
            <v>Equisetopsida</v>
          </cell>
          <cell r="F80" t="str">
            <v>Magnoliales</v>
          </cell>
          <cell r="G80" t="str">
            <v>Annonaceae</v>
          </cell>
          <cell r="H80" t="str">
            <v>Duguetia</v>
          </cell>
          <cell r="I80" t="str">
            <v>antioquensis</v>
          </cell>
          <cell r="J80" t="str">
            <v>Duguetia antioquensis H.León &amp; Maas</v>
          </cell>
          <cell r="K80" t="str">
            <v>H.León &amp; Maas</v>
          </cell>
          <cell r="L80" t="str">
            <v>piñuelo</v>
          </cell>
          <cell r="M80" t="str">
            <v>amansa yernos, anón, cargadero, pinuelo, piño, yaya, yaya piña</v>
          </cell>
        </row>
        <row r="81">
          <cell r="A81" t="str">
            <v>Duguetia colombiana</v>
          </cell>
          <cell r="B81">
            <v>80</v>
          </cell>
          <cell r="C81" t="str">
            <v>Plantae</v>
          </cell>
          <cell r="D81" t="str">
            <v>Magnoliophyta</v>
          </cell>
          <cell r="E81" t="str">
            <v>Equisetopsida</v>
          </cell>
          <cell r="F81" t="str">
            <v>Magnoliales</v>
          </cell>
          <cell r="G81" t="str">
            <v>Annonaceae</v>
          </cell>
          <cell r="H81" t="str">
            <v>Duguetia</v>
          </cell>
          <cell r="I81" t="str">
            <v>colombiana</v>
          </cell>
          <cell r="J81" t="str">
            <v>Duguetia colombiana Maas</v>
          </cell>
          <cell r="K81" t="str">
            <v>Maas</v>
          </cell>
          <cell r="L81" t="str">
            <v xml:space="preserve">guanabanito </v>
          </cell>
        </row>
        <row r="82">
          <cell r="A82" t="str">
            <v>Duroia sancti-ciprianii</v>
          </cell>
          <cell r="B82">
            <v>81</v>
          </cell>
          <cell r="C82" t="str">
            <v>Plantae</v>
          </cell>
          <cell r="D82" t="str">
            <v>Magnoliophyta</v>
          </cell>
          <cell r="E82" t="str">
            <v>Equisetopsida</v>
          </cell>
          <cell r="F82" t="str">
            <v>Gentianales</v>
          </cell>
          <cell r="G82" t="str">
            <v>Rubiaceae</v>
          </cell>
          <cell r="H82" t="str">
            <v>Duroia</v>
          </cell>
          <cell r="I82" t="str">
            <v>sancti-ciprianii</v>
          </cell>
          <cell r="J82" t="str">
            <v>Duroia sancti-ciprianii Devia Perss. &amp; C.M.Taylor</v>
          </cell>
          <cell r="K82" t="str">
            <v>Devia Perss. &amp; C.M.Taylor</v>
          </cell>
        </row>
        <row r="83">
          <cell r="A83" t="str">
            <v>Duroia soejartoi</v>
          </cell>
          <cell r="B83">
            <v>82</v>
          </cell>
          <cell r="C83" t="str">
            <v>Plantae</v>
          </cell>
          <cell r="D83" t="str">
            <v>Magnoliophyta</v>
          </cell>
          <cell r="E83" t="str">
            <v>Equisetopsida</v>
          </cell>
          <cell r="F83" t="str">
            <v>Gentianales</v>
          </cell>
          <cell r="G83" t="str">
            <v>Rubiaceae</v>
          </cell>
          <cell r="H83" t="str">
            <v>Duroia</v>
          </cell>
          <cell r="I83" t="str">
            <v>soejartoi</v>
          </cell>
          <cell r="J83" t="str">
            <v>Duroia soejartoi D.R.Simpson</v>
          </cell>
          <cell r="K83" t="str">
            <v>D.R.Simpson</v>
          </cell>
        </row>
        <row r="84">
          <cell r="A84" t="str">
            <v>Elaeagia alterniramosa</v>
          </cell>
          <cell r="B84">
            <v>83</v>
          </cell>
          <cell r="C84" t="str">
            <v>Plantae</v>
          </cell>
          <cell r="D84" t="str">
            <v>Magnoliophyta</v>
          </cell>
          <cell r="E84" t="str">
            <v>Equisetopsida</v>
          </cell>
          <cell r="F84" t="str">
            <v>Gentianales</v>
          </cell>
          <cell r="G84" t="str">
            <v>Rubiaceae</v>
          </cell>
          <cell r="H84" t="str">
            <v>Elaeagia</v>
          </cell>
          <cell r="I84" t="str">
            <v>alterniramosa</v>
          </cell>
          <cell r="J84" t="str">
            <v>Elaeagia alterniramosa Steyerm.</v>
          </cell>
          <cell r="K84" t="str">
            <v>Steyerm.</v>
          </cell>
          <cell r="M84" t="str">
            <v>oyoco macho, quina negra</v>
          </cell>
        </row>
        <row r="85">
          <cell r="A85" t="str">
            <v>Endlicheria colombiana</v>
          </cell>
          <cell r="B85">
            <v>84</v>
          </cell>
          <cell r="C85" t="str">
            <v>Plantae</v>
          </cell>
          <cell r="D85" t="str">
            <v>Magnoliophyta</v>
          </cell>
          <cell r="E85" t="str">
            <v>Equisetopsida</v>
          </cell>
          <cell r="F85" t="str">
            <v>Laurales</v>
          </cell>
          <cell r="G85" t="str">
            <v>Lauraceae</v>
          </cell>
          <cell r="H85" t="str">
            <v>Endlicheria</v>
          </cell>
          <cell r="I85" t="str">
            <v>colombiana</v>
          </cell>
          <cell r="J85" t="str">
            <v>Endlicheria colombiana (Meissn.) Mez</v>
          </cell>
          <cell r="K85" t="str">
            <v>(Meissn.) Mez</v>
          </cell>
          <cell r="M85" t="str">
            <v>aguacate, jigua laurel, laurel comino</v>
          </cell>
        </row>
        <row r="86">
          <cell r="A86" t="str">
            <v>Endlicheria xerampela</v>
          </cell>
          <cell r="B86">
            <v>85</v>
          </cell>
          <cell r="C86" t="str">
            <v>Plantae</v>
          </cell>
          <cell r="D86" t="str">
            <v>Magnoliophyta</v>
          </cell>
          <cell r="E86" t="str">
            <v>Equisetopsida</v>
          </cell>
          <cell r="F86" t="str">
            <v>Laurales</v>
          </cell>
          <cell r="G86" t="str">
            <v>Lauraceae</v>
          </cell>
          <cell r="H86" t="str">
            <v>Endlicheria</v>
          </cell>
          <cell r="I86" t="str">
            <v>xerampela</v>
          </cell>
          <cell r="J86" t="str">
            <v>Endlicheria xerampela Chanderb.</v>
          </cell>
          <cell r="K86" t="str">
            <v>Chanderb.</v>
          </cell>
        </row>
        <row r="87">
          <cell r="A87" t="str">
            <v>Eugenia variareolata</v>
          </cell>
          <cell r="B87">
            <v>86</v>
          </cell>
          <cell r="C87" t="str">
            <v xml:space="preserve">Plantae </v>
          </cell>
          <cell r="D87" t="str">
            <v>Magnoliophyta</v>
          </cell>
          <cell r="E87" t="str">
            <v>Equisetopsida</v>
          </cell>
          <cell r="F87" t="str">
            <v>Myrtales</v>
          </cell>
          <cell r="G87" t="str">
            <v>Myrtaceae</v>
          </cell>
          <cell r="H87" t="str">
            <v>Eugenia</v>
          </cell>
          <cell r="I87" t="str">
            <v>variareolata</v>
          </cell>
          <cell r="J87" t="str">
            <v>Eugenia variareolata McVaugh</v>
          </cell>
          <cell r="K87" t="str">
            <v>McVaugh</v>
          </cell>
          <cell r="M87" t="str">
            <v>guayacán curote</v>
          </cell>
        </row>
        <row r="88">
          <cell r="A88" t="str">
            <v>Eugenia victoriana</v>
          </cell>
          <cell r="B88">
            <v>87</v>
          </cell>
          <cell r="C88" t="str">
            <v>Plantae</v>
          </cell>
          <cell r="D88" t="str">
            <v>Magnoliophyta</v>
          </cell>
          <cell r="E88" t="str">
            <v>Equisetopsida</v>
          </cell>
          <cell r="F88" t="str">
            <v>Myrtales</v>
          </cell>
          <cell r="G88" t="str">
            <v>Myrtaceae</v>
          </cell>
          <cell r="H88" t="str">
            <v>Eugenia</v>
          </cell>
          <cell r="I88" t="str">
            <v>victoriana</v>
          </cell>
          <cell r="J88" t="str">
            <v>Eugenia victoriana Cuatrec.</v>
          </cell>
          <cell r="K88" t="str">
            <v>Cuatrec.</v>
          </cell>
          <cell r="M88" t="str">
            <v>arazá injerto, guayabillo, mata arriera</v>
          </cell>
        </row>
        <row r="89">
          <cell r="A89" t="str">
            <v>Faramea cuspidata</v>
          </cell>
          <cell r="B89">
            <v>88</v>
          </cell>
          <cell r="C89" t="str">
            <v>Plantae</v>
          </cell>
          <cell r="D89" t="str">
            <v>Magnoliophyta</v>
          </cell>
          <cell r="E89" t="str">
            <v>Equisetopsida</v>
          </cell>
          <cell r="F89" t="str">
            <v>Gentianales</v>
          </cell>
          <cell r="G89" t="str">
            <v>Rubiaceae</v>
          </cell>
          <cell r="H89" t="str">
            <v>Faramea</v>
          </cell>
          <cell r="I89" t="str">
            <v>cuspidata</v>
          </cell>
          <cell r="J89" t="str">
            <v>Faramea cuspidata Benth.</v>
          </cell>
          <cell r="K89" t="str">
            <v>Benth.</v>
          </cell>
          <cell r="M89" t="str">
            <v>pantanito cafetillo, pelotunda, pelotunda teu</v>
          </cell>
        </row>
        <row r="90">
          <cell r="A90" t="str">
            <v>Faramea cyathocalyx</v>
          </cell>
          <cell r="B90">
            <v>89</v>
          </cell>
          <cell r="C90" t="str">
            <v>Plantae</v>
          </cell>
          <cell r="D90" t="str">
            <v>Magnoliophyta</v>
          </cell>
          <cell r="E90" t="str">
            <v>Equisetopsida</v>
          </cell>
          <cell r="F90" t="str">
            <v>Gentianales</v>
          </cell>
          <cell r="G90" t="str">
            <v>Rubiaceae</v>
          </cell>
          <cell r="H90" t="str">
            <v>Faramea</v>
          </cell>
          <cell r="I90" t="str">
            <v>cyathocalyx</v>
          </cell>
          <cell r="J90" t="str">
            <v>Faramea cyathocalyx Standl.</v>
          </cell>
          <cell r="K90" t="str">
            <v>Standl.</v>
          </cell>
        </row>
        <row r="91">
          <cell r="A91" t="str">
            <v>Faramea monsalveae</v>
          </cell>
          <cell r="B91">
            <v>90</v>
          </cell>
          <cell r="C91" t="str">
            <v>Plantae</v>
          </cell>
          <cell r="D91" t="str">
            <v>Magnoliophyta</v>
          </cell>
          <cell r="E91" t="str">
            <v>Equisetopsida</v>
          </cell>
          <cell r="F91" t="str">
            <v>Gentianales</v>
          </cell>
          <cell r="G91" t="str">
            <v>Rubiaceae</v>
          </cell>
          <cell r="H91" t="str">
            <v>Faramea</v>
          </cell>
          <cell r="I91" t="str">
            <v>monsalveae</v>
          </cell>
          <cell r="J91" t="str">
            <v>Faramea monsalveae C.M.Taylor</v>
          </cell>
          <cell r="K91" t="str">
            <v>C.M.Taylor</v>
          </cell>
        </row>
        <row r="92">
          <cell r="A92" t="str">
            <v>Ferdinandusa dissimiliflora</v>
          </cell>
          <cell r="B92">
            <v>91</v>
          </cell>
          <cell r="C92" t="str">
            <v>Plantae</v>
          </cell>
          <cell r="D92" t="str">
            <v>Magnoliophyta</v>
          </cell>
          <cell r="E92" t="str">
            <v>Equisetopsida</v>
          </cell>
          <cell r="F92" t="str">
            <v>Gentianales</v>
          </cell>
          <cell r="G92" t="str">
            <v>Rubiaceae</v>
          </cell>
          <cell r="H92" t="str">
            <v>Ferdinandusa</v>
          </cell>
          <cell r="I92" t="str">
            <v>dissimiliflora</v>
          </cell>
          <cell r="J92" t="str">
            <v>Ferdinandusa dissimiliflora (Humb.) Standl.</v>
          </cell>
          <cell r="K92" t="str">
            <v>(Humb.) Standl.</v>
          </cell>
          <cell r="L92" t="str">
            <v>chipi</v>
          </cell>
        </row>
        <row r="93">
          <cell r="A93" t="str">
            <v>Graffenrieda grandifolia</v>
          </cell>
          <cell r="B93">
            <v>92</v>
          </cell>
          <cell r="C93" t="str">
            <v>Plantae</v>
          </cell>
          <cell r="D93" t="str">
            <v>Magnoliophyta</v>
          </cell>
          <cell r="E93" t="str">
            <v>Equisetopsida</v>
          </cell>
          <cell r="F93" t="str">
            <v>Myrtales</v>
          </cell>
          <cell r="G93" t="str">
            <v>Melastomataceae</v>
          </cell>
          <cell r="H93" t="str">
            <v>Graffenrieda</v>
          </cell>
          <cell r="I93" t="str">
            <v>grandifolia</v>
          </cell>
          <cell r="J93" t="str">
            <v>Graffenrieda grandifolia Gleason</v>
          </cell>
          <cell r="K93" t="str">
            <v>Gleason</v>
          </cell>
          <cell r="M93" t="str">
            <v>sanantonio, requesón</v>
          </cell>
        </row>
        <row r="94">
          <cell r="A94" t="str">
            <v>Graffenrieda maklenkensis</v>
          </cell>
          <cell r="B94">
            <v>93</v>
          </cell>
          <cell r="C94" t="str">
            <v xml:space="preserve">Plantae </v>
          </cell>
          <cell r="D94" t="str">
            <v>Magnoliophyta</v>
          </cell>
          <cell r="E94" t="str">
            <v>Equisetopsida</v>
          </cell>
          <cell r="F94" t="str">
            <v>Myrtales</v>
          </cell>
          <cell r="G94" t="str">
            <v>Melastomataceae</v>
          </cell>
          <cell r="H94" t="str">
            <v>Graffenrieda</v>
          </cell>
          <cell r="I94" t="str">
            <v>maklenkensis</v>
          </cell>
          <cell r="J94" t="str">
            <v>Graffenrieda maklenkensis Almeda et al.</v>
          </cell>
          <cell r="K94" t="str">
            <v>Almeda et al.</v>
          </cell>
        </row>
        <row r="95">
          <cell r="A95" t="str">
            <v>Guettarda rusbyi</v>
          </cell>
          <cell r="B95">
            <v>94</v>
          </cell>
          <cell r="C95" t="str">
            <v>Plantae</v>
          </cell>
          <cell r="D95" t="str">
            <v>Magnoliophyta</v>
          </cell>
          <cell r="E95" t="str">
            <v>Equisetopsida</v>
          </cell>
          <cell r="F95" t="str">
            <v>Gentianales</v>
          </cell>
          <cell r="G95" t="str">
            <v>Rubiaceae</v>
          </cell>
          <cell r="H95" t="str">
            <v>Guettarda</v>
          </cell>
          <cell r="I95" t="str">
            <v>rusbyi</v>
          </cell>
          <cell r="J95" t="str">
            <v>Guettarda rusbyi Standl.</v>
          </cell>
          <cell r="K95" t="str">
            <v>Standl.</v>
          </cell>
          <cell r="L95" t="str">
            <v>jazmin</v>
          </cell>
        </row>
        <row r="96">
          <cell r="A96" t="str">
            <v>Hampea thespesioides</v>
          </cell>
          <cell r="B96">
            <v>95</v>
          </cell>
          <cell r="C96" t="str">
            <v>Plantae</v>
          </cell>
          <cell r="D96" t="str">
            <v>Magnoliophyta</v>
          </cell>
          <cell r="E96" t="str">
            <v>Equisetopsida</v>
          </cell>
          <cell r="F96" t="str">
            <v>Malvales</v>
          </cell>
          <cell r="G96" t="str">
            <v>Malvaceae</v>
          </cell>
          <cell r="H96" t="str">
            <v xml:space="preserve">Hampea </v>
          </cell>
          <cell r="I96" t="str">
            <v>thespesioides</v>
          </cell>
          <cell r="J96" t="str">
            <v>Hampea thespesioides Triana &amp; Planch.</v>
          </cell>
          <cell r="K96" t="str">
            <v>Triana &amp; Planch.</v>
          </cell>
          <cell r="M96" t="str">
            <v>achote cimarrón, balso negro, drago, zapotillo, maiztostado</v>
          </cell>
        </row>
        <row r="97">
          <cell r="A97" t="str">
            <v>Henriettea goudotiana</v>
          </cell>
          <cell r="B97">
            <v>96</v>
          </cell>
          <cell r="C97" t="str">
            <v>Plantae</v>
          </cell>
          <cell r="D97" t="str">
            <v>Magnoliophyta</v>
          </cell>
          <cell r="E97" t="str">
            <v>Equisetopsida</v>
          </cell>
          <cell r="F97" t="str">
            <v>Myrtales</v>
          </cell>
          <cell r="G97" t="str">
            <v>Melastomataceae</v>
          </cell>
          <cell r="H97" t="str">
            <v>Henriettea</v>
          </cell>
          <cell r="I97" t="str">
            <v>goudotiana</v>
          </cell>
          <cell r="J97" t="str">
            <v>Henriettea goudotiana (Naudin) Penneys et al.</v>
          </cell>
          <cell r="K97" t="str">
            <v>(Naudin) Penneys et al.</v>
          </cell>
          <cell r="M97" t="str">
            <v>tuno, uvito</v>
          </cell>
        </row>
        <row r="98">
          <cell r="A98" t="str">
            <v>Herrania laciniifolia</v>
          </cell>
          <cell r="B98">
            <v>97</v>
          </cell>
          <cell r="C98" t="str">
            <v>Plantae</v>
          </cell>
          <cell r="D98" t="str">
            <v>Magnoliophyta</v>
          </cell>
          <cell r="E98" t="str">
            <v>Equisetopsida</v>
          </cell>
          <cell r="F98" t="str">
            <v>Malvales</v>
          </cell>
          <cell r="G98" t="str">
            <v>Malvaceae</v>
          </cell>
          <cell r="H98" t="str">
            <v>Herrania</v>
          </cell>
          <cell r="I98" t="str">
            <v>laciniifolia</v>
          </cell>
          <cell r="J98" t="str">
            <v>Herrania laciniifolia Goudot</v>
          </cell>
          <cell r="K98" t="str">
            <v>Goudot</v>
          </cell>
          <cell r="M98" t="str">
            <v>cacao de monte, cacao silvestre</v>
          </cell>
        </row>
        <row r="99">
          <cell r="A99" t="str">
            <v>Inga colombiana</v>
          </cell>
          <cell r="B99">
            <v>98</v>
          </cell>
          <cell r="C99" t="str">
            <v>Plantae</v>
          </cell>
          <cell r="D99" t="str">
            <v>Magnoliophyta</v>
          </cell>
          <cell r="E99" t="str">
            <v>Equisetopsida</v>
          </cell>
          <cell r="F99" t="str">
            <v>Fabales</v>
          </cell>
          <cell r="G99" t="str">
            <v>Fabaceae</v>
          </cell>
          <cell r="H99" t="str">
            <v>Inga</v>
          </cell>
          <cell r="I99" t="str">
            <v>colombiana</v>
          </cell>
          <cell r="J99" t="str">
            <v>Inga colombiana C.Romero</v>
          </cell>
          <cell r="K99" t="str">
            <v>C.Romero</v>
          </cell>
          <cell r="L99" t="str">
            <v>guamo</v>
          </cell>
        </row>
        <row r="100">
          <cell r="A100" t="str">
            <v>Inga interfluminensis</v>
          </cell>
          <cell r="B100">
            <v>99</v>
          </cell>
          <cell r="C100" t="str">
            <v>Plantae</v>
          </cell>
          <cell r="D100" t="str">
            <v>Magnoliophyta</v>
          </cell>
          <cell r="E100" t="str">
            <v>Equisetopsida</v>
          </cell>
          <cell r="F100" t="str">
            <v>Fabales</v>
          </cell>
          <cell r="G100" t="str">
            <v>Fabaceae</v>
          </cell>
          <cell r="H100" t="str">
            <v>Inga</v>
          </cell>
          <cell r="I100" t="str">
            <v>interfluminensis</v>
          </cell>
          <cell r="J100" t="str">
            <v>Inga interfluminensis L. Uribe</v>
          </cell>
          <cell r="K100" t="str">
            <v>L. Uribe</v>
          </cell>
          <cell r="L100" t="str">
            <v>guamo</v>
          </cell>
        </row>
        <row r="101">
          <cell r="A101" t="str">
            <v>Isidodendron tripterocarpum</v>
          </cell>
          <cell r="B101">
            <v>100</v>
          </cell>
          <cell r="C101" t="str">
            <v>Plantae</v>
          </cell>
          <cell r="D101" t="str">
            <v>Magnoliophyta</v>
          </cell>
          <cell r="E101" t="str">
            <v>Equisetopsida</v>
          </cell>
          <cell r="F101" t="str">
            <v>Malpighiales</v>
          </cell>
          <cell r="G101" t="str">
            <v>Trigoniaceae</v>
          </cell>
          <cell r="H101" t="str">
            <v>Isidodendron</v>
          </cell>
          <cell r="I101" t="str">
            <v>tripterocarpum</v>
          </cell>
          <cell r="J101" t="str">
            <v xml:space="preserve">Isidodendron tripterocarpum Fern. Alonso, Pérez Zab. &amp; Idárraga </v>
          </cell>
          <cell r="K101" t="str">
            <v xml:space="preserve">Fern. Alonso, Pérez Zab. &amp; Idárraga </v>
          </cell>
          <cell r="L101" t="str">
            <v>marfil</v>
          </cell>
        </row>
        <row r="102">
          <cell r="A102" t="str">
            <v>Joosia antioquiana</v>
          </cell>
          <cell r="B102">
            <v>101</v>
          </cell>
          <cell r="C102" t="str">
            <v>Plantae</v>
          </cell>
          <cell r="D102" t="str">
            <v>Magnoliophyta</v>
          </cell>
          <cell r="E102" t="str">
            <v>Equisetopsida</v>
          </cell>
          <cell r="F102" t="str">
            <v>Gentianales</v>
          </cell>
          <cell r="G102" t="str">
            <v>Rubiaceae</v>
          </cell>
          <cell r="H102" t="str">
            <v>Joosia</v>
          </cell>
          <cell r="I102" t="str">
            <v>antioquiana</v>
          </cell>
          <cell r="J102" t="str">
            <v>Joosia antioquiana C.M.Taylor</v>
          </cell>
          <cell r="K102" t="str">
            <v>C.M.Taylor</v>
          </cell>
        </row>
        <row r="103">
          <cell r="A103" t="str">
            <v>Killipia imbricata</v>
          </cell>
          <cell r="B103">
            <v>102</v>
          </cell>
          <cell r="C103" t="str">
            <v xml:space="preserve">Plantae </v>
          </cell>
          <cell r="D103" t="str">
            <v>Magnoliophyta</v>
          </cell>
          <cell r="E103" t="str">
            <v>Equisetopsida</v>
          </cell>
          <cell r="F103" t="str">
            <v>Myrtales</v>
          </cell>
          <cell r="G103" t="str">
            <v>Melastomataceae</v>
          </cell>
          <cell r="H103" t="str">
            <v>Killipia</v>
          </cell>
          <cell r="I103" t="str">
            <v>imbricata</v>
          </cell>
          <cell r="J103" t="str">
            <v>Killipia imbricata (Gleason) Posada-Herrera &amp; Humberto Mend.</v>
          </cell>
          <cell r="K103" t="str">
            <v>(Gleason) Posada-Herrera &amp; Humberto Mend.</v>
          </cell>
        </row>
        <row r="104">
          <cell r="A104" t="str">
            <v>Killipia pedunculata</v>
          </cell>
          <cell r="B104">
            <v>103</v>
          </cell>
          <cell r="C104" t="str">
            <v>Plantae</v>
          </cell>
          <cell r="D104" t="str">
            <v>Magnoliophyta</v>
          </cell>
          <cell r="E104" t="str">
            <v>Equisetopsida</v>
          </cell>
          <cell r="F104" t="str">
            <v>Myrtales</v>
          </cell>
          <cell r="G104" t="str">
            <v>Melastomataceae</v>
          </cell>
          <cell r="H104" t="str">
            <v>Killipia</v>
          </cell>
          <cell r="I104" t="str">
            <v>pedunculata</v>
          </cell>
          <cell r="J104" t="str">
            <v>Killipia pedunculata Gleason</v>
          </cell>
          <cell r="K104" t="str">
            <v>Gleason</v>
          </cell>
        </row>
        <row r="105">
          <cell r="A105" t="str">
            <v>Kirkbridea pentamera</v>
          </cell>
          <cell r="B105">
            <v>104</v>
          </cell>
          <cell r="C105" t="str">
            <v xml:space="preserve">Plantae </v>
          </cell>
          <cell r="D105" t="str">
            <v>Magnoliophyta</v>
          </cell>
          <cell r="E105" t="str">
            <v>Equisetopsida</v>
          </cell>
          <cell r="F105" t="str">
            <v>Myrtales</v>
          </cell>
          <cell r="G105" t="str">
            <v>Melastomataceae</v>
          </cell>
          <cell r="H105" t="str">
            <v>Kirkbridea</v>
          </cell>
          <cell r="I105" t="str">
            <v>pentamera</v>
          </cell>
          <cell r="J105" t="str">
            <v>Kirkbridea pentamera Wurdack</v>
          </cell>
          <cell r="K105" t="str">
            <v>Wurdack</v>
          </cell>
        </row>
        <row r="106">
          <cell r="A106" t="str">
            <v>Kirkbridea tetramera</v>
          </cell>
          <cell r="B106">
            <v>105</v>
          </cell>
          <cell r="C106" t="str">
            <v xml:space="preserve">Plantae </v>
          </cell>
          <cell r="D106" t="str">
            <v>Magnoliophyta</v>
          </cell>
          <cell r="E106" t="str">
            <v>Equisetopsida</v>
          </cell>
          <cell r="F106" t="str">
            <v>Myrtales</v>
          </cell>
          <cell r="G106" t="str">
            <v>Melastomataceae</v>
          </cell>
          <cell r="H106" t="str">
            <v>Kirkbridea</v>
          </cell>
          <cell r="I106" t="str">
            <v>tetramera</v>
          </cell>
          <cell r="J106" t="str">
            <v>Kirkbridea tetramera Wurdack</v>
          </cell>
          <cell r="K106" t="str">
            <v>Wurdack</v>
          </cell>
        </row>
        <row r="107">
          <cell r="A107" t="str">
            <v>Lacmellea abbreviata</v>
          </cell>
          <cell r="B107">
            <v>106</v>
          </cell>
          <cell r="C107" t="str">
            <v>Plantae</v>
          </cell>
          <cell r="D107" t="str">
            <v>Magnoliophyta</v>
          </cell>
          <cell r="E107" t="str">
            <v>Equisetopsida</v>
          </cell>
          <cell r="F107" t="str">
            <v>Gentianales</v>
          </cell>
          <cell r="G107" t="str">
            <v>Apocynaceae</v>
          </cell>
          <cell r="H107" t="str">
            <v>Lacmellea</v>
          </cell>
          <cell r="I107" t="str">
            <v>abbreviata</v>
          </cell>
          <cell r="J107" t="str">
            <v>Lacmellea abbreviata J.F.Morales</v>
          </cell>
          <cell r="K107" t="str">
            <v>J.F.Morales</v>
          </cell>
          <cell r="L107" t="str">
            <v>sande</v>
          </cell>
          <cell r="M107" t="str">
            <v>sando</v>
          </cell>
        </row>
        <row r="108">
          <cell r="A108" t="str">
            <v>Ladenbergia magdalenae</v>
          </cell>
          <cell r="B108">
            <v>107</v>
          </cell>
          <cell r="C108" t="str">
            <v>Plantae</v>
          </cell>
          <cell r="D108" t="str">
            <v>Magnoliophyta</v>
          </cell>
          <cell r="E108" t="str">
            <v>Equisetopsida</v>
          </cell>
          <cell r="F108" t="str">
            <v>Gentianales</v>
          </cell>
          <cell r="G108" t="str">
            <v>Rubiaceae</v>
          </cell>
          <cell r="H108" t="str">
            <v>Ladenbergia</v>
          </cell>
          <cell r="I108" t="str">
            <v>magdalenae</v>
          </cell>
          <cell r="J108" t="str">
            <v>Ladenbergia magdalenae L.Andersson</v>
          </cell>
          <cell r="K108" t="str">
            <v>L.Andersson</v>
          </cell>
          <cell r="M108" t="str">
            <v>azucena, carne fresca, cascarillo</v>
          </cell>
        </row>
        <row r="109">
          <cell r="A109" t="str">
            <v>Ladenbergia obovata</v>
          </cell>
          <cell r="B109">
            <v>108</v>
          </cell>
          <cell r="C109" t="str">
            <v>Plantae</v>
          </cell>
          <cell r="D109" t="str">
            <v>Magnoliophyta</v>
          </cell>
          <cell r="E109" t="str">
            <v>Equisetopsida</v>
          </cell>
          <cell r="F109" t="str">
            <v>Gentianales</v>
          </cell>
          <cell r="G109" t="str">
            <v>Rubiaceae</v>
          </cell>
          <cell r="H109" t="str">
            <v>Ladenbergia</v>
          </cell>
          <cell r="I109" t="str">
            <v>obovata</v>
          </cell>
          <cell r="J109" t="str">
            <v>Ladenbergia obovata L.Andersson</v>
          </cell>
          <cell r="K109" t="str">
            <v>L.Andersson</v>
          </cell>
        </row>
        <row r="110">
          <cell r="A110" t="str">
            <v>Leandra cuatrecasasii</v>
          </cell>
          <cell r="B110">
            <v>109</v>
          </cell>
          <cell r="C110" t="str">
            <v>Plantae</v>
          </cell>
          <cell r="D110" t="str">
            <v>Magnoliophyta</v>
          </cell>
          <cell r="E110" t="str">
            <v>Equisetopsida</v>
          </cell>
          <cell r="F110" t="str">
            <v>Myrtales</v>
          </cell>
          <cell r="G110" t="str">
            <v>Melastomataceae</v>
          </cell>
          <cell r="H110" t="str">
            <v>Leandra</v>
          </cell>
          <cell r="I110" t="str">
            <v>cuatrecasasii</v>
          </cell>
          <cell r="J110" t="str">
            <v>Leandra cuatrecasasii Wurdack</v>
          </cell>
          <cell r="K110" t="str">
            <v>Wurdack</v>
          </cell>
          <cell r="L110" t="str">
            <v>niguito</v>
          </cell>
        </row>
        <row r="111">
          <cell r="A111" t="str">
            <v>Licaria clarensis</v>
          </cell>
          <cell r="B111">
            <v>110</v>
          </cell>
          <cell r="C111" t="str">
            <v>Plantae</v>
          </cell>
          <cell r="D111" t="str">
            <v>Magnoliophyta</v>
          </cell>
          <cell r="E111" t="str">
            <v>Equisetopsida</v>
          </cell>
          <cell r="F111" t="str">
            <v>Laurales</v>
          </cell>
          <cell r="G111" t="str">
            <v>Lauraceae</v>
          </cell>
          <cell r="H111" t="str">
            <v>Licaria</v>
          </cell>
          <cell r="I111" t="str">
            <v>clarensis</v>
          </cell>
          <cell r="J111" t="str">
            <v>Licaria clarensis van der Werff</v>
          </cell>
          <cell r="K111" t="str">
            <v>van der Werff</v>
          </cell>
          <cell r="L111" t="str">
            <v>laurel</v>
          </cell>
        </row>
        <row r="112">
          <cell r="A112" t="str">
            <v>Licaria cogolloi</v>
          </cell>
          <cell r="B112">
            <v>111</v>
          </cell>
          <cell r="C112" t="str">
            <v>Plantae</v>
          </cell>
          <cell r="D112" t="str">
            <v>Magnoliophyta</v>
          </cell>
          <cell r="E112" t="str">
            <v>Equisetopsida</v>
          </cell>
          <cell r="F112" t="str">
            <v>Laurales</v>
          </cell>
          <cell r="G112" t="str">
            <v>Lauraceae</v>
          </cell>
          <cell r="H112" t="str">
            <v>Licaria</v>
          </cell>
          <cell r="I112" t="str">
            <v>cogolloi</v>
          </cell>
          <cell r="J112" t="str">
            <v>Licaria cogolloi van der Werff</v>
          </cell>
          <cell r="K112" t="str">
            <v>van der Werff</v>
          </cell>
        </row>
        <row r="113">
          <cell r="A113" t="str">
            <v>Licaria colombiana</v>
          </cell>
          <cell r="B113">
            <v>112</v>
          </cell>
          <cell r="C113" t="str">
            <v>Plantae</v>
          </cell>
          <cell r="D113" t="str">
            <v>Magnoliophyta</v>
          </cell>
          <cell r="E113" t="str">
            <v>Equisetopsida</v>
          </cell>
          <cell r="F113" t="str">
            <v>Laurales</v>
          </cell>
          <cell r="G113" t="str">
            <v>Lauraceae</v>
          </cell>
          <cell r="H113" t="str">
            <v>Licaria</v>
          </cell>
          <cell r="I113" t="str">
            <v>colombiana</v>
          </cell>
          <cell r="J113" t="str">
            <v>Licaria colombiana van der Werff</v>
          </cell>
          <cell r="K113" t="str">
            <v>van der Werff</v>
          </cell>
        </row>
        <row r="114">
          <cell r="A114" t="str">
            <v>Machaerium parvifolium</v>
          </cell>
          <cell r="B114">
            <v>113</v>
          </cell>
          <cell r="C114" t="str">
            <v>Plantae</v>
          </cell>
          <cell r="D114" t="str">
            <v>Magnoliophyta</v>
          </cell>
          <cell r="E114" t="str">
            <v>Equisetopsida</v>
          </cell>
          <cell r="F114" t="str">
            <v>Fabales</v>
          </cell>
          <cell r="G114" t="str">
            <v>Fabaceae</v>
          </cell>
          <cell r="H114" t="str">
            <v>Machaerium</v>
          </cell>
          <cell r="I114" t="str">
            <v>parvifolium</v>
          </cell>
          <cell r="J114" t="str">
            <v>Machaerium parvifolium Killip ex Rudd</v>
          </cell>
          <cell r="K114" t="str">
            <v>Killip ex Rudd</v>
          </cell>
          <cell r="L114" t="str">
            <v>pichinché</v>
          </cell>
        </row>
        <row r="115">
          <cell r="A115" t="str">
            <v>Machaonia grandis</v>
          </cell>
          <cell r="B115">
            <v>114</v>
          </cell>
          <cell r="C115" t="str">
            <v>Plantae</v>
          </cell>
          <cell r="D115" t="str">
            <v>Magnoliophyta</v>
          </cell>
          <cell r="E115" t="str">
            <v>Equisetopsida</v>
          </cell>
          <cell r="F115" t="str">
            <v>Gentianales</v>
          </cell>
          <cell r="G115" t="str">
            <v>Rubiaceae</v>
          </cell>
          <cell r="H115" t="str">
            <v>Machaonia</v>
          </cell>
          <cell r="I115" t="str">
            <v>grandis</v>
          </cell>
          <cell r="J115" t="str">
            <v>Machaonia grandis Wernham</v>
          </cell>
          <cell r="K115" t="str">
            <v>Wernham</v>
          </cell>
        </row>
        <row r="116">
          <cell r="A116" t="str">
            <v>Macrocnemum grandiflorum</v>
          </cell>
          <cell r="B116">
            <v>115</v>
          </cell>
          <cell r="C116" t="str">
            <v>Plantae</v>
          </cell>
          <cell r="D116" t="str">
            <v>Magnoliophyta</v>
          </cell>
          <cell r="E116" t="str">
            <v>Equisetopsida</v>
          </cell>
          <cell r="F116" t="str">
            <v>Gentianales</v>
          </cell>
          <cell r="G116" t="str">
            <v>Rubiaceae</v>
          </cell>
          <cell r="H116" t="str">
            <v>Macrocnemum</v>
          </cell>
          <cell r="I116" t="str">
            <v>grandiflorum</v>
          </cell>
          <cell r="J116" t="str">
            <v>Macrocnemum grandiflorum (Wedd.) Wedd.</v>
          </cell>
          <cell r="K116" t="str">
            <v>(Wedd.) Wedd.</v>
          </cell>
          <cell r="L116" t="str">
            <v>gavil </v>
          </cell>
        </row>
        <row r="117">
          <cell r="A117" t="str">
            <v>Macrolobium extensum</v>
          </cell>
          <cell r="B117">
            <v>116</v>
          </cell>
          <cell r="C117" t="str">
            <v>Plantae</v>
          </cell>
          <cell r="D117" t="str">
            <v>Magnoliophyta</v>
          </cell>
          <cell r="E117" t="str">
            <v>Equisetopsida</v>
          </cell>
          <cell r="F117" t="str">
            <v>Fabales</v>
          </cell>
          <cell r="G117" t="str">
            <v>Fabaceae</v>
          </cell>
          <cell r="H117" t="str">
            <v>Macrolobium</v>
          </cell>
          <cell r="I117" t="str">
            <v>extensum</v>
          </cell>
          <cell r="J117" t="str">
            <v>Macrolobium extensum R.S. Cowan</v>
          </cell>
          <cell r="K117" t="str">
            <v>R.S. Cowan</v>
          </cell>
        </row>
        <row r="118">
          <cell r="A118" t="str">
            <v>Matisia bullata</v>
          </cell>
          <cell r="B118">
            <v>117</v>
          </cell>
          <cell r="C118" t="str">
            <v>Plantae</v>
          </cell>
          <cell r="D118" t="str">
            <v>Magnoliophyta</v>
          </cell>
          <cell r="E118" t="str">
            <v>Equisetopsida</v>
          </cell>
          <cell r="F118" t="str">
            <v>Malvales</v>
          </cell>
          <cell r="G118" t="str">
            <v>Malvaceae</v>
          </cell>
          <cell r="H118" t="str">
            <v>Matisia</v>
          </cell>
          <cell r="I118" t="str">
            <v>bullata</v>
          </cell>
          <cell r="J118" t="str">
            <v>Matisia bullata Fern.Alonso</v>
          </cell>
          <cell r="K118" t="str">
            <v>Fern.Alonso</v>
          </cell>
          <cell r="L118" t="str">
            <v>vaina</v>
          </cell>
        </row>
        <row r="119">
          <cell r="A119" t="str">
            <v>Matisia leptandra</v>
          </cell>
          <cell r="B119">
            <v>118</v>
          </cell>
          <cell r="C119" t="str">
            <v>Plantae</v>
          </cell>
          <cell r="D119" t="str">
            <v>Magnoliophyta</v>
          </cell>
          <cell r="E119" t="str">
            <v>Equisetopsida</v>
          </cell>
          <cell r="F119" t="str">
            <v>Malvales</v>
          </cell>
          <cell r="G119" t="str">
            <v>Malvaceae</v>
          </cell>
          <cell r="H119" t="str">
            <v>Matisia</v>
          </cell>
          <cell r="I119" t="str">
            <v>leptandra</v>
          </cell>
          <cell r="J119" t="str">
            <v>Matisia leptandra (Cuatrec.) Cuatrec.</v>
          </cell>
          <cell r="K119" t="str">
            <v>(Cuatrec.) Cuatrec.</v>
          </cell>
          <cell r="M119" t="str">
            <v>molinillo, sapotillo, sare</v>
          </cell>
        </row>
        <row r="120">
          <cell r="A120" t="str">
            <v>Matisia lozanoi</v>
          </cell>
          <cell r="B120">
            <v>119</v>
          </cell>
          <cell r="C120" t="str">
            <v>Plantae</v>
          </cell>
          <cell r="D120" t="str">
            <v>Magnoliophyta</v>
          </cell>
          <cell r="E120" t="str">
            <v>Equisetopsida</v>
          </cell>
          <cell r="F120" t="str">
            <v>Malvales</v>
          </cell>
          <cell r="G120" t="str">
            <v>Malvaceae</v>
          </cell>
          <cell r="H120" t="str">
            <v>Matisia</v>
          </cell>
          <cell r="I120" t="str">
            <v>lozanoi</v>
          </cell>
          <cell r="J120" t="str">
            <v>Matisia lozanoi Fern.Alonso</v>
          </cell>
          <cell r="K120" t="str">
            <v>Fern.Alonso</v>
          </cell>
          <cell r="M120" t="str">
            <v>garrocho, zopotillo</v>
          </cell>
        </row>
        <row r="121">
          <cell r="A121" t="str">
            <v>Matisia racemifera</v>
          </cell>
          <cell r="B121">
            <v>120</v>
          </cell>
          <cell r="C121" t="str">
            <v>Plantae</v>
          </cell>
          <cell r="D121" t="str">
            <v>Magnoliophyta</v>
          </cell>
          <cell r="E121" t="str">
            <v>Equisetopsida</v>
          </cell>
          <cell r="F121" t="str">
            <v>Malvales</v>
          </cell>
          <cell r="G121" t="str">
            <v>Malvaceae</v>
          </cell>
          <cell r="H121" t="str">
            <v>Matisia</v>
          </cell>
          <cell r="I121" t="str">
            <v>racemifera</v>
          </cell>
          <cell r="J121" t="str">
            <v>Matisia racemifera Fern.Alonso</v>
          </cell>
          <cell r="K121" t="str">
            <v>Fern.Alonso</v>
          </cell>
          <cell r="M121" t="str">
            <v>pastran, cacahuillo, vaina</v>
          </cell>
        </row>
        <row r="122">
          <cell r="A122" t="str">
            <v>Matisia sclerophylla</v>
          </cell>
          <cell r="B122">
            <v>121</v>
          </cell>
          <cell r="C122" t="str">
            <v>Plantae</v>
          </cell>
          <cell r="D122" t="str">
            <v>Magnoliophyta</v>
          </cell>
          <cell r="E122" t="str">
            <v>Equisetopsida</v>
          </cell>
          <cell r="F122" t="str">
            <v>Malvales</v>
          </cell>
          <cell r="G122" t="str">
            <v>Malvaceae</v>
          </cell>
          <cell r="H122" t="str">
            <v>Matisia</v>
          </cell>
          <cell r="I122" t="str">
            <v>sclerophylla</v>
          </cell>
          <cell r="J122" t="str">
            <v>Matisia sclerophylla Cuatrec.</v>
          </cell>
          <cell r="K122" t="str">
            <v>Cuatrec.</v>
          </cell>
          <cell r="M122" t="str">
            <v>molinillo, vaina, zapote de monte, zapotillo, zapatillo</v>
          </cell>
        </row>
        <row r="123">
          <cell r="A123" t="str">
            <v>Matisia spathacea</v>
          </cell>
          <cell r="B123">
            <v>122</v>
          </cell>
          <cell r="C123" t="str">
            <v>Plantae</v>
          </cell>
          <cell r="D123" t="str">
            <v>Magnoliophyta</v>
          </cell>
          <cell r="E123" t="str">
            <v>Equisetopsida</v>
          </cell>
          <cell r="F123" t="str">
            <v>Malvales</v>
          </cell>
          <cell r="G123" t="str">
            <v>Malvaceae</v>
          </cell>
          <cell r="H123" t="str">
            <v>Matisia</v>
          </cell>
          <cell r="I123" t="str">
            <v>spathacea</v>
          </cell>
          <cell r="J123" t="str">
            <v>Matisia spathacea Fern.Alonso</v>
          </cell>
          <cell r="K123" t="str">
            <v>Fern.Alonso</v>
          </cell>
          <cell r="M123" t="str">
            <v>Sapote de monte, zapotillo</v>
          </cell>
        </row>
        <row r="124">
          <cell r="A124" t="str">
            <v>Matisia uribei</v>
          </cell>
          <cell r="B124">
            <v>123</v>
          </cell>
          <cell r="C124" t="str">
            <v>Plantae</v>
          </cell>
          <cell r="D124" t="str">
            <v>Magnoliophyta</v>
          </cell>
          <cell r="E124" t="str">
            <v>Equisetopsida</v>
          </cell>
          <cell r="F124" t="str">
            <v>Malvales</v>
          </cell>
          <cell r="G124" t="str">
            <v>Malvaceae</v>
          </cell>
          <cell r="H124" t="str">
            <v>Matisia</v>
          </cell>
          <cell r="I124" t="str">
            <v>uribei</v>
          </cell>
          <cell r="J124" t="str">
            <v>Matisia uribei (García-Barr. &amp; Hern.Cam.) Cuatrec.</v>
          </cell>
          <cell r="K124" t="str">
            <v>(García-Barr. &amp; Hern.Cam.) Cuatrec.</v>
          </cell>
          <cell r="M124" t="str">
            <v>mogollo, ahuyamo, zapatillo, zapote de monte, zapote montañero, zapotillo</v>
          </cell>
        </row>
        <row r="125">
          <cell r="A125" t="str">
            <v>Matisia valdes-bermejoi</v>
          </cell>
          <cell r="B125">
            <v>124</v>
          </cell>
          <cell r="C125" t="str">
            <v>Plantae</v>
          </cell>
          <cell r="D125" t="str">
            <v>Magnoliophyta</v>
          </cell>
          <cell r="E125" t="str">
            <v>Equisetopsida</v>
          </cell>
          <cell r="F125" t="str">
            <v>Malvales</v>
          </cell>
          <cell r="G125" t="str">
            <v>Malvaceae</v>
          </cell>
          <cell r="H125" t="str">
            <v>Matisia</v>
          </cell>
          <cell r="I125" t="str">
            <v>valdes-bermejoi</v>
          </cell>
          <cell r="J125" t="str">
            <v>Matisia valdes-bermejoi Fern.Alonso &amp; Castrov.</v>
          </cell>
          <cell r="K125" t="str">
            <v>Fern.Alonso &amp; Castrov.</v>
          </cell>
          <cell r="L125" t="str">
            <v>vaina</v>
          </cell>
        </row>
        <row r="126">
          <cell r="A126" t="str">
            <v>Matisia victoriana</v>
          </cell>
          <cell r="B126">
            <v>125</v>
          </cell>
          <cell r="C126" t="str">
            <v>Plantae</v>
          </cell>
          <cell r="D126" t="str">
            <v>Magnoliophyta</v>
          </cell>
          <cell r="E126" t="str">
            <v>Equisetopsida</v>
          </cell>
          <cell r="F126" t="str">
            <v>Malvales</v>
          </cell>
          <cell r="G126" t="str">
            <v>Malvaceae</v>
          </cell>
          <cell r="H126" t="str">
            <v>Matisia</v>
          </cell>
          <cell r="I126" t="str">
            <v>victoriana</v>
          </cell>
          <cell r="J126" t="str">
            <v>Matisia victoriana Fern.Alonso</v>
          </cell>
          <cell r="K126" t="str">
            <v>Fern.Alonso</v>
          </cell>
          <cell r="L126" t="str">
            <v>almirajó macho</v>
          </cell>
        </row>
        <row r="127">
          <cell r="A127" t="str">
            <v>Matudaea colombiana</v>
          </cell>
          <cell r="B127">
            <v>126</v>
          </cell>
          <cell r="C127" t="str">
            <v>Plantae</v>
          </cell>
          <cell r="D127" t="str">
            <v>Magnoliophyta</v>
          </cell>
          <cell r="E127" t="str">
            <v>Equisetopsida</v>
          </cell>
          <cell r="F127" t="str">
            <v>Saxifragales</v>
          </cell>
          <cell r="G127" t="str">
            <v>Hamamelidaceae</v>
          </cell>
          <cell r="H127" t="str">
            <v>Matudaea</v>
          </cell>
          <cell r="I127" t="str">
            <v>colombiana</v>
          </cell>
          <cell r="J127" t="str">
            <v>Matudaea colombiana Lozano</v>
          </cell>
          <cell r="K127" t="str">
            <v>Lozano</v>
          </cell>
          <cell r="M127" t="str">
            <v>encenillo, guayabo negro, angelino o angelito, hueso de gallina</v>
          </cell>
        </row>
        <row r="128">
          <cell r="A128" t="str">
            <v>Meriania albertiae</v>
          </cell>
          <cell r="B128">
            <v>127</v>
          </cell>
          <cell r="C128" t="str">
            <v>Plantae</v>
          </cell>
          <cell r="D128" t="str">
            <v>Magnoliophyta</v>
          </cell>
          <cell r="E128" t="str">
            <v>Equisetopsida</v>
          </cell>
          <cell r="F128" t="str">
            <v>Myrtales</v>
          </cell>
          <cell r="G128" t="str">
            <v>Melastomataceae</v>
          </cell>
          <cell r="H128" t="str">
            <v>Meriania</v>
          </cell>
          <cell r="I128" t="str">
            <v>albertiae</v>
          </cell>
          <cell r="J128" t="str">
            <v>Meriania albertiae Wurdack</v>
          </cell>
          <cell r="K128" t="str">
            <v>Wurdack</v>
          </cell>
        </row>
        <row r="129">
          <cell r="A129" t="str">
            <v>Meriania antioquiensis</v>
          </cell>
          <cell r="B129">
            <v>128</v>
          </cell>
          <cell r="C129" t="str">
            <v>Plantae</v>
          </cell>
          <cell r="D129" t="str">
            <v>Magnoliophyta</v>
          </cell>
          <cell r="E129" t="str">
            <v>Equisetopsida</v>
          </cell>
          <cell r="F129" t="str">
            <v>Myrtales</v>
          </cell>
          <cell r="G129" t="str">
            <v>Melastomataceae</v>
          </cell>
          <cell r="H129" t="str">
            <v>Meriania</v>
          </cell>
          <cell r="I129" t="str">
            <v>antioquiensis</v>
          </cell>
          <cell r="J129" t="str">
            <v>Meriania antioquiensis L.Uribe</v>
          </cell>
          <cell r="K129" t="str">
            <v>L.Uribe</v>
          </cell>
        </row>
        <row r="130">
          <cell r="A130" t="str">
            <v>Meriania arborea</v>
          </cell>
          <cell r="B130">
            <v>129</v>
          </cell>
          <cell r="C130" t="str">
            <v xml:space="preserve">Plantae </v>
          </cell>
          <cell r="D130" t="str">
            <v>Magnoliophyta</v>
          </cell>
          <cell r="E130" t="str">
            <v>Equisetopsida</v>
          </cell>
          <cell r="F130" t="str">
            <v>Myrtales</v>
          </cell>
          <cell r="G130" t="str">
            <v>Melastomataceae</v>
          </cell>
          <cell r="H130" t="str">
            <v>Meriania</v>
          </cell>
          <cell r="I130" t="str">
            <v>arborea</v>
          </cell>
          <cell r="J130" t="str">
            <v>Meriania arborea Triana</v>
          </cell>
          <cell r="K130" t="str">
            <v>Triana</v>
          </cell>
        </row>
        <row r="131">
          <cell r="A131" t="str">
            <v>Meriania arizae</v>
          </cell>
          <cell r="B131">
            <v>130</v>
          </cell>
          <cell r="C131" t="str">
            <v xml:space="preserve">Plantae </v>
          </cell>
          <cell r="D131" t="str">
            <v>Magnoliophyta</v>
          </cell>
          <cell r="E131" t="str">
            <v>Equisetopsida</v>
          </cell>
          <cell r="F131" t="str">
            <v>Myrtales</v>
          </cell>
          <cell r="G131" t="str">
            <v>Melastomataceae</v>
          </cell>
          <cell r="H131" t="str">
            <v>Meriania</v>
          </cell>
          <cell r="I131" t="str">
            <v>arizae</v>
          </cell>
          <cell r="J131" t="str">
            <v>Meriania arizae Humberto Mend. &amp; Fern.Alonso</v>
          </cell>
          <cell r="K131" t="str">
            <v>Humberto Mend. &amp; Fern.Alonso</v>
          </cell>
          <cell r="M131" t="str">
            <v>churumbelo, tuno, churumbelito</v>
          </cell>
        </row>
        <row r="132">
          <cell r="A132" t="str">
            <v>Meriania barbosae</v>
          </cell>
          <cell r="B132">
            <v>131</v>
          </cell>
          <cell r="C132" t="str">
            <v>Plantae</v>
          </cell>
          <cell r="D132" t="str">
            <v>Magnoliophyta</v>
          </cell>
          <cell r="E132" t="str">
            <v>Equisetopsida</v>
          </cell>
          <cell r="F132" t="str">
            <v>Myrtales</v>
          </cell>
          <cell r="G132" t="str">
            <v>Melastomataceae</v>
          </cell>
          <cell r="H132" t="str">
            <v>Meriania</v>
          </cell>
          <cell r="I132" t="str">
            <v>barbosae</v>
          </cell>
          <cell r="J132" t="str">
            <v>Meriania barbosae Humberto Mend. et al.</v>
          </cell>
          <cell r="K132" t="str">
            <v>Humberto Mend. et al.</v>
          </cell>
        </row>
        <row r="133">
          <cell r="A133" t="str">
            <v>Meriania candollei</v>
          </cell>
          <cell r="B133">
            <v>132</v>
          </cell>
          <cell r="C133" t="str">
            <v xml:space="preserve">Plantae </v>
          </cell>
          <cell r="D133" t="str">
            <v>Magnoliophyta</v>
          </cell>
          <cell r="E133" t="str">
            <v>Equisetopsida</v>
          </cell>
          <cell r="F133" t="str">
            <v>Myrtales</v>
          </cell>
          <cell r="G133" t="str">
            <v>Melastomataceae</v>
          </cell>
          <cell r="H133" t="str">
            <v>Meriania</v>
          </cell>
          <cell r="I133" t="str">
            <v>candollei</v>
          </cell>
          <cell r="J133" t="str">
            <v>Meriania candollei Cogn.</v>
          </cell>
          <cell r="K133" t="str">
            <v>Cogn.</v>
          </cell>
          <cell r="L133" t="str">
            <v>flor de mayo</v>
          </cell>
        </row>
        <row r="134">
          <cell r="A134" t="str">
            <v>Meriania colombiana</v>
          </cell>
          <cell r="B134">
            <v>133</v>
          </cell>
          <cell r="C134" t="str">
            <v xml:space="preserve">Plantae </v>
          </cell>
          <cell r="D134" t="str">
            <v>Magnoliophyta</v>
          </cell>
          <cell r="E134" t="str">
            <v>Equisetopsida</v>
          </cell>
          <cell r="F134" t="str">
            <v>Myrtales</v>
          </cell>
          <cell r="G134" t="str">
            <v>Melastomataceae</v>
          </cell>
          <cell r="H134" t="str">
            <v>Meriania</v>
          </cell>
          <cell r="I134" t="str">
            <v>colombiana</v>
          </cell>
          <cell r="J134" t="str">
            <v>Meriania colombiana Gleason</v>
          </cell>
          <cell r="K134" t="str">
            <v>Gleason</v>
          </cell>
          <cell r="L134" t="str">
            <v>tuno rojo</v>
          </cell>
        </row>
        <row r="135">
          <cell r="A135" t="str">
            <v>Meriania fantastica</v>
          </cell>
          <cell r="B135">
            <v>134</v>
          </cell>
          <cell r="C135" t="str">
            <v>Plantae</v>
          </cell>
          <cell r="D135" t="str">
            <v>Magnoliophyta</v>
          </cell>
          <cell r="E135" t="str">
            <v>Equisetopsida</v>
          </cell>
          <cell r="F135" t="str">
            <v>Myrtales</v>
          </cell>
          <cell r="G135" t="str">
            <v>Melastomataceae</v>
          </cell>
          <cell r="H135" t="str">
            <v>Meriania</v>
          </cell>
          <cell r="I135" t="str">
            <v>fantastica</v>
          </cell>
          <cell r="J135" t="str">
            <v>Meriania fantastica Alvear et al.</v>
          </cell>
          <cell r="K135" t="str">
            <v>Alvear et al.</v>
          </cell>
        </row>
        <row r="136">
          <cell r="A136" t="str">
            <v>Meriania heptamera</v>
          </cell>
          <cell r="B136">
            <v>135</v>
          </cell>
          <cell r="C136" t="str">
            <v>Plantae</v>
          </cell>
          <cell r="D136" t="str">
            <v>Magnoliophyta</v>
          </cell>
          <cell r="E136" t="str">
            <v>Equisetopsida</v>
          </cell>
          <cell r="F136" t="str">
            <v>Myrtales</v>
          </cell>
          <cell r="G136" t="str">
            <v>Melastomataceae</v>
          </cell>
          <cell r="H136" t="str">
            <v>Meriania</v>
          </cell>
          <cell r="I136" t="str">
            <v>heptamera</v>
          </cell>
          <cell r="J136" t="str">
            <v>Meriania heptamera Lozano &amp; Alvear</v>
          </cell>
          <cell r="K136" t="str">
            <v>Lozano &amp; Alvear</v>
          </cell>
        </row>
        <row r="137">
          <cell r="A137" t="str">
            <v>Meriania mutabilis</v>
          </cell>
          <cell r="B137">
            <v>136</v>
          </cell>
          <cell r="C137" t="str">
            <v xml:space="preserve">Plantae </v>
          </cell>
          <cell r="D137" t="str">
            <v>Magnoliophyta</v>
          </cell>
          <cell r="E137" t="str">
            <v>Equisetopsida</v>
          </cell>
          <cell r="F137" t="str">
            <v>Myrtales</v>
          </cell>
          <cell r="G137" t="str">
            <v>Melastomataceae</v>
          </cell>
          <cell r="H137" t="str">
            <v>Meriania</v>
          </cell>
          <cell r="I137" t="str">
            <v>mutabilis</v>
          </cell>
          <cell r="J137" t="str">
            <v>Meriania mutabilis (Gleason) Humberto Mend. &amp; Fern.Alonso</v>
          </cell>
          <cell r="K137" t="str">
            <v>(Gleason) Humberto Mend. &amp; Fern.Alonso</v>
          </cell>
        </row>
        <row r="138">
          <cell r="A138" t="str">
            <v>Meriania mutisii</v>
          </cell>
          <cell r="B138">
            <v>137</v>
          </cell>
          <cell r="C138" t="str">
            <v>Plantae</v>
          </cell>
          <cell r="D138" t="str">
            <v>Magnoliophyta</v>
          </cell>
          <cell r="E138" t="str">
            <v>Equisetopsida</v>
          </cell>
          <cell r="F138" t="str">
            <v>Myrtales</v>
          </cell>
          <cell r="G138" t="str">
            <v>Melastomataceae</v>
          </cell>
          <cell r="H138" t="str">
            <v>Meriania</v>
          </cell>
          <cell r="I138" t="str">
            <v>mutisii</v>
          </cell>
          <cell r="J138" t="str">
            <v>Meriania mutisii (Bonpl.) Humberto Mend. &amp; Fern.Alonso</v>
          </cell>
          <cell r="K138" t="str">
            <v>(Bonpl.) Humberto Mend. &amp; Fern.Alonso</v>
          </cell>
          <cell r="M138" t="str">
            <v>Danto, Tuno esmeraldo, Tuno roso</v>
          </cell>
        </row>
        <row r="139">
          <cell r="A139" t="str">
            <v>Meriania nobilis</v>
          </cell>
          <cell r="B139">
            <v>138</v>
          </cell>
          <cell r="C139" t="str">
            <v>Plantae</v>
          </cell>
          <cell r="D139" t="str">
            <v>Magnoliophyta</v>
          </cell>
          <cell r="E139" t="str">
            <v>Equisetopsida</v>
          </cell>
          <cell r="F139" t="str">
            <v>Myrtales</v>
          </cell>
          <cell r="G139" t="str">
            <v>Melastomataceae</v>
          </cell>
          <cell r="H139" t="str">
            <v>Meriania</v>
          </cell>
          <cell r="I139" t="str">
            <v>nobilis</v>
          </cell>
          <cell r="J139" t="str">
            <v>Meriania nobilis Triana</v>
          </cell>
          <cell r="K139" t="str">
            <v>Triana</v>
          </cell>
          <cell r="M139" t="str">
            <v>flor de mayo, siete cueros, amarraboyo, marraboyo, tuno, mayo, maraboy, rosalina</v>
          </cell>
        </row>
        <row r="140">
          <cell r="A140" t="str">
            <v>Meriania pallida</v>
          </cell>
          <cell r="B140">
            <v>139</v>
          </cell>
          <cell r="C140" t="str">
            <v xml:space="preserve">Plantae </v>
          </cell>
          <cell r="D140" t="str">
            <v>Magnoliophyta</v>
          </cell>
          <cell r="E140" t="str">
            <v>Equisetopsida</v>
          </cell>
          <cell r="F140" t="str">
            <v>Myrtales</v>
          </cell>
          <cell r="G140" t="str">
            <v>Melastomataceae</v>
          </cell>
          <cell r="H140" t="str">
            <v>Meriania</v>
          </cell>
          <cell r="I140" t="str">
            <v>pallida</v>
          </cell>
          <cell r="J140" t="str">
            <v>Meriania pallida Gleason</v>
          </cell>
          <cell r="K140" t="str">
            <v>Gleason</v>
          </cell>
        </row>
        <row r="141">
          <cell r="A141" t="str">
            <v>Meriania quintuplinervis</v>
          </cell>
          <cell r="B141">
            <v>140</v>
          </cell>
          <cell r="C141" t="str">
            <v>Plantae</v>
          </cell>
          <cell r="D141" t="str">
            <v>Magnoliophyta</v>
          </cell>
          <cell r="E141" t="str">
            <v>Equisetopsida</v>
          </cell>
          <cell r="F141" t="str">
            <v>Myrtales</v>
          </cell>
          <cell r="G141" t="str">
            <v>Melastomataceae</v>
          </cell>
          <cell r="H141" t="str">
            <v>Meriania</v>
          </cell>
          <cell r="I141" t="str">
            <v>quintuplinervis</v>
          </cell>
          <cell r="J141" t="str">
            <v>Meriania quintuplinervis Naudin</v>
          </cell>
          <cell r="K141" t="str">
            <v>Naudin</v>
          </cell>
          <cell r="M141" t="str">
            <v>tuno, tuno amarillo</v>
          </cell>
        </row>
        <row r="142">
          <cell r="A142" t="str">
            <v>Meriania silverstonei</v>
          </cell>
          <cell r="B142">
            <v>141</v>
          </cell>
          <cell r="C142" t="str">
            <v>Plantae</v>
          </cell>
          <cell r="D142" t="str">
            <v>Magnoliophyta</v>
          </cell>
          <cell r="E142" t="str">
            <v>Equisetopsida</v>
          </cell>
          <cell r="F142" t="str">
            <v>Myrtales</v>
          </cell>
          <cell r="G142" t="str">
            <v>Melastomataceae</v>
          </cell>
          <cell r="H142" t="str">
            <v>Meriania</v>
          </cell>
          <cell r="I142" t="str">
            <v>silverstonei</v>
          </cell>
          <cell r="J142" t="str">
            <v>Meriania silverstonei Humberto Mend. &amp; Fern.Alonso</v>
          </cell>
          <cell r="K142" t="str">
            <v>Humberto Mend. &amp; Fern.Alonso</v>
          </cell>
        </row>
        <row r="143">
          <cell r="A143" t="str">
            <v>Meriania splendens</v>
          </cell>
          <cell r="B143">
            <v>142</v>
          </cell>
          <cell r="C143" t="str">
            <v>Plantae</v>
          </cell>
          <cell r="D143" t="str">
            <v>Magnoliophyta</v>
          </cell>
          <cell r="E143" t="str">
            <v>Equisetopsida</v>
          </cell>
          <cell r="F143" t="str">
            <v>Myrtales</v>
          </cell>
          <cell r="G143" t="str">
            <v>Melastomataceae</v>
          </cell>
          <cell r="H143" t="str">
            <v>Meriania</v>
          </cell>
          <cell r="I143" t="str">
            <v>splendens</v>
          </cell>
          <cell r="J143" t="str">
            <v>Meriania splendens Triana</v>
          </cell>
          <cell r="K143" t="str">
            <v>Triana</v>
          </cell>
          <cell r="M143" t="str">
            <v>mayo, carbunquillo, maya, siete cueros, garbunquillo, amarrabollo</v>
          </cell>
        </row>
        <row r="144">
          <cell r="A144" t="str">
            <v>Meriania trianae</v>
          </cell>
          <cell r="B144">
            <v>143</v>
          </cell>
          <cell r="C144" t="str">
            <v>Plantae</v>
          </cell>
          <cell r="D144" t="str">
            <v>Magnoliophyta</v>
          </cell>
          <cell r="E144" t="str">
            <v>Equisetopsida</v>
          </cell>
          <cell r="F144" t="str">
            <v>Myrtales</v>
          </cell>
          <cell r="G144" t="str">
            <v>Melastomataceae</v>
          </cell>
          <cell r="H144" t="str">
            <v>Meriania</v>
          </cell>
          <cell r="I144" t="str">
            <v>trianae</v>
          </cell>
          <cell r="J144" t="str">
            <v>Meriania trianae (H.Karst.) Cogn.</v>
          </cell>
          <cell r="K144" t="str">
            <v>(H.Karst.) Cogn.</v>
          </cell>
        </row>
        <row r="145">
          <cell r="A145" t="str">
            <v>Meriania tuberculata</v>
          </cell>
          <cell r="B145">
            <v>144</v>
          </cell>
          <cell r="C145" t="str">
            <v>Plantae</v>
          </cell>
          <cell r="D145" t="str">
            <v>Magnoliophyta</v>
          </cell>
          <cell r="E145" t="str">
            <v>Equisetopsida</v>
          </cell>
          <cell r="F145" t="str">
            <v>Myrtales</v>
          </cell>
          <cell r="G145" t="str">
            <v>Melastomataceae</v>
          </cell>
          <cell r="H145" t="str">
            <v>Meriania</v>
          </cell>
          <cell r="I145" t="str">
            <v>tuberculata</v>
          </cell>
          <cell r="J145" t="str">
            <v>Meriania tuberculata Triana</v>
          </cell>
          <cell r="K145" t="str">
            <v>Triana</v>
          </cell>
          <cell r="L145" t="str">
            <v>campanita</v>
          </cell>
        </row>
        <row r="146">
          <cell r="A146" t="str">
            <v>Meriania umbellata</v>
          </cell>
          <cell r="B146">
            <v>145</v>
          </cell>
          <cell r="C146" t="str">
            <v xml:space="preserve">Plantae </v>
          </cell>
          <cell r="D146" t="str">
            <v>Magnoliophyta</v>
          </cell>
          <cell r="E146" t="str">
            <v>Equisetopsida</v>
          </cell>
          <cell r="F146" t="str">
            <v>Myrtales</v>
          </cell>
          <cell r="G146" t="str">
            <v>Melastomataceae</v>
          </cell>
          <cell r="H146" t="str">
            <v>Meriania</v>
          </cell>
          <cell r="I146" t="str">
            <v>umbellata</v>
          </cell>
          <cell r="J146" t="str">
            <v>Meriania umbellata H.Karst.</v>
          </cell>
          <cell r="K146" t="str">
            <v>H.Karst.</v>
          </cell>
        </row>
        <row r="147">
          <cell r="A147" t="str">
            <v>Meriania versicolor</v>
          </cell>
          <cell r="B147">
            <v>146</v>
          </cell>
          <cell r="C147" t="str">
            <v xml:space="preserve">Plantae </v>
          </cell>
          <cell r="D147" t="str">
            <v>Magnoliophyta</v>
          </cell>
          <cell r="E147" t="str">
            <v>Equisetopsida</v>
          </cell>
          <cell r="F147" t="str">
            <v>Myrtales</v>
          </cell>
          <cell r="G147" t="str">
            <v>Melastomataceae</v>
          </cell>
          <cell r="H147" t="str">
            <v>Meriania</v>
          </cell>
          <cell r="I147" t="str">
            <v>versicolor</v>
          </cell>
          <cell r="J147" t="str">
            <v>Meriania versicolor L.Uribe</v>
          </cell>
          <cell r="K147" t="str">
            <v>L.Uribe</v>
          </cell>
        </row>
        <row r="148">
          <cell r="A148" t="str">
            <v>Meriania yalconensis</v>
          </cell>
          <cell r="B148">
            <v>147</v>
          </cell>
          <cell r="C148" t="str">
            <v>Plantae</v>
          </cell>
          <cell r="D148" t="str">
            <v>Magnoliophyta</v>
          </cell>
          <cell r="E148" t="str">
            <v>Equisetopsida</v>
          </cell>
          <cell r="F148" t="str">
            <v>Myrtales</v>
          </cell>
          <cell r="G148" t="str">
            <v>Melastomataceae</v>
          </cell>
          <cell r="H148" t="str">
            <v>Meriania</v>
          </cell>
          <cell r="I148" t="str">
            <v>yalconensis</v>
          </cell>
          <cell r="J148" t="str">
            <v>Meriania yalconensis Humberto Mend. &amp; Fern.Alonso</v>
          </cell>
          <cell r="K148" t="str">
            <v>Humberto Mend. &amp; Fern.Alonso</v>
          </cell>
        </row>
        <row r="149">
          <cell r="A149" t="str">
            <v>Mezilaurus introrsa</v>
          </cell>
          <cell r="B149">
            <v>148</v>
          </cell>
          <cell r="C149" t="str">
            <v>Plantae</v>
          </cell>
          <cell r="D149" t="str">
            <v>Magnoliophyta</v>
          </cell>
          <cell r="E149" t="str">
            <v>Equisetopsida</v>
          </cell>
          <cell r="F149" t="str">
            <v>Laurales</v>
          </cell>
          <cell r="G149" t="str">
            <v>Lauraceae</v>
          </cell>
          <cell r="H149" t="str">
            <v>Mezilaurus</v>
          </cell>
          <cell r="I149" t="str">
            <v>introrsa</v>
          </cell>
          <cell r="J149" t="str">
            <v>Mezilaurus introrsa F.M.Alves &amp; van der Werff</v>
          </cell>
          <cell r="K149" t="str">
            <v>F.M.Alves &amp; van der Werff</v>
          </cell>
        </row>
        <row r="150">
          <cell r="A150" t="str">
            <v>Miconia acanthocoryne</v>
          </cell>
          <cell r="B150">
            <v>149</v>
          </cell>
          <cell r="C150" t="str">
            <v xml:space="preserve">Plantae </v>
          </cell>
          <cell r="D150" t="str">
            <v>Magnoliophyta</v>
          </cell>
          <cell r="E150" t="str">
            <v>Equisetopsida</v>
          </cell>
          <cell r="F150" t="str">
            <v>Myrtales</v>
          </cell>
          <cell r="G150" t="str">
            <v>Melastomataceae</v>
          </cell>
          <cell r="H150" t="str">
            <v>Miconia</v>
          </cell>
          <cell r="I150" t="str">
            <v>acanthocoryne</v>
          </cell>
          <cell r="J150" t="str">
            <v>Miconia acanthocoryne Wurdack</v>
          </cell>
          <cell r="K150" t="str">
            <v>Wurdack</v>
          </cell>
        </row>
        <row r="151">
          <cell r="A151" t="str">
            <v>Miconia acuminifera</v>
          </cell>
          <cell r="B151">
            <v>150</v>
          </cell>
          <cell r="C151" t="str">
            <v>Plantae</v>
          </cell>
          <cell r="D151" t="str">
            <v>Magnoliophyta</v>
          </cell>
          <cell r="E151" t="str">
            <v>Equisetopsida</v>
          </cell>
          <cell r="F151" t="str">
            <v>Myrtales</v>
          </cell>
          <cell r="G151" t="str">
            <v>Melastomataceae</v>
          </cell>
          <cell r="H151" t="str">
            <v>Miconia</v>
          </cell>
          <cell r="I151" t="str">
            <v>acuminifera</v>
          </cell>
          <cell r="J151" t="str">
            <v>Miconia acuminifera Triana</v>
          </cell>
          <cell r="K151" t="str">
            <v>Triana</v>
          </cell>
          <cell r="M151" t="str">
            <v>danto blanco, mortiño, tuno blanco, tuno colorado, nigüito</v>
          </cell>
        </row>
        <row r="152">
          <cell r="A152" t="str">
            <v>Miconia aguirrei</v>
          </cell>
          <cell r="B152">
            <v>151</v>
          </cell>
          <cell r="C152" t="str">
            <v xml:space="preserve">Plantae </v>
          </cell>
          <cell r="D152" t="str">
            <v>Magnoliophyta</v>
          </cell>
          <cell r="E152" t="str">
            <v>Equisetopsida</v>
          </cell>
          <cell r="F152" t="str">
            <v>Myrtales</v>
          </cell>
          <cell r="G152" t="str">
            <v>Melastomataceae</v>
          </cell>
          <cell r="H152" t="str">
            <v>Miconia</v>
          </cell>
          <cell r="I152" t="str">
            <v>aguirrei</v>
          </cell>
          <cell r="J152" t="str">
            <v>Miconia aguirrei L.Uribe</v>
          </cell>
          <cell r="K152" t="str">
            <v>L.Uribe</v>
          </cell>
          <cell r="M152" t="str">
            <v>morcate, tuno</v>
          </cell>
        </row>
        <row r="153">
          <cell r="A153" t="str">
            <v>Miconia archeri</v>
          </cell>
          <cell r="B153">
            <v>152</v>
          </cell>
          <cell r="C153" t="str">
            <v>Plantae</v>
          </cell>
          <cell r="D153" t="str">
            <v>Magnoliophyta</v>
          </cell>
          <cell r="E153" t="str">
            <v>Equisetopsida</v>
          </cell>
          <cell r="F153" t="str">
            <v>Myrtales</v>
          </cell>
          <cell r="G153" t="str">
            <v>Melastomataceae</v>
          </cell>
          <cell r="H153" t="str">
            <v>Miconia</v>
          </cell>
          <cell r="I153" t="str">
            <v>archeri</v>
          </cell>
          <cell r="J153" t="str">
            <v>Miconia archeri Wurdack</v>
          </cell>
          <cell r="K153" t="str">
            <v>Wurdack</v>
          </cell>
        </row>
        <row r="154">
          <cell r="A154" t="str">
            <v>Miconia blakeifolia</v>
          </cell>
          <cell r="B154">
            <v>153</v>
          </cell>
          <cell r="C154" t="str">
            <v xml:space="preserve">Plantae </v>
          </cell>
          <cell r="D154" t="str">
            <v>Magnoliophyta</v>
          </cell>
          <cell r="E154" t="str">
            <v>Equisetopsida</v>
          </cell>
          <cell r="F154" t="str">
            <v>Myrtales</v>
          </cell>
          <cell r="G154" t="str">
            <v>Melastomataceae</v>
          </cell>
          <cell r="H154" t="str">
            <v>Miconia</v>
          </cell>
          <cell r="I154" t="str">
            <v>blakeifolia</v>
          </cell>
          <cell r="J154" t="str">
            <v>Miconia blakeifolia Gleason</v>
          </cell>
          <cell r="K154" t="str">
            <v>Gleason</v>
          </cell>
        </row>
        <row r="155">
          <cell r="A155" t="str">
            <v>Miconia codonostigma</v>
          </cell>
          <cell r="B155">
            <v>154</v>
          </cell>
          <cell r="C155" t="str">
            <v>Plantae</v>
          </cell>
          <cell r="D155" t="str">
            <v>Magnoliophyta</v>
          </cell>
          <cell r="E155" t="str">
            <v>Equisetopsida</v>
          </cell>
          <cell r="F155" t="str">
            <v>Myrtales</v>
          </cell>
          <cell r="G155" t="str">
            <v>Melastomataceae</v>
          </cell>
          <cell r="H155" t="str">
            <v>Miconia</v>
          </cell>
          <cell r="I155" t="str">
            <v>codonostigma</v>
          </cell>
          <cell r="J155" t="str">
            <v>Miconia codonostigma Gleason &amp; Wurdack</v>
          </cell>
          <cell r="K155" t="str">
            <v>Gleason &amp; Wurdack</v>
          </cell>
        </row>
        <row r="156">
          <cell r="A156" t="str">
            <v>Miconia coronata</v>
          </cell>
          <cell r="B156">
            <v>155</v>
          </cell>
          <cell r="C156" t="str">
            <v>Plantae</v>
          </cell>
          <cell r="D156" t="str">
            <v>Magnoliophyta</v>
          </cell>
          <cell r="E156" t="str">
            <v>Equisetopsida</v>
          </cell>
          <cell r="F156" t="str">
            <v>Myrtales</v>
          </cell>
          <cell r="G156" t="str">
            <v>Melastomataceae</v>
          </cell>
          <cell r="H156" t="str">
            <v>Miconia</v>
          </cell>
          <cell r="I156" t="str">
            <v>coronata</v>
          </cell>
          <cell r="J156" t="str">
            <v>Miconia coronata DC.</v>
          </cell>
          <cell r="K156" t="str">
            <v>DC.</v>
          </cell>
        </row>
        <row r="157">
          <cell r="A157" t="str">
            <v>Miconia coronifera</v>
          </cell>
          <cell r="B157">
            <v>156</v>
          </cell>
          <cell r="C157" t="str">
            <v xml:space="preserve">Plantae </v>
          </cell>
          <cell r="D157" t="str">
            <v>Magnoliophyta</v>
          </cell>
          <cell r="E157" t="str">
            <v>Equisetopsida</v>
          </cell>
          <cell r="F157" t="str">
            <v>Myrtales</v>
          </cell>
          <cell r="G157" t="str">
            <v>Melastomataceae</v>
          </cell>
          <cell r="H157" t="str">
            <v>Miconia</v>
          </cell>
          <cell r="I157" t="str">
            <v>coronifera</v>
          </cell>
          <cell r="J157" t="str">
            <v>Miconia coronifera Wurdack</v>
          </cell>
          <cell r="K157" t="str">
            <v>Wurdack</v>
          </cell>
          <cell r="L157" t="str">
            <v>morochillo</v>
          </cell>
        </row>
        <row r="158">
          <cell r="A158" t="str">
            <v>Miconia cundinamarcensis</v>
          </cell>
          <cell r="B158">
            <v>157</v>
          </cell>
          <cell r="C158" t="str">
            <v>Plantae</v>
          </cell>
          <cell r="D158" t="str">
            <v>Magnoliophyta</v>
          </cell>
          <cell r="E158" t="str">
            <v>Equisetopsida</v>
          </cell>
          <cell r="F158" t="str">
            <v>Myrtales</v>
          </cell>
          <cell r="G158" t="str">
            <v>Melastomataceae</v>
          </cell>
          <cell r="H158" t="str">
            <v>Miconia</v>
          </cell>
          <cell r="I158" t="str">
            <v>cundinamarcensis</v>
          </cell>
          <cell r="J158" t="str">
            <v>Miconia cundinamarcensis Wurdack</v>
          </cell>
          <cell r="K158" t="str">
            <v>Wurdack</v>
          </cell>
          <cell r="M158" t="str">
            <v>angelillo, nigüito, tuno, tuno negro</v>
          </cell>
        </row>
        <row r="159">
          <cell r="A159" t="str">
            <v>Miconia decipiens</v>
          </cell>
          <cell r="B159">
            <v>158</v>
          </cell>
          <cell r="C159" t="str">
            <v>Plantae</v>
          </cell>
          <cell r="D159" t="str">
            <v>Magnoliophyta</v>
          </cell>
          <cell r="E159" t="str">
            <v>Equisetopsida</v>
          </cell>
          <cell r="F159" t="str">
            <v>Myrtales</v>
          </cell>
          <cell r="G159" t="str">
            <v>Melastomataceae</v>
          </cell>
          <cell r="H159" t="str">
            <v>Miconia</v>
          </cell>
          <cell r="I159" t="str">
            <v>decipiens</v>
          </cell>
          <cell r="J159" t="str">
            <v>Miconia decipiens Cogn.</v>
          </cell>
          <cell r="K159" t="str">
            <v>Cogn.</v>
          </cell>
        </row>
        <row r="160">
          <cell r="A160" t="str">
            <v>Miconia gleasoniana</v>
          </cell>
          <cell r="B160">
            <v>159</v>
          </cell>
          <cell r="C160" t="str">
            <v>Plantae</v>
          </cell>
          <cell r="D160" t="str">
            <v>Magnoliophyta</v>
          </cell>
          <cell r="E160" t="str">
            <v>Equisetopsida</v>
          </cell>
          <cell r="F160" t="str">
            <v>Myrtales</v>
          </cell>
          <cell r="G160" t="str">
            <v>Melastomataceae</v>
          </cell>
          <cell r="H160" t="str">
            <v>Miconia</v>
          </cell>
          <cell r="I160" t="str">
            <v>gleasoniana</v>
          </cell>
          <cell r="J160" t="str">
            <v>Miconia gleasoniana Wurdack</v>
          </cell>
          <cell r="K160" t="str">
            <v>Wurdack</v>
          </cell>
          <cell r="M160" t="str">
            <v>amarillo, pandero, tuno, nigüito</v>
          </cell>
        </row>
        <row r="161">
          <cell r="A161" t="str">
            <v>Miconia grandiflora</v>
          </cell>
          <cell r="B161">
            <v>160</v>
          </cell>
          <cell r="C161" t="str">
            <v xml:space="preserve">Plantae </v>
          </cell>
          <cell r="D161" t="str">
            <v>Magnoliophyta</v>
          </cell>
          <cell r="E161" t="str">
            <v>Equisetopsida</v>
          </cell>
          <cell r="F161" t="str">
            <v>Myrtales</v>
          </cell>
          <cell r="G161" t="str">
            <v>Melastomataceae</v>
          </cell>
          <cell r="H161" t="str">
            <v>Miconia</v>
          </cell>
          <cell r="I161" t="str">
            <v>grandiflora</v>
          </cell>
          <cell r="J161" t="str">
            <v>Miconia grandiflora Cogn.</v>
          </cell>
          <cell r="K161" t="str">
            <v>Cogn.</v>
          </cell>
          <cell r="L161" t="str">
            <v>tuno</v>
          </cell>
        </row>
        <row r="162">
          <cell r="A162" t="str">
            <v>Miconia ingens</v>
          </cell>
          <cell r="B162">
            <v>161</v>
          </cell>
          <cell r="C162" t="str">
            <v>Plantae</v>
          </cell>
          <cell r="D162" t="str">
            <v>Magnoliophyta</v>
          </cell>
          <cell r="E162" t="str">
            <v>Equisetopsida</v>
          </cell>
          <cell r="F162" t="str">
            <v>Myrtales</v>
          </cell>
          <cell r="G162" t="str">
            <v>Melastomataceae</v>
          </cell>
          <cell r="H162" t="str">
            <v>Miconia</v>
          </cell>
          <cell r="I162" t="str">
            <v>ingens</v>
          </cell>
          <cell r="J162" t="str">
            <v>Miconia ingens Wurdack</v>
          </cell>
          <cell r="K162" t="str">
            <v>Wurdack</v>
          </cell>
        </row>
        <row r="163">
          <cell r="A163" t="str">
            <v>Miconia laetivirens</v>
          </cell>
          <cell r="B163">
            <v>162</v>
          </cell>
          <cell r="C163" t="str">
            <v xml:space="preserve">Plantae </v>
          </cell>
          <cell r="D163" t="str">
            <v>Magnoliophyta</v>
          </cell>
          <cell r="E163" t="str">
            <v>Equisetopsida</v>
          </cell>
          <cell r="F163" t="str">
            <v>Myrtales</v>
          </cell>
          <cell r="G163" t="str">
            <v>Melastomataceae</v>
          </cell>
          <cell r="H163" t="str">
            <v>Miconia</v>
          </cell>
          <cell r="I163" t="str">
            <v>laetivirens</v>
          </cell>
          <cell r="J163" t="str">
            <v>Miconia laetivirens L.Uribe</v>
          </cell>
          <cell r="K163" t="str">
            <v>L.Uribe</v>
          </cell>
          <cell r="L163" t="str">
            <v>morochillo</v>
          </cell>
        </row>
        <row r="164">
          <cell r="A164" t="str">
            <v>Miconia megalantha</v>
          </cell>
          <cell r="B164">
            <v>163</v>
          </cell>
          <cell r="C164" t="str">
            <v>Plantae</v>
          </cell>
          <cell r="D164" t="str">
            <v>Magnoliophyta</v>
          </cell>
          <cell r="E164" t="str">
            <v>Equisetopsida</v>
          </cell>
          <cell r="F164" t="str">
            <v>Myrtales</v>
          </cell>
          <cell r="G164" t="str">
            <v>Melastomataceae</v>
          </cell>
          <cell r="H164" t="str">
            <v>Miconia</v>
          </cell>
          <cell r="I164" t="str">
            <v>megalantha</v>
          </cell>
          <cell r="J164" t="str">
            <v>Miconia megalantha Gleason</v>
          </cell>
          <cell r="K164" t="str">
            <v>Gleason</v>
          </cell>
          <cell r="M164" t="str">
            <v>mora, suazo</v>
          </cell>
        </row>
        <row r="165">
          <cell r="A165" t="str">
            <v>Miconia miocarpa</v>
          </cell>
          <cell r="B165">
            <v>164</v>
          </cell>
          <cell r="C165" t="str">
            <v xml:space="preserve">Plantae </v>
          </cell>
          <cell r="D165" t="str">
            <v>Magnoliophyta</v>
          </cell>
          <cell r="E165" t="str">
            <v>Equisetopsida</v>
          </cell>
          <cell r="F165" t="str">
            <v>Myrtales</v>
          </cell>
          <cell r="G165" t="str">
            <v>Melastomataceae</v>
          </cell>
          <cell r="H165" t="str">
            <v>Miconia</v>
          </cell>
          <cell r="I165" t="str">
            <v>miocarpa</v>
          </cell>
          <cell r="J165" t="str">
            <v>Miconia miocarpa Naudin</v>
          </cell>
          <cell r="K165" t="str">
            <v>Naudin</v>
          </cell>
          <cell r="L165" t="str">
            <v>tuno</v>
          </cell>
        </row>
        <row r="166">
          <cell r="A166" t="str">
            <v>Miconia pergamentacea</v>
          </cell>
          <cell r="B166">
            <v>165</v>
          </cell>
          <cell r="C166" t="str">
            <v>Plantae</v>
          </cell>
          <cell r="D166" t="str">
            <v>Magnoliophyta</v>
          </cell>
          <cell r="E166" t="str">
            <v>Equisetopsida</v>
          </cell>
          <cell r="F166" t="str">
            <v>Myrtales</v>
          </cell>
          <cell r="G166" t="str">
            <v>Melastomataceae</v>
          </cell>
          <cell r="H166" t="str">
            <v>Miconia</v>
          </cell>
          <cell r="I166" t="str">
            <v>pergamentacea</v>
          </cell>
          <cell r="J166" t="str">
            <v>Miconia pergamentacea Cogn.</v>
          </cell>
          <cell r="K166" t="str">
            <v>Cogn.</v>
          </cell>
        </row>
        <row r="167">
          <cell r="A167" t="str">
            <v>Miconia piperifolia</v>
          </cell>
          <cell r="B167">
            <v>166</v>
          </cell>
          <cell r="C167" t="str">
            <v>Plantae</v>
          </cell>
          <cell r="D167" t="str">
            <v>Magnoliophyta</v>
          </cell>
          <cell r="E167" t="str">
            <v>Equisetopsida</v>
          </cell>
          <cell r="F167" t="str">
            <v>Myrtales</v>
          </cell>
          <cell r="G167" t="str">
            <v>Melastomataceae</v>
          </cell>
          <cell r="H167" t="str">
            <v>Miconia</v>
          </cell>
          <cell r="I167" t="str">
            <v>piperifolia</v>
          </cell>
          <cell r="J167" t="str">
            <v>Miconia piperifolia Triana</v>
          </cell>
          <cell r="K167" t="str">
            <v>Triana</v>
          </cell>
        </row>
        <row r="168">
          <cell r="A168" t="str">
            <v>Miconia plena</v>
          </cell>
          <cell r="B168">
            <v>167</v>
          </cell>
          <cell r="C168" t="str">
            <v>Plantae</v>
          </cell>
          <cell r="D168" t="str">
            <v>Magnoliophyta</v>
          </cell>
          <cell r="E168" t="str">
            <v>Equisetopsida</v>
          </cell>
          <cell r="F168" t="str">
            <v>Myrtales</v>
          </cell>
          <cell r="G168" t="str">
            <v>Melastomataceae</v>
          </cell>
          <cell r="H168" t="str">
            <v>Miconia</v>
          </cell>
          <cell r="I168" t="str">
            <v>plena</v>
          </cell>
          <cell r="J168" t="str">
            <v>Miconia plena Gleason</v>
          </cell>
          <cell r="K168" t="str">
            <v>Gleason</v>
          </cell>
        </row>
        <row r="169">
          <cell r="A169" t="str">
            <v>Miconia plethorica</v>
          </cell>
          <cell r="B169">
            <v>168</v>
          </cell>
          <cell r="C169" t="str">
            <v xml:space="preserve">Plantae </v>
          </cell>
          <cell r="D169" t="str">
            <v>Magnoliophyta</v>
          </cell>
          <cell r="E169" t="str">
            <v>Equisetopsida</v>
          </cell>
          <cell r="F169" t="str">
            <v>Myrtales</v>
          </cell>
          <cell r="G169" t="str">
            <v>Melastomataceae</v>
          </cell>
          <cell r="H169" t="str">
            <v>Miconia</v>
          </cell>
          <cell r="I169" t="str">
            <v>plethorica</v>
          </cell>
          <cell r="J169" t="str">
            <v>Miconia plethorica Naudin</v>
          </cell>
          <cell r="K169" t="str">
            <v>Naudin</v>
          </cell>
          <cell r="M169" t="str">
            <v>siete cueros, tuno, tuno amarillo, tuno grande</v>
          </cell>
        </row>
        <row r="170">
          <cell r="A170" t="str">
            <v>Miconia poecilantha</v>
          </cell>
          <cell r="B170">
            <v>169</v>
          </cell>
          <cell r="C170" t="str">
            <v xml:space="preserve">Plantae </v>
          </cell>
          <cell r="D170" t="str">
            <v>Magnoliophyta</v>
          </cell>
          <cell r="E170" t="str">
            <v>Equisetopsida</v>
          </cell>
          <cell r="F170" t="str">
            <v>Myrtales</v>
          </cell>
          <cell r="G170" t="str">
            <v>Melastomataceae</v>
          </cell>
          <cell r="H170" t="str">
            <v>Miconia</v>
          </cell>
          <cell r="I170" t="str">
            <v>poecilantha</v>
          </cell>
          <cell r="J170" t="str">
            <v>Miconia poecilantha L.Uribe</v>
          </cell>
          <cell r="K170" t="str">
            <v>L.Uribe</v>
          </cell>
          <cell r="L170" t="str">
            <v>tuno</v>
          </cell>
        </row>
        <row r="171">
          <cell r="A171" t="str">
            <v>Miconia prasinifolia</v>
          </cell>
          <cell r="B171">
            <v>170</v>
          </cell>
          <cell r="C171" t="str">
            <v>Plantae</v>
          </cell>
          <cell r="D171" t="str">
            <v>Magnoliophyta</v>
          </cell>
          <cell r="E171" t="str">
            <v>Equisetopsida</v>
          </cell>
          <cell r="F171" t="str">
            <v>Myrtales</v>
          </cell>
          <cell r="G171" t="str">
            <v>Melastomataceae</v>
          </cell>
          <cell r="H171" t="str">
            <v>Miconia</v>
          </cell>
          <cell r="I171" t="str">
            <v>prasinifolia</v>
          </cell>
          <cell r="J171" t="str">
            <v>Miconia prasinifolia Gleason</v>
          </cell>
          <cell r="K171" t="str">
            <v>Gleason</v>
          </cell>
        </row>
        <row r="172">
          <cell r="A172" t="str">
            <v>Miconia pseudoradula</v>
          </cell>
          <cell r="B172">
            <v>171</v>
          </cell>
          <cell r="C172" t="str">
            <v xml:space="preserve">Plantae </v>
          </cell>
          <cell r="D172" t="str">
            <v>Magnoliophyta</v>
          </cell>
          <cell r="E172" t="str">
            <v>Equisetopsida</v>
          </cell>
          <cell r="F172" t="str">
            <v>Myrtales</v>
          </cell>
          <cell r="G172" t="str">
            <v>Melastomataceae</v>
          </cell>
          <cell r="H172" t="str">
            <v>Miconia</v>
          </cell>
          <cell r="I172" t="str">
            <v>pseudoradula</v>
          </cell>
          <cell r="J172" t="str">
            <v>Miconia pseudoradula Cogn. &amp; Gleason</v>
          </cell>
          <cell r="K172" t="str">
            <v>Cogn. &amp; Gleason</v>
          </cell>
        </row>
        <row r="173">
          <cell r="A173" t="str">
            <v>Miconia psychrophila</v>
          </cell>
          <cell r="B173">
            <v>172</v>
          </cell>
          <cell r="C173" t="str">
            <v>Plantae</v>
          </cell>
          <cell r="D173" t="str">
            <v>Magnoliophyta</v>
          </cell>
          <cell r="E173" t="str">
            <v>Equisetopsida</v>
          </cell>
          <cell r="F173" t="str">
            <v>Myrtales</v>
          </cell>
          <cell r="G173" t="str">
            <v>Melastomataceae</v>
          </cell>
          <cell r="H173" t="str">
            <v>Miconia</v>
          </cell>
          <cell r="I173" t="str">
            <v>psychrophila</v>
          </cell>
          <cell r="J173" t="str">
            <v>Miconia psychrophila Naudin</v>
          </cell>
          <cell r="K173" t="str">
            <v>Naudin</v>
          </cell>
          <cell r="M173" t="str">
            <v>mortiño, nigüito, quillo</v>
          </cell>
        </row>
        <row r="174">
          <cell r="A174" t="str">
            <v>Miconia puracensis</v>
          </cell>
          <cell r="B174">
            <v>173</v>
          </cell>
          <cell r="C174" t="str">
            <v>Plantae</v>
          </cell>
          <cell r="D174" t="str">
            <v>Magnoliophyta</v>
          </cell>
          <cell r="E174" t="str">
            <v>Equisetopsida</v>
          </cell>
          <cell r="F174" t="str">
            <v>Myrtales</v>
          </cell>
          <cell r="G174" t="str">
            <v>Melastomataceae</v>
          </cell>
          <cell r="H174" t="str">
            <v>Miconia</v>
          </cell>
          <cell r="I174" t="str">
            <v>puracensis</v>
          </cell>
          <cell r="J174" t="str">
            <v>Miconia puracensis Wurdack</v>
          </cell>
          <cell r="K174" t="str">
            <v>Wurdack</v>
          </cell>
          <cell r="M174" t="str">
            <v>cántaro pequeño, faltan flores</v>
          </cell>
        </row>
        <row r="175">
          <cell r="A175" t="str">
            <v>Miconia quintuplinervia</v>
          </cell>
          <cell r="B175">
            <v>174</v>
          </cell>
          <cell r="C175" t="str">
            <v>Plantae</v>
          </cell>
          <cell r="D175" t="str">
            <v>Magnoliophyta</v>
          </cell>
          <cell r="E175" t="str">
            <v>Equisetopsida</v>
          </cell>
          <cell r="F175" t="str">
            <v>Myrtales</v>
          </cell>
          <cell r="G175" t="str">
            <v>Melastomataceae</v>
          </cell>
          <cell r="H175" t="str">
            <v>Miconia</v>
          </cell>
          <cell r="I175" t="str">
            <v>quintuplinervia</v>
          </cell>
          <cell r="J175" t="str">
            <v>Miconia quintuplinervia Cong.</v>
          </cell>
          <cell r="K175" t="str">
            <v>Cong.</v>
          </cell>
          <cell r="L175" t="str">
            <v xml:space="preserve">nigüito </v>
          </cell>
        </row>
        <row r="176">
          <cell r="A176" t="str">
            <v>Miconia reclinata</v>
          </cell>
          <cell r="B176">
            <v>175</v>
          </cell>
          <cell r="C176" t="str">
            <v xml:space="preserve">Plantae </v>
          </cell>
          <cell r="D176" t="str">
            <v>Magnoliophyta</v>
          </cell>
          <cell r="E176" t="str">
            <v>Equisetopsida</v>
          </cell>
          <cell r="F176" t="str">
            <v>Myrtales</v>
          </cell>
          <cell r="G176" t="str">
            <v>Melastomataceae</v>
          </cell>
          <cell r="H176" t="str">
            <v>Miconia</v>
          </cell>
          <cell r="I176" t="str">
            <v>reclinata</v>
          </cell>
          <cell r="J176" t="str">
            <v>Miconia reclinata (Bonpl.) Naudin</v>
          </cell>
          <cell r="K176" t="str">
            <v>(Bonpl.) Naudin</v>
          </cell>
          <cell r="L176" t="str">
            <v>tunito</v>
          </cell>
        </row>
        <row r="177">
          <cell r="A177" t="str">
            <v>Miconia sandemanii</v>
          </cell>
          <cell r="B177">
            <v>176</v>
          </cell>
          <cell r="C177" t="str">
            <v>Plantae</v>
          </cell>
          <cell r="D177" t="str">
            <v>Magnoliophyta</v>
          </cell>
          <cell r="E177" t="str">
            <v>Equisetopsida</v>
          </cell>
          <cell r="F177" t="str">
            <v>Myrtales</v>
          </cell>
          <cell r="G177" t="str">
            <v>Melastomataceae</v>
          </cell>
          <cell r="H177" t="str">
            <v>Miconia</v>
          </cell>
          <cell r="I177" t="str">
            <v>sandemanii</v>
          </cell>
          <cell r="J177" t="str">
            <v>Miconia sandemanii Wurdack</v>
          </cell>
          <cell r="K177" t="str">
            <v>Wurdack</v>
          </cell>
        </row>
        <row r="178">
          <cell r="A178" t="str">
            <v>Miconia setosa</v>
          </cell>
          <cell r="B178">
            <v>177</v>
          </cell>
          <cell r="C178" t="str">
            <v>Plantae</v>
          </cell>
          <cell r="D178" t="str">
            <v>Magnoliophyta</v>
          </cell>
          <cell r="E178" t="str">
            <v>Equisetopsida</v>
          </cell>
          <cell r="F178" t="str">
            <v>Myrtales</v>
          </cell>
          <cell r="G178" t="str">
            <v>Melastomataceae</v>
          </cell>
          <cell r="H178" t="str">
            <v>Miconia</v>
          </cell>
          <cell r="I178" t="str">
            <v>setosa</v>
          </cell>
          <cell r="J178" t="str">
            <v>Miconia setosa Wurdack</v>
          </cell>
          <cell r="K178" t="str">
            <v>Wurdack</v>
          </cell>
        </row>
        <row r="179">
          <cell r="A179" t="str">
            <v>Miconia smithii</v>
          </cell>
          <cell r="B179">
            <v>178</v>
          </cell>
          <cell r="C179" t="str">
            <v xml:space="preserve">Plantae </v>
          </cell>
          <cell r="D179" t="str">
            <v>Magnoliophyta</v>
          </cell>
          <cell r="E179" t="str">
            <v>Equisetopsida</v>
          </cell>
          <cell r="F179" t="str">
            <v>Myrtales</v>
          </cell>
          <cell r="G179" t="str">
            <v>Melastomataceae</v>
          </cell>
          <cell r="H179" t="str">
            <v>Miconia</v>
          </cell>
          <cell r="I179" t="str">
            <v>smithii</v>
          </cell>
          <cell r="J179" t="str">
            <v>Miconia smithii Cogn. ex Gleason</v>
          </cell>
          <cell r="K179" t="str">
            <v>Cogn. ex Gleason</v>
          </cell>
          <cell r="M179" t="str">
            <v>aguanoso, manzanillo, niguito</v>
          </cell>
        </row>
        <row r="180">
          <cell r="A180" t="str">
            <v>Miconia subsessilifolia</v>
          </cell>
          <cell r="B180">
            <v>179</v>
          </cell>
          <cell r="C180" t="str">
            <v>Plantae</v>
          </cell>
          <cell r="D180" t="str">
            <v>Magnoliophyta</v>
          </cell>
          <cell r="E180" t="str">
            <v>Equisetopsida</v>
          </cell>
          <cell r="F180" t="str">
            <v>Myrtales</v>
          </cell>
          <cell r="G180" t="str">
            <v>Melastomataceae</v>
          </cell>
          <cell r="H180" t="str">
            <v>Miconia</v>
          </cell>
          <cell r="I180" t="str">
            <v>subsessilifolia</v>
          </cell>
          <cell r="J180" t="str">
            <v>Miconia subsessilifolia Wurdack</v>
          </cell>
          <cell r="K180" t="str">
            <v>Wurdack</v>
          </cell>
          <cell r="L180" t="str">
            <v xml:space="preserve">nigüito </v>
          </cell>
        </row>
        <row r="181">
          <cell r="A181" t="str">
            <v>Miconia summa</v>
          </cell>
          <cell r="B181">
            <v>180</v>
          </cell>
          <cell r="C181" t="str">
            <v xml:space="preserve">Plantae </v>
          </cell>
          <cell r="D181" t="str">
            <v>Magnoliophyta</v>
          </cell>
          <cell r="E181" t="str">
            <v>Equisetopsida</v>
          </cell>
          <cell r="F181" t="str">
            <v>Myrtales</v>
          </cell>
          <cell r="G181" t="str">
            <v>Melastomataceae</v>
          </cell>
          <cell r="H181" t="str">
            <v>Miconia</v>
          </cell>
          <cell r="I181" t="str">
            <v>summa</v>
          </cell>
          <cell r="J181" t="str">
            <v>Miconia summa Cuatrec.</v>
          </cell>
          <cell r="K181" t="str">
            <v>Cuatrec.</v>
          </cell>
          <cell r="M181" t="str">
            <v>tunilla, tunito</v>
          </cell>
        </row>
        <row r="182">
          <cell r="A182" t="str">
            <v>Miconia verrucosa</v>
          </cell>
          <cell r="B182">
            <v>181</v>
          </cell>
          <cell r="C182" t="str">
            <v xml:space="preserve">Plantae </v>
          </cell>
          <cell r="D182" t="str">
            <v>Magnoliophyta</v>
          </cell>
          <cell r="E182" t="str">
            <v>Equisetopsida</v>
          </cell>
          <cell r="F182" t="str">
            <v>Myrtales</v>
          </cell>
          <cell r="G182" t="str">
            <v>Melastomataceae</v>
          </cell>
          <cell r="H182" t="str">
            <v>Miconia</v>
          </cell>
          <cell r="I182" t="str">
            <v>verrucosa</v>
          </cell>
          <cell r="J182" t="str">
            <v>Miconia verrucosa Cogn.</v>
          </cell>
          <cell r="K182" t="str">
            <v>Cogn.</v>
          </cell>
        </row>
        <row r="183">
          <cell r="A183" t="str">
            <v>Miconia voronovii</v>
          </cell>
          <cell r="B183">
            <v>182</v>
          </cell>
          <cell r="C183" t="str">
            <v xml:space="preserve">Plantae </v>
          </cell>
          <cell r="D183" t="str">
            <v>Magnoliophyta</v>
          </cell>
          <cell r="E183" t="str">
            <v>Equisetopsida</v>
          </cell>
          <cell r="F183" t="str">
            <v>Myrtales</v>
          </cell>
          <cell r="G183" t="str">
            <v>Melastomataceae</v>
          </cell>
          <cell r="H183" t="str">
            <v>Miconia</v>
          </cell>
          <cell r="I183" t="str">
            <v>voronovii</v>
          </cell>
          <cell r="J183" t="str">
            <v>Miconia voronovii Gleason</v>
          </cell>
          <cell r="K183" t="str">
            <v>Gleason</v>
          </cell>
          <cell r="L183" t="str">
            <v>tuno</v>
          </cell>
        </row>
        <row r="184">
          <cell r="A184" t="str">
            <v>Miconia zarucchii</v>
          </cell>
          <cell r="B184">
            <v>183</v>
          </cell>
          <cell r="C184" t="str">
            <v xml:space="preserve">Plantae </v>
          </cell>
          <cell r="D184" t="str">
            <v>Magnoliophyta</v>
          </cell>
          <cell r="E184" t="str">
            <v>Equisetopsida</v>
          </cell>
          <cell r="F184" t="str">
            <v>Myrtales</v>
          </cell>
          <cell r="G184" t="str">
            <v>Melastomataceae</v>
          </cell>
          <cell r="H184" t="str">
            <v>Miconia</v>
          </cell>
          <cell r="I184" t="str">
            <v>zarucchii</v>
          </cell>
          <cell r="J184" t="str">
            <v>Miconia zarucchii Wurdack</v>
          </cell>
          <cell r="K184" t="str">
            <v>Wurdack</v>
          </cell>
        </row>
        <row r="185">
          <cell r="A185" t="str">
            <v>Mimosa trianae</v>
          </cell>
          <cell r="B185">
            <v>184</v>
          </cell>
          <cell r="C185" t="str">
            <v>Plantae</v>
          </cell>
          <cell r="D185" t="str">
            <v>Magnoliophyta</v>
          </cell>
          <cell r="E185" t="str">
            <v>Equisetopsida</v>
          </cell>
          <cell r="F185" t="str">
            <v>Fabales</v>
          </cell>
          <cell r="G185" t="str">
            <v>Fabaceae</v>
          </cell>
          <cell r="H185" t="str">
            <v>Mimosa</v>
          </cell>
          <cell r="I185" t="str">
            <v>trianae</v>
          </cell>
          <cell r="J185" t="str">
            <v>Mimosa trianae Benth.</v>
          </cell>
          <cell r="K185" t="str">
            <v>Benth.</v>
          </cell>
          <cell r="M185" t="str">
            <v>acacia, yopo</v>
          </cell>
        </row>
        <row r="186">
          <cell r="A186" t="str">
            <v>Mouriri ambiconvexa</v>
          </cell>
          <cell r="B186">
            <v>185</v>
          </cell>
          <cell r="C186" t="str">
            <v xml:space="preserve">Plantae </v>
          </cell>
          <cell r="D186" t="str">
            <v>Magnoliophyta</v>
          </cell>
          <cell r="E186" t="str">
            <v>Equisetopsida</v>
          </cell>
          <cell r="F186" t="str">
            <v>Myrtales</v>
          </cell>
          <cell r="G186" t="str">
            <v>Melastomataceae</v>
          </cell>
          <cell r="H186" t="str">
            <v>Mouriri</v>
          </cell>
          <cell r="I186" t="str">
            <v>ambiconvexa</v>
          </cell>
          <cell r="J186" t="str">
            <v>Mouriri ambiconvexa Morley</v>
          </cell>
          <cell r="K186" t="str">
            <v>Morley</v>
          </cell>
          <cell r="L186" t="str">
            <v>palo arco</v>
          </cell>
        </row>
        <row r="187">
          <cell r="A187" t="str">
            <v>Mouriri colombiana</v>
          </cell>
          <cell r="B187">
            <v>186</v>
          </cell>
          <cell r="C187" t="str">
            <v>Plantae</v>
          </cell>
          <cell r="D187" t="str">
            <v>Magnoliophyta</v>
          </cell>
          <cell r="E187" t="str">
            <v>Equisetopsida</v>
          </cell>
          <cell r="F187" t="str">
            <v>Myrtales</v>
          </cell>
          <cell r="G187" t="str">
            <v>Melastomataceae</v>
          </cell>
          <cell r="H187" t="str">
            <v>Mouriri</v>
          </cell>
          <cell r="I187" t="str">
            <v>colombiana</v>
          </cell>
          <cell r="J187" t="str">
            <v>Mouriri colombiana Morley</v>
          </cell>
          <cell r="K187" t="str">
            <v>Morley</v>
          </cell>
        </row>
        <row r="188">
          <cell r="A188" t="str">
            <v>Mouriri micranthera</v>
          </cell>
          <cell r="B188">
            <v>187</v>
          </cell>
          <cell r="C188" t="str">
            <v xml:space="preserve">Plantae </v>
          </cell>
          <cell r="D188" t="str">
            <v>Magnoliophyta</v>
          </cell>
          <cell r="E188" t="str">
            <v>Equisetopsida</v>
          </cell>
          <cell r="F188" t="str">
            <v>Myrtales</v>
          </cell>
          <cell r="G188" t="str">
            <v>Melastomataceae</v>
          </cell>
          <cell r="H188" t="str">
            <v>Mouriri</v>
          </cell>
          <cell r="I188" t="str">
            <v>micranthera</v>
          </cell>
          <cell r="J188" t="str">
            <v>Mouriri micranthera Morley</v>
          </cell>
          <cell r="K188" t="str">
            <v>Morley</v>
          </cell>
          <cell r="L188" t="str">
            <v>huevo de gallo</v>
          </cell>
        </row>
        <row r="189">
          <cell r="A189" t="str">
            <v>Mouriri pachyphylla</v>
          </cell>
          <cell r="B189">
            <v>188</v>
          </cell>
          <cell r="C189" t="str">
            <v xml:space="preserve">Plantae </v>
          </cell>
          <cell r="D189" t="str">
            <v>Magnoliophyta</v>
          </cell>
          <cell r="E189" t="str">
            <v>Equisetopsida</v>
          </cell>
          <cell r="F189" t="str">
            <v>Myrtales</v>
          </cell>
          <cell r="G189" t="str">
            <v>Melastomataceae</v>
          </cell>
          <cell r="H189" t="str">
            <v>Mouriri</v>
          </cell>
          <cell r="I189" t="str">
            <v>pachyphylla</v>
          </cell>
          <cell r="J189" t="str">
            <v>Mouriri pachyphylla Burret</v>
          </cell>
          <cell r="K189" t="str">
            <v>Burret</v>
          </cell>
          <cell r="L189" t="str">
            <v>biguare</v>
          </cell>
        </row>
        <row r="190">
          <cell r="A190" t="str">
            <v>Myrcia popayanensis</v>
          </cell>
          <cell r="B190">
            <v>189</v>
          </cell>
          <cell r="C190" t="str">
            <v>Plantae</v>
          </cell>
          <cell r="D190" t="str">
            <v>Magnoliophyta</v>
          </cell>
          <cell r="E190" t="str">
            <v>Equisetopsida</v>
          </cell>
          <cell r="F190" t="str">
            <v>Myrtales</v>
          </cell>
          <cell r="G190" t="str">
            <v>Myrtaceae</v>
          </cell>
          <cell r="H190" t="str">
            <v>Myrcia</v>
          </cell>
          <cell r="I190" t="str">
            <v>popayanensis</v>
          </cell>
          <cell r="J190" t="str">
            <v>Myrcia popayanensis Hieron.</v>
          </cell>
          <cell r="K190" t="str">
            <v>Hieron.</v>
          </cell>
          <cell r="M190" t="str">
            <v>arrayán, arrayán de hoja grande, guayabo, madroño de monte, arrayancito, guayabo blanco, árbol de cera</v>
          </cell>
        </row>
        <row r="191">
          <cell r="A191" t="str">
            <v>Ocotea antioquiensis</v>
          </cell>
          <cell r="B191">
            <v>190</v>
          </cell>
          <cell r="C191" t="str">
            <v>Plantae</v>
          </cell>
          <cell r="D191" t="str">
            <v>Magnoliophyta</v>
          </cell>
          <cell r="E191" t="str">
            <v>Equisetopsida</v>
          </cell>
          <cell r="F191" t="str">
            <v>Laurales</v>
          </cell>
          <cell r="G191" t="str">
            <v>Lauraceae</v>
          </cell>
          <cell r="H191" t="str">
            <v>Ocotea</v>
          </cell>
          <cell r="I191" t="str">
            <v>antioquiensis</v>
          </cell>
          <cell r="J191" t="str">
            <v>Ocotea antioquiensis van der Werff</v>
          </cell>
          <cell r="K191" t="str">
            <v>van der Werff</v>
          </cell>
        </row>
        <row r="192">
          <cell r="A192" t="str">
            <v>Ocotea celastroides</v>
          </cell>
          <cell r="B192">
            <v>191</v>
          </cell>
          <cell r="C192" t="str">
            <v>Plantae</v>
          </cell>
          <cell r="D192" t="str">
            <v>Magnoliophyta</v>
          </cell>
          <cell r="E192" t="str">
            <v>Equisetopsida</v>
          </cell>
          <cell r="F192" t="str">
            <v>Laurales</v>
          </cell>
          <cell r="G192" t="str">
            <v>Lauraceae</v>
          </cell>
          <cell r="H192" t="str">
            <v>Ocotea</v>
          </cell>
          <cell r="I192" t="str">
            <v>celastroides</v>
          </cell>
          <cell r="J192" t="str">
            <v>Ocotea celastroides (Meissn.) Mez</v>
          </cell>
          <cell r="K192" t="str">
            <v>(Meissn.) Mez</v>
          </cell>
        </row>
        <row r="193">
          <cell r="A193" t="str">
            <v>Ocotea cuatrecasasii</v>
          </cell>
          <cell r="B193">
            <v>192</v>
          </cell>
          <cell r="C193" t="str">
            <v>Plantae</v>
          </cell>
          <cell r="D193" t="str">
            <v>Magnoliophyta</v>
          </cell>
          <cell r="E193" t="str">
            <v>Equisetopsida</v>
          </cell>
          <cell r="F193" t="str">
            <v>Laurales</v>
          </cell>
          <cell r="G193" t="str">
            <v>Lauraceae</v>
          </cell>
          <cell r="H193" t="str">
            <v>Ocotea</v>
          </cell>
          <cell r="I193" t="str">
            <v>cuatrecasasii</v>
          </cell>
          <cell r="J193" t="str">
            <v>Ocotea cuatrecasasii van der Werff</v>
          </cell>
          <cell r="K193" t="str">
            <v>van der Werff</v>
          </cell>
        </row>
        <row r="194">
          <cell r="A194" t="str">
            <v>Ocotea pedicellata</v>
          </cell>
          <cell r="B194">
            <v>193</v>
          </cell>
          <cell r="C194" t="str">
            <v>Plantae</v>
          </cell>
          <cell r="D194" t="str">
            <v>Magnoliophyta</v>
          </cell>
          <cell r="E194" t="str">
            <v>Equisetopsida</v>
          </cell>
          <cell r="F194" t="str">
            <v>Laurales</v>
          </cell>
          <cell r="G194" t="str">
            <v>Lauraceae</v>
          </cell>
          <cell r="H194" t="str">
            <v>Ocotea</v>
          </cell>
          <cell r="I194" t="str">
            <v>pedicellata</v>
          </cell>
          <cell r="J194" t="str">
            <v>Ocotea pedicellata van der Werff</v>
          </cell>
          <cell r="K194" t="str">
            <v>van der Werff</v>
          </cell>
        </row>
        <row r="195">
          <cell r="A195" t="str">
            <v>Ocotea rufa</v>
          </cell>
          <cell r="B195">
            <v>194</v>
          </cell>
          <cell r="C195" t="str">
            <v>Plantae</v>
          </cell>
          <cell r="D195" t="str">
            <v>Magnoliophyta</v>
          </cell>
          <cell r="E195" t="str">
            <v>Equisetopsida</v>
          </cell>
          <cell r="F195" t="str">
            <v>Laurales</v>
          </cell>
          <cell r="G195" t="str">
            <v>Lauraceae</v>
          </cell>
          <cell r="H195" t="str">
            <v>Ocotea</v>
          </cell>
          <cell r="I195" t="str">
            <v>rufa</v>
          </cell>
          <cell r="J195" t="str">
            <v>Ocotea rufa Mez</v>
          </cell>
          <cell r="K195" t="str">
            <v>Mez</v>
          </cell>
          <cell r="L195" t="str">
            <v>comino</v>
          </cell>
        </row>
        <row r="196">
          <cell r="A196" t="str">
            <v>Ocotea umbrina</v>
          </cell>
          <cell r="B196">
            <v>195</v>
          </cell>
          <cell r="C196" t="str">
            <v>Plantae</v>
          </cell>
          <cell r="D196" t="str">
            <v>Magnoliophyta</v>
          </cell>
          <cell r="E196" t="str">
            <v>Equisetopsida</v>
          </cell>
          <cell r="F196" t="str">
            <v>Laurales</v>
          </cell>
          <cell r="G196" t="str">
            <v>Lauraceae</v>
          </cell>
          <cell r="H196" t="str">
            <v>Ocotea</v>
          </cell>
          <cell r="I196" t="str">
            <v>umbrina</v>
          </cell>
          <cell r="J196" t="str">
            <v>Ocotea umbrina van der Werff</v>
          </cell>
          <cell r="K196" t="str">
            <v>van der Werff</v>
          </cell>
        </row>
        <row r="197">
          <cell r="A197" t="str">
            <v>Oreopanax albanensis</v>
          </cell>
          <cell r="B197">
            <v>196</v>
          </cell>
          <cell r="C197" t="str">
            <v>Plantae</v>
          </cell>
          <cell r="D197" t="str">
            <v>Magnoliophyta</v>
          </cell>
          <cell r="E197" t="str">
            <v>Equisetopsida</v>
          </cell>
          <cell r="F197" t="str">
            <v>Apiales</v>
          </cell>
          <cell r="G197" t="str">
            <v>Araliaceae</v>
          </cell>
          <cell r="H197" t="str">
            <v>Oreopanax</v>
          </cell>
          <cell r="I197" t="str">
            <v>albanensis</v>
          </cell>
          <cell r="J197" t="str">
            <v>Oreopanax albanensis Cuatrec.</v>
          </cell>
          <cell r="K197" t="str">
            <v>Cuatrec.</v>
          </cell>
          <cell r="L197" t="str">
            <v>mano de oso</v>
          </cell>
          <cell r="M197" t="str">
            <v xml:space="preserve"> tabaco, yarumo</v>
          </cell>
        </row>
        <row r="198">
          <cell r="A198" t="str">
            <v>Oreopanax anchicayanus</v>
          </cell>
          <cell r="B198">
            <v>197</v>
          </cell>
          <cell r="C198" t="str">
            <v>Plantae</v>
          </cell>
          <cell r="D198" t="str">
            <v>Magnoliophyta</v>
          </cell>
          <cell r="E198" t="str">
            <v>Equisetopsida</v>
          </cell>
          <cell r="F198" t="str">
            <v>Apiales</v>
          </cell>
          <cell r="G198" t="str">
            <v>Araliaceae</v>
          </cell>
          <cell r="H198" t="str">
            <v>Oreopanax</v>
          </cell>
          <cell r="I198" t="str">
            <v>anchicayanus</v>
          </cell>
          <cell r="J198" t="str">
            <v>Oreopanax anchicayanus Cuatrec.</v>
          </cell>
          <cell r="K198" t="str">
            <v>Cuatrec.</v>
          </cell>
          <cell r="L198" t="str">
            <v>platero</v>
          </cell>
        </row>
        <row r="199">
          <cell r="A199" t="str">
            <v>Oreopanax cecropifolius</v>
          </cell>
          <cell r="B199">
            <v>198</v>
          </cell>
          <cell r="C199" t="str">
            <v>Plantae</v>
          </cell>
          <cell r="D199" t="str">
            <v>Magnoliophyta</v>
          </cell>
          <cell r="E199" t="str">
            <v>Equisetopsida</v>
          </cell>
          <cell r="F199" t="str">
            <v>Apiales</v>
          </cell>
          <cell r="G199" t="str">
            <v>Araliaceae</v>
          </cell>
          <cell r="H199" t="str">
            <v>Oreopanax</v>
          </cell>
          <cell r="I199" t="str">
            <v>cecropifolius</v>
          </cell>
          <cell r="J199" t="str">
            <v>Oreopanax cecropifolius Cuatrec.</v>
          </cell>
          <cell r="K199" t="str">
            <v>Cuatrec.</v>
          </cell>
          <cell r="M199" t="str">
            <v>flautón, pategallina, mano de oso</v>
          </cell>
        </row>
        <row r="200">
          <cell r="A200" t="str">
            <v>Oreopanax diguensis</v>
          </cell>
          <cell r="B200">
            <v>199</v>
          </cell>
          <cell r="C200" t="str">
            <v>Plantae</v>
          </cell>
          <cell r="D200" t="str">
            <v>Magnoliophyta</v>
          </cell>
          <cell r="E200" t="str">
            <v>Equisetopsida</v>
          </cell>
          <cell r="F200" t="str">
            <v>Apiales</v>
          </cell>
          <cell r="G200" t="str">
            <v>Araliaceae</v>
          </cell>
          <cell r="H200" t="str">
            <v>Oreopanax</v>
          </cell>
          <cell r="I200" t="str">
            <v>diguensis</v>
          </cell>
          <cell r="J200" t="str">
            <v>Oreopanax diguensis Cuatrec.</v>
          </cell>
          <cell r="K200" t="str">
            <v>Cuatrec.</v>
          </cell>
        </row>
        <row r="201">
          <cell r="A201" t="str">
            <v>Oreopanax ellsworthii</v>
          </cell>
          <cell r="B201">
            <v>200</v>
          </cell>
          <cell r="C201" t="str">
            <v>Plantae</v>
          </cell>
          <cell r="D201" t="str">
            <v>Magnoliophyta</v>
          </cell>
          <cell r="E201" t="str">
            <v>Equisetopsida</v>
          </cell>
          <cell r="F201" t="str">
            <v>Apiales</v>
          </cell>
          <cell r="G201" t="str">
            <v>Araliaceae</v>
          </cell>
          <cell r="H201" t="str">
            <v>Oreopanax</v>
          </cell>
          <cell r="I201" t="str">
            <v>ellsworthii</v>
          </cell>
          <cell r="J201" t="str">
            <v>Oreopanax ellsworthii Cuatrec.</v>
          </cell>
          <cell r="K201" t="str">
            <v>Cuatrec.</v>
          </cell>
        </row>
        <row r="202">
          <cell r="A202" t="str">
            <v>Oreopanax farallonense</v>
          </cell>
          <cell r="B202">
            <v>201</v>
          </cell>
          <cell r="C202" t="str">
            <v>Plantae</v>
          </cell>
          <cell r="D202" t="str">
            <v>Magnoliophyta</v>
          </cell>
          <cell r="E202" t="str">
            <v>Equisetopsida</v>
          </cell>
          <cell r="F202" t="str">
            <v>Apiales</v>
          </cell>
          <cell r="G202" t="str">
            <v>Araliaceae</v>
          </cell>
          <cell r="H202" t="str">
            <v>Oreopanax</v>
          </cell>
          <cell r="I202" t="str">
            <v>farallonense</v>
          </cell>
          <cell r="J202" t="str">
            <v>Oreopanax farallonense Cuatrec.</v>
          </cell>
          <cell r="K202" t="str">
            <v>Cuatrec.</v>
          </cell>
        </row>
        <row r="203">
          <cell r="A203" t="str">
            <v>Oreopanax glabrifolius</v>
          </cell>
          <cell r="B203">
            <v>202</v>
          </cell>
          <cell r="C203" t="str">
            <v>Plantae</v>
          </cell>
          <cell r="D203" t="str">
            <v>Magnoliophyta</v>
          </cell>
          <cell r="E203" t="str">
            <v>Equisetopsida</v>
          </cell>
          <cell r="F203" t="str">
            <v>Apiales</v>
          </cell>
          <cell r="G203" t="str">
            <v>Araliaceae</v>
          </cell>
          <cell r="H203" t="str">
            <v>Oreopanax</v>
          </cell>
          <cell r="I203" t="str">
            <v>glabrifolius</v>
          </cell>
          <cell r="J203" t="str">
            <v>Oreopanax glabrifolius Cuatrec.</v>
          </cell>
          <cell r="K203" t="str">
            <v>Cuatrec.</v>
          </cell>
        </row>
        <row r="204">
          <cell r="A204" t="str">
            <v>Oreopanax integrifolius</v>
          </cell>
          <cell r="B204">
            <v>203</v>
          </cell>
          <cell r="C204" t="str">
            <v>Plantae</v>
          </cell>
          <cell r="D204" t="str">
            <v>Magnoliophyta</v>
          </cell>
          <cell r="E204" t="str">
            <v>Equisetopsida</v>
          </cell>
          <cell r="F204" t="str">
            <v>Apiales</v>
          </cell>
          <cell r="G204" t="str">
            <v>Araliaceae</v>
          </cell>
          <cell r="H204" t="str">
            <v>Oreopanax</v>
          </cell>
          <cell r="I204" t="str">
            <v>integrifolius</v>
          </cell>
          <cell r="J204" t="str">
            <v>Oreopanax integrifolius Cuatrec.</v>
          </cell>
          <cell r="K204" t="str">
            <v>Cuatrec.</v>
          </cell>
        </row>
        <row r="205">
          <cell r="A205" t="str">
            <v>Oreopanax mutisianus</v>
          </cell>
          <cell r="B205">
            <v>204</v>
          </cell>
          <cell r="C205" t="str">
            <v>Plantae</v>
          </cell>
          <cell r="D205" t="str">
            <v>Magnoliophyta</v>
          </cell>
          <cell r="E205" t="str">
            <v>Equisetopsida</v>
          </cell>
          <cell r="F205" t="str">
            <v>Apiales</v>
          </cell>
          <cell r="G205" t="str">
            <v>Araliaceae</v>
          </cell>
          <cell r="H205" t="str">
            <v>Oreopanax</v>
          </cell>
          <cell r="I205" t="str">
            <v>mutisianus</v>
          </cell>
          <cell r="J205" t="str">
            <v>Oreopanax mutisianus (Kunth) Decne. &amp; Planch.</v>
          </cell>
          <cell r="K205" t="str">
            <v>(Kunth) Decne. &amp; Planch.</v>
          </cell>
          <cell r="M205" t="str">
            <v>turmas de indios, yuco, mano de oso</v>
          </cell>
        </row>
        <row r="206">
          <cell r="A206" t="str">
            <v>Oreopanax niger</v>
          </cell>
          <cell r="B206">
            <v>205</v>
          </cell>
          <cell r="C206" t="str">
            <v>Plantae</v>
          </cell>
          <cell r="D206" t="str">
            <v>Magnoliophyta</v>
          </cell>
          <cell r="E206" t="str">
            <v>Equisetopsida</v>
          </cell>
          <cell r="F206" t="str">
            <v>Apiales</v>
          </cell>
          <cell r="G206" t="str">
            <v>Araliaceae</v>
          </cell>
          <cell r="H206" t="str">
            <v>Oreopanax</v>
          </cell>
          <cell r="I206" t="str">
            <v>niger</v>
          </cell>
          <cell r="J206" t="str">
            <v>Oreopanax niger Cuatrec.</v>
          </cell>
          <cell r="K206" t="str">
            <v>Cuatrec.</v>
          </cell>
        </row>
        <row r="207">
          <cell r="A207" t="str">
            <v>Oreopanax pallidus</v>
          </cell>
          <cell r="B207">
            <v>206</v>
          </cell>
          <cell r="C207" t="str">
            <v>Plantae</v>
          </cell>
          <cell r="D207" t="str">
            <v>Magnoliophyta</v>
          </cell>
          <cell r="E207" t="str">
            <v>Equisetopsida</v>
          </cell>
          <cell r="F207" t="str">
            <v>Apiales</v>
          </cell>
          <cell r="G207" t="str">
            <v>Araliaceae</v>
          </cell>
          <cell r="H207" t="str">
            <v>Oreopanax</v>
          </cell>
          <cell r="I207" t="str">
            <v>pallidus</v>
          </cell>
          <cell r="J207" t="str">
            <v>Oreopanax pallidus Cuatrec.</v>
          </cell>
          <cell r="K207" t="str">
            <v>Cuatrec.</v>
          </cell>
          <cell r="L207" t="str">
            <v>cincodedos</v>
          </cell>
          <cell r="M207" t="str">
            <v>mano de oso</v>
          </cell>
        </row>
        <row r="208">
          <cell r="A208" t="str">
            <v>Oreopanax parviflorus</v>
          </cell>
          <cell r="B208">
            <v>207</v>
          </cell>
          <cell r="C208" t="str">
            <v>Plantae</v>
          </cell>
          <cell r="D208" t="str">
            <v>Magnoliophyta</v>
          </cell>
          <cell r="E208" t="str">
            <v>Equisetopsida</v>
          </cell>
          <cell r="F208" t="str">
            <v>Apiales</v>
          </cell>
          <cell r="G208" t="str">
            <v>Araliaceae</v>
          </cell>
          <cell r="H208" t="str">
            <v>Oreopanax</v>
          </cell>
          <cell r="I208" t="str">
            <v>parviflorus</v>
          </cell>
          <cell r="J208" t="str">
            <v>Oreopanax parviflorus Cuatrec.</v>
          </cell>
          <cell r="K208" t="str">
            <v>Cuatrec.</v>
          </cell>
          <cell r="M208" t="str">
            <v>mano de oso, papayuelo</v>
          </cell>
        </row>
        <row r="209">
          <cell r="A209" t="str">
            <v>Oreopanax pes-ursi</v>
          </cell>
          <cell r="B209">
            <v>208</v>
          </cell>
          <cell r="C209" t="str">
            <v>Plantae</v>
          </cell>
          <cell r="D209" t="str">
            <v>Magnoliophyta</v>
          </cell>
          <cell r="E209" t="str">
            <v>Equisetopsida</v>
          </cell>
          <cell r="F209" t="str">
            <v>Apiales</v>
          </cell>
          <cell r="G209" t="str">
            <v>Araliaceae</v>
          </cell>
          <cell r="H209" t="str">
            <v>Oreopanax</v>
          </cell>
          <cell r="I209" t="str">
            <v>pes-ursi</v>
          </cell>
          <cell r="J209" t="str">
            <v>Oreopanax pes-ursi Cuatrec.</v>
          </cell>
          <cell r="K209" t="str">
            <v>Cuatrec.</v>
          </cell>
          <cell r="M209" t="str">
            <v>golondrinos, mano de oso</v>
          </cell>
        </row>
        <row r="210">
          <cell r="A210" t="str">
            <v>Oreopanax ruizanus</v>
          </cell>
          <cell r="B210">
            <v>209</v>
          </cell>
          <cell r="C210" t="str">
            <v>Plantae</v>
          </cell>
          <cell r="D210" t="str">
            <v>Magnoliophyta</v>
          </cell>
          <cell r="E210" t="str">
            <v>Equisetopsida</v>
          </cell>
          <cell r="F210" t="str">
            <v>Apiales</v>
          </cell>
          <cell r="G210" t="str">
            <v>Araliaceae</v>
          </cell>
          <cell r="H210" t="str">
            <v>Oreopanax</v>
          </cell>
          <cell r="I210" t="str">
            <v>ruizanus</v>
          </cell>
          <cell r="J210" t="str">
            <v>Oreopanax ruizanus Cuatrec.</v>
          </cell>
          <cell r="K210" t="str">
            <v>Cuatrec.</v>
          </cell>
          <cell r="L210" t="str">
            <v>cincodedos</v>
          </cell>
        </row>
        <row r="211">
          <cell r="A211" t="str">
            <v>Oreopanax santanderianus</v>
          </cell>
          <cell r="B211">
            <v>210</v>
          </cell>
          <cell r="C211" t="str">
            <v>Plantae</v>
          </cell>
          <cell r="D211" t="str">
            <v>Magnoliophyta</v>
          </cell>
          <cell r="E211" t="str">
            <v>Equisetopsida</v>
          </cell>
          <cell r="F211" t="str">
            <v>Apiales</v>
          </cell>
          <cell r="G211" t="str">
            <v>Araliaceae</v>
          </cell>
          <cell r="H211" t="str">
            <v>Oreopanax</v>
          </cell>
          <cell r="I211" t="str">
            <v>santanderianus</v>
          </cell>
          <cell r="J211" t="str">
            <v>Oreopanax santanderianus Harms</v>
          </cell>
          <cell r="K211" t="str">
            <v>Harms</v>
          </cell>
        </row>
        <row r="212">
          <cell r="A212" t="str">
            <v>Oreopanax sectifolius</v>
          </cell>
          <cell r="B212">
            <v>211</v>
          </cell>
          <cell r="C212" t="str">
            <v>Plantae</v>
          </cell>
          <cell r="D212" t="str">
            <v>Magnoliophyta</v>
          </cell>
          <cell r="E212" t="str">
            <v>Equisetopsida</v>
          </cell>
          <cell r="F212" t="str">
            <v>Apiales</v>
          </cell>
          <cell r="G212" t="str">
            <v>Araliaceae</v>
          </cell>
          <cell r="H212" t="str">
            <v>Oreopanax</v>
          </cell>
          <cell r="I212" t="str">
            <v>sectifolius</v>
          </cell>
          <cell r="J212" t="str">
            <v>Oreopanax sectifolius Cuatrec.</v>
          </cell>
          <cell r="K212" t="str">
            <v>Cuatrec.</v>
          </cell>
        </row>
        <row r="213">
          <cell r="A213" t="str">
            <v>Oreopanax tolimanus</v>
          </cell>
          <cell r="B213">
            <v>212</v>
          </cell>
          <cell r="C213" t="str">
            <v>Plantae</v>
          </cell>
          <cell r="D213" t="str">
            <v>Magnoliophyta</v>
          </cell>
          <cell r="E213" t="str">
            <v>Equisetopsida</v>
          </cell>
          <cell r="F213" t="str">
            <v>Apiales</v>
          </cell>
          <cell r="G213" t="str">
            <v>Araliaceae</v>
          </cell>
          <cell r="H213" t="str">
            <v>Oreopanax</v>
          </cell>
          <cell r="I213" t="str">
            <v>tolimanus</v>
          </cell>
          <cell r="J213" t="str">
            <v>Oreopanax tolimanus Harms</v>
          </cell>
          <cell r="K213" t="str">
            <v>Harms</v>
          </cell>
        </row>
        <row r="214">
          <cell r="A214" t="str">
            <v>Oreopanax velutinus</v>
          </cell>
          <cell r="B214">
            <v>213</v>
          </cell>
          <cell r="C214" t="str">
            <v>Plantae</v>
          </cell>
          <cell r="D214" t="str">
            <v>Magnoliophyta</v>
          </cell>
          <cell r="E214" t="str">
            <v>Equisetopsida</v>
          </cell>
          <cell r="F214" t="str">
            <v>Apiales</v>
          </cell>
          <cell r="G214" t="str">
            <v>Araliaceae</v>
          </cell>
          <cell r="H214" t="str">
            <v>Oreopanax</v>
          </cell>
          <cell r="I214" t="str">
            <v>velutinus</v>
          </cell>
          <cell r="J214" t="str">
            <v>Oreopanax velutinus Cuatrec.</v>
          </cell>
          <cell r="K214" t="str">
            <v>Cuatrec.</v>
          </cell>
        </row>
        <row r="215">
          <cell r="A215" t="str">
            <v>Ormosia antioquensis</v>
          </cell>
          <cell r="B215">
            <v>214</v>
          </cell>
          <cell r="C215" t="str">
            <v>Plantae</v>
          </cell>
          <cell r="D215" t="str">
            <v>Magnoliophyta</v>
          </cell>
          <cell r="E215" t="str">
            <v>Equisetopsida</v>
          </cell>
          <cell r="F215" t="str">
            <v>Fabales</v>
          </cell>
          <cell r="G215" t="str">
            <v>Fabaceae</v>
          </cell>
          <cell r="H215" t="str">
            <v>Ormosia</v>
          </cell>
          <cell r="I215" t="str">
            <v>antioquensis</v>
          </cell>
          <cell r="J215" t="str">
            <v>Ormosia antioquensis Rudd</v>
          </cell>
          <cell r="K215" t="str">
            <v>Rudd</v>
          </cell>
          <cell r="M215" t="str">
            <v>geranio, geranio blanco, novio</v>
          </cell>
        </row>
        <row r="216">
          <cell r="A216" t="str">
            <v>Ormosia colombiana</v>
          </cell>
          <cell r="B216">
            <v>215</v>
          </cell>
          <cell r="C216" t="str">
            <v>Plantae</v>
          </cell>
          <cell r="D216" t="str">
            <v>Magnoliophyta</v>
          </cell>
          <cell r="E216" t="str">
            <v>Equisetopsida</v>
          </cell>
          <cell r="F216" t="str">
            <v>Fabales</v>
          </cell>
          <cell r="G216" t="str">
            <v>Fabaceae</v>
          </cell>
          <cell r="H216" t="str">
            <v>Ormosia</v>
          </cell>
          <cell r="I216" t="str">
            <v>colombiana</v>
          </cell>
          <cell r="J216" t="str">
            <v>Ormosia colombiana Rudd</v>
          </cell>
          <cell r="K216" t="str">
            <v>Rudd</v>
          </cell>
          <cell r="M216" t="str">
            <v>chocho, peonia, frijol rojo, geranio</v>
          </cell>
        </row>
        <row r="217">
          <cell r="A217" t="str">
            <v>Ormosia cuatrecasasii</v>
          </cell>
          <cell r="B217">
            <v>216</v>
          </cell>
          <cell r="C217" t="str">
            <v>Plantae</v>
          </cell>
          <cell r="D217" t="str">
            <v>Magnoliophyta</v>
          </cell>
          <cell r="E217" t="str">
            <v>Equisetopsida</v>
          </cell>
          <cell r="F217" t="str">
            <v>Fabales</v>
          </cell>
          <cell r="G217" t="str">
            <v>Fabaceae</v>
          </cell>
          <cell r="H217" t="str">
            <v>Ormosia</v>
          </cell>
          <cell r="I217" t="str">
            <v>cuatrecasasii</v>
          </cell>
          <cell r="J217" t="str">
            <v>Ormosia cuatrecasasii Rudd</v>
          </cell>
          <cell r="K217" t="str">
            <v>Rudd</v>
          </cell>
          <cell r="M217" t="str">
            <v>chocho, chochos, maíz tostado</v>
          </cell>
        </row>
        <row r="218">
          <cell r="A218" t="str">
            <v>Orphanodendron bernalii</v>
          </cell>
          <cell r="B218">
            <v>217</v>
          </cell>
          <cell r="C218" t="str">
            <v>Plantae</v>
          </cell>
          <cell r="D218" t="str">
            <v>Magnoliophyta</v>
          </cell>
          <cell r="E218" t="str">
            <v>Equisetopsida</v>
          </cell>
          <cell r="F218" t="str">
            <v>Fabales</v>
          </cell>
          <cell r="G218" t="str">
            <v>Fabaceae</v>
          </cell>
          <cell r="H218" t="str">
            <v>Orphanodendron</v>
          </cell>
          <cell r="I218" t="str">
            <v>bernalii</v>
          </cell>
          <cell r="J218" t="str">
            <v>Orphanodendron bernalii Barneby &amp; J.W.Grimes</v>
          </cell>
          <cell r="K218" t="str">
            <v>Barneby &amp; J.W.Grimes</v>
          </cell>
          <cell r="M218" t="str">
            <v>almanegra, chiratotó, almanegra, liebre, tiratelo, tiratere, tirateté, toratete</v>
          </cell>
        </row>
        <row r="219">
          <cell r="A219" t="str">
            <v>Pachira dugandeana</v>
          </cell>
          <cell r="B219">
            <v>218</v>
          </cell>
          <cell r="C219" t="str">
            <v>Plantae</v>
          </cell>
          <cell r="D219" t="str">
            <v>Magnoliophyta</v>
          </cell>
          <cell r="E219" t="str">
            <v>Equisetopsida</v>
          </cell>
          <cell r="F219" t="str">
            <v>Malvales</v>
          </cell>
          <cell r="G219" t="str">
            <v>Malvaceae</v>
          </cell>
          <cell r="H219" t="str">
            <v>Pachira</v>
          </cell>
          <cell r="I219" t="str">
            <v>dugandeana</v>
          </cell>
          <cell r="J219" t="str">
            <v>Pachira dugandeana (A.Robyns) Fern.Alonso</v>
          </cell>
          <cell r="K219" t="str">
            <v>(A.Robyns) Fern.Alonso</v>
          </cell>
          <cell r="L219" t="str">
            <v>lano blanco</v>
          </cell>
        </row>
        <row r="220">
          <cell r="A220" t="str">
            <v>Pachira mutisiana</v>
          </cell>
          <cell r="B220">
            <v>219</v>
          </cell>
          <cell r="C220" t="str">
            <v>Plantae</v>
          </cell>
          <cell r="D220" t="str">
            <v>Magnoliophyta</v>
          </cell>
          <cell r="E220" t="str">
            <v>Equisetopsida</v>
          </cell>
          <cell r="F220" t="str">
            <v>Malvales</v>
          </cell>
          <cell r="G220" t="str">
            <v>Malvaceae</v>
          </cell>
          <cell r="H220" t="str">
            <v>Pachira</v>
          </cell>
          <cell r="I220" t="str">
            <v>mutisiana</v>
          </cell>
          <cell r="J220" t="str">
            <v>Pachira mutisiana Fern.Alonso</v>
          </cell>
          <cell r="K220" t="str">
            <v>Fern.Alonso</v>
          </cell>
          <cell r="L220" t="str">
            <v>jaguito</v>
          </cell>
        </row>
        <row r="221">
          <cell r="A221" t="str">
            <v>Pachira speciosa</v>
          </cell>
          <cell r="B221">
            <v>220</v>
          </cell>
          <cell r="C221" t="str">
            <v>Plantae</v>
          </cell>
          <cell r="D221" t="str">
            <v>Magnoliophyta</v>
          </cell>
          <cell r="E221" t="str">
            <v>Equisetopsida</v>
          </cell>
          <cell r="F221" t="str">
            <v>Malvales</v>
          </cell>
          <cell r="G221" t="str">
            <v>Malvaceae</v>
          </cell>
          <cell r="H221" t="str">
            <v>Pachira</v>
          </cell>
          <cell r="I221" t="str">
            <v>speciosa</v>
          </cell>
          <cell r="J221" t="str">
            <v>Pachira speciosa Triana &amp; Planch.</v>
          </cell>
          <cell r="K221" t="str">
            <v>Triana &amp; Planch.</v>
          </cell>
          <cell r="M221" t="str">
            <v>almendro, cacao de monte, cacao silvestre, castaño, pandeaño, cacagüillo, ceiba, ceiba blanca, ceibo de agua, flor de huimba, flor de mimbre, cacao</v>
          </cell>
        </row>
        <row r="222">
          <cell r="A222" t="str">
            <v>Palicourea albiflora</v>
          </cell>
          <cell r="B222">
            <v>221</v>
          </cell>
          <cell r="C222" t="str">
            <v>Plantae</v>
          </cell>
          <cell r="D222" t="str">
            <v>Magnoliophyta</v>
          </cell>
          <cell r="E222" t="str">
            <v>Equisetopsida</v>
          </cell>
          <cell r="F222" t="str">
            <v>Gentianales</v>
          </cell>
          <cell r="G222" t="str">
            <v>Rubiaceae</v>
          </cell>
          <cell r="H222" t="str">
            <v>Palicourea</v>
          </cell>
          <cell r="I222" t="str">
            <v>albiflora</v>
          </cell>
          <cell r="J222" t="str">
            <v>Palicourea albiflora Standl.</v>
          </cell>
          <cell r="K222" t="str">
            <v>Standl.</v>
          </cell>
          <cell r="M222" t="str">
            <v>cafeto de monte, chichu paispa cum</v>
          </cell>
        </row>
        <row r="223">
          <cell r="A223" t="str">
            <v>Palicourea amplissima</v>
          </cell>
          <cell r="B223">
            <v>222</v>
          </cell>
          <cell r="C223" t="str">
            <v>Plantae</v>
          </cell>
          <cell r="D223" t="str">
            <v>Magnoliophyta</v>
          </cell>
          <cell r="E223" t="str">
            <v>Equisetopsida</v>
          </cell>
          <cell r="F223" t="str">
            <v>Gentianales</v>
          </cell>
          <cell r="G223" t="str">
            <v>Rubiaceae</v>
          </cell>
          <cell r="H223" t="str">
            <v>Palicourea</v>
          </cell>
          <cell r="I223" t="str">
            <v>amplissima</v>
          </cell>
          <cell r="J223" t="str">
            <v>Palicourea amplissima C.M.Taylor</v>
          </cell>
          <cell r="K223" t="str">
            <v>C.M.Taylor</v>
          </cell>
        </row>
        <row r="224">
          <cell r="A224" t="str">
            <v>Palicourea antioquiana</v>
          </cell>
          <cell r="B224">
            <v>223</v>
          </cell>
          <cell r="C224" t="str">
            <v>Plantae</v>
          </cell>
          <cell r="D224" t="str">
            <v>Magnoliophyta</v>
          </cell>
          <cell r="E224" t="str">
            <v>Equisetopsida</v>
          </cell>
          <cell r="F224" t="str">
            <v>Gentianales</v>
          </cell>
          <cell r="G224" t="str">
            <v>Rubiaceae</v>
          </cell>
          <cell r="H224" t="str">
            <v>Palicourea</v>
          </cell>
          <cell r="I224" t="str">
            <v>antioquiana</v>
          </cell>
          <cell r="J224" t="str">
            <v>Palicourea antioquiana Standl.</v>
          </cell>
          <cell r="K224" t="str">
            <v>Standl.</v>
          </cell>
        </row>
        <row r="225">
          <cell r="A225" t="str">
            <v>Palicourea boyacana</v>
          </cell>
          <cell r="B225">
            <v>224</v>
          </cell>
          <cell r="C225" t="str">
            <v>Plantae</v>
          </cell>
          <cell r="D225" t="str">
            <v>Magnoliophyta</v>
          </cell>
          <cell r="E225" t="str">
            <v>Equisetopsida</v>
          </cell>
          <cell r="F225" t="str">
            <v>Gentianales</v>
          </cell>
          <cell r="G225" t="str">
            <v>Rubiaceae</v>
          </cell>
          <cell r="H225" t="str">
            <v>Palicourea</v>
          </cell>
          <cell r="I225" t="str">
            <v>boyacana</v>
          </cell>
          <cell r="J225" t="str">
            <v>Palicourea boyacana Standl.</v>
          </cell>
          <cell r="K225" t="str">
            <v>Standl.</v>
          </cell>
        </row>
        <row r="226">
          <cell r="A226" t="str">
            <v>Palicourea caloneura</v>
          </cell>
          <cell r="B226">
            <v>225</v>
          </cell>
          <cell r="C226" t="str">
            <v>Plantae</v>
          </cell>
          <cell r="D226" t="str">
            <v>Magnoliophyta</v>
          </cell>
          <cell r="E226" t="str">
            <v>Equisetopsida</v>
          </cell>
          <cell r="F226" t="str">
            <v>Gentianales</v>
          </cell>
          <cell r="G226" t="str">
            <v>Rubiaceae</v>
          </cell>
          <cell r="H226" t="str">
            <v>Palicourea</v>
          </cell>
          <cell r="I226" t="str">
            <v>caloneura</v>
          </cell>
          <cell r="J226" t="str">
            <v>Palicourea caloneura Rusby</v>
          </cell>
          <cell r="K226" t="str">
            <v>Rusby</v>
          </cell>
          <cell r="L226" t="str">
            <v>agua dulce</v>
          </cell>
          <cell r="M226" t="str">
            <v>lato negro</v>
          </cell>
        </row>
        <row r="227">
          <cell r="A227" t="str">
            <v>Palicourea denslowiae</v>
          </cell>
          <cell r="B227">
            <v>226</v>
          </cell>
          <cell r="C227" t="str">
            <v>Plantae</v>
          </cell>
          <cell r="D227" t="str">
            <v>Magnoliophyta</v>
          </cell>
          <cell r="E227" t="str">
            <v>Equisetopsida</v>
          </cell>
          <cell r="F227" t="str">
            <v>Gentianales</v>
          </cell>
          <cell r="G227" t="str">
            <v>Rubiaceae</v>
          </cell>
          <cell r="H227" t="str">
            <v>Palicourea</v>
          </cell>
          <cell r="I227" t="str">
            <v>denslowiae</v>
          </cell>
          <cell r="J227" t="str">
            <v>Palicourea denslowiae J.H.Kirkbr.</v>
          </cell>
          <cell r="K227" t="str">
            <v>J.H.Kirkbr.</v>
          </cell>
        </row>
        <row r="228">
          <cell r="A228" t="str">
            <v>Palicourea diguana</v>
          </cell>
          <cell r="B228">
            <v>227</v>
          </cell>
          <cell r="C228" t="str">
            <v>Plantae</v>
          </cell>
          <cell r="D228" t="str">
            <v>Magnoliophyta</v>
          </cell>
          <cell r="E228" t="str">
            <v>Equisetopsida</v>
          </cell>
          <cell r="F228" t="str">
            <v>Gentianales</v>
          </cell>
          <cell r="G228" t="str">
            <v>Rubiaceae</v>
          </cell>
          <cell r="H228" t="str">
            <v>Palicourea</v>
          </cell>
          <cell r="I228" t="str">
            <v>diguana</v>
          </cell>
          <cell r="J228" t="str">
            <v>Palicourea diguana (Standl. ex Steyerm.) C.M. Taylor.</v>
          </cell>
          <cell r="K228" t="str">
            <v>(Standl. ex Steyerm.) C.M. Taylor.</v>
          </cell>
        </row>
        <row r="229">
          <cell r="A229" t="str">
            <v>Palicourea garcioides</v>
          </cell>
          <cell r="B229">
            <v>228</v>
          </cell>
          <cell r="C229" t="str">
            <v>Plantae</v>
          </cell>
          <cell r="D229" t="str">
            <v>Magnoliophyta</v>
          </cell>
          <cell r="E229" t="str">
            <v>Equisetopsida</v>
          </cell>
          <cell r="F229" t="str">
            <v>Gentianales</v>
          </cell>
          <cell r="G229" t="str">
            <v>Rubiaceae</v>
          </cell>
          <cell r="H229" t="str">
            <v>Palicourea</v>
          </cell>
          <cell r="I229" t="str">
            <v>garcioides</v>
          </cell>
          <cell r="J229" t="str">
            <v>Palicourea garcioides C.M.Taylor</v>
          </cell>
          <cell r="K229" t="str">
            <v>C.M.Taylor</v>
          </cell>
        </row>
        <row r="230">
          <cell r="A230" t="str">
            <v>Palicourea killipii</v>
          </cell>
          <cell r="B230">
            <v>229</v>
          </cell>
          <cell r="C230" t="str">
            <v>Plantae</v>
          </cell>
          <cell r="D230" t="str">
            <v>Magnoliophyta</v>
          </cell>
          <cell r="E230" t="str">
            <v>Equisetopsida</v>
          </cell>
          <cell r="F230" t="str">
            <v>Gentianales</v>
          </cell>
          <cell r="G230" t="str">
            <v>Rubiaceae</v>
          </cell>
          <cell r="H230" t="str">
            <v>Palicourea</v>
          </cell>
          <cell r="I230" t="str">
            <v>killipii</v>
          </cell>
          <cell r="J230" t="str">
            <v>Palicourea killipii Standl.</v>
          </cell>
          <cell r="K230" t="str">
            <v>Standl.</v>
          </cell>
          <cell r="L230" t="str">
            <v>mortiño</v>
          </cell>
        </row>
        <row r="231">
          <cell r="A231" t="str">
            <v>Palicourea lehmannii</v>
          </cell>
          <cell r="B231">
            <v>230</v>
          </cell>
          <cell r="C231" t="str">
            <v>Plantae</v>
          </cell>
          <cell r="D231" t="str">
            <v>Magnoliophyta</v>
          </cell>
          <cell r="E231" t="str">
            <v>Equisetopsida</v>
          </cell>
          <cell r="F231" t="str">
            <v>Gentianales</v>
          </cell>
          <cell r="G231" t="str">
            <v>Rubiaceae</v>
          </cell>
          <cell r="H231" t="str">
            <v>Palicourea</v>
          </cell>
          <cell r="I231" t="str">
            <v>lehmannii</v>
          </cell>
          <cell r="J231" t="str">
            <v>Palicourea lehmannii (K.Schum. &amp; K.Krause) Standl.</v>
          </cell>
          <cell r="K231" t="str">
            <v>(K.Schum. &amp; K.Krause) Standl.</v>
          </cell>
        </row>
        <row r="232">
          <cell r="A232" t="str">
            <v>Palicourea lineariflora</v>
          </cell>
          <cell r="B232">
            <v>231</v>
          </cell>
          <cell r="C232" t="str">
            <v>Plantae</v>
          </cell>
          <cell r="D232" t="str">
            <v>Magnoliophyta</v>
          </cell>
          <cell r="E232" t="str">
            <v>Equisetopsida</v>
          </cell>
          <cell r="F232" t="str">
            <v>Gentianales</v>
          </cell>
          <cell r="G232" t="str">
            <v>Rubiaceae</v>
          </cell>
          <cell r="H232" t="str">
            <v>Palicourea</v>
          </cell>
          <cell r="I232" t="str">
            <v>lineariflora</v>
          </cell>
          <cell r="J232" t="str">
            <v>Palicourea lineariflora Wernham</v>
          </cell>
          <cell r="K232" t="str">
            <v>Wernham</v>
          </cell>
          <cell r="M232" t="str">
            <v>crucito de páramo,tinto, amarillo, amargo, muyo pava, saca ojo, tominejero</v>
          </cell>
        </row>
        <row r="233">
          <cell r="A233" t="str">
            <v>Palicourea lutulenta</v>
          </cell>
          <cell r="B233">
            <v>232</v>
          </cell>
          <cell r="C233" t="str">
            <v>Plantae</v>
          </cell>
          <cell r="D233" t="str">
            <v>Magnoliophyta</v>
          </cell>
          <cell r="E233" t="str">
            <v>Equisetopsida</v>
          </cell>
          <cell r="F233" t="str">
            <v>Gentianales</v>
          </cell>
          <cell r="G233" t="str">
            <v>Rubiaceae</v>
          </cell>
          <cell r="H233" t="str">
            <v>Palicourea</v>
          </cell>
          <cell r="I233" t="str">
            <v>lutulenta</v>
          </cell>
          <cell r="J233" t="str">
            <v>Palicourea lutulenta Standl.</v>
          </cell>
          <cell r="K233" t="str">
            <v>Standl.</v>
          </cell>
        </row>
        <row r="234">
          <cell r="A234" t="str">
            <v>Palicourea quadrilateralis</v>
          </cell>
          <cell r="B234">
            <v>233</v>
          </cell>
          <cell r="C234" t="str">
            <v>Plantae</v>
          </cell>
          <cell r="D234" t="str">
            <v>Magnoliophyta</v>
          </cell>
          <cell r="E234" t="str">
            <v>Equisetopsida</v>
          </cell>
          <cell r="F234" t="str">
            <v>Gentianales</v>
          </cell>
          <cell r="G234" t="str">
            <v>Rubiaceae</v>
          </cell>
          <cell r="H234" t="str">
            <v>Palicourea</v>
          </cell>
          <cell r="I234" t="str">
            <v>quadrilateralis</v>
          </cell>
          <cell r="J234" t="str">
            <v>Palicourea quadrilateralis C.M.Taylor</v>
          </cell>
          <cell r="K234" t="str">
            <v>C.M.Taylor</v>
          </cell>
        </row>
        <row r="235">
          <cell r="A235" t="str">
            <v>Palicourea thermydri</v>
          </cell>
          <cell r="B235">
            <v>234</v>
          </cell>
          <cell r="C235" t="str">
            <v>Plantae</v>
          </cell>
          <cell r="D235" t="str">
            <v>Magnoliophyta</v>
          </cell>
          <cell r="E235" t="str">
            <v>Equisetopsida</v>
          </cell>
          <cell r="F235" t="str">
            <v>Gentianales</v>
          </cell>
          <cell r="G235" t="str">
            <v>Rubiaceae</v>
          </cell>
          <cell r="H235" t="str">
            <v>Palicourea</v>
          </cell>
          <cell r="I235" t="str">
            <v>thermydri</v>
          </cell>
          <cell r="J235" t="str">
            <v>Palicourea thermydri J.H.Kirkbr.</v>
          </cell>
          <cell r="K235" t="str">
            <v>J.H.Kirkbr.</v>
          </cell>
          <cell r="L235" t="str">
            <v>lato</v>
          </cell>
        </row>
        <row r="236">
          <cell r="A236" t="str">
            <v>Palicourea toroi</v>
          </cell>
          <cell r="B236">
            <v>235</v>
          </cell>
          <cell r="C236" t="str">
            <v>Plantae</v>
          </cell>
          <cell r="D236" t="str">
            <v>Magnoliophyta</v>
          </cell>
          <cell r="E236" t="str">
            <v>Equisetopsida</v>
          </cell>
          <cell r="F236" t="str">
            <v>Gentianales</v>
          </cell>
          <cell r="G236" t="str">
            <v>Rubiaceae</v>
          </cell>
          <cell r="H236" t="str">
            <v>Palicourea</v>
          </cell>
          <cell r="I236" t="str">
            <v>toroi</v>
          </cell>
          <cell r="J236" t="str">
            <v>Palicourea toroi Standl.</v>
          </cell>
          <cell r="K236" t="str">
            <v>Standl.</v>
          </cell>
        </row>
        <row r="237">
          <cell r="A237" t="str">
            <v>Palicourea tunjaensis</v>
          </cell>
          <cell r="B237">
            <v>236</v>
          </cell>
          <cell r="C237" t="str">
            <v>Plantae</v>
          </cell>
          <cell r="D237" t="str">
            <v>Magnoliophyta</v>
          </cell>
          <cell r="E237" t="str">
            <v>Equisetopsida</v>
          </cell>
          <cell r="F237" t="str">
            <v>Gentianales</v>
          </cell>
          <cell r="G237" t="str">
            <v>Rubiaceae</v>
          </cell>
          <cell r="H237" t="str">
            <v>Palicourea</v>
          </cell>
          <cell r="I237" t="str">
            <v>tunjaensis</v>
          </cell>
          <cell r="J237" t="str">
            <v>Palicourea tunjaensis C.M.Taylor</v>
          </cell>
          <cell r="K237" t="str">
            <v>C.M.Taylor</v>
          </cell>
          <cell r="L237" t="str">
            <v>huesito</v>
          </cell>
        </row>
        <row r="238">
          <cell r="A238" t="str">
            <v>Palicourea zarucchii</v>
          </cell>
          <cell r="B238">
            <v>237</v>
          </cell>
          <cell r="C238" t="str">
            <v>Plantae</v>
          </cell>
          <cell r="D238" t="str">
            <v>Magnoliophyta</v>
          </cell>
          <cell r="E238" t="str">
            <v>Equisetopsida</v>
          </cell>
          <cell r="F238" t="str">
            <v>Gentianales</v>
          </cell>
          <cell r="G238" t="str">
            <v>Rubiaceae</v>
          </cell>
          <cell r="H238" t="str">
            <v>Palicourea</v>
          </cell>
          <cell r="I238" t="str">
            <v>zarucchii</v>
          </cell>
          <cell r="J238" t="str">
            <v>Palicourea zarucchii C.M.Taylor</v>
          </cell>
          <cell r="K238" t="str">
            <v>C.M.Taylor</v>
          </cell>
          <cell r="M238" t="str">
            <v>aguapanela, sanquemula, verdenazo</v>
          </cell>
        </row>
        <row r="239">
          <cell r="A239" t="str">
            <v>Piper archeri</v>
          </cell>
          <cell r="B239">
            <v>238</v>
          </cell>
          <cell r="C239" t="str">
            <v>Plantae</v>
          </cell>
          <cell r="D239" t="str">
            <v>Magnoliophyta</v>
          </cell>
          <cell r="E239" t="str">
            <v>Equisetopsida</v>
          </cell>
          <cell r="F239" t="str">
            <v>Piperales</v>
          </cell>
          <cell r="G239" t="str">
            <v>Piperaceae</v>
          </cell>
          <cell r="H239" t="str">
            <v>Piper</v>
          </cell>
          <cell r="I239" t="str">
            <v>archeri</v>
          </cell>
          <cell r="J239" t="str">
            <v>Piper archeri Trel. &amp; Yunck.</v>
          </cell>
          <cell r="K239" t="str">
            <v>Trel. &amp; Yunck.</v>
          </cell>
          <cell r="L239" t="str">
            <v>cordoncillo</v>
          </cell>
        </row>
        <row r="240">
          <cell r="A240" t="str">
            <v>Piper daniel-gonzalezii</v>
          </cell>
          <cell r="B240">
            <v>239</v>
          </cell>
          <cell r="C240" t="str">
            <v>Plantae</v>
          </cell>
          <cell r="D240" t="str">
            <v>Magnoliophyta</v>
          </cell>
          <cell r="E240" t="str">
            <v>Equisetopsida</v>
          </cell>
          <cell r="F240" t="str">
            <v>Piperales</v>
          </cell>
          <cell r="G240" t="str">
            <v>Piperaceae</v>
          </cell>
          <cell r="H240" t="str">
            <v>Piper</v>
          </cell>
          <cell r="I240" t="str">
            <v>daniel-gonzalezii</v>
          </cell>
          <cell r="J240" t="str">
            <v>Piper daniel-gonzalezii Trel.</v>
          </cell>
          <cell r="K240" t="str">
            <v>Trel.</v>
          </cell>
          <cell r="L240" t="str">
            <v>cordoncillo</v>
          </cell>
        </row>
        <row r="241">
          <cell r="A241" t="str">
            <v>Piper insignilaminum</v>
          </cell>
          <cell r="B241">
            <v>240</v>
          </cell>
          <cell r="C241" t="str">
            <v>Plantae</v>
          </cell>
          <cell r="D241" t="str">
            <v>Magnoliophyta</v>
          </cell>
          <cell r="E241" t="str">
            <v>Equisetopsida</v>
          </cell>
          <cell r="F241" t="str">
            <v>Piperales</v>
          </cell>
          <cell r="G241" t="str">
            <v>Piperaceae</v>
          </cell>
          <cell r="H241" t="str">
            <v>Piper</v>
          </cell>
          <cell r="I241" t="str">
            <v>insignilaminum</v>
          </cell>
          <cell r="J241" t="str">
            <v>Piper insignilaminum Trel. &amp; Yunck.</v>
          </cell>
          <cell r="K241" t="str">
            <v>Trel. &amp; Yunck.</v>
          </cell>
        </row>
        <row r="242">
          <cell r="A242" t="str">
            <v>Piper pulchrum</v>
          </cell>
          <cell r="B242">
            <v>241</v>
          </cell>
          <cell r="C242" t="str">
            <v>Plantae</v>
          </cell>
          <cell r="D242" t="str">
            <v>Magnoliophyta</v>
          </cell>
          <cell r="E242" t="str">
            <v>Equisetopsida</v>
          </cell>
          <cell r="F242" t="str">
            <v>Piperales</v>
          </cell>
          <cell r="G242" t="str">
            <v>Piperaceae</v>
          </cell>
          <cell r="H242" t="str">
            <v>Piper</v>
          </cell>
          <cell r="I242" t="str">
            <v>pulchrum</v>
          </cell>
          <cell r="J242" t="str">
            <v>Piper pulchrum C. DC.</v>
          </cell>
          <cell r="K242" t="str">
            <v>C. DC.</v>
          </cell>
          <cell r="M242" t="str">
            <v>árbol de la verrugosa, cola de ratón, desvanecedora, desvaratadora</v>
          </cell>
        </row>
        <row r="243">
          <cell r="A243" t="str">
            <v>Piptadenia uliginosa</v>
          </cell>
          <cell r="B243">
            <v>242</v>
          </cell>
          <cell r="C243" t="str">
            <v>Plantae</v>
          </cell>
          <cell r="D243" t="str">
            <v>Magnoliophyta</v>
          </cell>
          <cell r="E243" t="str">
            <v>Equisetopsida</v>
          </cell>
          <cell r="F243" t="str">
            <v>Fabales</v>
          </cell>
          <cell r="G243" t="str">
            <v>Fabaceae</v>
          </cell>
          <cell r="H243" t="str">
            <v>Piptadenia</v>
          </cell>
          <cell r="I243" t="str">
            <v>uliginosa</v>
          </cell>
          <cell r="J243" t="str">
            <v>Piptadenia uliginosa Britton &amp; Killip</v>
          </cell>
          <cell r="K243" t="str">
            <v>Britton &amp; Killip</v>
          </cell>
        </row>
        <row r="244">
          <cell r="A244" t="str">
            <v>Platymiscium hebestachyum</v>
          </cell>
          <cell r="B244">
            <v>243</v>
          </cell>
          <cell r="C244" t="str">
            <v>Plantae</v>
          </cell>
          <cell r="D244" t="str">
            <v>Magnoliophyta</v>
          </cell>
          <cell r="E244" t="str">
            <v>Equisetopsida</v>
          </cell>
          <cell r="F244" t="str">
            <v>Fabales</v>
          </cell>
          <cell r="G244" t="str">
            <v>Fabaceae</v>
          </cell>
          <cell r="H244" t="str">
            <v>Platymiscium</v>
          </cell>
          <cell r="I244" t="str">
            <v>hebestachyum</v>
          </cell>
          <cell r="J244" t="str">
            <v>Platymiscium hebestachyum Benth.</v>
          </cell>
          <cell r="K244" t="str">
            <v>Benth.</v>
          </cell>
          <cell r="M244" t="str">
            <v>corazón de arco, marcay, bao, tortero, trébol</v>
          </cell>
        </row>
        <row r="245">
          <cell r="A245" t="str">
            <v>Posoqueria platysiphonia</v>
          </cell>
          <cell r="B245">
            <v>244</v>
          </cell>
          <cell r="C245" t="str">
            <v>Plantae</v>
          </cell>
          <cell r="D245" t="str">
            <v>Magnoliophyta</v>
          </cell>
          <cell r="E245" t="str">
            <v>Equisetopsida</v>
          </cell>
          <cell r="F245" t="str">
            <v>Gentianales</v>
          </cell>
          <cell r="G245" t="str">
            <v>Rubiaceae</v>
          </cell>
          <cell r="H245" t="str">
            <v>Posoqueria</v>
          </cell>
          <cell r="I245" t="str">
            <v>platysiphonia</v>
          </cell>
          <cell r="J245" t="str">
            <v>Posoqueria platysiphonia Rusby</v>
          </cell>
          <cell r="K245" t="str">
            <v>Rusby</v>
          </cell>
        </row>
        <row r="246">
          <cell r="A246" t="str">
            <v>Posoqueria velutina</v>
          </cell>
          <cell r="B246">
            <v>245</v>
          </cell>
          <cell r="C246" t="str">
            <v>Plantae</v>
          </cell>
          <cell r="D246" t="str">
            <v>Magnoliophyta</v>
          </cell>
          <cell r="E246" t="str">
            <v>Equisetopsida</v>
          </cell>
          <cell r="F246" t="str">
            <v>Gentianales</v>
          </cell>
          <cell r="G246" t="str">
            <v>Rubiaceae</v>
          </cell>
          <cell r="H246" t="str">
            <v>Posoqueria</v>
          </cell>
          <cell r="I246" t="str">
            <v>velutina</v>
          </cell>
          <cell r="J246" t="str">
            <v>Posoqueria velutina Standl.</v>
          </cell>
          <cell r="K246" t="str">
            <v>Standl.</v>
          </cell>
          <cell r="L246" t="str">
            <v>ardito</v>
          </cell>
        </row>
        <row r="247">
          <cell r="A247" t="str">
            <v>Protium buenaventurense</v>
          </cell>
          <cell r="B247">
            <v>246</v>
          </cell>
          <cell r="C247" t="str">
            <v>Plantae</v>
          </cell>
          <cell r="D247" t="str">
            <v>Magnoliophyta</v>
          </cell>
          <cell r="E247" t="str">
            <v>Equisetopsida</v>
          </cell>
          <cell r="F247" t="str">
            <v>Sapindales</v>
          </cell>
          <cell r="G247" t="str">
            <v>Burseraceae</v>
          </cell>
          <cell r="H247" t="str">
            <v>Protium</v>
          </cell>
          <cell r="I247" t="str">
            <v>buenaventurense</v>
          </cell>
          <cell r="J247" t="str">
            <v>Protium buenaventurense Cuatrec.</v>
          </cell>
          <cell r="K247" t="str">
            <v>Cuatrec.</v>
          </cell>
          <cell r="L247" t="str">
            <v>anime</v>
          </cell>
        </row>
        <row r="248">
          <cell r="A248" t="str">
            <v>Protium cundinamarcense</v>
          </cell>
          <cell r="B248">
            <v>247</v>
          </cell>
          <cell r="C248" t="str">
            <v>Plantae</v>
          </cell>
          <cell r="D248" t="str">
            <v>Magnoliophyta</v>
          </cell>
          <cell r="E248" t="str">
            <v>Equisetopsida</v>
          </cell>
          <cell r="F248" t="str">
            <v>Sapindales</v>
          </cell>
          <cell r="G248" t="str">
            <v>Burseraceae</v>
          </cell>
          <cell r="H248" t="str">
            <v>Protium</v>
          </cell>
          <cell r="I248" t="str">
            <v>cundinamarcense</v>
          </cell>
          <cell r="J248" t="str">
            <v>Protium cundinamarcense Cuatrec.</v>
          </cell>
          <cell r="K248" t="str">
            <v>Cuatrec.</v>
          </cell>
          <cell r="L248" t="str">
            <v>incienzo</v>
          </cell>
        </row>
        <row r="249">
          <cell r="A249" t="str">
            <v>Protium minutiflorum</v>
          </cell>
          <cell r="B249">
            <v>248</v>
          </cell>
          <cell r="C249" t="str">
            <v>Plantae</v>
          </cell>
          <cell r="D249" t="str">
            <v>Magnoliophyta</v>
          </cell>
          <cell r="E249" t="str">
            <v>Equisetopsida</v>
          </cell>
          <cell r="F249" t="str">
            <v>Sapindales</v>
          </cell>
          <cell r="G249" t="str">
            <v>Burseraceae</v>
          </cell>
          <cell r="H249" t="str">
            <v>Protium</v>
          </cell>
          <cell r="I249" t="str">
            <v>minutiflorum</v>
          </cell>
          <cell r="J249" t="str">
            <v>Protium minutiflorum Cuatrec.</v>
          </cell>
          <cell r="K249" t="str">
            <v>Cuatrec.</v>
          </cell>
          <cell r="M249" t="str">
            <v>caraño, anime, guapichuna</v>
          </cell>
        </row>
        <row r="250">
          <cell r="A250" t="str">
            <v>Protium nervosum</v>
          </cell>
          <cell r="B250">
            <v>249</v>
          </cell>
          <cell r="C250" t="str">
            <v>Plantae</v>
          </cell>
          <cell r="D250" t="str">
            <v>Magnoliophyta</v>
          </cell>
          <cell r="E250" t="str">
            <v>Equisetopsida</v>
          </cell>
          <cell r="F250" t="str">
            <v>Sapindales</v>
          </cell>
          <cell r="G250" t="str">
            <v>Burseraceae</v>
          </cell>
          <cell r="H250" t="str">
            <v>Protium</v>
          </cell>
          <cell r="I250" t="str">
            <v>nervosum</v>
          </cell>
          <cell r="J250" t="str">
            <v>Protium nervosum Cuatrec.</v>
          </cell>
          <cell r="K250" t="str">
            <v>Cuatrec.</v>
          </cell>
          <cell r="L250" t="str">
            <v>anime</v>
          </cell>
        </row>
        <row r="251">
          <cell r="A251" t="str">
            <v>Prunus buxifolia</v>
          </cell>
          <cell r="B251">
            <v>250</v>
          </cell>
          <cell r="C251" t="str">
            <v>Plantae</v>
          </cell>
          <cell r="D251" t="str">
            <v>Magnoliophyta</v>
          </cell>
          <cell r="E251" t="str">
            <v>Equisetopsida</v>
          </cell>
          <cell r="F251" t="str">
            <v>Rosales</v>
          </cell>
          <cell r="G251" t="str">
            <v>Rosaceae</v>
          </cell>
          <cell r="H251" t="str">
            <v>Prunus</v>
          </cell>
          <cell r="I251" t="str">
            <v>buxifolia</v>
          </cell>
          <cell r="J251" t="str">
            <v>Prunus buxifolia Koehne</v>
          </cell>
          <cell r="K251" t="str">
            <v>Koehne</v>
          </cell>
          <cell r="M251" t="str">
            <v>duraznillo, tunebo, uche</v>
          </cell>
        </row>
        <row r="252">
          <cell r="A252" t="str">
            <v>Prunus falcata</v>
          </cell>
          <cell r="B252">
            <v>251</v>
          </cell>
          <cell r="C252" t="str">
            <v>Plantae</v>
          </cell>
          <cell r="D252" t="str">
            <v>Magnoliophyta</v>
          </cell>
          <cell r="E252" t="str">
            <v>Equisetopsida</v>
          </cell>
          <cell r="F252" t="str">
            <v>Rosales</v>
          </cell>
          <cell r="G252" t="str">
            <v>Rosaceae</v>
          </cell>
          <cell r="H252" t="str">
            <v>Prunus</v>
          </cell>
          <cell r="I252" t="str">
            <v>falcata</v>
          </cell>
          <cell r="J252" t="str">
            <v>Prunus falcata Cuatrec.</v>
          </cell>
          <cell r="K252" t="str">
            <v>Cuatrec.</v>
          </cell>
          <cell r="L252" t="str">
            <v>pandala blanco</v>
          </cell>
        </row>
        <row r="253">
          <cell r="A253" t="str">
            <v>Prunus megacarpa</v>
          </cell>
          <cell r="B253">
            <v>252</v>
          </cell>
          <cell r="C253" t="str">
            <v>Plantae</v>
          </cell>
          <cell r="D253" t="str">
            <v>Magnoliophyta</v>
          </cell>
          <cell r="E253" t="str">
            <v>Equisetopsida</v>
          </cell>
          <cell r="F253" t="str">
            <v>Rosales</v>
          </cell>
          <cell r="G253" t="str">
            <v>Rosaceae</v>
          </cell>
          <cell r="H253" t="str">
            <v>Prunus</v>
          </cell>
          <cell r="I253" t="str">
            <v>megacarpa</v>
          </cell>
          <cell r="J253" t="str">
            <v>Prunus megacarpa Pérez-Zab.</v>
          </cell>
          <cell r="K253" t="str">
            <v>Pérez-Zab.</v>
          </cell>
        </row>
        <row r="254">
          <cell r="A254" t="str">
            <v>Pseudomalmea boyacana</v>
          </cell>
          <cell r="B254">
            <v>253</v>
          </cell>
          <cell r="C254" t="str">
            <v>Plantae</v>
          </cell>
          <cell r="D254" t="str">
            <v>Magnoliophyta</v>
          </cell>
          <cell r="E254" t="str">
            <v>Equisetopsida</v>
          </cell>
          <cell r="F254" t="str">
            <v>Magnoliales</v>
          </cell>
          <cell r="G254" t="str">
            <v>Annonaceae</v>
          </cell>
          <cell r="H254" t="str">
            <v>Pseudomalmea</v>
          </cell>
          <cell r="I254" t="str">
            <v>boyacana</v>
          </cell>
          <cell r="J254" t="str">
            <v>Pseudomalmea boyacana (J.F.Macbr.) Chatrou</v>
          </cell>
          <cell r="K254" t="str">
            <v>(J.F.Macbr.) Chatrou</v>
          </cell>
        </row>
        <row r="255">
          <cell r="A255" t="str">
            <v>Pseudoxandra longipes</v>
          </cell>
          <cell r="B255">
            <v>254</v>
          </cell>
          <cell r="C255" t="str">
            <v>Plantae</v>
          </cell>
          <cell r="D255" t="str">
            <v>Magnoliophyta</v>
          </cell>
          <cell r="E255" t="str">
            <v>Equisetopsida</v>
          </cell>
          <cell r="F255" t="str">
            <v>Magnoliales</v>
          </cell>
          <cell r="G255" t="str">
            <v>Annonaceae</v>
          </cell>
          <cell r="H255" t="str">
            <v>Pseudoxandra</v>
          </cell>
          <cell r="I255" t="str">
            <v>longipes</v>
          </cell>
          <cell r="J255" t="str">
            <v>Pseudoxandra longipes Maas</v>
          </cell>
          <cell r="K255" t="str">
            <v>Maas</v>
          </cell>
          <cell r="L255" t="str">
            <v>Cuangare</v>
          </cell>
          <cell r="M255" t="str">
            <v>guanábano</v>
          </cell>
        </row>
        <row r="256">
          <cell r="A256" t="str">
            <v>Pseudoxandra pacifica</v>
          </cell>
          <cell r="B256">
            <v>255</v>
          </cell>
          <cell r="C256" t="str">
            <v>Plantae</v>
          </cell>
          <cell r="D256" t="str">
            <v>Magnoliophyta</v>
          </cell>
          <cell r="E256" t="str">
            <v>Equisetopsida</v>
          </cell>
          <cell r="F256" t="str">
            <v>Magnoliales</v>
          </cell>
          <cell r="G256" t="str">
            <v>Annonaceae</v>
          </cell>
          <cell r="H256" t="str">
            <v>Pseudoxandra</v>
          </cell>
          <cell r="I256" t="str">
            <v>pacifica</v>
          </cell>
          <cell r="J256" t="str">
            <v>Pseudoxandra pacifica Maas</v>
          </cell>
          <cell r="K256" t="str">
            <v>Maas</v>
          </cell>
          <cell r="L256" t="str">
            <v>carguero de dormilón</v>
          </cell>
          <cell r="M256" t="str">
            <v xml:space="preserve">guanábano </v>
          </cell>
        </row>
        <row r="257">
          <cell r="A257" t="str">
            <v>Pseudoxandra sclerocarpa</v>
          </cell>
          <cell r="B257">
            <v>256</v>
          </cell>
          <cell r="C257" t="str">
            <v>Plantae</v>
          </cell>
          <cell r="D257" t="str">
            <v>Magnoliophyta</v>
          </cell>
          <cell r="E257" t="str">
            <v>Equisetopsida</v>
          </cell>
          <cell r="F257" t="str">
            <v>Magnoliales</v>
          </cell>
          <cell r="G257" t="str">
            <v>Annonaceae</v>
          </cell>
          <cell r="H257" t="str">
            <v>Pseudoxandra</v>
          </cell>
          <cell r="I257" t="str">
            <v>sclerocarpa</v>
          </cell>
          <cell r="J257" t="str">
            <v>Pseudoxandra sclerocarpa Maas</v>
          </cell>
          <cell r="K257" t="str">
            <v>Maas</v>
          </cell>
          <cell r="M257" t="str">
            <v>escobo, garrapato, garrapato blanco, escubillo, frisolo, garrapato escudillo, guanabanillo</v>
          </cell>
        </row>
        <row r="258">
          <cell r="A258" t="str">
            <v>Pseudoxandra vallicola</v>
          </cell>
          <cell r="B258">
            <v>257</v>
          </cell>
          <cell r="C258" t="str">
            <v>Plantae</v>
          </cell>
          <cell r="D258" t="str">
            <v>Magnoliophyta</v>
          </cell>
          <cell r="E258" t="str">
            <v>Equisetopsida</v>
          </cell>
          <cell r="F258" t="str">
            <v>Magnoliales</v>
          </cell>
          <cell r="G258" t="str">
            <v>Annonaceae</v>
          </cell>
          <cell r="H258" t="str">
            <v>Pseudoxandra</v>
          </cell>
          <cell r="I258" t="str">
            <v>vallicola</v>
          </cell>
          <cell r="J258" t="str">
            <v>Pseudoxandra vallicola Maas</v>
          </cell>
          <cell r="K258" t="str">
            <v>Maas</v>
          </cell>
        </row>
        <row r="259">
          <cell r="A259" t="str">
            <v>Psychotria altiplanensis</v>
          </cell>
          <cell r="B259">
            <v>258</v>
          </cell>
          <cell r="C259" t="str">
            <v>Plantae</v>
          </cell>
          <cell r="D259" t="str">
            <v>Magnoliophyta</v>
          </cell>
          <cell r="E259" t="str">
            <v>Equisetopsida</v>
          </cell>
          <cell r="F259" t="str">
            <v>Gentianales</v>
          </cell>
          <cell r="G259" t="str">
            <v>Rubiaceae</v>
          </cell>
          <cell r="H259" t="str">
            <v>Psychotria</v>
          </cell>
          <cell r="I259" t="str">
            <v>altiplanensis</v>
          </cell>
          <cell r="J259" t="str">
            <v>Psychotria altiplanensis Steyerm.</v>
          </cell>
          <cell r="K259" t="str">
            <v>Steyerm.</v>
          </cell>
        </row>
        <row r="260">
          <cell r="A260" t="str">
            <v>Psychotria areolata</v>
          </cell>
          <cell r="B260">
            <v>259</v>
          </cell>
          <cell r="C260" t="str">
            <v>Plantae</v>
          </cell>
          <cell r="D260" t="str">
            <v>Magnoliophyta</v>
          </cell>
          <cell r="E260" t="str">
            <v>Equisetopsida</v>
          </cell>
          <cell r="F260" t="str">
            <v>Gentianales</v>
          </cell>
          <cell r="G260" t="str">
            <v>Rubiaceae</v>
          </cell>
          <cell r="H260" t="str">
            <v>Psychotria</v>
          </cell>
          <cell r="I260" t="str">
            <v>areolata</v>
          </cell>
          <cell r="J260" t="str">
            <v>Psychotria areolata C.M.Taylor</v>
          </cell>
          <cell r="K260" t="str">
            <v>C.M.Taylor</v>
          </cell>
        </row>
        <row r="261">
          <cell r="A261" t="str">
            <v>Psychotria cordobensis</v>
          </cell>
          <cell r="B261">
            <v>260</v>
          </cell>
          <cell r="C261" t="str">
            <v>Plantae</v>
          </cell>
          <cell r="D261" t="str">
            <v>Magnoliophyta</v>
          </cell>
          <cell r="E261" t="str">
            <v>Equisetopsida</v>
          </cell>
          <cell r="F261" t="str">
            <v>Gentianales</v>
          </cell>
          <cell r="G261" t="str">
            <v>Rubiaceae</v>
          </cell>
          <cell r="H261" t="str">
            <v>Psychotria</v>
          </cell>
          <cell r="I261" t="str">
            <v>cordobensis</v>
          </cell>
          <cell r="J261" t="str">
            <v>Psychotria cordobensis C.M.Taylor</v>
          </cell>
          <cell r="K261" t="str">
            <v>C.M.Taylor</v>
          </cell>
          <cell r="M261" t="str">
            <v>cancho, amargo pajarito, cascajedo, fruta de piandero, saino</v>
          </cell>
        </row>
        <row r="262">
          <cell r="A262" t="str">
            <v>Psychotria cotejensis</v>
          </cell>
          <cell r="B262">
            <v>261</v>
          </cell>
          <cell r="C262" t="str">
            <v>Plantae</v>
          </cell>
          <cell r="D262" t="str">
            <v>Magnoliophyta</v>
          </cell>
          <cell r="E262" t="str">
            <v>Equisetopsida</v>
          </cell>
          <cell r="F262" t="str">
            <v>Gentianales</v>
          </cell>
          <cell r="G262" t="str">
            <v>Rubiaceae</v>
          </cell>
          <cell r="H262" t="str">
            <v>Psychotria</v>
          </cell>
          <cell r="I262" t="str">
            <v>cotejensis</v>
          </cell>
          <cell r="J262" t="str">
            <v>Psychotria cotejensis (Standl.) J.H.Kirkbr.</v>
          </cell>
          <cell r="K262" t="str">
            <v>(Standl.) J.H.Kirkbr.</v>
          </cell>
          <cell r="M262" t="str">
            <v>hoja de perdiz, Chk´o k´iru</v>
          </cell>
        </row>
        <row r="263">
          <cell r="A263" t="str">
            <v>Psychotria gallerana</v>
          </cell>
          <cell r="B263">
            <v>262</v>
          </cell>
          <cell r="C263" t="str">
            <v>Plantae</v>
          </cell>
          <cell r="D263" t="str">
            <v>Magnoliophyta</v>
          </cell>
          <cell r="E263" t="str">
            <v>Equisetopsida</v>
          </cell>
          <cell r="F263" t="str">
            <v>Gentianales</v>
          </cell>
          <cell r="G263" t="str">
            <v>Rubiaceae</v>
          </cell>
          <cell r="H263" t="str">
            <v>Psychotria</v>
          </cell>
          <cell r="I263" t="str">
            <v>gallerana</v>
          </cell>
          <cell r="J263" t="str">
            <v>Psychotria gallerana Standl.</v>
          </cell>
          <cell r="K263" t="str">
            <v>Standl.</v>
          </cell>
        </row>
        <row r="264">
          <cell r="A264" t="str">
            <v>Psychotria jervisei</v>
          </cell>
          <cell r="B264">
            <v>263</v>
          </cell>
          <cell r="C264" t="str">
            <v>Plantae</v>
          </cell>
          <cell r="D264" t="str">
            <v>Magnoliophyta</v>
          </cell>
          <cell r="E264" t="str">
            <v>Equisetopsida</v>
          </cell>
          <cell r="F264" t="str">
            <v>Gentianales</v>
          </cell>
          <cell r="G264" t="str">
            <v>Rubiaceae</v>
          </cell>
          <cell r="H264" t="str">
            <v>Psychotria</v>
          </cell>
          <cell r="I264" t="str">
            <v>jervisei</v>
          </cell>
          <cell r="J264" t="str">
            <v>Psychotria jervisei (Standl.) C.M. Taylor</v>
          </cell>
          <cell r="K264" t="str">
            <v>(Standl.) C.M. Taylor</v>
          </cell>
          <cell r="L264" t="str">
            <v>lato</v>
          </cell>
        </row>
        <row r="265">
          <cell r="A265" t="str">
            <v>Psychotria ovatistipula</v>
          </cell>
          <cell r="B265">
            <v>264</v>
          </cell>
          <cell r="C265" t="str">
            <v>Plantae</v>
          </cell>
          <cell r="D265" t="str">
            <v>Magnoliophyta</v>
          </cell>
          <cell r="E265" t="str">
            <v>Equisetopsida</v>
          </cell>
          <cell r="F265" t="str">
            <v>Gentianales</v>
          </cell>
          <cell r="G265" t="str">
            <v>Rubiaceae</v>
          </cell>
          <cell r="H265" t="str">
            <v>Psychotria</v>
          </cell>
          <cell r="I265" t="str">
            <v>ovatistipula</v>
          </cell>
          <cell r="J265" t="str">
            <v>Psychotria ovatistipula C.M. Taylor</v>
          </cell>
          <cell r="K265" t="str">
            <v>C.M. Taylor</v>
          </cell>
        </row>
        <row r="266">
          <cell r="A266" t="str">
            <v>Psychotria yarumalensis</v>
          </cell>
          <cell r="B266">
            <v>265</v>
          </cell>
          <cell r="C266" t="str">
            <v>Plantae</v>
          </cell>
          <cell r="D266" t="str">
            <v>Magnoliophyta</v>
          </cell>
          <cell r="E266" t="str">
            <v>Equisetopsida</v>
          </cell>
          <cell r="F266" t="str">
            <v>Gentianales</v>
          </cell>
          <cell r="G266" t="str">
            <v>Rubiaceae</v>
          </cell>
          <cell r="H266" t="str">
            <v>Psychotria</v>
          </cell>
          <cell r="I266" t="str">
            <v>yarumalensis</v>
          </cell>
          <cell r="J266" t="str">
            <v>Psychotria yarumalensis Standl. ex Steyerm.</v>
          </cell>
          <cell r="K266" t="str">
            <v>Standl. ex Steyerm.</v>
          </cell>
        </row>
        <row r="267">
          <cell r="A267" t="str">
            <v>Quararibea cogolloi</v>
          </cell>
          <cell r="B267">
            <v>266</v>
          </cell>
          <cell r="C267" t="str">
            <v>Plantae</v>
          </cell>
          <cell r="D267" t="str">
            <v>Magnoliophyta</v>
          </cell>
          <cell r="E267" t="str">
            <v>Equisetopsida</v>
          </cell>
          <cell r="F267" t="str">
            <v>Malvales</v>
          </cell>
          <cell r="G267" t="str">
            <v>Malvaceae</v>
          </cell>
          <cell r="H267" t="str">
            <v>Quararibea</v>
          </cell>
          <cell r="I267" t="str">
            <v>cogolloi</v>
          </cell>
          <cell r="J267" t="str">
            <v>Quararibea cogolloi Fern.Alonso</v>
          </cell>
          <cell r="K267" t="str">
            <v>Fern.Alonso</v>
          </cell>
          <cell r="L267" t="str">
            <v>zapotillo</v>
          </cell>
        </row>
        <row r="268">
          <cell r="A268" t="str">
            <v>Quararibea ruiziana</v>
          </cell>
          <cell r="B268">
            <v>267</v>
          </cell>
          <cell r="C268" t="str">
            <v>Plantae</v>
          </cell>
          <cell r="D268" t="str">
            <v>Magnoliophyta</v>
          </cell>
          <cell r="E268" t="str">
            <v>Equisetopsida</v>
          </cell>
          <cell r="F268" t="str">
            <v>Malvales</v>
          </cell>
          <cell r="G268" t="str">
            <v>Malvaceae</v>
          </cell>
          <cell r="H268" t="str">
            <v>Quararibea</v>
          </cell>
          <cell r="I268" t="str">
            <v>ruiziana</v>
          </cell>
          <cell r="J268" t="str">
            <v>Quararibea ruiziana Fern.Alonso</v>
          </cell>
          <cell r="K268" t="str">
            <v>Fern.Alonso</v>
          </cell>
        </row>
        <row r="269">
          <cell r="A269" t="str">
            <v>Rhodostemonodaphne antioquensis</v>
          </cell>
          <cell r="B269">
            <v>268</v>
          </cell>
          <cell r="C269" t="str">
            <v>Plantae</v>
          </cell>
          <cell r="D269" t="str">
            <v>Magnoliophyta</v>
          </cell>
          <cell r="E269" t="str">
            <v>Equisetopsida</v>
          </cell>
          <cell r="F269" t="str">
            <v>Laurales</v>
          </cell>
          <cell r="G269" t="str">
            <v>Lauraceae</v>
          </cell>
          <cell r="H269" t="str">
            <v>Rhodostemonodaphne</v>
          </cell>
          <cell r="I269" t="str">
            <v>antioquensis</v>
          </cell>
          <cell r="J269" t="str">
            <v>Rhodostemonodaphne antioquensis Madriñán</v>
          </cell>
          <cell r="K269" t="str">
            <v>Madriñán</v>
          </cell>
          <cell r="L269" t="str">
            <v>laurel</v>
          </cell>
        </row>
        <row r="270">
          <cell r="A270" t="str">
            <v>Rhodostemonodaphne frontinensis</v>
          </cell>
          <cell r="B270">
            <v>269</v>
          </cell>
          <cell r="C270" t="str">
            <v>Plantae</v>
          </cell>
          <cell r="D270" t="str">
            <v>Magnoliophyta</v>
          </cell>
          <cell r="E270" t="str">
            <v>Equisetopsida</v>
          </cell>
          <cell r="F270" t="str">
            <v>Laurales</v>
          </cell>
          <cell r="G270" t="str">
            <v>Lauraceae</v>
          </cell>
          <cell r="H270" t="str">
            <v>Rhodostemonodaphne</v>
          </cell>
          <cell r="I270" t="str">
            <v>frontinensis</v>
          </cell>
          <cell r="J270" t="str">
            <v>Rhodostemonodaphne frontinensis Madriñán</v>
          </cell>
          <cell r="K270" t="str">
            <v>Madriñán</v>
          </cell>
        </row>
        <row r="271">
          <cell r="A271" t="str">
            <v>Rhodostemonodaphne laxa</v>
          </cell>
          <cell r="B271">
            <v>270</v>
          </cell>
          <cell r="C271" t="str">
            <v>Plantae</v>
          </cell>
          <cell r="D271" t="str">
            <v>Magnoliophyta</v>
          </cell>
          <cell r="E271" t="str">
            <v>Equisetopsida</v>
          </cell>
          <cell r="F271" t="str">
            <v>Laurales</v>
          </cell>
          <cell r="G271" t="str">
            <v>Lauraceae</v>
          </cell>
          <cell r="H271" t="str">
            <v>Rhodostemonodaphne</v>
          </cell>
          <cell r="I271" t="str">
            <v>laxa</v>
          </cell>
          <cell r="J271" t="str">
            <v>Rhodostemonodaphne laxa Rohwer</v>
          </cell>
          <cell r="K271" t="str">
            <v>Rohwer</v>
          </cell>
          <cell r="M271" t="str">
            <v>amarillo, jabonero, laurel, laurel negro, laurel rojo</v>
          </cell>
        </row>
        <row r="272">
          <cell r="A272" t="str">
            <v>Rinorea ulmifolia</v>
          </cell>
          <cell r="B272">
            <v>271</v>
          </cell>
          <cell r="C272" t="str">
            <v>Plantae</v>
          </cell>
          <cell r="D272" t="str">
            <v>Magnoliophyta</v>
          </cell>
          <cell r="E272" t="str">
            <v>Equisetopsida</v>
          </cell>
          <cell r="F272" t="str">
            <v>Malpighiales</v>
          </cell>
          <cell r="G272" t="str">
            <v>Violaceae</v>
          </cell>
          <cell r="H272" t="str">
            <v>Rinorea</v>
          </cell>
          <cell r="I272" t="str">
            <v>ulmifolia</v>
          </cell>
          <cell r="J272" t="str">
            <v>Rinorea ulmifolia Kuntze</v>
          </cell>
          <cell r="K272" t="str">
            <v>Kuntze</v>
          </cell>
        </row>
        <row r="273">
          <cell r="A273" t="str">
            <v>Rudgea grandifructa</v>
          </cell>
          <cell r="B273">
            <v>272</v>
          </cell>
          <cell r="C273" t="str">
            <v>Plantae</v>
          </cell>
          <cell r="D273" t="str">
            <v>Magnoliophyta</v>
          </cell>
          <cell r="E273" t="str">
            <v>Equisetopsida</v>
          </cell>
          <cell r="F273" t="str">
            <v>Gentianales</v>
          </cell>
          <cell r="G273" t="str">
            <v>Rubiaceae</v>
          </cell>
          <cell r="H273" t="str">
            <v>Rudgea</v>
          </cell>
          <cell r="I273" t="str">
            <v>grandifructa</v>
          </cell>
          <cell r="J273" t="str">
            <v>Rudgea grandifructa C.M. Taylor &amp; M. Monsalve</v>
          </cell>
          <cell r="K273" t="str">
            <v>C.M. Taylor &amp; M. Monsalve</v>
          </cell>
          <cell r="L273" t="str">
            <v>natillo</v>
          </cell>
        </row>
        <row r="274">
          <cell r="A274" t="str">
            <v>Rudgea trianae</v>
          </cell>
          <cell r="B274">
            <v>273</v>
          </cell>
          <cell r="C274" t="str">
            <v>Plantae</v>
          </cell>
          <cell r="D274" t="str">
            <v>Magnoliophyta</v>
          </cell>
          <cell r="E274" t="str">
            <v>Equisetopsida</v>
          </cell>
          <cell r="F274" t="str">
            <v>Gentianales</v>
          </cell>
          <cell r="G274" t="str">
            <v>Rubiaceae</v>
          </cell>
          <cell r="H274" t="str">
            <v>Rudgea</v>
          </cell>
          <cell r="I274" t="str">
            <v>trianae</v>
          </cell>
          <cell r="J274" t="str">
            <v>Rudgea trianae Standl.</v>
          </cell>
          <cell r="K274" t="str">
            <v>Standl.</v>
          </cell>
        </row>
        <row r="275">
          <cell r="A275" t="str">
            <v>Rudgea vallis</v>
          </cell>
          <cell r="B275">
            <v>274</v>
          </cell>
          <cell r="C275" t="str">
            <v>Plantae</v>
          </cell>
          <cell r="D275" t="str">
            <v>Magnoliophyta</v>
          </cell>
          <cell r="E275" t="str">
            <v>Equisetopsida</v>
          </cell>
          <cell r="F275" t="str">
            <v>Gentianales</v>
          </cell>
          <cell r="G275" t="str">
            <v>Rubiaceae</v>
          </cell>
          <cell r="H275" t="str">
            <v>Rudgea</v>
          </cell>
          <cell r="I275" t="str">
            <v>vallis</v>
          </cell>
          <cell r="J275" t="str">
            <v>Rudgea vallis (Standl. ex Steyerm.) C.M. Taylor</v>
          </cell>
          <cell r="K275" t="str">
            <v>(Standl. ex Steyerm.) C.M. Taylor</v>
          </cell>
        </row>
        <row r="276">
          <cell r="A276" t="str">
            <v>Schefflera awa</v>
          </cell>
          <cell r="B276">
            <v>275</v>
          </cell>
          <cell r="C276" t="str">
            <v>Plantae</v>
          </cell>
          <cell r="D276" t="str">
            <v>Magnoliophyta</v>
          </cell>
          <cell r="E276" t="str">
            <v>Equisetopsida</v>
          </cell>
          <cell r="F276" t="str">
            <v>Apiales</v>
          </cell>
          <cell r="G276" t="str">
            <v>Araliaceae</v>
          </cell>
          <cell r="H276" t="str">
            <v>Schefflera</v>
          </cell>
          <cell r="I276" t="str">
            <v>awa</v>
          </cell>
          <cell r="J276" t="str">
            <v>Schefflera awa Ram.-Padilla</v>
          </cell>
          <cell r="K276" t="str">
            <v>Ram.-Padilla</v>
          </cell>
          <cell r="L276" t="str">
            <v>mano de oso</v>
          </cell>
        </row>
        <row r="277">
          <cell r="A277" t="str">
            <v>Schefflera bifurcata</v>
          </cell>
          <cell r="B277">
            <v>276</v>
          </cell>
          <cell r="C277" t="str">
            <v>Plantae</v>
          </cell>
          <cell r="D277" t="str">
            <v>Magnoliophyta</v>
          </cell>
          <cell r="E277" t="str">
            <v>Equisetopsida</v>
          </cell>
          <cell r="F277" t="str">
            <v>Apiales</v>
          </cell>
          <cell r="G277" t="str">
            <v>Araliaceae</v>
          </cell>
          <cell r="H277" t="str">
            <v>Schefflera</v>
          </cell>
          <cell r="I277" t="str">
            <v>bifurcata</v>
          </cell>
          <cell r="J277" t="str">
            <v>Schefflera bifurcata Idárraga &amp; Jiménez-Mont.</v>
          </cell>
          <cell r="K277" t="str">
            <v>Idárraga &amp; Jiménez-Mont.</v>
          </cell>
        </row>
        <row r="278">
          <cell r="A278" t="str">
            <v>Schefflera bogotensis</v>
          </cell>
          <cell r="B278">
            <v>277</v>
          </cell>
          <cell r="C278" t="str">
            <v>Plantae</v>
          </cell>
          <cell r="D278" t="str">
            <v>Magnoliophyta</v>
          </cell>
          <cell r="E278" t="str">
            <v>Equisetopsida</v>
          </cell>
          <cell r="F278" t="str">
            <v>Apiales</v>
          </cell>
          <cell r="G278" t="str">
            <v>Araliaceae</v>
          </cell>
          <cell r="H278" t="str">
            <v>Schefflera</v>
          </cell>
          <cell r="I278" t="str">
            <v>bogotensis</v>
          </cell>
          <cell r="J278" t="str">
            <v>Schefflera bogotensis Cuatrec.</v>
          </cell>
          <cell r="K278" t="str">
            <v>Cuatrec.</v>
          </cell>
          <cell r="L278" t="str">
            <v>yuco</v>
          </cell>
          <cell r="M278" t="str">
            <v>cheflera, palo de agua, rodamonte</v>
          </cell>
        </row>
        <row r="279">
          <cell r="A279" t="str">
            <v>Schefflera calycina</v>
          </cell>
          <cell r="B279">
            <v>278</v>
          </cell>
          <cell r="C279" t="str">
            <v>Plantae</v>
          </cell>
          <cell r="D279" t="str">
            <v>Magnoliophyta</v>
          </cell>
          <cell r="E279" t="str">
            <v>Equisetopsida</v>
          </cell>
          <cell r="F279" t="str">
            <v>Apiales</v>
          </cell>
          <cell r="G279" t="str">
            <v>Araliaceae</v>
          </cell>
          <cell r="H279" t="str">
            <v>Schefflera</v>
          </cell>
          <cell r="I279" t="str">
            <v>calycina</v>
          </cell>
          <cell r="J279" t="str">
            <v>Schefflera calycina Cuatrec.</v>
          </cell>
          <cell r="K279" t="str">
            <v>Cuatrec.</v>
          </cell>
        </row>
        <row r="280">
          <cell r="A280" t="str">
            <v>Schefflera calyptricuspidata</v>
          </cell>
          <cell r="B280">
            <v>279</v>
          </cell>
          <cell r="C280" t="str">
            <v>Plantae</v>
          </cell>
          <cell r="D280" t="str">
            <v>Magnoliophyta</v>
          </cell>
          <cell r="E280" t="str">
            <v>Equisetopsida</v>
          </cell>
          <cell r="F280" t="str">
            <v>Apiales</v>
          </cell>
          <cell r="G280" t="str">
            <v>Araliaceae</v>
          </cell>
          <cell r="H280" t="str">
            <v>Schefflera</v>
          </cell>
          <cell r="I280" t="str">
            <v>calyptricuspidata</v>
          </cell>
          <cell r="J280" t="str">
            <v>Schefflera calyptricuspidata Cuatrec.</v>
          </cell>
          <cell r="K280" t="str">
            <v>Cuatrec.</v>
          </cell>
        </row>
        <row r="281">
          <cell r="A281" t="str">
            <v>Schefflera connata</v>
          </cell>
          <cell r="B281">
            <v>280</v>
          </cell>
          <cell r="C281" t="str">
            <v>Plantae</v>
          </cell>
          <cell r="D281" t="str">
            <v>Magnoliophyta</v>
          </cell>
          <cell r="E281" t="str">
            <v>Equisetopsida</v>
          </cell>
          <cell r="F281" t="str">
            <v>Apiales</v>
          </cell>
          <cell r="G281" t="str">
            <v>Araliaceae</v>
          </cell>
          <cell r="H281" t="str">
            <v>Schefflera</v>
          </cell>
          <cell r="I281" t="str">
            <v>connata</v>
          </cell>
          <cell r="J281" t="str">
            <v>Schefflera connata Jiménez-Mont. &amp; Idárraga</v>
          </cell>
          <cell r="K281" t="str">
            <v>Jiménez-Mont. &amp; Idárraga</v>
          </cell>
        </row>
        <row r="282">
          <cell r="A282" t="str">
            <v>Schefflera digyna</v>
          </cell>
          <cell r="B282">
            <v>281</v>
          </cell>
          <cell r="C282" t="str">
            <v>Plantae</v>
          </cell>
          <cell r="D282" t="str">
            <v>Magnoliophyta</v>
          </cell>
          <cell r="E282" t="str">
            <v>Equisetopsida</v>
          </cell>
          <cell r="F282" t="str">
            <v>Apiales</v>
          </cell>
          <cell r="G282" t="str">
            <v>Araliaceae</v>
          </cell>
          <cell r="H282" t="str">
            <v>Schefflera</v>
          </cell>
          <cell r="I282" t="str">
            <v>digyna</v>
          </cell>
          <cell r="J282" t="str">
            <v>Schefflera digyna Cuatrec.</v>
          </cell>
          <cell r="K282" t="str">
            <v>Cuatrec.</v>
          </cell>
          <cell r="L282" t="str">
            <v>maco</v>
          </cell>
        </row>
        <row r="283">
          <cell r="A283" t="str">
            <v>Schefflera heterotricha</v>
          </cell>
          <cell r="B283">
            <v>282</v>
          </cell>
          <cell r="C283" t="str">
            <v>Plantae</v>
          </cell>
          <cell r="D283" t="str">
            <v>Magnoliophyta</v>
          </cell>
          <cell r="E283" t="str">
            <v>Equisetopsida</v>
          </cell>
          <cell r="F283" t="str">
            <v>Apiales</v>
          </cell>
          <cell r="G283" t="str">
            <v>Araliaceae</v>
          </cell>
          <cell r="H283" t="str">
            <v>Schefflera</v>
          </cell>
          <cell r="I283" t="str">
            <v>heterotricha</v>
          </cell>
          <cell r="J283" t="str">
            <v>Schefflera heterotricha (Seem.) R.Vig.</v>
          </cell>
          <cell r="K283" t="str">
            <v>(Seem.) R.Vig.</v>
          </cell>
          <cell r="M283" t="str">
            <v>cinco dedos, mano de oso, mano de león, scheflera</v>
          </cell>
        </row>
        <row r="284">
          <cell r="A284" t="str">
            <v>Schefflera manus-dei</v>
          </cell>
          <cell r="B284">
            <v>283</v>
          </cell>
          <cell r="C284" t="str">
            <v>Plantae</v>
          </cell>
          <cell r="D284" t="str">
            <v>Magnoliophyta</v>
          </cell>
          <cell r="E284" t="str">
            <v>Equisetopsida</v>
          </cell>
          <cell r="F284" t="str">
            <v>Apiales</v>
          </cell>
          <cell r="G284" t="str">
            <v>Araliaceae</v>
          </cell>
          <cell r="H284" t="str">
            <v>Schefflera</v>
          </cell>
          <cell r="I284" t="str">
            <v>manus-dei</v>
          </cell>
          <cell r="J284" t="str">
            <v>Schefflera manus-dei Cuatrec.</v>
          </cell>
          <cell r="K284" t="str">
            <v>Cuatrec.</v>
          </cell>
          <cell r="L284" t="str">
            <v>mano de Dios</v>
          </cell>
          <cell r="M284" t="str">
            <v>mano de oso</v>
          </cell>
        </row>
        <row r="285">
          <cell r="A285" t="str">
            <v>Schefflera marginata</v>
          </cell>
          <cell r="B285">
            <v>284</v>
          </cell>
          <cell r="C285" t="str">
            <v>Plantae</v>
          </cell>
          <cell r="D285" t="str">
            <v>Magnoliophyta</v>
          </cell>
          <cell r="E285" t="str">
            <v>Equisetopsida</v>
          </cell>
          <cell r="F285" t="str">
            <v>Apiales</v>
          </cell>
          <cell r="G285" t="str">
            <v>Araliaceae</v>
          </cell>
          <cell r="H285" t="str">
            <v>Schefflera</v>
          </cell>
          <cell r="I285" t="str">
            <v>marginata</v>
          </cell>
          <cell r="J285" t="str">
            <v>Schefflera marginata Cuatrec.</v>
          </cell>
          <cell r="K285" t="str">
            <v>Cuatrec.</v>
          </cell>
          <cell r="M285" t="str">
            <v>mano de oso, pumamaqui</v>
          </cell>
        </row>
        <row r="286">
          <cell r="A286" t="str">
            <v>Schefflera munchiquensis</v>
          </cell>
          <cell r="B286">
            <v>285</v>
          </cell>
          <cell r="C286" t="str">
            <v>Plantae</v>
          </cell>
          <cell r="D286" t="str">
            <v>Magnoliophyta</v>
          </cell>
          <cell r="E286" t="str">
            <v>Equisetopsida</v>
          </cell>
          <cell r="F286" t="str">
            <v>Apiales</v>
          </cell>
          <cell r="G286" t="str">
            <v>Araliaceae</v>
          </cell>
          <cell r="H286" t="str">
            <v>Schefflera</v>
          </cell>
          <cell r="I286" t="str">
            <v>munchiquensis</v>
          </cell>
          <cell r="J286" t="str">
            <v>Schefflera munchiquensis Ram.-Padilla</v>
          </cell>
          <cell r="K286" t="str">
            <v>Ram.-Padilla</v>
          </cell>
        </row>
        <row r="287">
          <cell r="A287" t="str">
            <v>Schefflera paniculitomentosa</v>
          </cell>
          <cell r="B287">
            <v>286</v>
          </cell>
          <cell r="C287" t="str">
            <v>Plantae</v>
          </cell>
          <cell r="D287" t="str">
            <v>Magnoliophyta</v>
          </cell>
          <cell r="E287" t="str">
            <v>Equisetopsida</v>
          </cell>
          <cell r="F287" t="str">
            <v>Apiales</v>
          </cell>
          <cell r="G287" t="str">
            <v>Araliaceae</v>
          </cell>
          <cell r="H287" t="str">
            <v>Schefflera</v>
          </cell>
          <cell r="I287" t="str">
            <v>paniculitomentosa</v>
          </cell>
          <cell r="J287" t="str">
            <v>Schefflera paniculitomentosa Cuatrec.</v>
          </cell>
          <cell r="K287" t="str">
            <v>Cuatrec.</v>
          </cell>
          <cell r="M287" t="str">
            <v>quita sol, mamuelión, mano de león</v>
          </cell>
        </row>
        <row r="288">
          <cell r="A288" t="str">
            <v>Schefflera ramosissima</v>
          </cell>
          <cell r="B288">
            <v>287</v>
          </cell>
          <cell r="C288" t="str">
            <v>Plantae</v>
          </cell>
          <cell r="D288" t="str">
            <v>Magnoliophyta</v>
          </cell>
          <cell r="E288" t="str">
            <v>Equisetopsida</v>
          </cell>
          <cell r="F288" t="str">
            <v>Apiales</v>
          </cell>
          <cell r="G288" t="str">
            <v>Araliaceae</v>
          </cell>
          <cell r="H288" t="str">
            <v>Schefflera</v>
          </cell>
          <cell r="I288" t="str">
            <v>ramosissima</v>
          </cell>
          <cell r="J288" t="str">
            <v>Schefflera ramosissima Cuatrec.</v>
          </cell>
          <cell r="K288" t="str">
            <v>Cuatrec.</v>
          </cell>
        </row>
        <row r="289">
          <cell r="A289" t="str">
            <v>Schefflera silvatica</v>
          </cell>
          <cell r="B289">
            <v>288</v>
          </cell>
          <cell r="C289" t="str">
            <v>Plantae</v>
          </cell>
          <cell r="D289" t="str">
            <v>Magnoliophyta</v>
          </cell>
          <cell r="E289" t="str">
            <v>Equisetopsida</v>
          </cell>
          <cell r="F289" t="str">
            <v>Apiales</v>
          </cell>
          <cell r="G289" t="str">
            <v>Araliaceae</v>
          </cell>
          <cell r="H289" t="str">
            <v>Schefflera</v>
          </cell>
          <cell r="I289" t="str">
            <v>silvatica</v>
          </cell>
          <cell r="J289" t="str">
            <v>Schefflera silvatica Cuatrec.</v>
          </cell>
          <cell r="K289" t="str">
            <v>Cuatrec.</v>
          </cell>
        </row>
        <row r="290">
          <cell r="A290" t="str">
            <v>Schefflera velutina</v>
          </cell>
          <cell r="B290">
            <v>289</v>
          </cell>
          <cell r="C290" t="str">
            <v>Plantae</v>
          </cell>
          <cell r="D290" t="str">
            <v>Magnoliophyta</v>
          </cell>
          <cell r="E290" t="str">
            <v>Equisetopsida</v>
          </cell>
          <cell r="F290" t="str">
            <v>Apiales</v>
          </cell>
          <cell r="G290" t="str">
            <v>Araliaceae</v>
          </cell>
          <cell r="H290" t="str">
            <v>Schefflera</v>
          </cell>
          <cell r="I290" t="str">
            <v>velutina</v>
          </cell>
          <cell r="J290" t="str">
            <v>Schefflera velutina Cuatrec.</v>
          </cell>
          <cell r="K290" t="str">
            <v>Cuatrec.</v>
          </cell>
          <cell r="L290" t="str">
            <v>mano de oso</v>
          </cell>
        </row>
        <row r="291">
          <cell r="A291" t="str">
            <v>Senna huilana</v>
          </cell>
          <cell r="B291">
            <v>290</v>
          </cell>
          <cell r="C291" t="str">
            <v>Plantae</v>
          </cell>
          <cell r="D291" t="str">
            <v>Magnoliophyta</v>
          </cell>
          <cell r="E291" t="str">
            <v>Equisetopsida</v>
          </cell>
          <cell r="F291" t="str">
            <v>Fabales</v>
          </cell>
          <cell r="G291" t="str">
            <v>Fabaceae</v>
          </cell>
          <cell r="H291" t="str">
            <v>Senna</v>
          </cell>
          <cell r="I291" t="str">
            <v>huilana</v>
          </cell>
          <cell r="J291" t="str">
            <v>Senna huilana (Britton &amp; Rose ex Britton &amp; Killip) H.S. Irwin &amp; Barneby</v>
          </cell>
          <cell r="K291" t="str">
            <v>(Britton &amp; Rose ex Britton &amp; Killip) H.S. Irwin &amp; Barneby</v>
          </cell>
        </row>
        <row r="292">
          <cell r="A292" t="str">
            <v>Simira cesariana</v>
          </cell>
          <cell r="B292">
            <v>291</v>
          </cell>
          <cell r="C292" t="str">
            <v>Plantae</v>
          </cell>
          <cell r="D292" t="str">
            <v>Magnoliophyta</v>
          </cell>
          <cell r="E292" t="str">
            <v>Equisetopsida</v>
          </cell>
          <cell r="F292" t="str">
            <v>Gentianales</v>
          </cell>
          <cell r="G292" t="str">
            <v>Rubiaceae</v>
          </cell>
          <cell r="H292" t="str">
            <v>Simira</v>
          </cell>
          <cell r="I292" t="str">
            <v>cesariana</v>
          </cell>
          <cell r="J292" t="str">
            <v>Simira cesariana C. M. Taylor</v>
          </cell>
          <cell r="K292" t="str">
            <v>C. M. Taylor</v>
          </cell>
          <cell r="L292" t="str">
            <v>berraquillo</v>
          </cell>
        </row>
        <row r="293">
          <cell r="A293" t="str">
            <v>Simira hirsuta</v>
          </cell>
          <cell r="B293">
            <v>292</v>
          </cell>
          <cell r="C293" t="str">
            <v>Plantae</v>
          </cell>
          <cell r="D293" t="str">
            <v>Magnoliophyta</v>
          </cell>
          <cell r="E293" t="str">
            <v>Equisetopsida</v>
          </cell>
          <cell r="F293" t="str">
            <v>Gentianales</v>
          </cell>
          <cell r="G293" t="str">
            <v>Rubiaceae</v>
          </cell>
          <cell r="H293" t="str">
            <v>Simira</v>
          </cell>
          <cell r="I293" t="str">
            <v>hirsuta</v>
          </cell>
          <cell r="J293" t="str">
            <v>Simira hirsuta C.M. Taylor</v>
          </cell>
          <cell r="K293" t="str">
            <v>C.M. Taylor</v>
          </cell>
        </row>
        <row r="294">
          <cell r="A294" t="str">
            <v>Sterculia aerisperma</v>
          </cell>
          <cell r="B294">
            <v>293</v>
          </cell>
          <cell r="C294" t="str">
            <v>Plantae</v>
          </cell>
          <cell r="D294" t="str">
            <v>Magnoliophyta</v>
          </cell>
          <cell r="E294" t="str">
            <v>Equisetopsida</v>
          </cell>
          <cell r="F294" t="str">
            <v>Malvales</v>
          </cell>
          <cell r="G294" t="str">
            <v>Malvaceae</v>
          </cell>
          <cell r="H294" t="str">
            <v>Sterculia</v>
          </cell>
          <cell r="I294" t="str">
            <v>aerisperma</v>
          </cell>
          <cell r="J294" t="str">
            <v>Sterculia aerisperma Cuatrec.</v>
          </cell>
          <cell r="K294" t="str">
            <v>Cuatrec.</v>
          </cell>
          <cell r="M294" t="str">
            <v>babasaino, teta de vieja, teta vieja, vaina</v>
          </cell>
        </row>
        <row r="295">
          <cell r="A295" t="str">
            <v>Swartzia amabale</v>
          </cell>
          <cell r="B295">
            <v>294</v>
          </cell>
          <cell r="C295" t="str">
            <v>Plantae</v>
          </cell>
          <cell r="D295" t="str">
            <v>Magnoliophyta</v>
          </cell>
          <cell r="E295" t="str">
            <v>Equisetopsida</v>
          </cell>
          <cell r="F295" t="str">
            <v>Fabales</v>
          </cell>
          <cell r="G295" t="str">
            <v>Fabaceae</v>
          </cell>
          <cell r="H295" t="str">
            <v>Swartzia</v>
          </cell>
          <cell r="I295" t="str">
            <v>amabale</v>
          </cell>
          <cell r="J295" t="str">
            <v>Swartzia amabale Torke, L.K. Ruíz &amp; Mansano</v>
          </cell>
          <cell r="K295" t="str">
            <v>Torke, L.K. Ruíz &amp; Mansano</v>
          </cell>
        </row>
        <row r="296">
          <cell r="A296" t="str">
            <v>Swartzia cabrerae</v>
          </cell>
          <cell r="B296">
            <v>295</v>
          </cell>
          <cell r="C296" t="str">
            <v>Plantae</v>
          </cell>
          <cell r="D296" t="str">
            <v>Magnoliophyta</v>
          </cell>
          <cell r="E296" t="str">
            <v>Equisetopsida</v>
          </cell>
          <cell r="F296" t="str">
            <v>Fabales</v>
          </cell>
          <cell r="G296" t="str">
            <v>Fabaceae</v>
          </cell>
          <cell r="H296" t="str">
            <v>Swartzia</v>
          </cell>
          <cell r="I296" t="str">
            <v>cabrerae</v>
          </cell>
          <cell r="J296" t="str">
            <v>Swartzia cabrerae R.S.Cowan</v>
          </cell>
          <cell r="K296" t="str">
            <v>R.S.Cowan</v>
          </cell>
        </row>
        <row r="297">
          <cell r="A297" t="str">
            <v>Swartzia colombiana</v>
          </cell>
          <cell r="B297">
            <v>296</v>
          </cell>
          <cell r="C297" t="str">
            <v>Plantae</v>
          </cell>
          <cell r="D297" t="str">
            <v>Magnoliophyta</v>
          </cell>
          <cell r="E297" t="str">
            <v>Equisetopsida</v>
          </cell>
          <cell r="F297" t="str">
            <v>Fabales</v>
          </cell>
          <cell r="G297" t="str">
            <v>Fabaceae</v>
          </cell>
          <cell r="H297" t="str">
            <v>Swartzia</v>
          </cell>
          <cell r="I297" t="str">
            <v>colombiana</v>
          </cell>
          <cell r="J297" t="str">
            <v>Swartzia colombiana (RS Cowan) Torke.</v>
          </cell>
          <cell r="K297" t="str">
            <v>(RS Cowan) Torke.</v>
          </cell>
          <cell r="M297" t="str">
            <v>árbol de vaca, costilla, maré</v>
          </cell>
        </row>
        <row r="298">
          <cell r="A298" t="str">
            <v>Swartzia iniridensis</v>
          </cell>
          <cell r="B298">
            <v>297</v>
          </cell>
          <cell r="C298" t="str">
            <v>Plantae</v>
          </cell>
          <cell r="D298" t="str">
            <v>Magnoliophyta</v>
          </cell>
          <cell r="E298" t="str">
            <v>Equisetopsida</v>
          </cell>
          <cell r="F298" t="str">
            <v>Fabales</v>
          </cell>
          <cell r="G298" t="str">
            <v>Fabaceae</v>
          </cell>
          <cell r="H298" t="str">
            <v>Swartzia</v>
          </cell>
          <cell r="I298" t="str">
            <v>iniridensis</v>
          </cell>
          <cell r="J298" t="str">
            <v>Swartzia iniridensis R.S.Cowan</v>
          </cell>
          <cell r="K298" t="str">
            <v>R.S.Cowan</v>
          </cell>
        </row>
        <row r="299">
          <cell r="A299" t="str">
            <v>Swartzia macrophylla</v>
          </cell>
          <cell r="B299">
            <v>298</v>
          </cell>
          <cell r="C299" t="str">
            <v>Plantae</v>
          </cell>
          <cell r="D299" t="str">
            <v>Magnoliophyta</v>
          </cell>
          <cell r="E299" t="str">
            <v>Equisetopsida</v>
          </cell>
          <cell r="F299" t="str">
            <v>Fabales</v>
          </cell>
          <cell r="G299" t="str">
            <v>Fabaceae</v>
          </cell>
          <cell r="H299" t="str">
            <v>Swartzia</v>
          </cell>
          <cell r="I299" t="str">
            <v>macrophylla</v>
          </cell>
          <cell r="J299" t="str">
            <v>Swartzia macrophylla Willd. ex Vogel</v>
          </cell>
          <cell r="K299" t="str">
            <v>Willd. ex Vogel</v>
          </cell>
          <cell r="M299" t="str">
            <v>guamón, mucuma, guacharaco</v>
          </cell>
        </row>
        <row r="300">
          <cell r="A300" t="str">
            <v>Swartzia radiale</v>
          </cell>
          <cell r="B300">
            <v>299</v>
          </cell>
          <cell r="C300" t="str">
            <v>Plantae</v>
          </cell>
          <cell r="D300" t="str">
            <v>Magnoliophyta</v>
          </cell>
          <cell r="E300" t="str">
            <v>Equisetopsida</v>
          </cell>
          <cell r="F300" t="str">
            <v>Fabales</v>
          </cell>
          <cell r="G300" t="str">
            <v>Fabaceae</v>
          </cell>
          <cell r="H300" t="str">
            <v>Swartzia</v>
          </cell>
          <cell r="I300" t="str">
            <v>radiale</v>
          </cell>
          <cell r="J300" t="str">
            <v>Swartzia radiale Torke, L.K. Ruíz &amp; Mansano</v>
          </cell>
          <cell r="K300" t="str">
            <v>Torke, L.K. Ruíz &amp; Mansano</v>
          </cell>
        </row>
        <row r="301">
          <cell r="A301" t="str">
            <v>Swartzia santanderensis</v>
          </cell>
          <cell r="B301">
            <v>300</v>
          </cell>
          <cell r="C301" t="str">
            <v>Plantae</v>
          </cell>
          <cell r="D301" t="str">
            <v>Magnoliophyta</v>
          </cell>
          <cell r="E301" t="str">
            <v>Equisetopsida</v>
          </cell>
          <cell r="F301" t="str">
            <v>Fabales</v>
          </cell>
          <cell r="G301" t="str">
            <v>Fabaceae</v>
          </cell>
          <cell r="H301" t="str">
            <v>Swartzia</v>
          </cell>
          <cell r="I301" t="str">
            <v>santanderensis</v>
          </cell>
          <cell r="J301" t="str">
            <v>Swartzia santanderensis R.S. Cowan</v>
          </cell>
          <cell r="K301" t="str">
            <v>R.S. Cowan</v>
          </cell>
          <cell r="M301" t="str">
            <v>alma negra,frijolillo</v>
          </cell>
        </row>
        <row r="302">
          <cell r="A302" t="str">
            <v>Tachigali colombiana</v>
          </cell>
          <cell r="B302">
            <v>301</v>
          </cell>
          <cell r="C302" t="str">
            <v>Plantae</v>
          </cell>
          <cell r="D302" t="str">
            <v>Magnoliophyta</v>
          </cell>
          <cell r="E302" t="str">
            <v>Equisetopsida</v>
          </cell>
          <cell r="F302" t="str">
            <v>Fabales</v>
          </cell>
          <cell r="G302" t="str">
            <v>Fabaceae</v>
          </cell>
          <cell r="H302" t="str">
            <v>Tachigali</v>
          </cell>
          <cell r="I302" t="str">
            <v>colombiana</v>
          </cell>
          <cell r="J302" t="str">
            <v>Tachigali colombiana Dwyer</v>
          </cell>
          <cell r="K302" t="str">
            <v>Dwyer</v>
          </cell>
          <cell r="M302" t="str">
            <v>guaboquerré, guamillo</v>
          </cell>
        </row>
        <row r="303">
          <cell r="A303" t="str">
            <v>Tessmannianthus calcaratus</v>
          </cell>
          <cell r="B303">
            <v>302</v>
          </cell>
          <cell r="C303" t="str">
            <v xml:space="preserve">Plantae </v>
          </cell>
          <cell r="D303" t="str">
            <v>Magnoliophyta</v>
          </cell>
          <cell r="E303" t="str">
            <v>Equisetopsida</v>
          </cell>
          <cell r="F303" t="str">
            <v>Myrtales</v>
          </cell>
          <cell r="G303" t="str">
            <v>Melastomataceae</v>
          </cell>
          <cell r="H303" t="str">
            <v>Tessmannianthus</v>
          </cell>
          <cell r="I303" t="str">
            <v>calcaratus</v>
          </cell>
          <cell r="J303" t="str">
            <v>Tessmannianthus calcaratus (Gleason) Wurdack</v>
          </cell>
          <cell r="K303" t="str">
            <v>(Gleason) Wurdack</v>
          </cell>
          <cell r="M303" t="str">
            <v>hormigo, lanzo</v>
          </cell>
        </row>
        <row r="304">
          <cell r="A304" t="str">
            <v>Tessmannianthus quadridomius</v>
          </cell>
          <cell r="B304">
            <v>303</v>
          </cell>
          <cell r="C304" t="str">
            <v>Plantae</v>
          </cell>
          <cell r="D304" t="str">
            <v>Magnoliophyta</v>
          </cell>
          <cell r="E304" t="str">
            <v>Equisetopsida</v>
          </cell>
          <cell r="F304" t="str">
            <v>Myrtales</v>
          </cell>
          <cell r="G304" t="str">
            <v>Melastomataceae</v>
          </cell>
          <cell r="H304" t="str">
            <v>Tessmannianthus</v>
          </cell>
          <cell r="I304" t="str">
            <v>quadridomius</v>
          </cell>
          <cell r="J304" t="str">
            <v>Tessmannianthus quadridomius Wurdack</v>
          </cell>
          <cell r="K304" t="str">
            <v>Wurdack</v>
          </cell>
          <cell r="L304" t="str">
            <v>arracacho</v>
          </cell>
        </row>
        <row r="305">
          <cell r="A305" t="str">
            <v>Theobroma cirmolinae</v>
          </cell>
          <cell r="B305">
            <v>304</v>
          </cell>
          <cell r="C305" t="str">
            <v>Plantae</v>
          </cell>
          <cell r="D305" t="str">
            <v>Magnoliophyta</v>
          </cell>
          <cell r="E305" t="str">
            <v>Equisetopsida</v>
          </cell>
          <cell r="F305" t="str">
            <v>Malvales</v>
          </cell>
          <cell r="G305" t="str">
            <v>Malvaceae</v>
          </cell>
          <cell r="H305" t="str">
            <v>Theobroma</v>
          </cell>
          <cell r="I305" t="str">
            <v>cirmolinae</v>
          </cell>
          <cell r="J305" t="str">
            <v>Theobroma cirmolinae Cuatrec.</v>
          </cell>
          <cell r="K305" t="str">
            <v>Cuatrec.</v>
          </cell>
          <cell r="M305" t="str">
            <v>bacao, cacao de indio, cacao de monte</v>
          </cell>
        </row>
        <row r="306">
          <cell r="A306" t="str">
            <v>Theobroma nemorale</v>
          </cell>
          <cell r="B306">
            <v>305</v>
          </cell>
          <cell r="C306" t="str">
            <v>Plantae</v>
          </cell>
          <cell r="D306" t="str">
            <v>Magnoliophyta</v>
          </cell>
          <cell r="E306" t="str">
            <v>Equisetopsida</v>
          </cell>
          <cell r="F306" t="str">
            <v>Malvales</v>
          </cell>
          <cell r="G306" t="str">
            <v>Malvaceae</v>
          </cell>
          <cell r="H306" t="str">
            <v>Theobroma</v>
          </cell>
          <cell r="I306" t="str">
            <v>nemorale</v>
          </cell>
          <cell r="J306" t="str">
            <v>Theobroma nemorale Cuatrec.</v>
          </cell>
          <cell r="K306" t="str">
            <v>Cuatrec.</v>
          </cell>
          <cell r="M306" t="str">
            <v>bacao, chocolatillo, erkisijo, chocolate arisco, chocolate de monte</v>
          </cell>
        </row>
        <row r="307">
          <cell r="A307" t="str">
            <v>Tibouchina elegantula</v>
          </cell>
          <cell r="B307">
            <v>306</v>
          </cell>
          <cell r="C307" t="str">
            <v>Plantae</v>
          </cell>
          <cell r="D307" t="str">
            <v>Magnoliophyta</v>
          </cell>
          <cell r="E307" t="str">
            <v>Equisetopsida</v>
          </cell>
          <cell r="F307" t="str">
            <v>Myrtales</v>
          </cell>
          <cell r="G307" t="str">
            <v>Melastomataceae</v>
          </cell>
          <cell r="H307" t="str">
            <v>Tibouchina</v>
          </cell>
          <cell r="I307" t="str">
            <v>elegantula</v>
          </cell>
          <cell r="J307" t="str">
            <v>Tibouchina elegantula Todzia &amp; Almeda</v>
          </cell>
          <cell r="K307" t="str">
            <v>Todzia &amp; Almeda</v>
          </cell>
          <cell r="M307" t="str">
            <v>siete cueros, mortiño</v>
          </cell>
        </row>
        <row r="308">
          <cell r="A308" t="str">
            <v>Tibouchina narinoensis</v>
          </cell>
          <cell r="B308">
            <v>307</v>
          </cell>
          <cell r="C308" t="str">
            <v xml:space="preserve">Plantae </v>
          </cell>
          <cell r="D308" t="str">
            <v>Magnoliophyta</v>
          </cell>
          <cell r="E308" t="str">
            <v>Equisetopsida</v>
          </cell>
          <cell r="F308" t="str">
            <v>Myrtales</v>
          </cell>
          <cell r="G308" t="str">
            <v>Melastomataceae</v>
          </cell>
          <cell r="H308" t="str">
            <v>Tibouchina</v>
          </cell>
          <cell r="I308" t="str">
            <v>narinoensis</v>
          </cell>
          <cell r="J308" t="str">
            <v>Tibouchina narinoensis Wurdack</v>
          </cell>
          <cell r="K308" t="str">
            <v>Wurdack</v>
          </cell>
        </row>
        <row r="309">
          <cell r="A309" t="str">
            <v>Tibouchina silvestris</v>
          </cell>
          <cell r="B309">
            <v>308</v>
          </cell>
          <cell r="C309" t="str">
            <v xml:space="preserve">Plantae </v>
          </cell>
          <cell r="D309" t="str">
            <v>Magnoliophyta</v>
          </cell>
          <cell r="E309" t="str">
            <v>Equisetopsida</v>
          </cell>
          <cell r="F309" t="str">
            <v>Myrtales</v>
          </cell>
          <cell r="G309" t="str">
            <v>Melastomataceae</v>
          </cell>
          <cell r="H309" t="str">
            <v>Tibouchina</v>
          </cell>
          <cell r="I309" t="str">
            <v>silvestris</v>
          </cell>
          <cell r="J309" t="str">
            <v>Tibouchina silvestris Todzia &amp; Almeda</v>
          </cell>
          <cell r="K309" t="str">
            <v>Todzia &amp; Almeda</v>
          </cell>
        </row>
        <row r="310">
          <cell r="A310" t="str">
            <v>Unonopsis aviceps</v>
          </cell>
          <cell r="B310">
            <v>309</v>
          </cell>
          <cell r="C310" t="str">
            <v>Plantae</v>
          </cell>
          <cell r="D310" t="str">
            <v>Magnoliophyta</v>
          </cell>
          <cell r="E310" t="str">
            <v>Equisetopsida</v>
          </cell>
          <cell r="F310" t="str">
            <v>Magnoliales</v>
          </cell>
          <cell r="G310" t="str">
            <v>Annonaceae</v>
          </cell>
          <cell r="H310" t="str">
            <v>Unonopsis</v>
          </cell>
          <cell r="I310" t="str">
            <v>aviceps</v>
          </cell>
          <cell r="J310" t="str">
            <v>Unonopsis aviceps Maas</v>
          </cell>
          <cell r="K310" t="str">
            <v>Maas</v>
          </cell>
          <cell r="L310" t="str">
            <v>yaya pantana</v>
          </cell>
          <cell r="M310" t="str">
            <v>apio, garrapato, garrapato de monte, guasco, yaya</v>
          </cell>
        </row>
        <row r="311">
          <cell r="A311" t="str">
            <v>Unonopsis colombiana</v>
          </cell>
          <cell r="B311">
            <v>310</v>
          </cell>
          <cell r="C311" t="str">
            <v>Plantae</v>
          </cell>
          <cell r="D311" t="str">
            <v>Magnoliophyta</v>
          </cell>
          <cell r="E311" t="str">
            <v>Equisetopsida</v>
          </cell>
          <cell r="F311" t="str">
            <v>Magnoliales</v>
          </cell>
          <cell r="G311" t="str">
            <v>Annonaceae</v>
          </cell>
          <cell r="H311" t="str">
            <v>Unonopsis</v>
          </cell>
          <cell r="I311" t="str">
            <v>colombiana</v>
          </cell>
          <cell r="J311" t="str">
            <v>Unonopsis colombiana Maas &amp; Westra</v>
          </cell>
          <cell r="K311" t="str">
            <v>Maas &amp; Westra</v>
          </cell>
        </row>
        <row r="312">
          <cell r="A312" t="str">
            <v>Unonopsis megalophylla</v>
          </cell>
          <cell r="B312">
            <v>311</v>
          </cell>
          <cell r="C312" t="str">
            <v>Plantae</v>
          </cell>
          <cell r="D312" t="str">
            <v>Magnoliophyta</v>
          </cell>
          <cell r="E312" t="str">
            <v>Equisetopsida</v>
          </cell>
          <cell r="F312" t="str">
            <v>Magnoliales</v>
          </cell>
          <cell r="G312" t="str">
            <v>Annonaceae</v>
          </cell>
          <cell r="H312" t="str">
            <v>Unonopsis</v>
          </cell>
          <cell r="I312" t="str">
            <v>megalophylla</v>
          </cell>
          <cell r="J312" t="str">
            <v>Unonopsis megalophylla Maas &amp; Westra</v>
          </cell>
          <cell r="K312" t="str">
            <v>Maas &amp; Westra</v>
          </cell>
        </row>
        <row r="313">
          <cell r="A313" t="str">
            <v>Unonopsis sessilicarpa</v>
          </cell>
          <cell r="B313">
            <v>312</v>
          </cell>
          <cell r="C313" t="str">
            <v>Plantae</v>
          </cell>
          <cell r="D313" t="str">
            <v>Magnoliophyta</v>
          </cell>
          <cell r="E313" t="str">
            <v>Equisetopsida</v>
          </cell>
          <cell r="F313" t="str">
            <v>Magnoliales</v>
          </cell>
          <cell r="G313" t="str">
            <v>Annonaceae</v>
          </cell>
          <cell r="H313" t="str">
            <v>Unonopsis</v>
          </cell>
          <cell r="I313" t="str">
            <v>sessilicarpa</v>
          </cell>
          <cell r="J313" t="str">
            <v>Unonopsis sessilicarpa Maas &amp; Westra</v>
          </cell>
          <cell r="K313" t="str">
            <v>Maas &amp; Westra</v>
          </cell>
        </row>
        <row r="314">
          <cell r="A314" t="str">
            <v>Williamodendron quadrilocellatum</v>
          </cell>
          <cell r="B314">
            <v>313</v>
          </cell>
          <cell r="C314" t="str">
            <v>Plantae</v>
          </cell>
          <cell r="D314" t="str">
            <v>Magnoliophyta</v>
          </cell>
          <cell r="E314" t="str">
            <v>Equisetopsida</v>
          </cell>
          <cell r="F314" t="str">
            <v>Laurales</v>
          </cell>
          <cell r="G314" t="str">
            <v>Lauraceae</v>
          </cell>
          <cell r="H314" t="str">
            <v>Williamodendron</v>
          </cell>
          <cell r="I314" t="str">
            <v>quadrilocellatum</v>
          </cell>
          <cell r="J314" t="str">
            <v>Williamodendron quadrilocellatum (van der Werff) Kubitzki &amp; H.G. Richt.</v>
          </cell>
          <cell r="K314" t="str">
            <v>(van der Werff) Kubitzki &amp; H.G. Richt.</v>
          </cell>
        </row>
        <row r="315">
          <cell r="A315" t="str">
            <v>Zapoteca microcephala</v>
          </cell>
          <cell r="B315">
            <v>314</v>
          </cell>
          <cell r="C315" t="str">
            <v>Plantae</v>
          </cell>
          <cell r="D315" t="str">
            <v>Magnoliophyta</v>
          </cell>
          <cell r="E315" t="str">
            <v>Equisetopsida</v>
          </cell>
          <cell r="F315" t="str">
            <v>Fabales</v>
          </cell>
          <cell r="G315" t="str">
            <v>Fabaceae</v>
          </cell>
          <cell r="H315" t="str">
            <v>Zapoteca</v>
          </cell>
          <cell r="I315" t="str">
            <v>microcephala</v>
          </cell>
          <cell r="J315" t="str">
            <v>Zapoteca microcephala (Britton &amp; Killip) H.M. Hern.</v>
          </cell>
          <cell r="K315" t="str">
            <v>(Britton &amp; Killip) H.M. Hern.</v>
          </cell>
        </row>
        <row r="316">
          <cell r="A316" t="str">
            <v>Zygia hernandezii</v>
          </cell>
          <cell r="B316">
            <v>315</v>
          </cell>
          <cell r="C316" t="str">
            <v>Plantae</v>
          </cell>
          <cell r="D316" t="str">
            <v>Magnoliophyta</v>
          </cell>
          <cell r="E316" t="str">
            <v>Equisetopsida</v>
          </cell>
          <cell r="F316" t="str">
            <v>Fabales</v>
          </cell>
          <cell r="G316" t="str">
            <v>Fabaceae</v>
          </cell>
          <cell r="H316" t="str">
            <v>Zygia</v>
          </cell>
          <cell r="I316" t="str">
            <v>hernandezii</v>
          </cell>
          <cell r="J316" t="str">
            <v>Zygia hernandezii (C. Barbosa) L. Rico</v>
          </cell>
          <cell r="K316" t="str">
            <v>(C. Barbosa) L. Rico</v>
          </cell>
        </row>
        <row r="317">
          <cell r="A317" t="str">
            <v>Zygia multipunctata</v>
          </cell>
          <cell r="B317">
            <v>316</v>
          </cell>
          <cell r="C317" t="str">
            <v>Plantae</v>
          </cell>
          <cell r="D317" t="str">
            <v>Magnoliophyta</v>
          </cell>
          <cell r="E317" t="str">
            <v>Equisetopsida</v>
          </cell>
          <cell r="F317" t="str">
            <v>Fabales</v>
          </cell>
          <cell r="G317" t="str">
            <v>Fabaceae</v>
          </cell>
          <cell r="H317" t="str">
            <v>Zygia</v>
          </cell>
          <cell r="I317" t="str">
            <v>multipunctata</v>
          </cell>
          <cell r="J317" t="str">
            <v>Zygia multipunctata Barneby &amp; J.W. Grimes</v>
          </cell>
          <cell r="K317" t="str">
            <v>Barneby &amp; J.W. Grimes</v>
          </cell>
        </row>
        <row r="318">
          <cell r="A318" t="str">
            <v>Zygia picramnioides</v>
          </cell>
          <cell r="B318">
            <v>317</v>
          </cell>
          <cell r="C318" t="str">
            <v>Plantae</v>
          </cell>
          <cell r="D318" t="str">
            <v>Magnoliophyta</v>
          </cell>
          <cell r="E318" t="str">
            <v>Equisetopsida</v>
          </cell>
          <cell r="F318" t="str">
            <v>Fabales</v>
          </cell>
          <cell r="G318" t="str">
            <v>Fabaceae</v>
          </cell>
          <cell r="H318" t="str">
            <v>Zygia</v>
          </cell>
          <cell r="I318" t="str">
            <v>picramnioides</v>
          </cell>
          <cell r="J318" t="str">
            <v>Zygia picramnioides (Standl. ex Killip) Killip</v>
          </cell>
          <cell r="K318" t="str">
            <v>(Standl. ex Killip) Killip</v>
          </cell>
          <cell r="L318" t="str">
            <v>suribio</v>
          </cell>
        </row>
      </sheetData>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printerSettings" Target="../printerSettings/printerSettings1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printerSettings" Target="../printerSettings/printerSettings2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G172"/>
  <sheetViews>
    <sheetView zoomScaleNormal="100" workbookViewId="0">
      <selection activeCell="A2" sqref="A2:B2"/>
    </sheetView>
  </sheetViews>
  <sheetFormatPr defaultColWidth="11.44140625" defaultRowHeight="14.4" x14ac:dyDescent="0.3"/>
  <cols>
    <col min="1" max="1" width="14.33203125" style="50" customWidth="1"/>
    <col min="2" max="2" width="160" style="51" customWidth="1"/>
    <col min="3" max="3" width="62.44140625" style="35" customWidth="1"/>
    <col min="4" max="4" width="12.109375" style="35" customWidth="1"/>
    <col min="5" max="16384" width="11.44140625" style="35"/>
  </cols>
  <sheetData>
    <row r="1" spans="1:12" x14ac:dyDescent="0.3">
      <c r="A1" s="237"/>
      <c r="B1" s="237"/>
    </row>
    <row r="2" spans="1:12" s="36" customFormat="1" ht="32.25" customHeight="1" x14ac:dyDescent="0.3">
      <c r="A2" s="240" t="s">
        <v>933</v>
      </c>
      <c r="B2" s="241"/>
      <c r="K2" s="187"/>
      <c r="L2" s="41"/>
    </row>
    <row r="3" spans="1:12" s="36" customFormat="1" ht="13.8" x14ac:dyDescent="0.3">
      <c r="A3" s="238"/>
      <c r="B3" s="238"/>
    </row>
    <row r="4" spans="1:12" s="36" customFormat="1" ht="52.5" customHeight="1" x14ac:dyDescent="0.3">
      <c r="A4" s="144" t="s">
        <v>363</v>
      </c>
      <c r="B4" s="37" t="s">
        <v>1010</v>
      </c>
    </row>
    <row r="5" spans="1:12" s="36" customFormat="1" ht="13.8" x14ac:dyDescent="0.3">
      <c r="A5" s="239"/>
      <c r="B5" s="239"/>
    </row>
    <row r="6" spans="1:12" s="36" customFormat="1" ht="81.599999999999994" x14ac:dyDescent="0.3">
      <c r="A6" s="234" t="s">
        <v>335</v>
      </c>
      <c r="B6" s="38" t="s">
        <v>897</v>
      </c>
    </row>
    <row r="7" spans="1:12" s="36" customFormat="1" ht="132.6" x14ac:dyDescent="0.3">
      <c r="A7" s="234"/>
      <c r="B7" s="38" t="s">
        <v>898</v>
      </c>
    </row>
    <row r="8" spans="1:12" s="36" customFormat="1" ht="13.8" x14ac:dyDescent="0.3">
      <c r="A8" s="238"/>
      <c r="B8" s="238"/>
    </row>
    <row r="9" spans="1:12" s="36" customFormat="1" ht="15" customHeight="1" x14ac:dyDescent="0.3">
      <c r="A9" s="234" t="s">
        <v>367</v>
      </c>
      <c r="B9" s="39" t="s">
        <v>364</v>
      </c>
    </row>
    <row r="10" spans="1:12" s="36" customFormat="1" ht="26.4" x14ac:dyDescent="0.3">
      <c r="A10" s="234"/>
      <c r="B10" s="40" t="s">
        <v>899</v>
      </c>
    </row>
    <row r="11" spans="1:12" s="36" customFormat="1" ht="92.25" customHeight="1" x14ac:dyDescent="0.3">
      <c r="A11" s="234"/>
      <c r="B11" s="40" t="s">
        <v>900</v>
      </c>
    </row>
    <row r="12" spans="1:12" s="36" customFormat="1" ht="126" customHeight="1" x14ac:dyDescent="0.3">
      <c r="A12" s="234"/>
      <c r="B12" s="40" t="s">
        <v>904</v>
      </c>
    </row>
    <row r="13" spans="1:12" s="41" customFormat="1" ht="26.4" x14ac:dyDescent="0.3">
      <c r="A13" s="234"/>
      <c r="B13" s="40" t="s">
        <v>901</v>
      </c>
    </row>
    <row r="14" spans="1:12" s="41" customFormat="1" ht="13.8" x14ac:dyDescent="0.3">
      <c r="A14" s="234"/>
      <c r="B14" s="40" t="s">
        <v>448</v>
      </c>
    </row>
    <row r="15" spans="1:12" s="36" customFormat="1" ht="13.8" x14ac:dyDescent="0.3">
      <c r="A15" s="234"/>
      <c r="B15" s="40" t="s">
        <v>449</v>
      </c>
    </row>
    <row r="16" spans="1:12" s="36" customFormat="1" ht="13.8" x14ac:dyDescent="0.3">
      <c r="A16" s="238"/>
      <c r="B16" s="238"/>
    </row>
    <row r="17" spans="1:85" s="36" customFormat="1" ht="145.5" customHeight="1" x14ac:dyDescent="0.3">
      <c r="A17" s="233" t="s">
        <v>365</v>
      </c>
      <c r="B17" s="42" t="s">
        <v>902</v>
      </c>
      <c r="C17" s="41"/>
      <c r="D17" s="41"/>
      <c r="E17" s="41"/>
    </row>
    <row r="18" spans="1:85" s="36" customFormat="1" ht="102.75" customHeight="1" x14ac:dyDescent="0.3">
      <c r="A18" s="233"/>
      <c r="B18" s="42" t="s">
        <v>393</v>
      </c>
      <c r="C18" s="41"/>
      <c r="D18" s="41"/>
      <c r="E18" s="41"/>
    </row>
    <row r="19" spans="1:85" s="20" customFormat="1" ht="13.5" customHeight="1" x14ac:dyDescent="0.3">
      <c r="A19" s="235"/>
      <c r="B19" s="235"/>
      <c r="C19" s="43"/>
      <c r="D19" s="43"/>
      <c r="E19" s="43"/>
    </row>
    <row r="20" spans="1:85" s="20" customFormat="1" ht="96.75" customHeight="1" x14ac:dyDescent="0.3">
      <c r="A20" s="233" t="s">
        <v>366</v>
      </c>
      <c r="B20" s="42" t="s">
        <v>943</v>
      </c>
      <c r="C20" s="43"/>
      <c r="D20" s="43"/>
      <c r="E20" s="43"/>
    </row>
    <row r="21" spans="1:85" s="20" customFormat="1" ht="117.75" customHeight="1" x14ac:dyDescent="0.3">
      <c r="A21" s="233"/>
      <c r="B21" s="169" t="s">
        <v>903</v>
      </c>
      <c r="C21" s="43"/>
      <c r="D21" s="43"/>
      <c r="E21" s="43"/>
    </row>
    <row r="22" spans="1:85" x14ac:dyDescent="0.3">
      <c r="A22" s="236"/>
      <c r="B22" s="236"/>
    </row>
    <row r="23" spans="1:85" ht="52.5" customHeight="1" x14ac:dyDescent="0.3">
      <c r="A23" s="232" t="s">
        <v>450</v>
      </c>
      <c r="B23" s="232"/>
      <c r="C23" s="44"/>
      <c r="D23" s="45"/>
      <c r="E23" s="45"/>
      <c r="F23" s="45"/>
      <c r="G23" s="45"/>
      <c r="H23" s="45"/>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c r="AL23" s="45"/>
      <c r="AM23" s="45"/>
      <c r="AN23" s="45"/>
      <c r="AO23" s="45"/>
      <c r="AP23" s="45"/>
      <c r="AQ23" s="45"/>
      <c r="AR23" s="45"/>
      <c r="AS23" s="45"/>
      <c r="AT23" s="45"/>
      <c r="AU23" s="45"/>
      <c r="AV23" s="45"/>
      <c r="AW23" s="45"/>
      <c r="AX23" s="45"/>
      <c r="AY23" s="45"/>
      <c r="AZ23" s="45"/>
      <c r="BA23" s="45"/>
      <c r="BB23" s="45"/>
      <c r="BC23" s="45"/>
      <c r="BD23" s="45"/>
      <c r="BE23" s="45"/>
      <c r="BF23" s="45"/>
      <c r="BG23" s="45"/>
      <c r="BH23" s="45"/>
      <c r="BI23" s="45"/>
      <c r="BJ23" s="45"/>
      <c r="BK23" s="45"/>
      <c r="BL23" s="45"/>
      <c r="BM23" s="45"/>
      <c r="BN23" s="45"/>
      <c r="BO23" s="45"/>
      <c r="BP23" s="45"/>
      <c r="BQ23" s="45"/>
      <c r="BR23" s="45"/>
      <c r="BS23" s="45"/>
      <c r="BT23" s="45"/>
      <c r="BU23" s="45"/>
      <c r="BV23" s="45"/>
      <c r="BW23" s="45"/>
      <c r="BX23" s="45"/>
      <c r="BY23" s="45"/>
      <c r="BZ23" s="45"/>
      <c r="CA23" s="45"/>
      <c r="CB23" s="45"/>
      <c r="CC23" s="45"/>
      <c r="CD23" s="45"/>
      <c r="CE23" s="45"/>
      <c r="CF23" s="45"/>
      <c r="CG23" s="45"/>
    </row>
    <row r="24" spans="1:85" s="46" customFormat="1" ht="25.05" customHeight="1" x14ac:dyDescent="0.3">
      <c r="A24" s="171" t="s">
        <v>321</v>
      </c>
      <c r="B24" s="172" t="s">
        <v>322</v>
      </c>
    </row>
    <row r="25" spans="1:85" s="46" customFormat="1" ht="25.05" customHeight="1" x14ac:dyDescent="0.3">
      <c r="A25" s="173" t="s">
        <v>8</v>
      </c>
      <c r="B25" s="170">
        <v>1</v>
      </c>
      <c r="C25" s="67"/>
      <c r="D25" s="68"/>
      <c r="E25" s="35"/>
    </row>
    <row r="26" spans="1:85" s="46" customFormat="1" ht="25.05" customHeight="1" x14ac:dyDescent="0.3">
      <c r="A26" s="173" t="s">
        <v>9</v>
      </c>
      <c r="B26" s="170">
        <v>2</v>
      </c>
      <c r="C26" s="67"/>
      <c r="D26" s="68"/>
      <c r="E26" s="35"/>
    </row>
    <row r="27" spans="1:85" s="46" customFormat="1" ht="25.05" customHeight="1" x14ac:dyDescent="0.3">
      <c r="A27" s="173" t="s">
        <v>11</v>
      </c>
      <c r="B27" s="170">
        <v>3</v>
      </c>
      <c r="C27" s="67"/>
      <c r="D27" s="68"/>
      <c r="E27" s="35"/>
    </row>
    <row r="28" spans="1:85" s="46" customFormat="1" ht="25.05" customHeight="1" x14ac:dyDescent="0.3">
      <c r="A28" s="173" t="s">
        <v>2</v>
      </c>
      <c r="B28" s="170">
        <v>4</v>
      </c>
      <c r="C28" s="67"/>
      <c r="D28" s="68"/>
      <c r="E28" s="35"/>
    </row>
    <row r="29" spans="1:85" s="46" customFormat="1" ht="25.05" customHeight="1" x14ac:dyDescent="0.3">
      <c r="A29" s="173" t="s">
        <v>10</v>
      </c>
      <c r="B29" s="170">
        <v>5</v>
      </c>
      <c r="C29" s="67"/>
      <c r="D29" s="68"/>
      <c r="E29" s="35"/>
    </row>
    <row r="30" spans="1:85" s="46" customFormat="1" ht="25.05" customHeight="1" x14ac:dyDescent="0.3">
      <c r="A30" s="173" t="s">
        <v>3</v>
      </c>
      <c r="B30" s="170">
        <v>6</v>
      </c>
      <c r="C30" s="67"/>
      <c r="D30" s="68"/>
      <c r="E30" s="35"/>
    </row>
    <row r="31" spans="1:85" s="46" customFormat="1" ht="25.05" customHeight="1" x14ac:dyDescent="0.3">
      <c r="A31" s="173" t="s">
        <v>4</v>
      </c>
      <c r="B31" s="170">
        <v>7</v>
      </c>
      <c r="C31" s="67"/>
      <c r="D31" s="68"/>
      <c r="E31" s="35"/>
    </row>
    <row r="32" spans="1:85" s="46" customFormat="1" ht="25.05" customHeight="1" x14ac:dyDescent="0.3">
      <c r="A32" s="173" t="s">
        <v>12</v>
      </c>
      <c r="B32" s="170">
        <v>8</v>
      </c>
      <c r="C32" s="67"/>
      <c r="D32" s="68"/>
      <c r="E32" s="35"/>
    </row>
    <row r="33" spans="1:5" s="46" customFormat="1" ht="25.05" customHeight="1" x14ac:dyDescent="0.3">
      <c r="A33" s="173" t="s">
        <v>13</v>
      </c>
      <c r="B33" s="170">
        <v>9</v>
      </c>
      <c r="C33" s="67"/>
      <c r="D33" s="68"/>
      <c r="E33" s="35"/>
    </row>
    <row r="34" spans="1:5" s="46" customFormat="1" ht="25.05" customHeight="1" x14ac:dyDescent="0.3">
      <c r="A34" s="174" t="s">
        <v>336</v>
      </c>
      <c r="B34" s="170">
        <v>10</v>
      </c>
      <c r="C34" s="67"/>
      <c r="D34" s="68"/>
      <c r="E34" s="35"/>
    </row>
    <row r="35" spans="1:5" s="46" customFormat="1" ht="25.05" customHeight="1" x14ac:dyDescent="0.3">
      <c r="A35" s="174" t="s">
        <v>336</v>
      </c>
      <c r="B35" s="170">
        <v>11</v>
      </c>
      <c r="C35" s="67"/>
      <c r="D35" s="68"/>
      <c r="E35" s="35"/>
    </row>
    <row r="36" spans="1:5" s="46" customFormat="1" ht="25.05" customHeight="1" x14ac:dyDescent="0.3">
      <c r="A36" s="174" t="s">
        <v>336</v>
      </c>
      <c r="B36" s="170">
        <v>12</v>
      </c>
      <c r="C36" s="67"/>
      <c r="D36" s="68"/>
      <c r="E36" s="35"/>
    </row>
    <row r="37" spans="1:5" s="46" customFormat="1" ht="25.05" customHeight="1" x14ac:dyDescent="0.3">
      <c r="A37" s="173" t="s">
        <v>201</v>
      </c>
      <c r="B37" s="170">
        <v>13</v>
      </c>
      <c r="C37" s="67"/>
      <c r="D37" s="68"/>
      <c r="E37" s="35"/>
    </row>
    <row r="38" spans="1:5" s="46" customFormat="1" ht="25.05" customHeight="1" x14ac:dyDescent="0.3">
      <c r="A38" s="173" t="s">
        <v>306</v>
      </c>
      <c r="B38" s="170">
        <v>14</v>
      </c>
      <c r="C38" s="67"/>
      <c r="D38" s="68"/>
      <c r="E38" s="35"/>
    </row>
    <row r="39" spans="1:5" s="46" customFormat="1" ht="25.05" customHeight="1" x14ac:dyDescent="0.3">
      <c r="A39" s="173" t="s">
        <v>308</v>
      </c>
      <c r="B39" s="170">
        <v>15</v>
      </c>
      <c r="C39" s="67"/>
      <c r="D39" s="68"/>
      <c r="E39" s="35"/>
    </row>
    <row r="40" spans="1:5" s="46" customFormat="1" ht="25.05" customHeight="1" x14ac:dyDescent="0.3">
      <c r="A40" s="173" t="s">
        <v>201</v>
      </c>
      <c r="B40" s="170">
        <v>16</v>
      </c>
      <c r="C40" s="67"/>
      <c r="D40" s="68"/>
      <c r="E40" s="35"/>
    </row>
    <row r="41" spans="1:5" s="46" customFormat="1" ht="25.05" customHeight="1" x14ac:dyDescent="0.3">
      <c r="A41" s="173" t="s">
        <v>200</v>
      </c>
      <c r="B41" s="170">
        <v>17</v>
      </c>
      <c r="C41" s="67"/>
      <c r="D41" s="68"/>
      <c r="E41" s="35"/>
    </row>
    <row r="42" spans="1:5" s="46" customFormat="1" ht="25.05" customHeight="1" x14ac:dyDescent="0.3">
      <c r="A42" s="173" t="s">
        <v>202</v>
      </c>
      <c r="B42" s="170">
        <v>18</v>
      </c>
      <c r="C42" s="67"/>
      <c r="D42" s="68"/>
      <c r="E42" s="35"/>
    </row>
    <row r="43" spans="1:5" s="46" customFormat="1" ht="25.05" customHeight="1" x14ac:dyDescent="0.3">
      <c r="A43" s="173" t="s">
        <v>252</v>
      </c>
      <c r="B43" s="170">
        <v>19</v>
      </c>
      <c r="C43" s="67"/>
      <c r="D43" s="68"/>
      <c r="E43" s="35"/>
    </row>
    <row r="44" spans="1:5" s="46" customFormat="1" ht="25.05" customHeight="1" x14ac:dyDescent="0.3">
      <c r="A44" s="173" t="s">
        <v>125</v>
      </c>
      <c r="B44" s="170">
        <v>20</v>
      </c>
      <c r="C44" s="67"/>
      <c r="D44" s="68"/>
      <c r="E44" s="35"/>
    </row>
    <row r="45" spans="1:5" s="46" customFormat="1" ht="25.05" customHeight="1" x14ac:dyDescent="0.3">
      <c r="A45" s="173" t="s">
        <v>228</v>
      </c>
      <c r="B45" s="170">
        <v>21</v>
      </c>
      <c r="C45" s="67"/>
      <c r="D45" s="68"/>
      <c r="E45" s="35"/>
    </row>
    <row r="46" spans="1:5" s="46" customFormat="1" ht="25.05" customHeight="1" x14ac:dyDescent="0.3">
      <c r="A46" s="173" t="s">
        <v>123</v>
      </c>
      <c r="B46" s="170">
        <v>22</v>
      </c>
      <c r="C46" s="67"/>
      <c r="D46" s="68"/>
      <c r="E46" s="35"/>
    </row>
    <row r="47" spans="1:5" s="46" customFormat="1" ht="25.05" customHeight="1" x14ac:dyDescent="0.3">
      <c r="A47" s="173" t="s">
        <v>249</v>
      </c>
      <c r="B47" s="170">
        <v>23</v>
      </c>
      <c r="C47" s="67"/>
      <c r="D47" s="68"/>
      <c r="E47" s="35"/>
    </row>
    <row r="48" spans="1:5" s="46" customFormat="1" ht="25.05" customHeight="1" x14ac:dyDescent="0.3">
      <c r="A48" s="175" t="s">
        <v>328</v>
      </c>
      <c r="B48" s="170">
        <v>24</v>
      </c>
      <c r="C48" s="67"/>
      <c r="D48" s="68"/>
      <c r="E48" s="35"/>
    </row>
    <row r="49" spans="1:5" s="46" customFormat="1" ht="25.05" customHeight="1" x14ac:dyDescent="0.3">
      <c r="A49" s="175" t="s">
        <v>76</v>
      </c>
      <c r="B49" s="170">
        <v>25</v>
      </c>
      <c r="C49" s="67"/>
      <c r="D49" s="68"/>
      <c r="E49" s="35"/>
    </row>
    <row r="50" spans="1:5" s="46" customFormat="1" ht="25.05" customHeight="1" x14ac:dyDescent="0.3">
      <c r="A50" s="173" t="s">
        <v>199</v>
      </c>
      <c r="B50" s="170">
        <v>26</v>
      </c>
      <c r="C50" s="67"/>
      <c r="D50" s="68"/>
      <c r="E50" s="35"/>
    </row>
    <row r="51" spans="1:5" s="46" customFormat="1" ht="25.05" customHeight="1" x14ac:dyDescent="0.3">
      <c r="A51" s="173" t="s">
        <v>195</v>
      </c>
      <c r="B51" s="170">
        <v>27</v>
      </c>
      <c r="C51" s="67"/>
      <c r="D51" s="68"/>
      <c r="E51" s="35"/>
    </row>
    <row r="52" spans="1:5" s="46" customFormat="1" ht="25.05" customHeight="1" x14ac:dyDescent="0.3">
      <c r="A52" s="173" t="s">
        <v>198</v>
      </c>
      <c r="B52" s="170">
        <v>28</v>
      </c>
      <c r="C52" s="67"/>
      <c r="D52" s="68"/>
      <c r="E52" s="35"/>
    </row>
    <row r="53" spans="1:5" s="46" customFormat="1" ht="25.05" customHeight="1" x14ac:dyDescent="0.3">
      <c r="A53" s="173" t="s">
        <v>197</v>
      </c>
      <c r="B53" s="170">
        <v>29</v>
      </c>
      <c r="C53" s="67"/>
      <c r="D53" s="68"/>
      <c r="E53" s="35"/>
    </row>
    <row r="54" spans="1:5" s="46" customFormat="1" ht="25.05" customHeight="1" x14ac:dyDescent="0.3">
      <c r="A54" s="173" t="s">
        <v>56</v>
      </c>
      <c r="B54" s="170">
        <v>30</v>
      </c>
      <c r="C54" s="67"/>
      <c r="D54" s="68"/>
      <c r="E54" s="35"/>
    </row>
    <row r="55" spans="1:5" s="46" customFormat="1" ht="25.05" customHeight="1" x14ac:dyDescent="0.3">
      <c r="A55" s="173" t="s">
        <v>57</v>
      </c>
      <c r="B55" s="170">
        <v>31</v>
      </c>
      <c r="C55" s="67"/>
      <c r="D55" s="68"/>
      <c r="E55" s="35"/>
    </row>
    <row r="56" spans="1:5" s="46" customFormat="1" ht="25.05" customHeight="1" x14ac:dyDescent="0.3">
      <c r="A56" s="173" t="s">
        <v>203</v>
      </c>
      <c r="B56" s="170">
        <v>32</v>
      </c>
      <c r="C56" s="67"/>
      <c r="D56" s="68"/>
      <c r="E56" s="35"/>
    </row>
    <row r="57" spans="1:5" s="46" customFormat="1" ht="25.05" customHeight="1" x14ac:dyDescent="0.3">
      <c r="A57" s="173" t="s">
        <v>209</v>
      </c>
      <c r="B57" s="170">
        <v>33</v>
      </c>
      <c r="C57" s="67"/>
      <c r="D57" s="68"/>
      <c r="E57" s="35"/>
    </row>
    <row r="58" spans="1:5" s="46" customFormat="1" ht="25.05" customHeight="1" x14ac:dyDescent="0.3">
      <c r="A58" s="173" t="s">
        <v>206</v>
      </c>
      <c r="B58" s="170">
        <v>34</v>
      </c>
      <c r="C58" s="67"/>
      <c r="D58" s="68"/>
      <c r="E58" s="35"/>
    </row>
    <row r="59" spans="1:5" s="46" customFormat="1" ht="25.05" customHeight="1" x14ac:dyDescent="0.3">
      <c r="A59" s="173" t="s">
        <v>226</v>
      </c>
      <c r="B59" s="170">
        <v>35</v>
      </c>
      <c r="C59" s="67"/>
      <c r="D59" s="68"/>
      <c r="E59" s="35"/>
    </row>
    <row r="60" spans="1:5" s="46" customFormat="1" ht="25.05" customHeight="1" x14ac:dyDescent="0.3">
      <c r="A60" s="173" t="s">
        <v>246</v>
      </c>
      <c r="B60" s="170">
        <v>36</v>
      </c>
      <c r="C60" s="67"/>
      <c r="D60" s="68"/>
      <c r="E60" s="35"/>
    </row>
    <row r="61" spans="1:5" s="46" customFormat="1" ht="25.05" customHeight="1" x14ac:dyDescent="0.3">
      <c r="A61" s="173" t="s">
        <v>244</v>
      </c>
      <c r="B61" s="170">
        <v>37</v>
      </c>
      <c r="C61" s="67"/>
      <c r="D61" s="68"/>
      <c r="E61" s="35"/>
    </row>
    <row r="62" spans="1:5" s="46" customFormat="1" ht="25.05" customHeight="1" x14ac:dyDescent="0.3">
      <c r="A62" s="174" t="s">
        <v>336</v>
      </c>
      <c r="B62" s="170">
        <v>38</v>
      </c>
      <c r="C62" s="67"/>
      <c r="D62" s="68"/>
      <c r="E62" s="35"/>
    </row>
    <row r="63" spans="1:5" s="46" customFormat="1" ht="25.05" customHeight="1" x14ac:dyDescent="0.3">
      <c r="A63" s="174" t="s">
        <v>336</v>
      </c>
      <c r="B63" s="170">
        <v>39</v>
      </c>
      <c r="C63" s="67"/>
      <c r="D63" s="68"/>
      <c r="E63" s="35"/>
    </row>
    <row r="64" spans="1:5" s="46" customFormat="1" ht="25.05" customHeight="1" x14ac:dyDescent="0.3">
      <c r="A64" s="173" t="s">
        <v>205</v>
      </c>
      <c r="B64" s="170">
        <v>40</v>
      </c>
      <c r="C64" s="67"/>
      <c r="D64" s="68"/>
      <c r="E64" s="35"/>
    </row>
    <row r="65" spans="1:5" s="46" customFormat="1" ht="25.05" customHeight="1" x14ac:dyDescent="0.3">
      <c r="A65" s="174" t="s">
        <v>336</v>
      </c>
      <c r="B65" s="170">
        <v>41</v>
      </c>
      <c r="C65" s="67"/>
      <c r="D65" s="68"/>
      <c r="E65" s="35"/>
    </row>
    <row r="66" spans="1:5" s="46" customFormat="1" ht="25.05" customHeight="1" x14ac:dyDescent="0.3">
      <c r="A66" s="174" t="s">
        <v>336</v>
      </c>
      <c r="B66" s="170">
        <v>42</v>
      </c>
      <c r="C66" s="67"/>
      <c r="D66" s="68"/>
      <c r="E66" s="35"/>
    </row>
    <row r="67" spans="1:5" s="46" customFormat="1" ht="25.05" customHeight="1" x14ac:dyDescent="0.3">
      <c r="A67" s="174" t="s">
        <v>336</v>
      </c>
      <c r="B67" s="170">
        <v>43</v>
      </c>
      <c r="C67" s="67"/>
      <c r="D67" s="68"/>
      <c r="E67" s="35"/>
    </row>
    <row r="68" spans="1:5" s="46" customFormat="1" ht="25.05" customHeight="1" x14ac:dyDescent="0.3">
      <c r="A68" s="174"/>
      <c r="B68" s="170">
        <v>44</v>
      </c>
      <c r="C68" s="67"/>
      <c r="D68" s="68"/>
      <c r="E68" s="35"/>
    </row>
    <row r="69" spans="1:5" s="46" customFormat="1" ht="25.05" customHeight="1" x14ac:dyDescent="0.3">
      <c r="A69" s="174" t="s">
        <v>336</v>
      </c>
      <c r="B69" s="170">
        <v>45</v>
      </c>
      <c r="C69" s="67"/>
      <c r="D69" s="68"/>
      <c r="E69" s="35"/>
    </row>
    <row r="70" spans="1:5" s="46" customFormat="1" ht="25.05" customHeight="1" x14ac:dyDescent="0.3">
      <c r="A70" s="175" t="s">
        <v>49</v>
      </c>
      <c r="B70" s="170">
        <v>46</v>
      </c>
      <c r="C70" s="67"/>
      <c r="D70" s="68"/>
      <c r="E70" s="35"/>
    </row>
    <row r="71" spans="1:5" s="46" customFormat="1" ht="25.05" customHeight="1" x14ac:dyDescent="0.3">
      <c r="A71" s="175" t="s">
        <v>26</v>
      </c>
      <c r="B71" s="170">
        <v>47</v>
      </c>
      <c r="C71" s="67"/>
      <c r="D71" s="68"/>
      <c r="E71" s="35"/>
    </row>
    <row r="72" spans="1:5" s="46" customFormat="1" ht="25.05" customHeight="1" x14ac:dyDescent="0.3">
      <c r="A72" s="175" t="s">
        <v>177</v>
      </c>
      <c r="B72" s="170">
        <v>48</v>
      </c>
      <c r="C72" s="67"/>
      <c r="D72" s="68"/>
      <c r="E72" s="35"/>
    </row>
    <row r="73" spans="1:5" s="46" customFormat="1" ht="25.05" customHeight="1" x14ac:dyDescent="0.3">
      <c r="A73" s="175" t="s">
        <v>111</v>
      </c>
      <c r="B73" s="170">
        <v>49</v>
      </c>
      <c r="C73" s="67"/>
      <c r="D73" s="68"/>
      <c r="E73" s="35"/>
    </row>
    <row r="74" spans="1:5" s="46" customFormat="1" ht="25.05" customHeight="1" x14ac:dyDescent="0.3">
      <c r="A74" s="174" t="s">
        <v>336</v>
      </c>
      <c r="B74" s="170">
        <v>50</v>
      </c>
      <c r="C74" s="67"/>
      <c r="D74" s="68"/>
      <c r="E74" s="35"/>
    </row>
    <row r="75" spans="1:5" s="46" customFormat="1" ht="25.05" customHeight="1" x14ac:dyDescent="0.3">
      <c r="A75" s="174" t="s">
        <v>336</v>
      </c>
      <c r="B75" s="170">
        <v>51</v>
      </c>
      <c r="C75" s="67"/>
      <c r="D75" s="68"/>
      <c r="E75" s="35"/>
    </row>
    <row r="76" spans="1:5" s="46" customFormat="1" ht="25.05" customHeight="1" x14ac:dyDescent="0.3">
      <c r="A76" s="174" t="s">
        <v>336</v>
      </c>
      <c r="B76" s="170">
        <v>52</v>
      </c>
      <c r="C76" s="67"/>
      <c r="D76" s="68"/>
      <c r="E76" s="35"/>
    </row>
    <row r="77" spans="1:5" s="46" customFormat="1" ht="25.05" customHeight="1" x14ac:dyDescent="0.3">
      <c r="A77" s="174" t="s">
        <v>336</v>
      </c>
      <c r="B77" s="170">
        <v>53</v>
      </c>
      <c r="C77" s="67"/>
      <c r="D77" s="68"/>
      <c r="E77" s="35"/>
    </row>
    <row r="78" spans="1:5" s="46" customFormat="1" ht="25.05" customHeight="1" x14ac:dyDescent="0.3">
      <c r="A78" s="175" t="s">
        <v>169</v>
      </c>
      <c r="B78" s="170">
        <v>54</v>
      </c>
      <c r="C78" s="67"/>
      <c r="D78" s="68"/>
      <c r="E78" s="35"/>
    </row>
    <row r="79" spans="1:5" s="46" customFormat="1" ht="25.05" customHeight="1" x14ac:dyDescent="0.3">
      <c r="A79" s="175" t="s">
        <v>170</v>
      </c>
      <c r="B79" s="170">
        <v>55</v>
      </c>
      <c r="C79" s="67"/>
      <c r="D79" s="68"/>
      <c r="E79" s="35"/>
    </row>
    <row r="80" spans="1:5" s="46" customFormat="1" ht="25.05" customHeight="1" x14ac:dyDescent="0.3">
      <c r="A80" s="175" t="s">
        <v>73</v>
      </c>
      <c r="B80" s="170">
        <v>56</v>
      </c>
      <c r="C80" s="67"/>
      <c r="D80" s="68"/>
      <c r="E80" s="35"/>
    </row>
    <row r="81" spans="1:5" s="46" customFormat="1" ht="25.05" customHeight="1" x14ac:dyDescent="0.3">
      <c r="A81" s="175" t="s">
        <v>74</v>
      </c>
      <c r="B81" s="170">
        <v>57</v>
      </c>
      <c r="C81" s="67"/>
      <c r="D81" s="68"/>
      <c r="E81" s="35"/>
    </row>
    <row r="82" spans="1:5" s="46" customFormat="1" ht="25.05" customHeight="1" x14ac:dyDescent="0.3">
      <c r="A82" s="175" t="s">
        <v>75</v>
      </c>
      <c r="B82" s="170">
        <v>58</v>
      </c>
      <c r="C82" s="67"/>
      <c r="D82" s="68"/>
      <c r="E82" s="35"/>
    </row>
    <row r="83" spans="1:5" s="46" customFormat="1" ht="25.05" customHeight="1" x14ac:dyDescent="0.3">
      <c r="A83" s="175" t="s">
        <v>171</v>
      </c>
      <c r="B83" s="170">
        <v>59</v>
      </c>
      <c r="C83" s="67"/>
      <c r="D83" s="68"/>
      <c r="E83" s="35"/>
    </row>
    <row r="84" spans="1:5" s="46" customFormat="1" ht="25.05" customHeight="1" x14ac:dyDescent="0.3">
      <c r="A84" s="175" t="s">
        <v>172</v>
      </c>
      <c r="B84" s="170">
        <v>60</v>
      </c>
      <c r="C84" s="67"/>
      <c r="D84" s="68"/>
      <c r="E84" s="35"/>
    </row>
    <row r="85" spans="1:5" s="46" customFormat="1" ht="25.05" customHeight="1" x14ac:dyDescent="0.3">
      <c r="A85" s="175" t="s">
        <v>173</v>
      </c>
      <c r="B85" s="170">
        <v>61</v>
      </c>
      <c r="C85" s="67"/>
      <c r="D85" s="68"/>
      <c r="E85" s="35"/>
    </row>
    <row r="86" spans="1:5" s="46" customFormat="1" ht="25.05" customHeight="1" x14ac:dyDescent="0.3">
      <c r="A86" s="173" t="s">
        <v>207</v>
      </c>
      <c r="B86" s="170">
        <v>62</v>
      </c>
      <c r="C86" s="67"/>
      <c r="D86" s="68"/>
      <c r="E86" s="35"/>
    </row>
    <row r="87" spans="1:5" s="46" customFormat="1" ht="25.05" customHeight="1" x14ac:dyDescent="0.3">
      <c r="A87" s="173" t="s">
        <v>227</v>
      </c>
      <c r="B87" s="170">
        <v>63</v>
      </c>
      <c r="C87" s="67"/>
      <c r="D87" s="68"/>
      <c r="E87" s="35"/>
    </row>
    <row r="88" spans="1:5" s="46" customFormat="1" ht="25.05" customHeight="1" x14ac:dyDescent="0.3">
      <c r="A88" s="173" t="s">
        <v>264</v>
      </c>
      <c r="B88" s="170">
        <v>64</v>
      </c>
      <c r="C88" s="67"/>
      <c r="D88" s="68"/>
      <c r="E88" s="35"/>
    </row>
    <row r="89" spans="1:5" s="46" customFormat="1" ht="25.05" customHeight="1" x14ac:dyDescent="0.3">
      <c r="A89" s="173" t="s">
        <v>266</v>
      </c>
      <c r="B89" s="170">
        <v>65</v>
      </c>
      <c r="C89" s="67"/>
      <c r="D89" s="68"/>
      <c r="E89" s="35"/>
    </row>
    <row r="90" spans="1:5" s="46" customFormat="1" ht="25.05" customHeight="1" x14ac:dyDescent="0.3">
      <c r="A90" s="175" t="s">
        <v>267</v>
      </c>
      <c r="B90" s="170">
        <v>66</v>
      </c>
      <c r="C90" s="67"/>
      <c r="D90" s="68"/>
      <c r="E90" s="35"/>
    </row>
    <row r="91" spans="1:5" s="46" customFormat="1" ht="25.05" customHeight="1" x14ac:dyDescent="0.3">
      <c r="A91" s="175" t="s">
        <v>268</v>
      </c>
      <c r="B91" s="170">
        <v>67</v>
      </c>
      <c r="C91" s="67"/>
      <c r="D91" s="68"/>
      <c r="E91" s="35"/>
    </row>
    <row r="92" spans="1:5" s="46" customFormat="1" ht="25.05" customHeight="1" x14ac:dyDescent="0.3">
      <c r="A92" s="175" t="s">
        <v>269</v>
      </c>
      <c r="B92" s="170">
        <v>68</v>
      </c>
      <c r="C92" s="67"/>
      <c r="D92" s="68"/>
      <c r="E92" s="35"/>
    </row>
    <row r="93" spans="1:5" s="46" customFormat="1" ht="25.05" customHeight="1" x14ac:dyDescent="0.3">
      <c r="A93" s="173" t="s">
        <v>122</v>
      </c>
      <c r="B93" s="170">
        <v>69</v>
      </c>
      <c r="C93" s="67"/>
      <c r="D93" s="68"/>
      <c r="E93" s="35"/>
    </row>
    <row r="94" spans="1:5" s="46" customFormat="1" ht="25.05" customHeight="1" x14ac:dyDescent="0.3">
      <c r="A94" s="173" t="s">
        <v>179</v>
      </c>
      <c r="B94" s="170">
        <v>70</v>
      </c>
      <c r="C94" s="67"/>
      <c r="D94" s="68"/>
      <c r="E94" s="35"/>
    </row>
    <row r="95" spans="1:5" s="46" customFormat="1" ht="25.05" customHeight="1" x14ac:dyDescent="0.3">
      <c r="A95" s="173" t="s">
        <v>208</v>
      </c>
      <c r="B95" s="170">
        <v>71</v>
      </c>
      <c r="C95" s="67"/>
      <c r="D95" s="68"/>
      <c r="E95" s="35"/>
    </row>
    <row r="96" spans="1:5" s="46" customFormat="1" ht="25.05" customHeight="1" x14ac:dyDescent="0.3">
      <c r="A96" s="173" t="s">
        <v>44</v>
      </c>
      <c r="B96" s="170">
        <v>72</v>
      </c>
      <c r="C96" s="69"/>
      <c r="D96" s="68"/>
      <c r="E96" s="35"/>
    </row>
    <row r="97" spans="1:5" s="46" customFormat="1" ht="25.05" customHeight="1" x14ac:dyDescent="0.3">
      <c r="A97" s="173" t="s">
        <v>204</v>
      </c>
      <c r="B97" s="170">
        <v>73</v>
      </c>
      <c r="C97" s="67"/>
      <c r="D97" s="68"/>
      <c r="E97" s="35"/>
    </row>
    <row r="98" spans="1:5" s="46" customFormat="1" ht="25.05" customHeight="1" x14ac:dyDescent="0.3">
      <c r="A98" s="173" t="s">
        <v>86</v>
      </c>
      <c r="B98" s="170">
        <v>74</v>
      </c>
      <c r="C98" s="67"/>
      <c r="D98" s="68"/>
      <c r="E98" s="35"/>
    </row>
    <row r="99" spans="1:5" s="46" customFormat="1" ht="25.05" customHeight="1" x14ac:dyDescent="0.3">
      <c r="A99" s="173" t="s">
        <v>85</v>
      </c>
      <c r="B99" s="170">
        <v>75</v>
      </c>
      <c r="C99" s="67"/>
      <c r="D99" s="68"/>
      <c r="E99" s="35"/>
    </row>
    <row r="100" spans="1:5" s="46" customFormat="1" ht="25.05" customHeight="1" x14ac:dyDescent="0.3">
      <c r="A100" s="173" t="s">
        <v>98</v>
      </c>
      <c r="B100" s="170">
        <v>76</v>
      </c>
      <c r="C100" s="67"/>
      <c r="D100" s="68"/>
      <c r="E100" s="35"/>
    </row>
    <row r="101" spans="1:5" s="46" customFormat="1" ht="25.05" customHeight="1" x14ac:dyDescent="0.3">
      <c r="A101" s="173" t="s">
        <v>97</v>
      </c>
      <c r="B101" s="170">
        <v>77</v>
      </c>
      <c r="C101" s="67"/>
      <c r="D101" s="68"/>
      <c r="E101" s="35"/>
    </row>
    <row r="102" spans="1:5" s="46" customFormat="1" ht="25.05" customHeight="1" x14ac:dyDescent="0.3">
      <c r="A102" s="173" t="s">
        <v>276</v>
      </c>
      <c r="B102" s="170">
        <v>78</v>
      </c>
      <c r="C102" s="67"/>
      <c r="D102" s="68"/>
      <c r="E102" s="35"/>
    </row>
    <row r="103" spans="1:5" s="46" customFormat="1" ht="25.05" customHeight="1" x14ac:dyDescent="0.3">
      <c r="A103" s="173" t="s">
        <v>279</v>
      </c>
      <c r="B103" s="170">
        <v>79</v>
      </c>
      <c r="C103" s="67"/>
      <c r="D103" s="68"/>
      <c r="E103" s="35"/>
    </row>
    <row r="104" spans="1:5" s="46" customFormat="1" ht="25.05" customHeight="1" x14ac:dyDescent="0.3">
      <c r="A104" s="173" t="s">
        <v>214</v>
      </c>
      <c r="B104" s="170">
        <v>80</v>
      </c>
      <c r="C104" s="67"/>
      <c r="D104" s="68"/>
      <c r="E104" s="35"/>
    </row>
    <row r="105" spans="1:5" s="46" customFormat="1" ht="42.75" customHeight="1" x14ac:dyDescent="0.3">
      <c r="A105" s="173" t="s">
        <v>215</v>
      </c>
      <c r="B105" s="170">
        <v>81</v>
      </c>
      <c r="C105" s="67"/>
      <c r="D105" s="68"/>
      <c r="E105" s="35"/>
    </row>
    <row r="106" spans="1:5" s="46" customFormat="1" ht="33" customHeight="1" x14ac:dyDescent="0.3">
      <c r="A106" s="173" t="s">
        <v>213</v>
      </c>
      <c r="B106" s="170">
        <v>82</v>
      </c>
      <c r="C106" s="67"/>
      <c r="D106" s="68"/>
      <c r="E106" s="35"/>
    </row>
    <row r="107" spans="1:5" s="46" customFormat="1" ht="36.75" customHeight="1" x14ac:dyDescent="0.3">
      <c r="A107" s="173" t="s">
        <v>211</v>
      </c>
      <c r="B107" s="170">
        <v>83</v>
      </c>
      <c r="C107" s="67"/>
      <c r="D107" s="68"/>
      <c r="E107" s="35"/>
    </row>
    <row r="108" spans="1:5" s="46" customFormat="1" ht="25.05" customHeight="1" x14ac:dyDescent="0.3">
      <c r="A108" s="175" t="s">
        <v>212</v>
      </c>
      <c r="B108" s="170">
        <v>84</v>
      </c>
      <c r="C108" s="67"/>
      <c r="D108" s="68"/>
      <c r="E108" s="35"/>
    </row>
    <row r="109" spans="1:5" s="46" customFormat="1" ht="25.05" customHeight="1" x14ac:dyDescent="0.3">
      <c r="A109" s="175" t="s">
        <v>218</v>
      </c>
      <c r="B109" s="170">
        <v>85</v>
      </c>
      <c r="C109" s="67"/>
      <c r="D109" s="68"/>
      <c r="E109" s="35"/>
    </row>
    <row r="110" spans="1:5" s="46" customFormat="1" ht="25.05" customHeight="1" x14ac:dyDescent="0.3">
      <c r="A110" s="173" t="s">
        <v>220</v>
      </c>
      <c r="B110" s="170">
        <v>86</v>
      </c>
      <c r="C110" s="67"/>
      <c r="D110" s="68"/>
      <c r="E110" s="35"/>
    </row>
    <row r="111" spans="1:5" s="46" customFormat="1" ht="25.05" customHeight="1" x14ac:dyDescent="0.3">
      <c r="A111" s="173" t="s">
        <v>210</v>
      </c>
      <c r="B111" s="170">
        <v>87</v>
      </c>
      <c r="C111" s="67"/>
      <c r="D111" s="68"/>
      <c r="E111" s="35"/>
    </row>
    <row r="112" spans="1:5" s="46" customFormat="1" ht="25.05" customHeight="1" x14ac:dyDescent="0.3">
      <c r="A112" s="173" t="s">
        <v>229</v>
      </c>
      <c r="B112" s="170">
        <v>88</v>
      </c>
      <c r="C112" s="67"/>
      <c r="D112" s="68"/>
      <c r="E112" s="35"/>
    </row>
    <row r="113" spans="1:5" s="46" customFormat="1" ht="25.05" customHeight="1" x14ac:dyDescent="0.3">
      <c r="A113" s="176" t="s">
        <v>833</v>
      </c>
      <c r="B113" s="170">
        <v>89</v>
      </c>
      <c r="C113" s="67"/>
      <c r="D113" s="68"/>
      <c r="E113" s="35"/>
    </row>
    <row r="114" spans="1:5" s="46" customFormat="1" ht="25.05" customHeight="1" x14ac:dyDescent="0.3">
      <c r="A114" s="176" t="s">
        <v>833</v>
      </c>
      <c r="B114" s="170">
        <v>90</v>
      </c>
      <c r="C114" s="67"/>
      <c r="D114" s="68"/>
      <c r="E114" s="35"/>
    </row>
    <row r="115" spans="1:5" s="46" customFormat="1" ht="25.05" customHeight="1" x14ac:dyDescent="0.3">
      <c r="A115" s="174" t="s">
        <v>336</v>
      </c>
      <c r="B115" s="170">
        <v>91</v>
      </c>
      <c r="D115" s="35">
        <f>IF(C115=A115,0,1)</f>
        <v>1</v>
      </c>
      <c r="E115" s="35"/>
    </row>
    <row r="116" spans="1:5" x14ac:dyDescent="0.3">
      <c r="A116" s="173" t="s">
        <v>806</v>
      </c>
      <c r="B116" s="170">
        <v>92</v>
      </c>
    </row>
    <row r="117" spans="1:5" x14ac:dyDescent="0.3">
      <c r="A117" s="173" t="s">
        <v>225</v>
      </c>
      <c r="B117" s="170">
        <v>93</v>
      </c>
    </row>
    <row r="118" spans="1:5" x14ac:dyDescent="0.3">
      <c r="A118" s="173" t="s">
        <v>788</v>
      </c>
      <c r="B118" s="170">
        <v>94</v>
      </c>
    </row>
    <row r="119" spans="1:5" x14ac:dyDescent="0.3">
      <c r="A119" s="173" t="s">
        <v>222</v>
      </c>
      <c r="B119" s="170">
        <v>95</v>
      </c>
    </row>
    <row r="120" spans="1:5" x14ac:dyDescent="0.3">
      <c r="A120" s="174" t="s">
        <v>336</v>
      </c>
      <c r="B120" s="170">
        <v>96</v>
      </c>
    </row>
    <row r="121" spans="1:5" x14ac:dyDescent="0.3">
      <c r="A121" s="174" t="s">
        <v>336</v>
      </c>
      <c r="B121" s="170">
        <v>97</v>
      </c>
    </row>
    <row r="122" spans="1:5" x14ac:dyDescent="0.3">
      <c r="A122" s="174" t="s">
        <v>336</v>
      </c>
      <c r="B122" s="170">
        <v>98</v>
      </c>
    </row>
    <row r="123" spans="1:5" x14ac:dyDescent="0.3">
      <c r="A123" s="174" t="s">
        <v>336</v>
      </c>
      <c r="B123" s="170">
        <v>99</v>
      </c>
    </row>
    <row r="124" spans="1:5" x14ac:dyDescent="0.3">
      <c r="A124" s="174" t="s">
        <v>336</v>
      </c>
      <c r="B124" s="170">
        <v>100</v>
      </c>
    </row>
    <row r="125" spans="1:5" x14ac:dyDescent="0.3">
      <c r="A125" s="174" t="s">
        <v>336</v>
      </c>
      <c r="B125" s="170">
        <v>101</v>
      </c>
    </row>
    <row r="126" spans="1:5" x14ac:dyDescent="0.3">
      <c r="A126" s="174" t="s">
        <v>336</v>
      </c>
      <c r="B126" s="170">
        <v>102</v>
      </c>
    </row>
    <row r="127" spans="1:5" x14ac:dyDescent="0.3">
      <c r="A127" s="174" t="s">
        <v>336</v>
      </c>
      <c r="B127" s="170">
        <v>103</v>
      </c>
    </row>
    <row r="128" spans="1:5" x14ac:dyDescent="0.3">
      <c r="A128" s="174" t="s">
        <v>336</v>
      </c>
      <c r="B128" s="170">
        <v>104</v>
      </c>
    </row>
    <row r="129" spans="1:2" x14ac:dyDescent="0.3">
      <c r="A129" s="176" t="s">
        <v>834</v>
      </c>
      <c r="B129" s="170">
        <v>105</v>
      </c>
    </row>
    <row r="130" spans="1:2" x14ac:dyDescent="0.3">
      <c r="A130" s="176" t="s">
        <v>834</v>
      </c>
      <c r="B130" s="170">
        <v>106</v>
      </c>
    </row>
    <row r="131" spans="1:2" x14ac:dyDescent="0.3">
      <c r="A131" s="176" t="s">
        <v>835</v>
      </c>
      <c r="B131" s="170">
        <v>107</v>
      </c>
    </row>
    <row r="132" spans="1:2" x14ac:dyDescent="0.3">
      <c r="A132" s="48"/>
      <c r="B132" s="47"/>
    </row>
    <row r="133" spans="1:2" x14ac:dyDescent="0.3">
      <c r="A133" s="48"/>
      <c r="B133" s="47"/>
    </row>
    <row r="134" spans="1:2" x14ac:dyDescent="0.3">
      <c r="A134" s="48"/>
      <c r="B134" s="47"/>
    </row>
    <row r="135" spans="1:2" x14ac:dyDescent="0.3">
      <c r="A135" s="48"/>
      <c r="B135" s="47"/>
    </row>
    <row r="136" spans="1:2" x14ac:dyDescent="0.3">
      <c r="A136" s="48"/>
      <c r="B136" s="47"/>
    </row>
    <row r="137" spans="1:2" x14ac:dyDescent="0.3">
      <c r="A137" s="48"/>
      <c r="B137" s="47"/>
    </row>
    <row r="138" spans="1:2" x14ac:dyDescent="0.3">
      <c r="A138" s="48"/>
      <c r="B138" s="47"/>
    </row>
    <row r="139" spans="1:2" x14ac:dyDescent="0.3">
      <c r="A139" s="48"/>
      <c r="B139" s="47"/>
    </row>
    <row r="140" spans="1:2" x14ac:dyDescent="0.3">
      <c r="A140" s="48"/>
      <c r="B140" s="47"/>
    </row>
    <row r="141" spans="1:2" x14ac:dyDescent="0.3">
      <c r="A141" s="49"/>
      <c r="B141" s="47"/>
    </row>
    <row r="142" spans="1:2" x14ac:dyDescent="0.3">
      <c r="A142" s="49"/>
      <c r="B142" s="47"/>
    </row>
    <row r="143" spans="1:2" x14ac:dyDescent="0.3">
      <c r="A143" s="49"/>
      <c r="B143" s="47"/>
    </row>
    <row r="144" spans="1:2" x14ac:dyDescent="0.3">
      <c r="A144" s="49"/>
      <c r="B144" s="47"/>
    </row>
    <row r="145" spans="1:2" x14ac:dyDescent="0.3">
      <c r="A145" s="49"/>
      <c r="B145" s="47"/>
    </row>
    <row r="146" spans="1:2" x14ac:dyDescent="0.3">
      <c r="A146" s="49"/>
      <c r="B146" s="47"/>
    </row>
    <row r="147" spans="1:2" x14ac:dyDescent="0.3">
      <c r="A147" s="49"/>
      <c r="B147" s="47"/>
    </row>
    <row r="148" spans="1:2" x14ac:dyDescent="0.3">
      <c r="A148" s="49"/>
      <c r="B148" s="47"/>
    </row>
    <row r="149" spans="1:2" x14ac:dyDescent="0.3">
      <c r="A149" s="49"/>
      <c r="B149" s="47"/>
    </row>
    <row r="150" spans="1:2" x14ac:dyDescent="0.3">
      <c r="A150" s="49"/>
      <c r="B150" s="47"/>
    </row>
    <row r="151" spans="1:2" x14ac:dyDescent="0.3">
      <c r="A151" s="49"/>
      <c r="B151" s="47"/>
    </row>
    <row r="152" spans="1:2" x14ac:dyDescent="0.3">
      <c r="A152" s="49"/>
      <c r="B152" s="47"/>
    </row>
    <row r="153" spans="1:2" x14ac:dyDescent="0.3">
      <c r="A153" s="49"/>
      <c r="B153" s="47"/>
    </row>
    <row r="154" spans="1:2" x14ac:dyDescent="0.3">
      <c r="A154" s="49"/>
      <c r="B154" s="47"/>
    </row>
    <row r="155" spans="1:2" x14ac:dyDescent="0.3">
      <c r="A155" s="49"/>
      <c r="B155" s="47"/>
    </row>
    <row r="156" spans="1:2" x14ac:dyDescent="0.3">
      <c r="A156" s="49"/>
      <c r="B156" s="47"/>
    </row>
    <row r="157" spans="1:2" x14ac:dyDescent="0.3">
      <c r="A157" s="49"/>
      <c r="B157" s="47"/>
    </row>
    <row r="158" spans="1:2" x14ac:dyDescent="0.3">
      <c r="A158" s="49"/>
      <c r="B158" s="47"/>
    </row>
    <row r="159" spans="1:2" x14ac:dyDescent="0.3">
      <c r="A159" s="49"/>
      <c r="B159" s="47"/>
    </row>
    <row r="160" spans="1:2" x14ac:dyDescent="0.3">
      <c r="A160" s="49"/>
      <c r="B160" s="47"/>
    </row>
    <row r="161" spans="1:2" x14ac:dyDescent="0.3">
      <c r="A161" s="49"/>
      <c r="B161" s="47"/>
    </row>
    <row r="162" spans="1:2" x14ac:dyDescent="0.3">
      <c r="A162" s="49"/>
      <c r="B162" s="47"/>
    </row>
    <row r="163" spans="1:2" x14ac:dyDescent="0.3">
      <c r="A163" s="49"/>
      <c r="B163" s="47"/>
    </row>
    <row r="164" spans="1:2" x14ac:dyDescent="0.3">
      <c r="A164" s="49"/>
      <c r="B164" s="47"/>
    </row>
    <row r="165" spans="1:2" x14ac:dyDescent="0.3">
      <c r="A165" s="49"/>
      <c r="B165" s="47"/>
    </row>
    <row r="166" spans="1:2" x14ac:dyDescent="0.3">
      <c r="A166" s="49"/>
      <c r="B166" s="47"/>
    </row>
    <row r="167" spans="1:2" x14ac:dyDescent="0.3">
      <c r="A167" s="49"/>
      <c r="B167" s="47"/>
    </row>
    <row r="168" spans="1:2" x14ac:dyDescent="0.3">
      <c r="A168" s="49"/>
      <c r="B168" s="47"/>
    </row>
    <row r="169" spans="1:2" x14ac:dyDescent="0.3">
      <c r="A169" s="49"/>
      <c r="B169" s="47"/>
    </row>
    <row r="170" spans="1:2" x14ac:dyDescent="0.3">
      <c r="A170" s="49"/>
      <c r="B170" s="47"/>
    </row>
    <row r="171" spans="1:2" x14ac:dyDescent="0.3">
      <c r="A171" s="49"/>
      <c r="B171" s="47"/>
    </row>
    <row r="172" spans="1:2" x14ac:dyDescent="0.3">
      <c r="A172" s="49"/>
      <c r="B172" s="47"/>
    </row>
  </sheetData>
  <customSheetViews>
    <customSheetView guid="{03A28D0E-D221-430C-9036-787CFB666EE7}" topLeftCell="A81">
      <selection activeCell="B40" sqref="B40:B115"/>
      <pageMargins left="0.7" right="0.7" top="0.75" bottom="0.75" header="0.3" footer="0.3"/>
      <pageSetup orientation="portrait" r:id="rId1"/>
    </customSheetView>
  </customSheetViews>
  <mergeCells count="13">
    <mergeCell ref="A1:B1"/>
    <mergeCell ref="A3:B3"/>
    <mergeCell ref="A5:B5"/>
    <mergeCell ref="A8:B8"/>
    <mergeCell ref="A16:B16"/>
    <mergeCell ref="A2:B2"/>
    <mergeCell ref="A23:B23"/>
    <mergeCell ref="A20:A21"/>
    <mergeCell ref="A6:A7"/>
    <mergeCell ref="A9:A15"/>
    <mergeCell ref="A17:A18"/>
    <mergeCell ref="A19:B19"/>
    <mergeCell ref="A22:B22"/>
  </mergeCell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72"/>
  <sheetViews>
    <sheetView zoomScale="130" zoomScaleNormal="130" workbookViewId="0"/>
  </sheetViews>
  <sheetFormatPr defaultColWidth="11" defaultRowHeight="13.2" x14ac:dyDescent="0.3"/>
  <cols>
    <col min="1" max="2" width="11.44140625" style="11" customWidth="1"/>
    <col min="3" max="3" width="19.44140625" style="11" customWidth="1"/>
    <col min="4" max="7" width="11.44140625" style="11" customWidth="1"/>
    <col min="8" max="8" width="11.44140625" style="16" customWidth="1"/>
    <col min="9" max="9" width="11" style="16"/>
    <col min="10" max="16384" width="11" style="11"/>
  </cols>
  <sheetData>
    <row r="1" spans="1:9" s="9" customFormat="1" ht="33.450000000000003" customHeight="1" x14ac:dyDescent="0.3">
      <c r="A1" s="7" t="s">
        <v>233</v>
      </c>
      <c r="B1" s="8" t="s">
        <v>231</v>
      </c>
      <c r="C1" s="8" t="s">
        <v>232</v>
      </c>
      <c r="D1" s="7" t="s">
        <v>233</v>
      </c>
      <c r="E1" s="7" t="s">
        <v>234</v>
      </c>
      <c r="F1" s="8" t="s">
        <v>235</v>
      </c>
      <c r="G1" s="8" t="s">
        <v>236</v>
      </c>
      <c r="H1" s="14" t="s">
        <v>237</v>
      </c>
      <c r="I1" s="14" t="s">
        <v>238</v>
      </c>
    </row>
    <row r="2" spans="1:9" x14ac:dyDescent="0.3">
      <c r="A2" s="71" t="s">
        <v>461</v>
      </c>
      <c r="B2" s="71"/>
      <c r="C2" s="72" t="s">
        <v>462</v>
      </c>
      <c r="D2" s="71" t="s">
        <v>461</v>
      </c>
      <c r="E2" s="71"/>
      <c r="F2" s="71"/>
      <c r="G2" s="71"/>
      <c r="H2" s="73"/>
      <c r="I2" s="73"/>
    </row>
    <row r="3" spans="1:9" x14ac:dyDescent="0.3">
      <c r="A3" s="11" t="s">
        <v>8</v>
      </c>
      <c r="D3" s="11" t="s">
        <v>8</v>
      </c>
      <c r="E3" s="11" t="s">
        <v>239</v>
      </c>
      <c r="F3" s="11" t="s">
        <v>240</v>
      </c>
      <c r="G3" s="11" t="s">
        <v>463</v>
      </c>
      <c r="I3" s="16" t="s">
        <v>14</v>
      </c>
    </row>
    <row r="4" spans="1:9" x14ac:dyDescent="0.3">
      <c r="A4" s="11" t="s">
        <v>8</v>
      </c>
      <c r="D4" s="11" t="s">
        <v>8</v>
      </c>
      <c r="E4" s="11" t="s">
        <v>239</v>
      </c>
      <c r="F4" s="11" t="s">
        <v>240</v>
      </c>
      <c r="G4" s="11" t="s">
        <v>464</v>
      </c>
      <c r="I4" s="16" t="s">
        <v>14</v>
      </c>
    </row>
    <row r="5" spans="1:9" x14ac:dyDescent="0.3">
      <c r="A5" s="11" t="s">
        <v>8</v>
      </c>
      <c r="D5" s="11" t="s">
        <v>8</v>
      </c>
      <c r="E5" s="11" t="s">
        <v>239</v>
      </c>
      <c r="F5" s="11" t="s">
        <v>240</v>
      </c>
      <c r="G5" s="11" t="s">
        <v>465</v>
      </c>
      <c r="I5" s="16" t="s">
        <v>14</v>
      </c>
    </row>
    <row r="6" spans="1:9" x14ac:dyDescent="0.3">
      <c r="A6" s="11" t="s">
        <v>8</v>
      </c>
      <c r="D6" s="11" t="s">
        <v>8</v>
      </c>
      <c r="E6" s="11" t="s">
        <v>239</v>
      </c>
      <c r="F6" s="11" t="s">
        <v>240</v>
      </c>
      <c r="G6" s="11" t="s">
        <v>466</v>
      </c>
      <c r="I6" s="16" t="s">
        <v>14</v>
      </c>
    </row>
    <row r="7" spans="1:9" x14ac:dyDescent="0.3">
      <c r="A7" s="11" t="s">
        <v>8</v>
      </c>
      <c r="D7" s="11" t="s">
        <v>8</v>
      </c>
      <c r="E7" s="11" t="s">
        <v>239</v>
      </c>
      <c r="F7" s="11" t="s">
        <v>240</v>
      </c>
      <c r="G7" s="11" t="s">
        <v>467</v>
      </c>
      <c r="I7" s="16" t="s">
        <v>14</v>
      </c>
    </row>
    <row r="8" spans="1:9" x14ac:dyDescent="0.3">
      <c r="A8" s="11" t="s">
        <v>8</v>
      </c>
      <c r="D8" s="11" t="s">
        <v>8</v>
      </c>
      <c r="E8" s="11" t="s">
        <v>239</v>
      </c>
      <c r="F8" s="11" t="s">
        <v>240</v>
      </c>
      <c r="G8" s="11" t="s">
        <v>468</v>
      </c>
      <c r="I8" s="16" t="s">
        <v>14</v>
      </c>
    </row>
    <row r="9" spans="1:9" x14ac:dyDescent="0.3">
      <c r="A9" s="11" t="s">
        <v>8</v>
      </c>
      <c r="D9" s="11" t="s">
        <v>8</v>
      </c>
      <c r="E9" s="11" t="s">
        <v>239</v>
      </c>
      <c r="F9" s="11" t="s">
        <v>240</v>
      </c>
      <c r="G9" s="11" t="s">
        <v>469</v>
      </c>
      <c r="I9" s="16" t="s">
        <v>14</v>
      </c>
    </row>
    <row r="10" spans="1:9" x14ac:dyDescent="0.3">
      <c r="A10" s="11" t="s">
        <v>8</v>
      </c>
      <c r="D10" s="11" t="s">
        <v>8</v>
      </c>
      <c r="E10" s="11" t="s">
        <v>239</v>
      </c>
      <c r="F10" s="11" t="s">
        <v>240</v>
      </c>
      <c r="G10" s="11" t="s">
        <v>470</v>
      </c>
      <c r="I10" s="16" t="s">
        <v>14</v>
      </c>
    </row>
    <row r="11" spans="1:9" x14ac:dyDescent="0.3">
      <c r="A11" s="11" t="s">
        <v>8</v>
      </c>
      <c r="D11" s="11" t="s">
        <v>8</v>
      </c>
      <c r="E11" s="11" t="s">
        <v>239</v>
      </c>
      <c r="F11" s="11" t="s">
        <v>240</v>
      </c>
      <c r="G11" s="11" t="s">
        <v>471</v>
      </c>
      <c r="I11" s="16" t="s">
        <v>14</v>
      </c>
    </row>
    <row r="12" spans="1:9" x14ac:dyDescent="0.3">
      <c r="A12" s="11" t="s">
        <v>8</v>
      </c>
      <c r="D12" s="11" t="s">
        <v>8</v>
      </c>
      <c r="E12" s="11" t="s">
        <v>239</v>
      </c>
      <c r="F12" s="11" t="s">
        <v>240</v>
      </c>
      <c r="G12" s="11" t="s">
        <v>472</v>
      </c>
      <c r="I12" s="16" t="s">
        <v>14</v>
      </c>
    </row>
    <row r="13" spans="1:9" x14ac:dyDescent="0.3">
      <c r="A13" s="11" t="s">
        <v>8</v>
      </c>
      <c r="D13" s="11" t="s">
        <v>8</v>
      </c>
      <c r="E13" s="11" t="s">
        <v>239</v>
      </c>
      <c r="F13" s="11" t="s">
        <v>240</v>
      </c>
      <c r="G13" s="11" t="s">
        <v>473</v>
      </c>
      <c r="I13" s="16" t="s">
        <v>14</v>
      </c>
    </row>
    <row r="14" spans="1:9" x14ac:dyDescent="0.3">
      <c r="A14" s="11" t="s">
        <v>8</v>
      </c>
      <c r="D14" s="11" t="s">
        <v>8</v>
      </c>
      <c r="E14" s="11" t="s">
        <v>239</v>
      </c>
      <c r="F14" s="11" t="s">
        <v>240</v>
      </c>
      <c r="G14" s="11" t="s">
        <v>474</v>
      </c>
      <c r="I14" s="16" t="s">
        <v>14</v>
      </c>
    </row>
    <row r="15" spans="1:9" x14ac:dyDescent="0.3">
      <c r="A15" s="11" t="s">
        <v>8</v>
      </c>
      <c r="D15" s="11" t="s">
        <v>8</v>
      </c>
      <c r="E15" s="11" t="s">
        <v>239</v>
      </c>
      <c r="F15" s="11" t="s">
        <v>240</v>
      </c>
      <c r="G15" s="11" t="s">
        <v>475</v>
      </c>
      <c r="I15" s="16" t="s">
        <v>14</v>
      </c>
    </row>
    <row r="16" spans="1:9" x14ac:dyDescent="0.3">
      <c r="A16" s="11" t="s">
        <v>8</v>
      </c>
      <c r="D16" s="11" t="s">
        <v>8</v>
      </c>
      <c r="E16" s="11" t="s">
        <v>239</v>
      </c>
      <c r="F16" s="11" t="s">
        <v>240</v>
      </c>
      <c r="G16" s="11" t="s">
        <v>476</v>
      </c>
      <c r="I16" s="16" t="s">
        <v>14</v>
      </c>
    </row>
    <row r="17" spans="1:9" x14ac:dyDescent="0.3">
      <c r="A17" s="11" t="s">
        <v>8</v>
      </c>
      <c r="D17" s="11" t="s">
        <v>8</v>
      </c>
      <c r="E17" s="11" t="s">
        <v>239</v>
      </c>
      <c r="F17" s="11" t="s">
        <v>240</v>
      </c>
      <c r="G17" s="11" t="s">
        <v>477</v>
      </c>
      <c r="I17" s="16" t="s">
        <v>14</v>
      </c>
    </row>
    <row r="18" spans="1:9" x14ac:dyDescent="0.3">
      <c r="A18" s="11" t="s">
        <v>8</v>
      </c>
      <c r="D18" s="11" t="s">
        <v>8</v>
      </c>
      <c r="E18" s="11" t="s">
        <v>239</v>
      </c>
      <c r="F18" s="11" t="s">
        <v>240</v>
      </c>
      <c r="G18" s="11" t="s">
        <v>241</v>
      </c>
      <c r="I18" s="16" t="s">
        <v>14</v>
      </c>
    </row>
    <row r="19" spans="1:9" x14ac:dyDescent="0.3">
      <c r="A19" s="74"/>
      <c r="B19" s="74" t="s">
        <v>478</v>
      </c>
      <c r="C19" s="74"/>
      <c r="D19" s="74"/>
      <c r="E19" s="74"/>
      <c r="F19" s="74"/>
      <c r="G19" s="74"/>
      <c r="H19" s="75"/>
      <c r="I19" s="15"/>
    </row>
    <row r="20" spans="1:9" x14ac:dyDescent="0.3">
      <c r="A20" s="74"/>
      <c r="B20" s="74"/>
      <c r="C20" s="74" t="s">
        <v>479</v>
      </c>
      <c r="D20" s="74"/>
      <c r="E20" s="74"/>
      <c r="F20" s="74"/>
      <c r="G20" s="74"/>
      <c r="H20" s="75"/>
      <c r="I20" s="15"/>
    </row>
    <row r="21" spans="1:9" x14ac:dyDescent="0.3">
      <c r="A21" s="76" t="s">
        <v>209</v>
      </c>
      <c r="B21" s="77"/>
      <c r="C21" s="77"/>
      <c r="D21" s="76" t="s">
        <v>209</v>
      </c>
      <c r="E21" s="78" t="s">
        <v>480</v>
      </c>
      <c r="F21" s="76" t="s">
        <v>481</v>
      </c>
      <c r="G21" s="76" t="s">
        <v>464</v>
      </c>
      <c r="H21" s="79"/>
      <c r="I21" s="80" t="s">
        <v>14</v>
      </c>
    </row>
    <row r="22" spans="1:9" x14ac:dyDescent="0.3">
      <c r="A22" s="74"/>
      <c r="B22" s="74"/>
      <c r="C22" s="74" t="s">
        <v>482</v>
      </c>
      <c r="D22" s="74"/>
      <c r="E22" s="74"/>
      <c r="F22" s="74"/>
      <c r="G22" s="74"/>
      <c r="H22" s="75"/>
      <c r="I22" s="15"/>
    </row>
    <row r="23" spans="1:9" x14ac:dyDescent="0.3">
      <c r="A23" s="81" t="s">
        <v>26</v>
      </c>
      <c r="B23" s="10"/>
      <c r="C23" s="10"/>
      <c r="D23" s="81" t="s">
        <v>26</v>
      </c>
      <c r="E23" s="12" t="s">
        <v>483</v>
      </c>
      <c r="F23" s="12" t="s">
        <v>484</v>
      </c>
      <c r="G23" s="12" t="s">
        <v>463</v>
      </c>
      <c r="H23" s="15"/>
      <c r="I23" s="15"/>
    </row>
    <row r="24" spans="1:9" x14ac:dyDescent="0.3">
      <c r="A24" s="81" t="s">
        <v>25</v>
      </c>
      <c r="B24" s="10"/>
      <c r="C24" s="10"/>
      <c r="D24" s="81" t="s">
        <v>25</v>
      </c>
      <c r="E24" s="12" t="s">
        <v>485</v>
      </c>
      <c r="F24" s="12" t="s">
        <v>242</v>
      </c>
      <c r="G24" s="12" t="s">
        <v>463</v>
      </c>
      <c r="H24" s="15"/>
      <c r="I24" s="15"/>
    </row>
    <row r="25" spans="1:9" x14ac:dyDescent="0.3">
      <c r="A25" s="81" t="s">
        <v>30</v>
      </c>
      <c r="B25" s="10"/>
      <c r="C25" s="10"/>
      <c r="D25" s="81" t="s">
        <v>30</v>
      </c>
      <c r="E25" s="12" t="s">
        <v>486</v>
      </c>
      <c r="F25" s="12" t="s">
        <v>484</v>
      </c>
      <c r="G25" s="12" t="s">
        <v>463</v>
      </c>
      <c r="H25" s="15"/>
      <c r="I25" s="15"/>
    </row>
    <row r="26" spans="1:9" x14ac:dyDescent="0.3">
      <c r="A26" s="81" t="s">
        <v>31</v>
      </c>
      <c r="B26" s="10"/>
      <c r="C26" s="10"/>
      <c r="D26" s="81" t="s">
        <v>31</v>
      </c>
      <c r="E26" s="12" t="s">
        <v>487</v>
      </c>
      <c r="F26" s="12" t="s">
        <v>242</v>
      </c>
      <c r="G26" s="12" t="s">
        <v>463</v>
      </c>
      <c r="H26" s="15"/>
      <c r="I26" s="15"/>
    </row>
    <row r="27" spans="1:9" x14ac:dyDescent="0.3">
      <c r="A27" s="81" t="s">
        <v>32</v>
      </c>
      <c r="B27" s="10"/>
      <c r="C27" s="10"/>
      <c r="D27" s="81" t="s">
        <v>32</v>
      </c>
      <c r="E27" s="12" t="s">
        <v>488</v>
      </c>
      <c r="F27" s="12" t="s">
        <v>484</v>
      </c>
      <c r="G27" s="12" t="s">
        <v>463</v>
      </c>
      <c r="H27" s="15"/>
      <c r="I27" s="15"/>
    </row>
    <row r="28" spans="1:9" x14ac:dyDescent="0.3">
      <c r="A28" s="81" t="s">
        <v>33</v>
      </c>
      <c r="B28" s="10"/>
      <c r="C28" s="10"/>
      <c r="D28" s="81" t="s">
        <v>33</v>
      </c>
      <c r="E28" s="12" t="s">
        <v>489</v>
      </c>
      <c r="F28" s="12" t="s">
        <v>242</v>
      </c>
      <c r="G28" s="12" t="s">
        <v>463</v>
      </c>
      <c r="H28" s="15"/>
      <c r="I28" s="15"/>
    </row>
    <row r="29" spans="1:9" x14ac:dyDescent="0.3">
      <c r="A29" s="81" t="s">
        <v>27</v>
      </c>
      <c r="B29" s="10"/>
      <c r="C29" s="10"/>
      <c r="D29" s="81" t="s">
        <v>27</v>
      </c>
      <c r="E29" s="12" t="s">
        <v>490</v>
      </c>
      <c r="F29" s="12" t="s">
        <v>491</v>
      </c>
      <c r="G29" s="12" t="s">
        <v>463</v>
      </c>
      <c r="H29" s="15"/>
      <c r="I29" s="15"/>
    </row>
    <row r="30" spans="1:9" x14ac:dyDescent="0.3">
      <c r="A30" s="81" t="s">
        <v>29</v>
      </c>
      <c r="B30" s="10"/>
      <c r="C30" s="10"/>
      <c r="D30" s="81" t="s">
        <v>29</v>
      </c>
      <c r="E30" s="12" t="s">
        <v>492</v>
      </c>
      <c r="F30" s="12" t="s">
        <v>243</v>
      </c>
      <c r="G30" s="12" t="s">
        <v>463</v>
      </c>
      <c r="H30" s="15"/>
      <c r="I30" s="15"/>
    </row>
    <row r="31" spans="1:9" x14ac:dyDescent="0.3">
      <c r="A31" s="81" t="s">
        <v>28</v>
      </c>
      <c r="B31" s="10"/>
      <c r="C31" s="10"/>
      <c r="D31" s="81" t="s">
        <v>28</v>
      </c>
      <c r="E31" s="12" t="s">
        <v>485</v>
      </c>
      <c r="F31" s="12" t="s">
        <v>242</v>
      </c>
      <c r="G31" s="12" t="s">
        <v>463</v>
      </c>
      <c r="H31" s="15"/>
      <c r="I31" s="15"/>
    </row>
    <row r="32" spans="1:9" x14ac:dyDescent="0.3">
      <c r="A32" s="81" t="s">
        <v>34</v>
      </c>
      <c r="B32" s="10"/>
      <c r="C32" s="10"/>
      <c r="D32" s="81" t="s">
        <v>34</v>
      </c>
      <c r="E32" s="12" t="s">
        <v>493</v>
      </c>
      <c r="F32" s="12" t="s">
        <v>491</v>
      </c>
      <c r="G32" s="12" t="s">
        <v>463</v>
      </c>
      <c r="H32" s="15"/>
      <c r="I32" s="15"/>
    </row>
    <row r="33" spans="1:9" x14ac:dyDescent="0.3">
      <c r="A33" s="81" t="s">
        <v>35</v>
      </c>
      <c r="B33" s="10"/>
      <c r="C33" s="10"/>
      <c r="D33" s="81" t="s">
        <v>35</v>
      </c>
      <c r="E33" s="12" t="s">
        <v>485</v>
      </c>
      <c r="F33" s="12" t="s">
        <v>242</v>
      </c>
      <c r="G33" s="12" t="s">
        <v>463</v>
      </c>
      <c r="H33" s="15"/>
      <c r="I33" s="15"/>
    </row>
    <row r="34" spans="1:9" x14ac:dyDescent="0.3">
      <c r="A34" s="74"/>
      <c r="B34" s="74"/>
      <c r="C34" s="74" t="s">
        <v>494</v>
      </c>
      <c r="D34" s="74"/>
      <c r="E34" s="74"/>
      <c r="F34" s="74"/>
      <c r="G34" s="74"/>
      <c r="H34" s="75"/>
      <c r="I34" s="15"/>
    </row>
    <row r="35" spans="1:9" x14ac:dyDescent="0.3">
      <c r="A35" s="81" t="s">
        <v>49</v>
      </c>
      <c r="B35" s="10"/>
      <c r="C35" s="10"/>
      <c r="D35" s="81" t="s">
        <v>49</v>
      </c>
      <c r="E35" s="12" t="s">
        <v>495</v>
      </c>
      <c r="F35" s="12" t="s">
        <v>484</v>
      </c>
      <c r="G35" s="12" t="s">
        <v>463</v>
      </c>
      <c r="H35" s="15"/>
      <c r="I35" s="15"/>
    </row>
    <row r="36" spans="1:9" x14ac:dyDescent="0.3">
      <c r="A36" s="81" t="s">
        <v>48</v>
      </c>
      <c r="B36" s="10"/>
      <c r="C36" s="10"/>
      <c r="D36" s="81" t="s">
        <v>48</v>
      </c>
      <c r="E36" s="12" t="s">
        <v>485</v>
      </c>
      <c r="F36" s="12" t="s">
        <v>242</v>
      </c>
      <c r="G36" s="12" t="s">
        <v>463</v>
      </c>
      <c r="H36" s="15"/>
      <c r="I36" s="15"/>
    </row>
    <row r="37" spans="1:9" x14ac:dyDescent="0.3">
      <c r="A37" s="81" t="s">
        <v>50</v>
      </c>
      <c r="B37" s="10"/>
      <c r="C37" s="10"/>
      <c r="D37" s="81" t="s">
        <v>50</v>
      </c>
      <c r="E37" s="12" t="s">
        <v>496</v>
      </c>
      <c r="F37" s="12" t="s">
        <v>491</v>
      </c>
      <c r="G37" s="12" t="s">
        <v>463</v>
      </c>
      <c r="H37" s="15"/>
      <c r="I37" s="15"/>
    </row>
    <row r="38" spans="1:9" x14ac:dyDescent="0.3">
      <c r="A38" s="81" t="s">
        <v>52</v>
      </c>
      <c r="B38" s="10"/>
      <c r="C38" s="10"/>
      <c r="D38" s="81" t="s">
        <v>52</v>
      </c>
      <c r="E38" s="12" t="s">
        <v>492</v>
      </c>
      <c r="F38" s="12" t="s">
        <v>243</v>
      </c>
      <c r="G38" s="12" t="s">
        <v>463</v>
      </c>
      <c r="H38" s="15"/>
      <c r="I38" s="15"/>
    </row>
    <row r="39" spans="1:9" x14ac:dyDescent="0.3">
      <c r="A39" s="81" t="s">
        <v>51</v>
      </c>
      <c r="B39" s="10"/>
      <c r="C39" s="10"/>
      <c r="D39" s="81" t="s">
        <v>51</v>
      </c>
      <c r="E39" s="12" t="s">
        <v>485</v>
      </c>
      <c r="F39" s="12" t="s">
        <v>242</v>
      </c>
      <c r="G39" s="12" t="s">
        <v>463</v>
      </c>
      <c r="H39" s="15"/>
      <c r="I39" s="15"/>
    </row>
    <row r="40" spans="1:9" x14ac:dyDescent="0.3">
      <c r="A40" s="81" t="s">
        <v>53</v>
      </c>
      <c r="B40" s="10"/>
      <c r="C40" s="10"/>
      <c r="D40" s="81" t="s">
        <v>53</v>
      </c>
      <c r="E40" s="12" t="s">
        <v>497</v>
      </c>
      <c r="F40" s="12" t="s">
        <v>491</v>
      </c>
      <c r="G40" s="12" t="s">
        <v>463</v>
      </c>
      <c r="H40" s="15"/>
      <c r="I40" s="15"/>
    </row>
    <row r="41" spans="1:9" x14ac:dyDescent="0.3">
      <c r="A41" s="81" t="s">
        <v>54</v>
      </c>
      <c r="B41" s="10"/>
      <c r="C41" s="10"/>
      <c r="D41" s="81" t="s">
        <v>54</v>
      </c>
      <c r="E41" s="12" t="s">
        <v>485</v>
      </c>
      <c r="F41" s="12" t="s">
        <v>242</v>
      </c>
      <c r="G41" s="12" t="s">
        <v>463</v>
      </c>
      <c r="H41" s="15"/>
      <c r="I41" s="15"/>
    </row>
    <row r="42" spans="1:9" x14ac:dyDescent="0.3">
      <c r="A42" s="81" t="s">
        <v>498</v>
      </c>
      <c r="B42" s="12"/>
      <c r="C42" s="12"/>
      <c r="D42" s="81" t="s">
        <v>498</v>
      </c>
      <c r="E42" s="82" t="s">
        <v>499</v>
      </c>
      <c r="F42" s="82" t="s">
        <v>484</v>
      </c>
      <c r="G42" s="12" t="s">
        <v>463</v>
      </c>
      <c r="H42" s="17"/>
      <c r="I42" s="17"/>
    </row>
    <row r="43" spans="1:9" x14ac:dyDescent="0.3">
      <c r="A43" s="81" t="s">
        <v>500</v>
      </c>
      <c r="B43" s="12"/>
      <c r="C43" s="12"/>
      <c r="D43" s="81" t="s">
        <v>500</v>
      </c>
      <c r="E43" s="82" t="s">
        <v>501</v>
      </c>
      <c r="F43" s="82" t="s">
        <v>484</v>
      </c>
      <c r="G43" s="12" t="s">
        <v>463</v>
      </c>
      <c r="H43" s="17"/>
      <c r="I43" s="17"/>
    </row>
    <row r="44" spans="1:9" x14ac:dyDescent="0.3">
      <c r="A44" s="74"/>
      <c r="B44" s="74"/>
      <c r="C44" s="74" t="s">
        <v>502</v>
      </c>
      <c r="D44" s="74"/>
      <c r="E44" s="74"/>
      <c r="F44" s="74"/>
      <c r="G44" s="74"/>
      <c r="H44" s="75"/>
      <c r="I44" s="15"/>
    </row>
    <row r="45" spans="1:9" x14ac:dyDescent="0.3">
      <c r="A45" s="81" t="s">
        <v>111</v>
      </c>
      <c r="B45" s="10"/>
      <c r="C45" s="10"/>
      <c r="D45" s="81" t="s">
        <v>111</v>
      </c>
      <c r="E45" s="12" t="s">
        <v>503</v>
      </c>
      <c r="F45" s="12" t="s">
        <v>484</v>
      </c>
      <c r="G45" s="12" t="s">
        <v>463</v>
      </c>
      <c r="H45" s="15"/>
      <c r="I45" s="15"/>
    </row>
    <row r="46" spans="1:9" x14ac:dyDescent="0.3">
      <c r="A46" s="81" t="s">
        <v>110</v>
      </c>
      <c r="B46" s="10"/>
      <c r="C46" s="10"/>
      <c r="D46" s="81" t="s">
        <v>110</v>
      </c>
      <c r="E46" s="12" t="s">
        <v>485</v>
      </c>
      <c r="F46" s="12" t="s">
        <v>242</v>
      </c>
      <c r="G46" s="12" t="s">
        <v>463</v>
      </c>
      <c r="H46" s="15"/>
      <c r="I46" s="15"/>
    </row>
    <row r="47" spans="1:9" x14ac:dyDescent="0.3">
      <c r="A47" s="81" t="s">
        <v>105</v>
      </c>
      <c r="B47" s="10"/>
      <c r="C47" s="10"/>
      <c r="D47" s="81" t="s">
        <v>105</v>
      </c>
      <c r="E47" s="12" t="s">
        <v>504</v>
      </c>
      <c r="F47" s="12" t="s">
        <v>491</v>
      </c>
      <c r="G47" s="12" t="s">
        <v>463</v>
      </c>
      <c r="H47" s="15"/>
      <c r="I47" s="15"/>
    </row>
    <row r="48" spans="1:9" x14ac:dyDescent="0.3">
      <c r="A48" s="81" t="s">
        <v>107</v>
      </c>
      <c r="B48" s="10"/>
      <c r="C48" s="10"/>
      <c r="D48" s="81" t="s">
        <v>107</v>
      </c>
      <c r="E48" s="12" t="s">
        <v>492</v>
      </c>
      <c r="F48" s="12" t="s">
        <v>243</v>
      </c>
      <c r="G48" s="12" t="s">
        <v>463</v>
      </c>
      <c r="H48" s="15"/>
      <c r="I48" s="15"/>
    </row>
    <row r="49" spans="1:9" x14ac:dyDescent="0.3">
      <c r="A49" s="81" t="s">
        <v>106</v>
      </c>
      <c r="B49" s="10"/>
      <c r="C49" s="10"/>
      <c r="D49" s="81" t="s">
        <v>106</v>
      </c>
      <c r="E49" s="12" t="s">
        <v>485</v>
      </c>
      <c r="F49" s="12" t="s">
        <v>242</v>
      </c>
      <c r="G49" s="12" t="s">
        <v>463</v>
      </c>
      <c r="H49" s="15"/>
      <c r="I49" s="15"/>
    </row>
    <row r="50" spans="1:9" x14ac:dyDescent="0.3">
      <c r="A50" s="81" t="s">
        <v>108</v>
      </c>
      <c r="B50" s="10"/>
      <c r="C50" s="10"/>
      <c r="D50" s="81" t="s">
        <v>108</v>
      </c>
      <c r="E50" s="12" t="s">
        <v>505</v>
      </c>
      <c r="F50" s="12" t="s">
        <v>491</v>
      </c>
      <c r="G50" s="12" t="s">
        <v>463</v>
      </c>
      <c r="H50" s="15"/>
      <c r="I50" s="15"/>
    </row>
    <row r="51" spans="1:9" x14ac:dyDescent="0.3">
      <c r="A51" s="81" t="s">
        <v>109</v>
      </c>
      <c r="B51" s="10"/>
      <c r="C51" s="10"/>
      <c r="D51" s="81" t="s">
        <v>109</v>
      </c>
      <c r="E51" s="12" t="s">
        <v>485</v>
      </c>
      <c r="F51" s="12" t="s">
        <v>242</v>
      </c>
      <c r="G51" s="12" t="s">
        <v>463</v>
      </c>
      <c r="H51" s="15"/>
      <c r="I51" s="15"/>
    </row>
    <row r="52" spans="1:9" x14ac:dyDescent="0.3">
      <c r="A52" s="83"/>
      <c r="B52" s="83"/>
      <c r="C52" s="74" t="s">
        <v>506</v>
      </c>
      <c r="D52" s="83"/>
      <c r="E52" s="83"/>
      <c r="F52" s="83"/>
      <c r="G52" s="83"/>
      <c r="H52" s="84"/>
      <c r="I52" s="15"/>
    </row>
    <row r="53" spans="1:9" x14ac:dyDescent="0.3">
      <c r="A53" s="81" t="s">
        <v>36</v>
      </c>
      <c r="B53" s="10"/>
      <c r="C53" s="10"/>
      <c r="D53" s="81" t="s">
        <v>36</v>
      </c>
      <c r="E53" s="12" t="s">
        <v>507</v>
      </c>
      <c r="F53" s="12" t="s">
        <v>491</v>
      </c>
      <c r="G53" s="12" t="s">
        <v>463</v>
      </c>
      <c r="H53" s="15"/>
      <c r="I53" s="15"/>
    </row>
    <row r="54" spans="1:9" x14ac:dyDescent="0.3">
      <c r="A54" s="81" t="s">
        <v>37</v>
      </c>
      <c r="B54" s="10"/>
      <c r="C54" s="10"/>
      <c r="D54" s="81" t="s">
        <v>37</v>
      </c>
      <c r="E54" s="12" t="s">
        <v>485</v>
      </c>
      <c r="F54" s="12" t="s">
        <v>242</v>
      </c>
      <c r="G54" s="12" t="s">
        <v>463</v>
      </c>
      <c r="H54" s="15"/>
      <c r="I54" s="15"/>
    </row>
    <row r="55" spans="1:9" x14ac:dyDescent="0.3">
      <c r="A55" s="83"/>
      <c r="B55" s="83"/>
      <c r="C55" s="74" t="s">
        <v>508</v>
      </c>
      <c r="D55" s="83"/>
      <c r="E55" s="83"/>
      <c r="F55" s="83"/>
      <c r="G55" s="83"/>
      <c r="H55" s="84"/>
      <c r="I55" s="15"/>
    </row>
    <row r="56" spans="1:9" x14ac:dyDescent="0.3">
      <c r="A56" s="81" t="s">
        <v>56</v>
      </c>
      <c r="B56" s="10"/>
      <c r="C56" s="12"/>
      <c r="D56" s="81" t="s">
        <v>56</v>
      </c>
      <c r="E56" s="12" t="s">
        <v>509</v>
      </c>
      <c r="F56" s="12" t="s">
        <v>510</v>
      </c>
      <c r="G56" s="12" t="s">
        <v>463</v>
      </c>
      <c r="H56" s="15"/>
      <c r="I56" s="17" t="s">
        <v>230</v>
      </c>
    </row>
    <row r="57" spans="1:9" x14ac:dyDescent="0.3">
      <c r="A57" s="81" t="s">
        <v>57</v>
      </c>
      <c r="B57" s="10"/>
      <c r="C57" s="12"/>
      <c r="D57" s="81" t="s">
        <v>57</v>
      </c>
      <c r="E57" s="12" t="s">
        <v>511</v>
      </c>
      <c r="F57" s="12" t="s">
        <v>510</v>
      </c>
      <c r="G57" s="12" t="s">
        <v>463</v>
      </c>
      <c r="H57" s="15"/>
      <c r="I57" s="17" t="s">
        <v>230</v>
      </c>
    </row>
    <row r="58" spans="1:9" x14ac:dyDescent="0.3">
      <c r="A58" s="81" t="s">
        <v>45</v>
      </c>
      <c r="B58" s="10"/>
      <c r="C58" s="12"/>
      <c r="D58" s="81" t="s">
        <v>45</v>
      </c>
      <c r="E58" s="12" t="s">
        <v>512</v>
      </c>
      <c r="F58" s="12" t="s">
        <v>510</v>
      </c>
      <c r="G58" s="12" t="s">
        <v>463</v>
      </c>
      <c r="H58" s="15"/>
      <c r="I58" s="17" t="s">
        <v>230</v>
      </c>
    </row>
    <row r="59" spans="1:9" x14ac:dyDescent="0.3">
      <c r="A59" s="81" t="s">
        <v>46</v>
      </c>
      <c r="B59" s="10"/>
      <c r="C59" s="12"/>
      <c r="D59" s="81" t="s">
        <v>46</v>
      </c>
      <c r="E59" s="12" t="s">
        <v>513</v>
      </c>
      <c r="F59" s="12" t="s">
        <v>510</v>
      </c>
      <c r="G59" s="12" t="s">
        <v>463</v>
      </c>
      <c r="H59" s="15"/>
      <c r="I59" s="17" t="s">
        <v>230</v>
      </c>
    </row>
    <row r="60" spans="1:9" x14ac:dyDescent="0.3">
      <c r="A60" s="81" t="s">
        <v>47</v>
      </c>
      <c r="B60" s="10"/>
      <c r="C60" s="12"/>
      <c r="D60" s="81" t="s">
        <v>47</v>
      </c>
      <c r="E60" s="12" t="s">
        <v>514</v>
      </c>
      <c r="F60" s="12" t="s">
        <v>515</v>
      </c>
      <c r="G60" s="12" t="s">
        <v>463</v>
      </c>
      <c r="H60" s="15"/>
      <c r="I60" s="17" t="s">
        <v>230</v>
      </c>
    </row>
    <row r="61" spans="1:9" x14ac:dyDescent="0.3">
      <c r="A61" s="74"/>
      <c r="B61" s="74"/>
      <c r="C61" s="74" t="s">
        <v>516</v>
      </c>
      <c r="D61" s="74"/>
      <c r="E61" s="74"/>
      <c r="F61" s="74"/>
      <c r="G61" s="74"/>
      <c r="H61" s="75"/>
      <c r="I61" s="15"/>
    </row>
    <row r="62" spans="1:9" x14ac:dyDescent="0.3">
      <c r="A62" s="76" t="s">
        <v>206</v>
      </c>
      <c r="B62" s="77"/>
      <c r="C62" s="77"/>
      <c r="D62" s="76" t="s">
        <v>206</v>
      </c>
      <c r="E62" s="78" t="s">
        <v>516</v>
      </c>
      <c r="F62" s="76" t="s">
        <v>243</v>
      </c>
      <c r="G62" s="76" t="s">
        <v>464</v>
      </c>
      <c r="H62" s="79"/>
      <c r="I62" s="80" t="s">
        <v>14</v>
      </c>
    </row>
    <row r="63" spans="1:9" x14ac:dyDescent="0.3">
      <c r="A63" s="74"/>
      <c r="B63" s="74"/>
      <c r="C63" s="74" t="s">
        <v>517</v>
      </c>
      <c r="D63" s="74"/>
      <c r="E63" s="74"/>
      <c r="F63" s="74"/>
      <c r="G63" s="74"/>
      <c r="H63" s="75"/>
      <c r="I63" s="15"/>
    </row>
    <row r="64" spans="1:9" x14ac:dyDescent="0.3">
      <c r="A64" s="76" t="s">
        <v>203</v>
      </c>
      <c r="B64" s="77"/>
      <c r="C64" s="77"/>
      <c r="D64" s="76" t="s">
        <v>203</v>
      </c>
      <c r="E64" s="78" t="s">
        <v>518</v>
      </c>
      <c r="F64" s="76" t="s">
        <v>515</v>
      </c>
      <c r="G64" s="76" t="s">
        <v>464</v>
      </c>
      <c r="H64" s="79"/>
      <c r="I64" s="80" t="s">
        <v>519</v>
      </c>
    </row>
    <row r="65" spans="1:9" x14ac:dyDescent="0.3">
      <c r="A65" s="85"/>
      <c r="B65" s="85" t="s">
        <v>520</v>
      </c>
      <c r="C65" s="85"/>
      <c r="D65" s="85"/>
      <c r="E65" s="85"/>
      <c r="F65" s="85"/>
      <c r="G65" s="85"/>
      <c r="H65" s="86"/>
      <c r="I65" s="15"/>
    </row>
    <row r="66" spans="1:9" x14ac:dyDescent="0.3">
      <c r="A66" s="85"/>
      <c r="B66" s="85"/>
      <c r="C66" s="85" t="s">
        <v>521</v>
      </c>
      <c r="D66" s="85"/>
      <c r="E66" s="85"/>
      <c r="F66" s="85"/>
      <c r="G66" s="85"/>
      <c r="H66" s="86" t="s">
        <v>14</v>
      </c>
      <c r="I66" s="15"/>
    </row>
    <row r="67" spans="1:9" x14ac:dyDescent="0.3">
      <c r="A67" s="12" t="s">
        <v>199</v>
      </c>
      <c r="B67" s="10"/>
      <c r="C67" s="10"/>
      <c r="D67" s="12" t="s">
        <v>199</v>
      </c>
      <c r="E67" s="12" t="s">
        <v>522</v>
      </c>
      <c r="F67" s="12" t="s">
        <v>243</v>
      </c>
      <c r="G67" s="12" t="s">
        <v>469</v>
      </c>
      <c r="H67" s="15"/>
      <c r="I67" s="17" t="s">
        <v>14</v>
      </c>
    </row>
    <row r="68" spans="1:9" x14ac:dyDescent="0.3">
      <c r="A68" s="12" t="s">
        <v>195</v>
      </c>
      <c r="B68" s="10"/>
      <c r="C68" s="10"/>
      <c r="D68" s="12" t="s">
        <v>195</v>
      </c>
      <c r="E68" s="12" t="s">
        <v>523</v>
      </c>
      <c r="F68" s="12" t="s">
        <v>242</v>
      </c>
      <c r="G68" s="12" t="s">
        <v>469</v>
      </c>
      <c r="H68" s="15"/>
      <c r="I68" s="17" t="s">
        <v>519</v>
      </c>
    </row>
    <row r="69" spans="1:9" x14ac:dyDescent="0.3">
      <c r="A69" s="12" t="s">
        <v>197</v>
      </c>
      <c r="B69" s="10"/>
      <c r="C69" s="10"/>
      <c r="D69" s="12" t="s">
        <v>197</v>
      </c>
      <c r="E69" s="12" t="s">
        <v>524</v>
      </c>
      <c r="F69" s="12" t="s">
        <v>243</v>
      </c>
      <c r="G69" s="12" t="s">
        <v>469</v>
      </c>
      <c r="H69" s="15"/>
      <c r="I69" s="17" t="s">
        <v>14</v>
      </c>
    </row>
    <row r="70" spans="1:9" x14ac:dyDescent="0.3">
      <c r="A70" s="12" t="s">
        <v>194</v>
      </c>
      <c r="B70" s="10"/>
      <c r="C70" s="10"/>
      <c r="D70" s="12" t="s">
        <v>194</v>
      </c>
      <c r="E70" s="12" t="s">
        <v>525</v>
      </c>
      <c r="F70" s="12" t="s">
        <v>526</v>
      </c>
      <c r="G70" s="12" t="s">
        <v>469</v>
      </c>
      <c r="H70" s="15"/>
      <c r="I70" s="15"/>
    </row>
    <row r="71" spans="1:9" x14ac:dyDescent="0.3">
      <c r="A71" s="12" t="s">
        <v>198</v>
      </c>
      <c r="B71" s="10"/>
      <c r="C71" s="10"/>
      <c r="D71" s="12" t="s">
        <v>198</v>
      </c>
      <c r="E71" s="12" t="s">
        <v>527</v>
      </c>
      <c r="F71" s="12" t="s">
        <v>243</v>
      </c>
      <c r="G71" s="12" t="s">
        <v>469</v>
      </c>
      <c r="H71" s="15"/>
      <c r="I71" s="17" t="s">
        <v>14</v>
      </c>
    </row>
    <row r="72" spans="1:9" x14ac:dyDescent="0.3">
      <c r="A72" s="12" t="s">
        <v>196</v>
      </c>
      <c r="B72" s="10"/>
      <c r="C72" s="10"/>
      <c r="D72" s="12" t="s">
        <v>196</v>
      </c>
      <c r="E72" s="12" t="s">
        <v>528</v>
      </c>
      <c r="F72" s="12" t="s">
        <v>515</v>
      </c>
      <c r="G72" s="12" t="s">
        <v>469</v>
      </c>
      <c r="H72" s="15"/>
      <c r="I72" s="15"/>
    </row>
    <row r="73" spans="1:9" x14ac:dyDescent="0.3">
      <c r="A73" s="87"/>
      <c r="B73" s="87"/>
      <c r="C73" s="85" t="s">
        <v>529</v>
      </c>
      <c r="D73" s="87"/>
      <c r="E73" s="87" t="s">
        <v>530</v>
      </c>
      <c r="F73" s="87"/>
      <c r="G73" s="87"/>
      <c r="H73" s="86" t="s">
        <v>14</v>
      </c>
      <c r="I73" s="15"/>
    </row>
    <row r="74" spans="1:9" x14ac:dyDescent="0.3">
      <c r="A74" s="12" t="s">
        <v>531</v>
      </c>
      <c r="B74" s="10"/>
      <c r="C74" s="10"/>
      <c r="D74" s="12" t="s">
        <v>531</v>
      </c>
      <c r="E74" s="12" t="s">
        <v>532</v>
      </c>
      <c r="F74" s="12" t="s">
        <v>243</v>
      </c>
      <c r="G74" s="12" t="s">
        <v>477</v>
      </c>
      <c r="H74" s="15"/>
      <c r="I74" s="17" t="s">
        <v>519</v>
      </c>
    </row>
    <row r="75" spans="1:9" x14ac:dyDescent="0.3">
      <c r="A75" s="12" t="s">
        <v>533</v>
      </c>
      <c r="B75" s="10"/>
      <c r="C75" s="10"/>
      <c r="D75" s="12" t="s">
        <v>533</v>
      </c>
      <c r="E75" s="12" t="s">
        <v>534</v>
      </c>
      <c r="F75" s="12" t="s">
        <v>242</v>
      </c>
      <c r="G75" s="12" t="s">
        <v>477</v>
      </c>
      <c r="H75" s="15"/>
      <c r="I75" s="17" t="s">
        <v>519</v>
      </c>
    </row>
    <row r="76" spans="1:9" x14ac:dyDescent="0.3">
      <c r="A76" s="12" t="s">
        <v>535</v>
      </c>
      <c r="B76" s="10"/>
      <c r="C76" s="10"/>
      <c r="D76" s="12" t="s">
        <v>535</v>
      </c>
      <c r="E76" s="12" t="s">
        <v>524</v>
      </c>
      <c r="F76" s="12" t="s">
        <v>243</v>
      </c>
      <c r="G76" s="12" t="s">
        <v>477</v>
      </c>
      <c r="H76" s="15"/>
      <c r="I76" s="15"/>
    </row>
    <row r="77" spans="1:9" x14ac:dyDescent="0.3">
      <c r="A77" s="12" t="s">
        <v>536</v>
      </c>
      <c r="B77" s="10"/>
      <c r="C77" s="10"/>
      <c r="D77" s="12" t="s">
        <v>536</v>
      </c>
      <c r="E77" s="12" t="s">
        <v>525</v>
      </c>
      <c r="F77" s="12" t="s">
        <v>526</v>
      </c>
      <c r="G77" s="12" t="s">
        <v>477</v>
      </c>
      <c r="H77" s="15"/>
      <c r="I77" s="15"/>
    </row>
    <row r="78" spans="1:9" x14ac:dyDescent="0.3">
      <c r="A78" s="12" t="s">
        <v>537</v>
      </c>
      <c r="B78" s="10"/>
      <c r="C78" s="10"/>
      <c r="D78" s="12" t="s">
        <v>537</v>
      </c>
      <c r="E78" s="12" t="s">
        <v>527</v>
      </c>
      <c r="F78" s="12" t="s">
        <v>243</v>
      </c>
      <c r="G78" s="12" t="s">
        <v>477</v>
      </c>
      <c r="H78" s="15"/>
      <c r="I78" s="15"/>
    </row>
    <row r="79" spans="1:9" x14ac:dyDescent="0.3">
      <c r="A79" s="12" t="s">
        <v>538</v>
      </c>
      <c r="B79" s="10"/>
      <c r="C79" s="10"/>
      <c r="D79" s="12" t="s">
        <v>538</v>
      </c>
      <c r="E79" s="12" t="s">
        <v>528</v>
      </c>
      <c r="F79" s="12" t="s">
        <v>515</v>
      </c>
      <c r="G79" s="12" t="s">
        <v>477</v>
      </c>
      <c r="H79" s="15"/>
      <c r="I79" s="15"/>
    </row>
    <row r="80" spans="1:9" x14ac:dyDescent="0.3">
      <c r="A80" s="85"/>
      <c r="B80" s="85"/>
      <c r="C80" s="85" t="s">
        <v>539</v>
      </c>
      <c r="D80" s="85"/>
      <c r="E80" s="87" t="s">
        <v>540</v>
      </c>
      <c r="F80" s="85"/>
      <c r="G80" s="85"/>
      <c r="H80" s="86" t="s">
        <v>14</v>
      </c>
      <c r="I80" s="15"/>
    </row>
    <row r="81" spans="1:9" x14ac:dyDescent="0.3">
      <c r="A81" s="12" t="s">
        <v>541</v>
      </c>
      <c r="B81" s="10"/>
      <c r="C81" s="10"/>
      <c r="D81" s="12" t="s">
        <v>541</v>
      </c>
      <c r="E81" s="12" t="s">
        <v>542</v>
      </c>
      <c r="F81" s="12" t="s">
        <v>243</v>
      </c>
      <c r="G81" s="12" t="s">
        <v>476</v>
      </c>
      <c r="H81" s="15"/>
      <c r="I81" s="17" t="s">
        <v>519</v>
      </c>
    </row>
    <row r="82" spans="1:9" x14ac:dyDescent="0.3">
      <c r="A82" s="12" t="s">
        <v>543</v>
      </c>
      <c r="B82" s="10"/>
      <c r="C82" s="10"/>
      <c r="D82" s="12" t="s">
        <v>543</v>
      </c>
      <c r="E82" s="12" t="s">
        <v>544</v>
      </c>
      <c r="F82" s="12" t="s">
        <v>242</v>
      </c>
      <c r="G82" s="12" t="s">
        <v>476</v>
      </c>
      <c r="H82" s="15"/>
      <c r="I82" s="17" t="s">
        <v>519</v>
      </c>
    </row>
    <row r="83" spans="1:9" x14ac:dyDescent="0.3">
      <c r="A83" s="12" t="s">
        <v>545</v>
      </c>
      <c r="B83" s="10"/>
      <c r="C83" s="10"/>
      <c r="D83" s="12" t="s">
        <v>545</v>
      </c>
      <c r="E83" s="12" t="s">
        <v>524</v>
      </c>
      <c r="F83" s="12" t="s">
        <v>243</v>
      </c>
      <c r="G83" s="12" t="s">
        <v>476</v>
      </c>
      <c r="H83" s="15"/>
      <c r="I83" s="17" t="s">
        <v>519</v>
      </c>
    </row>
    <row r="84" spans="1:9" x14ac:dyDescent="0.3">
      <c r="A84" s="12" t="s">
        <v>546</v>
      </c>
      <c r="B84" s="10"/>
      <c r="C84" s="10"/>
      <c r="D84" s="12" t="s">
        <v>546</v>
      </c>
      <c r="E84" s="12" t="s">
        <v>525</v>
      </c>
      <c r="F84" s="12" t="s">
        <v>526</v>
      </c>
      <c r="G84" s="12" t="s">
        <v>476</v>
      </c>
      <c r="H84" s="15"/>
      <c r="I84" s="15"/>
    </row>
    <row r="85" spans="1:9" x14ac:dyDescent="0.3">
      <c r="A85" s="12" t="s">
        <v>547</v>
      </c>
      <c r="B85" s="10"/>
      <c r="C85" s="10"/>
      <c r="D85" s="12" t="s">
        <v>547</v>
      </c>
      <c r="E85" s="12" t="s">
        <v>527</v>
      </c>
      <c r="F85" s="12" t="s">
        <v>243</v>
      </c>
      <c r="G85" s="12" t="s">
        <v>476</v>
      </c>
      <c r="H85" s="15"/>
      <c r="I85" s="17" t="s">
        <v>519</v>
      </c>
    </row>
    <row r="86" spans="1:9" x14ac:dyDescent="0.3">
      <c r="A86" s="12" t="s">
        <v>548</v>
      </c>
      <c r="B86" s="10"/>
      <c r="C86" s="10"/>
      <c r="D86" s="12" t="s">
        <v>548</v>
      </c>
      <c r="E86" s="12" t="s">
        <v>528</v>
      </c>
      <c r="F86" s="12" t="s">
        <v>515</v>
      </c>
      <c r="G86" s="12" t="s">
        <v>476</v>
      </c>
      <c r="H86" s="15"/>
      <c r="I86" s="15"/>
    </row>
    <row r="87" spans="1:9" x14ac:dyDescent="0.3">
      <c r="A87" s="88"/>
      <c r="B87" s="88" t="s">
        <v>549</v>
      </c>
      <c r="C87" s="88"/>
      <c r="D87" s="88"/>
      <c r="E87" s="88"/>
      <c r="F87" s="88"/>
      <c r="G87" s="88"/>
      <c r="H87" s="89"/>
      <c r="I87" s="15"/>
    </row>
    <row r="88" spans="1:9" x14ac:dyDescent="0.3">
      <c r="A88" s="88"/>
      <c r="B88" s="88"/>
      <c r="C88" s="88" t="s">
        <v>550</v>
      </c>
      <c r="D88" s="88"/>
      <c r="E88" s="88"/>
      <c r="F88" s="88"/>
      <c r="G88" s="88"/>
      <c r="H88" s="89"/>
      <c r="I88" s="15"/>
    </row>
    <row r="89" spans="1:9" x14ac:dyDescent="0.3">
      <c r="A89" s="76" t="s">
        <v>207</v>
      </c>
      <c r="B89" s="77"/>
      <c r="C89" s="77"/>
      <c r="D89" s="76" t="s">
        <v>207</v>
      </c>
      <c r="E89" s="78" t="s">
        <v>551</v>
      </c>
      <c r="F89" s="76" t="s">
        <v>481</v>
      </c>
      <c r="G89" s="76" t="s">
        <v>464</v>
      </c>
      <c r="H89" s="79"/>
      <c r="I89" s="80" t="s">
        <v>14</v>
      </c>
    </row>
    <row r="90" spans="1:9" x14ac:dyDescent="0.3">
      <c r="A90" s="88"/>
      <c r="B90" s="88"/>
      <c r="C90" s="88" t="s">
        <v>549</v>
      </c>
      <c r="D90" s="88"/>
      <c r="E90" s="88"/>
      <c r="F90" s="88"/>
      <c r="G90" s="88"/>
      <c r="H90" s="89"/>
      <c r="I90" s="15"/>
    </row>
    <row r="91" spans="1:9" x14ac:dyDescent="0.3">
      <c r="A91" s="76" t="s">
        <v>208</v>
      </c>
      <c r="B91" s="77"/>
      <c r="C91" s="77"/>
      <c r="D91" s="76" t="s">
        <v>208</v>
      </c>
      <c r="E91" s="78" t="s">
        <v>552</v>
      </c>
      <c r="F91" s="76" t="s">
        <v>243</v>
      </c>
      <c r="G91" s="76" t="s">
        <v>464</v>
      </c>
      <c r="H91" s="79"/>
      <c r="I91" s="80" t="s">
        <v>14</v>
      </c>
    </row>
    <row r="92" spans="1:9" x14ac:dyDescent="0.3">
      <c r="A92" s="81" t="s">
        <v>167</v>
      </c>
      <c r="B92" s="10"/>
      <c r="C92" s="10"/>
      <c r="D92" s="81" t="s">
        <v>167</v>
      </c>
      <c r="E92" s="12" t="s">
        <v>553</v>
      </c>
      <c r="F92" s="12" t="s">
        <v>484</v>
      </c>
      <c r="G92" s="12" t="s">
        <v>463</v>
      </c>
      <c r="H92" s="15"/>
      <c r="I92" s="15"/>
    </row>
    <row r="93" spans="1:9" x14ac:dyDescent="0.3">
      <c r="A93" s="81" t="s">
        <v>44</v>
      </c>
      <c r="B93" s="10"/>
      <c r="C93" s="10"/>
      <c r="D93" s="81" t="s">
        <v>44</v>
      </c>
      <c r="E93" s="12" t="s">
        <v>554</v>
      </c>
      <c r="F93" s="12" t="s">
        <v>243</v>
      </c>
      <c r="G93" s="12" t="s">
        <v>463</v>
      </c>
      <c r="H93" s="15"/>
      <c r="I93" s="17" t="s">
        <v>230</v>
      </c>
    </row>
    <row r="94" spans="1:9" x14ac:dyDescent="0.3">
      <c r="A94" s="90" t="s">
        <v>192</v>
      </c>
      <c r="B94" s="10"/>
      <c r="C94" s="10"/>
      <c r="D94" s="90" t="s">
        <v>192</v>
      </c>
      <c r="E94" s="12" t="s">
        <v>555</v>
      </c>
      <c r="F94" s="12" t="s">
        <v>556</v>
      </c>
      <c r="G94" s="12" t="s">
        <v>463</v>
      </c>
      <c r="H94" s="15"/>
      <c r="I94" s="15"/>
    </row>
    <row r="95" spans="1:9" x14ac:dyDescent="0.3">
      <c r="A95" s="81" t="s">
        <v>139</v>
      </c>
      <c r="B95" s="10"/>
      <c r="C95" s="10"/>
      <c r="D95" s="81" t="s">
        <v>139</v>
      </c>
      <c r="E95" s="12" t="s">
        <v>557</v>
      </c>
      <c r="F95" s="12" t="s">
        <v>491</v>
      </c>
      <c r="G95" s="12" t="s">
        <v>463</v>
      </c>
      <c r="H95" s="15"/>
      <c r="I95" s="15"/>
    </row>
    <row r="96" spans="1:9" x14ac:dyDescent="0.3">
      <c r="A96" s="81" t="s">
        <v>140</v>
      </c>
      <c r="B96" s="10"/>
      <c r="C96" s="10"/>
      <c r="D96" s="81" t="s">
        <v>140</v>
      </c>
      <c r="E96" s="12" t="s">
        <v>485</v>
      </c>
      <c r="F96" s="12" t="s">
        <v>242</v>
      </c>
      <c r="G96" s="12" t="s">
        <v>463</v>
      </c>
      <c r="H96" s="15"/>
      <c r="I96" s="15"/>
    </row>
    <row r="97" spans="1:9" x14ac:dyDescent="0.3">
      <c r="A97" s="81" t="s">
        <v>169</v>
      </c>
      <c r="B97" s="10"/>
      <c r="C97" s="10"/>
      <c r="D97" s="81" t="s">
        <v>169</v>
      </c>
      <c r="E97" s="12" t="s">
        <v>558</v>
      </c>
      <c r="F97" s="12" t="s">
        <v>491</v>
      </c>
      <c r="G97" s="12" t="s">
        <v>463</v>
      </c>
      <c r="H97" s="15"/>
      <c r="I97" s="15"/>
    </row>
    <row r="98" spans="1:9" x14ac:dyDescent="0.3">
      <c r="A98" s="81" t="s">
        <v>170</v>
      </c>
      <c r="B98" s="10"/>
      <c r="C98" s="10"/>
      <c r="D98" s="81" t="s">
        <v>170</v>
      </c>
      <c r="E98" s="12" t="s">
        <v>485</v>
      </c>
      <c r="F98" s="12" t="s">
        <v>242</v>
      </c>
      <c r="G98" s="12" t="s">
        <v>463</v>
      </c>
      <c r="H98" s="15"/>
      <c r="I98" s="15"/>
    </row>
    <row r="99" spans="1:9" x14ac:dyDescent="0.3">
      <c r="A99" s="81" t="s">
        <v>127</v>
      </c>
      <c r="B99" s="10"/>
      <c r="C99" s="10"/>
      <c r="D99" s="81" t="s">
        <v>127</v>
      </c>
      <c r="E99" s="12" t="s">
        <v>559</v>
      </c>
      <c r="F99" s="12" t="s">
        <v>491</v>
      </c>
      <c r="G99" s="12" t="s">
        <v>463</v>
      </c>
      <c r="H99" s="15"/>
      <c r="I99" s="15"/>
    </row>
    <row r="100" spans="1:9" x14ac:dyDescent="0.3">
      <c r="A100" s="81" t="s">
        <v>129</v>
      </c>
      <c r="B100" s="10"/>
      <c r="C100" s="10"/>
      <c r="D100" s="81" t="s">
        <v>129</v>
      </c>
      <c r="E100" s="12" t="s">
        <v>492</v>
      </c>
      <c r="F100" s="12" t="s">
        <v>243</v>
      </c>
      <c r="G100" s="12" t="s">
        <v>463</v>
      </c>
      <c r="H100" s="15"/>
      <c r="I100" s="15"/>
    </row>
    <row r="101" spans="1:9" x14ac:dyDescent="0.3">
      <c r="A101" s="81" t="s">
        <v>128</v>
      </c>
      <c r="B101" s="10"/>
      <c r="C101" s="10"/>
      <c r="D101" s="81" t="s">
        <v>128</v>
      </c>
      <c r="E101" s="12" t="s">
        <v>485</v>
      </c>
      <c r="F101" s="12" t="s">
        <v>242</v>
      </c>
      <c r="G101" s="12" t="s">
        <v>463</v>
      </c>
      <c r="H101" s="15"/>
      <c r="I101" s="15"/>
    </row>
    <row r="102" spans="1:9" x14ac:dyDescent="0.3">
      <c r="A102" s="81" t="s">
        <v>132</v>
      </c>
      <c r="B102" s="10"/>
      <c r="C102" s="10"/>
      <c r="D102" s="81" t="s">
        <v>132</v>
      </c>
      <c r="E102" s="12" t="s">
        <v>560</v>
      </c>
      <c r="F102" s="10"/>
      <c r="G102" s="12" t="s">
        <v>463</v>
      </c>
      <c r="H102" s="15"/>
      <c r="I102" s="15"/>
    </row>
    <row r="103" spans="1:9" x14ac:dyDescent="0.3">
      <c r="A103" s="81" t="s">
        <v>131</v>
      </c>
      <c r="B103" s="10"/>
      <c r="C103" s="10"/>
      <c r="D103" s="81" t="s">
        <v>131</v>
      </c>
      <c r="E103" s="12" t="s">
        <v>492</v>
      </c>
      <c r="F103" s="12" t="s">
        <v>243</v>
      </c>
      <c r="G103" s="12" t="s">
        <v>463</v>
      </c>
      <c r="H103" s="15"/>
      <c r="I103" s="15"/>
    </row>
    <row r="104" spans="1:9" x14ac:dyDescent="0.3">
      <c r="A104" s="81" t="s">
        <v>130</v>
      </c>
      <c r="B104" s="10"/>
      <c r="C104" s="10"/>
      <c r="D104" s="81" t="s">
        <v>130</v>
      </c>
      <c r="E104" s="12" t="s">
        <v>485</v>
      </c>
      <c r="F104" s="12" t="s">
        <v>242</v>
      </c>
      <c r="G104" s="12" t="s">
        <v>463</v>
      </c>
      <c r="H104" s="15"/>
      <c r="I104" s="15"/>
    </row>
    <row r="105" spans="1:9" x14ac:dyDescent="0.3">
      <c r="A105" s="81" t="s">
        <v>135</v>
      </c>
      <c r="B105" s="10"/>
      <c r="C105" s="10"/>
      <c r="D105" s="81" t="s">
        <v>135</v>
      </c>
      <c r="E105" s="12" t="s">
        <v>561</v>
      </c>
      <c r="F105" s="10"/>
      <c r="G105" s="12" t="s">
        <v>463</v>
      </c>
      <c r="H105" s="15"/>
      <c r="I105" s="15"/>
    </row>
    <row r="106" spans="1:9" x14ac:dyDescent="0.3">
      <c r="A106" s="81" t="s">
        <v>134</v>
      </c>
      <c r="B106" s="10"/>
      <c r="C106" s="10"/>
      <c r="D106" s="81" t="s">
        <v>134</v>
      </c>
      <c r="E106" s="12" t="s">
        <v>492</v>
      </c>
      <c r="F106" s="12" t="s">
        <v>243</v>
      </c>
      <c r="G106" s="12" t="s">
        <v>463</v>
      </c>
      <c r="H106" s="15"/>
      <c r="I106" s="15"/>
    </row>
    <row r="107" spans="1:9" x14ac:dyDescent="0.3">
      <c r="A107" s="81" t="s">
        <v>133</v>
      </c>
      <c r="B107" s="10"/>
      <c r="C107" s="10"/>
      <c r="D107" s="81" t="s">
        <v>133</v>
      </c>
      <c r="E107" s="12" t="s">
        <v>485</v>
      </c>
      <c r="F107" s="12" t="s">
        <v>242</v>
      </c>
      <c r="G107" s="12" t="s">
        <v>463</v>
      </c>
      <c r="H107" s="15"/>
      <c r="I107" s="15"/>
    </row>
    <row r="108" spans="1:9" x14ac:dyDescent="0.3">
      <c r="A108" s="81" t="s">
        <v>138</v>
      </c>
      <c r="B108" s="10"/>
      <c r="C108" s="10"/>
      <c r="D108" s="81" t="s">
        <v>138</v>
      </c>
      <c r="E108" s="12" t="s">
        <v>562</v>
      </c>
      <c r="F108" s="10"/>
      <c r="G108" s="12" t="s">
        <v>463</v>
      </c>
      <c r="H108" s="15"/>
      <c r="I108" s="15"/>
    </row>
    <row r="109" spans="1:9" x14ac:dyDescent="0.3">
      <c r="A109" s="81" t="s">
        <v>137</v>
      </c>
      <c r="B109" s="10"/>
      <c r="C109" s="10"/>
      <c r="D109" s="81" t="s">
        <v>137</v>
      </c>
      <c r="E109" s="12" t="s">
        <v>492</v>
      </c>
      <c r="F109" s="12" t="s">
        <v>243</v>
      </c>
      <c r="G109" s="12" t="s">
        <v>463</v>
      </c>
      <c r="H109" s="15"/>
      <c r="I109" s="15"/>
    </row>
    <row r="110" spans="1:9" x14ac:dyDescent="0.3">
      <c r="A110" s="81" t="s">
        <v>136</v>
      </c>
      <c r="B110" s="10"/>
      <c r="C110" s="10"/>
      <c r="D110" s="81" t="s">
        <v>136</v>
      </c>
      <c r="E110" s="12" t="s">
        <v>485</v>
      </c>
      <c r="F110" s="12" t="s">
        <v>242</v>
      </c>
      <c r="G110" s="12" t="s">
        <v>463</v>
      </c>
      <c r="H110" s="15"/>
      <c r="I110" s="15"/>
    </row>
    <row r="111" spans="1:9" x14ac:dyDescent="0.3">
      <c r="A111" s="81" t="s">
        <v>174</v>
      </c>
      <c r="B111" s="10"/>
      <c r="C111" s="10"/>
      <c r="D111" s="81" t="s">
        <v>174</v>
      </c>
      <c r="E111" s="12" t="s">
        <v>563</v>
      </c>
      <c r="F111" s="12" t="s">
        <v>491</v>
      </c>
      <c r="G111" s="12" t="s">
        <v>463</v>
      </c>
      <c r="H111" s="15"/>
      <c r="I111" s="15"/>
    </row>
    <row r="112" spans="1:9" x14ac:dyDescent="0.3">
      <c r="A112" s="81" t="s">
        <v>175</v>
      </c>
      <c r="B112" s="10"/>
      <c r="C112" s="10"/>
      <c r="D112" s="81" t="s">
        <v>175</v>
      </c>
      <c r="E112" s="12" t="s">
        <v>485</v>
      </c>
      <c r="F112" s="12" t="s">
        <v>242</v>
      </c>
      <c r="G112" s="12" t="s">
        <v>463</v>
      </c>
      <c r="H112" s="15"/>
      <c r="I112" s="15"/>
    </row>
    <row r="113" spans="1:9" x14ac:dyDescent="0.3">
      <c r="A113" s="81" t="s">
        <v>171</v>
      </c>
      <c r="B113" s="10"/>
      <c r="C113" s="10"/>
      <c r="D113" s="81" t="s">
        <v>171</v>
      </c>
      <c r="E113" s="12" t="s">
        <v>564</v>
      </c>
      <c r="F113" s="12" t="s">
        <v>491</v>
      </c>
      <c r="G113" s="12" t="s">
        <v>463</v>
      </c>
      <c r="H113" s="15"/>
      <c r="I113" s="15"/>
    </row>
    <row r="114" spans="1:9" x14ac:dyDescent="0.3">
      <c r="A114" s="81" t="s">
        <v>173</v>
      </c>
      <c r="B114" s="10"/>
      <c r="C114" s="10"/>
      <c r="D114" s="81" t="s">
        <v>173</v>
      </c>
      <c r="E114" s="12" t="s">
        <v>492</v>
      </c>
      <c r="F114" s="12" t="s">
        <v>243</v>
      </c>
      <c r="G114" s="12" t="s">
        <v>463</v>
      </c>
      <c r="H114" s="15"/>
      <c r="I114" s="15"/>
    </row>
    <row r="115" spans="1:9" x14ac:dyDescent="0.3">
      <c r="A115" s="81" t="s">
        <v>172</v>
      </c>
      <c r="B115" s="10"/>
      <c r="C115" s="10"/>
      <c r="D115" s="81" t="s">
        <v>172</v>
      </c>
      <c r="E115" s="12" t="s">
        <v>485</v>
      </c>
      <c r="F115" s="12" t="s">
        <v>242</v>
      </c>
      <c r="G115" s="12" t="s">
        <v>463</v>
      </c>
      <c r="H115" s="15"/>
      <c r="I115" s="15"/>
    </row>
    <row r="116" spans="1:9" x14ac:dyDescent="0.3">
      <c r="A116" s="81" t="s">
        <v>178</v>
      </c>
      <c r="B116" s="10"/>
      <c r="C116" s="10"/>
      <c r="D116" s="81" t="s">
        <v>178</v>
      </c>
      <c r="E116" s="12" t="s">
        <v>565</v>
      </c>
      <c r="F116" s="12" t="s">
        <v>491</v>
      </c>
      <c r="G116" s="12" t="s">
        <v>463</v>
      </c>
      <c r="H116" s="15"/>
      <c r="I116" s="15"/>
    </row>
    <row r="117" spans="1:9" x14ac:dyDescent="0.3">
      <c r="A117" s="81" t="s">
        <v>119</v>
      </c>
      <c r="B117" s="10"/>
      <c r="C117" s="10"/>
      <c r="D117" s="81" t="s">
        <v>119</v>
      </c>
      <c r="E117" s="12" t="s">
        <v>566</v>
      </c>
      <c r="F117" s="12" t="s">
        <v>484</v>
      </c>
      <c r="G117" s="12" t="s">
        <v>463</v>
      </c>
      <c r="H117" s="15"/>
      <c r="I117" s="15"/>
    </row>
    <row r="118" spans="1:9" x14ac:dyDescent="0.3">
      <c r="A118" s="81" t="s">
        <v>177</v>
      </c>
      <c r="B118" s="10"/>
      <c r="C118" s="10"/>
      <c r="D118" s="81" t="s">
        <v>177</v>
      </c>
      <c r="E118" s="12" t="s">
        <v>567</v>
      </c>
      <c r="F118" s="12" t="s">
        <v>484</v>
      </c>
      <c r="G118" s="12" t="s">
        <v>463</v>
      </c>
      <c r="H118" s="15"/>
      <c r="I118" s="15"/>
    </row>
    <row r="119" spans="1:9" x14ac:dyDescent="0.3">
      <c r="A119" s="81" t="s">
        <v>176</v>
      </c>
      <c r="B119" s="10"/>
      <c r="C119" s="10"/>
      <c r="D119" s="81" t="s">
        <v>176</v>
      </c>
      <c r="E119" s="12" t="s">
        <v>485</v>
      </c>
      <c r="F119" s="12" t="s">
        <v>242</v>
      </c>
      <c r="G119" s="12" t="s">
        <v>463</v>
      </c>
      <c r="H119" s="15"/>
      <c r="I119" s="15"/>
    </row>
    <row r="120" spans="1:9" x14ac:dyDescent="0.3">
      <c r="A120" s="81" t="s">
        <v>117</v>
      </c>
      <c r="B120" s="10"/>
      <c r="C120" s="10"/>
      <c r="D120" s="81" t="s">
        <v>117</v>
      </c>
      <c r="E120" s="12" t="s">
        <v>568</v>
      </c>
      <c r="F120" s="12" t="s">
        <v>484</v>
      </c>
      <c r="G120" s="12" t="s">
        <v>463</v>
      </c>
      <c r="H120" s="15"/>
      <c r="I120" s="15"/>
    </row>
    <row r="121" spans="1:9" x14ac:dyDescent="0.3">
      <c r="A121" s="81" t="s">
        <v>58</v>
      </c>
      <c r="B121" s="10"/>
      <c r="C121" s="10"/>
      <c r="D121" s="81" t="s">
        <v>58</v>
      </c>
      <c r="E121" s="12" t="s">
        <v>569</v>
      </c>
      <c r="F121" s="12" t="s">
        <v>242</v>
      </c>
      <c r="G121" s="12" t="s">
        <v>463</v>
      </c>
      <c r="H121" s="15"/>
      <c r="I121" s="15"/>
    </row>
    <row r="122" spans="1:9" x14ac:dyDescent="0.3">
      <c r="A122" s="81" t="s">
        <v>59</v>
      </c>
      <c r="B122" s="10"/>
      <c r="C122" s="10"/>
      <c r="D122" s="81" t="s">
        <v>59</v>
      </c>
      <c r="E122" s="12" t="s">
        <v>570</v>
      </c>
      <c r="F122" s="12" t="s">
        <v>484</v>
      </c>
      <c r="G122" s="12" t="s">
        <v>463</v>
      </c>
      <c r="H122" s="15"/>
      <c r="I122" s="15"/>
    </row>
    <row r="123" spans="1:9" x14ac:dyDescent="0.3">
      <c r="A123" s="81" t="s">
        <v>60</v>
      </c>
      <c r="B123" s="10"/>
      <c r="C123" s="10"/>
      <c r="D123" s="81" t="s">
        <v>60</v>
      </c>
      <c r="E123" s="12" t="s">
        <v>571</v>
      </c>
      <c r="F123" s="12" t="s">
        <v>242</v>
      </c>
      <c r="G123" s="12" t="s">
        <v>463</v>
      </c>
      <c r="H123" s="15"/>
      <c r="I123" s="15"/>
    </row>
    <row r="124" spans="1:9" x14ac:dyDescent="0.3">
      <c r="A124" s="81" t="s">
        <v>61</v>
      </c>
      <c r="B124" s="10"/>
      <c r="C124" s="10"/>
      <c r="D124" s="81" t="s">
        <v>61</v>
      </c>
      <c r="E124" s="12" t="s">
        <v>572</v>
      </c>
      <c r="F124" s="12" t="s">
        <v>484</v>
      </c>
      <c r="G124" s="12" t="s">
        <v>463</v>
      </c>
      <c r="H124" s="15"/>
      <c r="I124" s="15"/>
    </row>
    <row r="125" spans="1:9" x14ac:dyDescent="0.3">
      <c r="A125" s="81" t="s">
        <v>62</v>
      </c>
      <c r="B125" s="10"/>
      <c r="C125" s="10"/>
      <c r="D125" s="81" t="s">
        <v>62</v>
      </c>
      <c r="E125" s="12" t="s">
        <v>573</v>
      </c>
      <c r="F125" s="12" t="s">
        <v>242</v>
      </c>
      <c r="G125" s="12" t="s">
        <v>463</v>
      </c>
      <c r="H125" s="15"/>
      <c r="I125" s="15"/>
    </row>
    <row r="126" spans="1:9" x14ac:dyDescent="0.3">
      <c r="A126" s="81" t="s">
        <v>63</v>
      </c>
      <c r="B126" s="10"/>
      <c r="C126" s="10"/>
      <c r="D126" s="81" t="s">
        <v>63</v>
      </c>
      <c r="E126" s="12" t="s">
        <v>574</v>
      </c>
      <c r="F126" s="12" t="s">
        <v>484</v>
      </c>
      <c r="G126" s="12" t="s">
        <v>463</v>
      </c>
      <c r="H126" s="15"/>
      <c r="I126" s="15"/>
    </row>
    <row r="127" spans="1:9" x14ac:dyDescent="0.3">
      <c r="A127" s="88"/>
      <c r="B127" s="88"/>
      <c r="C127" s="88" t="s">
        <v>575</v>
      </c>
      <c r="D127" s="88"/>
      <c r="E127" s="88"/>
      <c r="F127" s="88"/>
      <c r="G127" s="88"/>
      <c r="H127" s="89"/>
      <c r="I127" s="15"/>
    </row>
    <row r="128" spans="1:9" x14ac:dyDescent="0.3">
      <c r="A128" s="81" t="s">
        <v>151</v>
      </c>
      <c r="B128" s="10"/>
      <c r="C128" s="10"/>
      <c r="D128" s="81" t="s">
        <v>151</v>
      </c>
      <c r="E128" s="12" t="s">
        <v>576</v>
      </c>
      <c r="F128" s="12" t="s">
        <v>484</v>
      </c>
      <c r="G128" s="12" t="s">
        <v>463</v>
      </c>
      <c r="H128" s="15"/>
      <c r="I128" s="15"/>
    </row>
    <row r="129" spans="1:9" x14ac:dyDescent="0.3">
      <c r="A129" s="81" t="s">
        <v>148</v>
      </c>
      <c r="B129" s="10"/>
      <c r="C129" s="10"/>
      <c r="D129" s="81" t="s">
        <v>148</v>
      </c>
      <c r="E129" s="12" t="s">
        <v>577</v>
      </c>
      <c r="F129" s="12" t="s">
        <v>243</v>
      </c>
      <c r="G129" s="12" t="s">
        <v>463</v>
      </c>
      <c r="H129" s="15"/>
      <c r="I129" s="15"/>
    </row>
    <row r="130" spans="1:9" x14ac:dyDescent="0.3">
      <c r="A130" s="81" t="s">
        <v>150</v>
      </c>
      <c r="B130" s="10"/>
      <c r="C130" s="10"/>
      <c r="D130" s="81" t="s">
        <v>150</v>
      </c>
      <c r="E130" s="12" t="s">
        <v>492</v>
      </c>
      <c r="F130" s="12" t="s">
        <v>243</v>
      </c>
      <c r="G130" s="12" t="s">
        <v>463</v>
      </c>
      <c r="H130" s="15"/>
      <c r="I130" s="15"/>
    </row>
    <row r="131" spans="1:9" x14ac:dyDescent="0.3">
      <c r="A131" s="81" t="s">
        <v>149</v>
      </c>
      <c r="B131" s="10"/>
      <c r="C131" s="10"/>
      <c r="D131" s="81" t="s">
        <v>149</v>
      </c>
      <c r="E131" s="12" t="s">
        <v>485</v>
      </c>
      <c r="F131" s="12" t="s">
        <v>242</v>
      </c>
      <c r="G131" s="12" t="s">
        <v>463</v>
      </c>
      <c r="H131" s="15"/>
      <c r="I131" s="15"/>
    </row>
    <row r="132" spans="1:9" x14ac:dyDescent="0.3">
      <c r="A132" s="81" t="s">
        <v>153</v>
      </c>
      <c r="B132" s="10"/>
      <c r="C132" s="10"/>
      <c r="D132" s="81" t="s">
        <v>153</v>
      </c>
      <c r="E132" s="12" t="s">
        <v>578</v>
      </c>
      <c r="F132" s="12" t="s">
        <v>515</v>
      </c>
      <c r="G132" s="12" t="s">
        <v>463</v>
      </c>
      <c r="H132" s="15"/>
      <c r="I132" s="15"/>
    </row>
    <row r="133" spans="1:9" x14ac:dyDescent="0.3">
      <c r="A133" s="81" t="s">
        <v>152</v>
      </c>
      <c r="B133" s="10"/>
      <c r="C133" s="10"/>
      <c r="D133" s="81" t="s">
        <v>152</v>
      </c>
      <c r="E133" s="12" t="s">
        <v>579</v>
      </c>
      <c r="F133" s="12" t="s">
        <v>515</v>
      </c>
      <c r="G133" s="12" t="s">
        <v>463</v>
      </c>
      <c r="H133" s="15"/>
      <c r="I133" s="15"/>
    </row>
    <row r="134" spans="1:9" x14ac:dyDescent="0.3">
      <c r="A134" s="81" t="s">
        <v>155</v>
      </c>
      <c r="B134" s="10"/>
      <c r="C134" s="10"/>
      <c r="D134" s="81" t="s">
        <v>155</v>
      </c>
      <c r="E134" s="12" t="s">
        <v>580</v>
      </c>
      <c r="F134" s="12" t="s">
        <v>491</v>
      </c>
      <c r="G134" s="12" t="s">
        <v>463</v>
      </c>
      <c r="H134" s="15"/>
      <c r="I134" s="15"/>
    </row>
    <row r="135" spans="1:9" x14ac:dyDescent="0.3">
      <c r="A135" s="81" t="s">
        <v>156</v>
      </c>
      <c r="B135" s="10"/>
      <c r="C135" s="10"/>
      <c r="D135" s="81" t="s">
        <v>156</v>
      </c>
      <c r="E135" s="12" t="s">
        <v>581</v>
      </c>
      <c r="F135" s="12" t="s">
        <v>491</v>
      </c>
      <c r="G135" s="12" t="s">
        <v>463</v>
      </c>
      <c r="H135" s="15"/>
      <c r="I135" s="15"/>
    </row>
    <row r="136" spans="1:9" x14ac:dyDescent="0.3">
      <c r="A136" s="81" t="s">
        <v>154</v>
      </c>
      <c r="B136" s="10"/>
      <c r="C136" s="10"/>
      <c r="D136" s="81" t="s">
        <v>154</v>
      </c>
      <c r="E136" s="12" t="s">
        <v>582</v>
      </c>
      <c r="F136" s="12" t="s">
        <v>491</v>
      </c>
      <c r="G136" s="12" t="s">
        <v>463</v>
      </c>
      <c r="H136" s="15"/>
      <c r="I136" s="15"/>
    </row>
    <row r="137" spans="1:9" x14ac:dyDescent="0.3">
      <c r="A137" s="88"/>
      <c r="B137" s="88"/>
      <c r="C137" s="88" t="s">
        <v>583</v>
      </c>
      <c r="D137" s="88"/>
      <c r="E137" s="88"/>
      <c r="F137" s="88"/>
      <c r="G137" s="88"/>
      <c r="H137" s="89"/>
      <c r="I137" s="15"/>
    </row>
    <row r="138" spans="1:9" x14ac:dyDescent="0.3">
      <c r="A138" s="81" t="s">
        <v>145</v>
      </c>
      <c r="B138" s="10"/>
      <c r="C138" s="10"/>
      <c r="D138" s="81" t="s">
        <v>145</v>
      </c>
      <c r="E138" s="12" t="s">
        <v>584</v>
      </c>
      <c r="F138" s="12" t="s">
        <v>484</v>
      </c>
      <c r="G138" s="12" t="s">
        <v>463</v>
      </c>
      <c r="H138" s="15"/>
      <c r="I138" s="15"/>
    </row>
    <row r="139" spans="1:9" x14ac:dyDescent="0.3">
      <c r="A139" s="81" t="s">
        <v>142</v>
      </c>
      <c r="B139" s="10"/>
      <c r="C139" s="10"/>
      <c r="D139" s="81" t="s">
        <v>142</v>
      </c>
      <c r="E139" s="12" t="s">
        <v>577</v>
      </c>
      <c r="F139" s="12" t="s">
        <v>243</v>
      </c>
      <c r="G139" s="12" t="s">
        <v>463</v>
      </c>
      <c r="H139" s="15"/>
      <c r="I139" s="15"/>
    </row>
    <row r="140" spans="1:9" x14ac:dyDescent="0.3">
      <c r="A140" s="81" t="s">
        <v>144</v>
      </c>
      <c r="B140" s="10"/>
      <c r="C140" s="10"/>
      <c r="D140" s="81" t="s">
        <v>144</v>
      </c>
      <c r="E140" s="12" t="s">
        <v>492</v>
      </c>
      <c r="F140" s="12" t="s">
        <v>243</v>
      </c>
      <c r="G140" s="12" t="s">
        <v>463</v>
      </c>
      <c r="H140" s="15"/>
      <c r="I140" s="15"/>
    </row>
    <row r="141" spans="1:9" x14ac:dyDescent="0.3">
      <c r="A141" s="81" t="s">
        <v>143</v>
      </c>
      <c r="B141" s="10"/>
      <c r="C141" s="10"/>
      <c r="D141" s="81" t="s">
        <v>143</v>
      </c>
      <c r="E141" s="12" t="s">
        <v>485</v>
      </c>
      <c r="F141" s="12" t="s">
        <v>242</v>
      </c>
      <c r="G141" s="12" t="s">
        <v>463</v>
      </c>
      <c r="H141" s="15"/>
      <c r="I141" s="15"/>
    </row>
    <row r="142" spans="1:9" x14ac:dyDescent="0.3">
      <c r="A142" s="81" t="s">
        <v>147</v>
      </c>
      <c r="B142" s="10"/>
      <c r="C142" s="10"/>
      <c r="D142" s="81" t="s">
        <v>147</v>
      </c>
      <c r="E142" s="12" t="s">
        <v>585</v>
      </c>
      <c r="F142" s="12" t="s">
        <v>515</v>
      </c>
      <c r="G142" s="12" t="s">
        <v>463</v>
      </c>
      <c r="H142" s="15"/>
      <c r="I142" s="15"/>
    </row>
    <row r="143" spans="1:9" x14ac:dyDescent="0.3">
      <c r="A143" s="81" t="s">
        <v>146</v>
      </c>
      <c r="B143" s="10"/>
      <c r="C143" s="10"/>
      <c r="D143" s="81" t="s">
        <v>146</v>
      </c>
      <c r="E143" s="12" t="s">
        <v>579</v>
      </c>
      <c r="F143" s="12" t="s">
        <v>515</v>
      </c>
      <c r="G143" s="12" t="s">
        <v>463</v>
      </c>
      <c r="H143" s="15"/>
      <c r="I143" s="15"/>
    </row>
    <row r="144" spans="1:9" x14ac:dyDescent="0.3">
      <c r="A144" s="88"/>
      <c r="B144" s="88"/>
      <c r="C144" s="88" t="s">
        <v>586</v>
      </c>
      <c r="D144" s="88"/>
      <c r="E144" s="88"/>
      <c r="F144" s="88"/>
      <c r="G144" s="88"/>
      <c r="H144" s="89"/>
      <c r="I144" s="15"/>
    </row>
    <row r="145" spans="1:9" x14ac:dyDescent="0.3">
      <c r="A145" s="81" t="s">
        <v>161</v>
      </c>
      <c r="B145" s="10"/>
      <c r="C145" s="10"/>
      <c r="D145" s="81" t="s">
        <v>161</v>
      </c>
      <c r="E145" s="12" t="s">
        <v>587</v>
      </c>
      <c r="F145" s="12" t="s">
        <v>484</v>
      </c>
      <c r="G145" s="12" t="s">
        <v>463</v>
      </c>
      <c r="H145" s="15"/>
      <c r="I145" s="15"/>
    </row>
    <row r="146" spans="1:9" x14ac:dyDescent="0.3">
      <c r="A146" s="81" t="s">
        <v>157</v>
      </c>
      <c r="B146" s="10"/>
      <c r="C146" s="10"/>
      <c r="D146" s="81" t="s">
        <v>157</v>
      </c>
      <c r="E146" s="12" t="s">
        <v>577</v>
      </c>
      <c r="F146" s="12" t="s">
        <v>243</v>
      </c>
      <c r="G146" s="12" t="s">
        <v>463</v>
      </c>
      <c r="H146" s="15"/>
      <c r="I146" s="15"/>
    </row>
    <row r="147" spans="1:9" x14ac:dyDescent="0.3">
      <c r="A147" s="81" t="s">
        <v>159</v>
      </c>
      <c r="B147" s="10"/>
      <c r="C147" s="10"/>
      <c r="D147" s="81" t="s">
        <v>159</v>
      </c>
      <c r="E147" s="12" t="s">
        <v>588</v>
      </c>
      <c r="F147" s="12" t="s">
        <v>510</v>
      </c>
      <c r="G147" s="12" t="s">
        <v>463</v>
      </c>
      <c r="H147" s="15"/>
      <c r="I147" s="15"/>
    </row>
    <row r="148" spans="1:9" x14ac:dyDescent="0.3">
      <c r="A148" s="81" t="s">
        <v>160</v>
      </c>
      <c r="B148" s="10"/>
      <c r="C148" s="10"/>
      <c r="D148" s="81" t="s">
        <v>160</v>
      </c>
      <c r="E148" s="12" t="s">
        <v>492</v>
      </c>
      <c r="F148" s="12" t="s">
        <v>243</v>
      </c>
      <c r="G148" s="12" t="s">
        <v>463</v>
      </c>
      <c r="H148" s="15"/>
      <c r="I148" s="15"/>
    </row>
    <row r="149" spans="1:9" x14ac:dyDescent="0.3">
      <c r="A149" s="81" t="s">
        <v>158</v>
      </c>
      <c r="B149" s="10"/>
      <c r="C149" s="10"/>
      <c r="D149" s="81" t="s">
        <v>158</v>
      </c>
      <c r="E149" s="12" t="s">
        <v>485</v>
      </c>
      <c r="F149" s="12" t="s">
        <v>242</v>
      </c>
      <c r="G149" s="12" t="s">
        <v>463</v>
      </c>
      <c r="H149" s="15"/>
      <c r="I149" s="15"/>
    </row>
    <row r="150" spans="1:9" x14ac:dyDescent="0.3">
      <c r="A150" s="81" t="s">
        <v>163</v>
      </c>
      <c r="B150" s="10"/>
      <c r="C150" s="10"/>
      <c r="D150" s="81" t="s">
        <v>163</v>
      </c>
      <c r="E150" s="12" t="s">
        <v>589</v>
      </c>
      <c r="F150" s="12" t="s">
        <v>515</v>
      </c>
      <c r="G150" s="12" t="s">
        <v>463</v>
      </c>
      <c r="H150" s="15"/>
      <c r="I150" s="15"/>
    </row>
    <row r="151" spans="1:9" x14ac:dyDescent="0.3">
      <c r="A151" s="81" t="s">
        <v>162</v>
      </c>
      <c r="B151" s="10"/>
      <c r="C151" s="10"/>
      <c r="D151" s="81" t="s">
        <v>162</v>
      </c>
      <c r="E151" s="12" t="s">
        <v>579</v>
      </c>
      <c r="F151" s="12" t="s">
        <v>515</v>
      </c>
      <c r="G151" s="12" t="s">
        <v>463</v>
      </c>
      <c r="H151" s="15"/>
      <c r="I151" s="15"/>
    </row>
    <row r="152" spans="1:9" x14ac:dyDescent="0.3">
      <c r="A152" s="81" t="s">
        <v>165</v>
      </c>
      <c r="B152" s="10"/>
      <c r="C152" s="10"/>
      <c r="D152" s="81" t="s">
        <v>165</v>
      </c>
      <c r="E152" s="12" t="s">
        <v>590</v>
      </c>
      <c r="F152" s="12" t="s">
        <v>491</v>
      </c>
      <c r="G152" s="12" t="s">
        <v>463</v>
      </c>
      <c r="H152" s="15"/>
      <c r="I152" s="15"/>
    </row>
    <row r="153" spans="1:9" x14ac:dyDescent="0.3">
      <c r="A153" s="81" t="s">
        <v>166</v>
      </c>
      <c r="B153" s="10"/>
      <c r="C153" s="10"/>
      <c r="D153" s="81" t="s">
        <v>166</v>
      </c>
      <c r="E153" s="12" t="s">
        <v>591</v>
      </c>
      <c r="F153" s="12" t="s">
        <v>491</v>
      </c>
      <c r="G153" s="12" t="s">
        <v>463</v>
      </c>
      <c r="H153" s="15"/>
      <c r="I153" s="15"/>
    </row>
    <row r="154" spans="1:9" x14ac:dyDescent="0.3">
      <c r="A154" s="81" t="s">
        <v>164</v>
      </c>
      <c r="B154" s="10"/>
      <c r="C154" s="10"/>
      <c r="D154" s="81" t="s">
        <v>164</v>
      </c>
      <c r="E154" s="12" t="s">
        <v>592</v>
      </c>
      <c r="F154" s="12" t="s">
        <v>491</v>
      </c>
      <c r="G154" s="12" t="s">
        <v>463</v>
      </c>
      <c r="H154" s="15"/>
      <c r="I154" s="15"/>
    </row>
    <row r="155" spans="1:9" x14ac:dyDescent="0.3">
      <c r="A155" s="91"/>
      <c r="B155" s="91" t="s">
        <v>593</v>
      </c>
      <c r="C155" s="91"/>
      <c r="D155" s="91"/>
      <c r="E155" s="91"/>
      <c r="F155" s="91"/>
      <c r="G155" s="91"/>
      <c r="H155" s="92"/>
      <c r="I155" s="15"/>
    </row>
    <row r="156" spans="1:9" x14ac:dyDescent="0.3">
      <c r="A156" s="91"/>
      <c r="B156" s="91"/>
      <c r="C156" s="91" t="s">
        <v>550</v>
      </c>
      <c r="D156" s="91"/>
      <c r="E156" s="91"/>
      <c r="F156" s="91"/>
      <c r="G156" s="91"/>
      <c r="H156" s="92"/>
      <c r="I156" s="15"/>
    </row>
    <row r="157" spans="1:9" x14ac:dyDescent="0.3">
      <c r="A157" s="76" t="s">
        <v>205</v>
      </c>
      <c r="B157" s="77"/>
      <c r="C157" s="77"/>
      <c r="D157" s="76" t="s">
        <v>205</v>
      </c>
      <c r="E157" s="78" t="s">
        <v>594</v>
      </c>
      <c r="F157" s="76" t="s">
        <v>481</v>
      </c>
      <c r="G157" s="76" t="s">
        <v>464</v>
      </c>
      <c r="H157" s="79"/>
      <c r="I157" s="80" t="s">
        <v>14</v>
      </c>
    </row>
    <row r="158" spans="1:9" x14ac:dyDescent="0.3">
      <c r="A158" s="93"/>
      <c r="B158" s="93"/>
      <c r="C158" s="91" t="s">
        <v>595</v>
      </c>
      <c r="D158" s="93"/>
      <c r="E158" s="93"/>
      <c r="F158" s="93"/>
      <c r="G158" s="93"/>
      <c r="H158" s="92" t="s">
        <v>14</v>
      </c>
      <c r="I158" s="15"/>
    </row>
    <row r="159" spans="1:9" x14ac:dyDescent="0.3">
      <c r="A159" s="12" t="s">
        <v>244</v>
      </c>
      <c r="B159" s="10"/>
      <c r="C159" s="10"/>
      <c r="D159" s="12" t="s">
        <v>244</v>
      </c>
      <c r="E159" s="12" t="s">
        <v>596</v>
      </c>
      <c r="F159" s="12" t="s">
        <v>243</v>
      </c>
      <c r="G159" s="12" t="s">
        <v>471</v>
      </c>
      <c r="H159" s="15"/>
      <c r="I159" s="17" t="s">
        <v>14</v>
      </c>
    </row>
    <row r="160" spans="1:9" x14ac:dyDescent="0.3">
      <c r="A160" s="12" t="s">
        <v>245</v>
      </c>
      <c r="B160" s="10"/>
      <c r="C160" s="10"/>
      <c r="D160" s="12" t="s">
        <v>245</v>
      </c>
      <c r="E160" s="12" t="s">
        <v>597</v>
      </c>
      <c r="F160" s="12" t="s">
        <v>242</v>
      </c>
      <c r="G160" s="12" t="s">
        <v>471</v>
      </c>
      <c r="H160" s="15"/>
      <c r="I160" s="17" t="s">
        <v>519</v>
      </c>
    </row>
    <row r="161" spans="1:9" x14ac:dyDescent="0.3">
      <c r="A161" s="12" t="s">
        <v>246</v>
      </c>
      <c r="B161" s="10"/>
      <c r="C161" s="10"/>
      <c r="D161" s="12" t="s">
        <v>246</v>
      </c>
      <c r="E161" s="12" t="s">
        <v>598</v>
      </c>
      <c r="F161" s="12" t="s">
        <v>243</v>
      </c>
      <c r="G161" s="12" t="s">
        <v>471</v>
      </c>
      <c r="H161" s="15"/>
      <c r="I161" s="17" t="s">
        <v>14</v>
      </c>
    </row>
    <row r="162" spans="1:9" x14ac:dyDescent="0.3">
      <c r="A162" s="12" t="s">
        <v>247</v>
      </c>
      <c r="B162" s="10"/>
      <c r="C162" s="10"/>
      <c r="D162" s="12" t="s">
        <v>247</v>
      </c>
      <c r="E162" s="12" t="s">
        <v>599</v>
      </c>
      <c r="F162" s="12" t="s">
        <v>243</v>
      </c>
      <c r="G162" s="12" t="s">
        <v>471</v>
      </c>
      <c r="H162" s="15"/>
      <c r="I162" s="15"/>
    </row>
    <row r="163" spans="1:9" x14ac:dyDescent="0.3">
      <c r="A163" s="12" t="s">
        <v>248</v>
      </c>
      <c r="B163" s="10"/>
      <c r="C163" s="10"/>
      <c r="D163" s="12" t="s">
        <v>248</v>
      </c>
      <c r="E163" s="12" t="s">
        <v>600</v>
      </c>
      <c r="F163" s="12" t="s">
        <v>243</v>
      </c>
      <c r="G163" s="12" t="s">
        <v>471</v>
      </c>
      <c r="H163" s="15"/>
      <c r="I163" s="15"/>
    </row>
    <row r="164" spans="1:9" x14ac:dyDescent="0.3">
      <c r="A164" s="93"/>
      <c r="B164" s="93"/>
      <c r="C164" s="91" t="s">
        <v>601</v>
      </c>
      <c r="D164" s="93"/>
      <c r="E164" s="93"/>
      <c r="F164" s="93"/>
      <c r="G164" s="93"/>
      <c r="H164" s="94"/>
      <c r="I164" s="15"/>
    </row>
    <row r="165" spans="1:9" x14ac:dyDescent="0.3">
      <c r="A165" s="81" t="s">
        <v>73</v>
      </c>
      <c r="B165" s="10"/>
      <c r="C165" s="10"/>
      <c r="D165" s="81" t="s">
        <v>73</v>
      </c>
      <c r="E165" s="12" t="s">
        <v>602</v>
      </c>
      <c r="F165" s="12" t="s">
        <v>491</v>
      </c>
      <c r="G165" s="12" t="s">
        <v>463</v>
      </c>
      <c r="H165" s="15"/>
      <c r="I165" s="15"/>
    </row>
    <row r="166" spans="1:9" x14ac:dyDescent="0.3">
      <c r="A166" s="81" t="s">
        <v>75</v>
      </c>
      <c r="B166" s="10"/>
      <c r="C166" s="10"/>
      <c r="D166" s="81" t="s">
        <v>75</v>
      </c>
      <c r="E166" s="12" t="s">
        <v>492</v>
      </c>
      <c r="F166" s="12" t="s">
        <v>243</v>
      </c>
      <c r="G166" s="12" t="s">
        <v>463</v>
      </c>
      <c r="H166" s="15"/>
      <c r="I166" s="15"/>
    </row>
    <row r="167" spans="1:9" x14ac:dyDescent="0.3">
      <c r="A167" s="81" t="s">
        <v>74</v>
      </c>
      <c r="B167" s="10"/>
      <c r="C167" s="10"/>
      <c r="D167" s="81" t="s">
        <v>74</v>
      </c>
      <c r="E167" s="12" t="s">
        <v>485</v>
      </c>
      <c r="F167" s="12" t="s">
        <v>242</v>
      </c>
      <c r="G167" s="12" t="s">
        <v>463</v>
      </c>
      <c r="H167" s="15"/>
      <c r="I167" s="15"/>
    </row>
    <row r="168" spans="1:9" x14ac:dyDescent="0.3">
      <c r="A168" s="93"/>
      <c r="B168" s="93"/>
      <c r="C168" s="91" t="s">
        <v>603</v>
      </c>
      <c r="D168" s="93"/>
      <c r="E168" s="93"/>
      <c r="F168" s="93"/>
      <c r="G168" s="93"/>
      <c r="H168" s="94"/>
      <c r="I168" s="15"/>
    </row>
    <row r="169" spans="1:9" x14ac:dyDescent="0.3">
      <c r="A169" s="81" t="s">
        <v>70</v>
      </c>
      <c r="B169" s="10"/>
      <c r="C169" s="10"/>
      <c r="D169" s="81" t="s">
        <v>70</v>
      </c>
      <c r="E169" s="12" t="s">
        <v>604</v>
      </c>
      <c r="F169" s="12" t="s">
        <v>484</v>
      </c>
      <c r="G169" s="12" t="s">
        <v>463</v>
      </c>
      <c r="H169" s="15"/>
      <c r="I169" s="17" t="s">
        <v>519</v>
      </c>
    </row>
    <row r="170" spans="1:9" x14ac:dyDescent="0.3">
      <c r="A170" s="81" t="s">
        <v>68</v>
      </c>
      <c r="B170" s="10"/>
      <c r="C170" s="10"/>
      <c r="D170" s="81" t="s">
        <v>68</v>
      </c>
      <c r="E170" s="12" t="s">
        <v>485</v>
      </c>
      <c r="F170" s="12" t="s">
        <v>242</v>
      </c>
      <c r="G170" s="12" t="s">
        <v>463</v>
      </c>
      <c r="H170" s="15"/>
      <c r="I170" s="15"/>
    </row>
    <row r="171" spans="1:9" x14ac:dyDescent="0.3">
      <c r="A171" s="81" t="s">
        <v>69</v>
      </c>
      <c r="B171" s="10"/>
      <c r="C171" s="10"/>
      <c r="D171" s="81" t="s">
        <v>69</v>
      </c>
      <c r="E171" s="10"/>
      <c r="F171" s="12" t="s">
        <v>243</v>
      </c>
      <c r="G171" s="12" t="s">
        <v>463</v>
      </c>
      <c r="H171" s="15"/>
      <c r="I171" s="15"/>
    </row>
    <row r="172" spans="1:9" x14ac:dyDescent="0.3">
      <c r="A172" s="81" t="s">
        <v>64</v>
      </c>
      <c r="B172" s="10"/>
      <c r="C172" s="10"/>
      <c r="D172" s="81" t="s">
        <v>64</v>
      </c>
      <c r="E172" s="12" t="s">
        <v>605</v>
      </c>
      <c r="F172" s="12" t="s">
        <v>242</v>
      </c>
      <c r="G172" s="12" t="s">
        <v>463</v>
      </c>
      <c r="H172" s="15"/>
      <c r="I172" s="15"/>
    </row>
    <row r="173" spans="1:9" x14ac:dyDescent="0.3">
      <c r="A173" s="81" t="s">
        <v>65</v>
      </c>
      <c r="B173" s="10"/>
      <c r="C173" s="10"/>
      <c r="D173" s="81" t="s">
        <v>65</v>
      </c>
      <c r="E173" s="12" t="s">
        <v>606</v>
      </c>
      <c r="F173" s="12" t="s">
        <v>243</v>
      </c>
      <c r="G173" s="12" t="s">
        <v>463</v>
      </c>
      <c r="H173" s="15"/>
      <c r="I173" s="15"/>
    </row>
    <row r="174" spans="1:9" x14ac:dyDescent="0.3">
      <c r="A174" s="81" t="s">
        <v>114</v>
      </c>
      <c r="B174" s="10"/>
      <c r="C174" s="10"/>
      <c r="D174" s="81" t="s">
        <v>114</v>
      </c>
      <c r="E174" s="12" t="s">
        <v>607</v>
      </c>
      <c r="F174" s="12" t="s">
        <v>242</v>
      </c>
      <c r="G174" s="12" t="s">
        <v>463</v>
      </c>
      <c r="H174" s="15"/>
      <c r="I174" s="15"/>
    </row>
    <row r="175" spans="1:9" x14ac:dyDescent="0.3">
      <c r="A175" s="81" t="s">
        <v>115</v>
      </c>
      <c r="B175" s="10"/>
      <c r="C175" s="10"/>
      <c r="D175" s="81" t="s">
        <v>115</v>
      </c>
      <c r="E175" s="12" t="s">
        <v>606</v>
      </c>
      <c r="F175" s="12" t="s">
        <v>243</v>
      </c>
      <c r="G175" s="12" t="s">
        <v>463</v>
      </c>
      <c r="H175" s="15"/>
      <c r="I175" s="15"/>
    </row>
    <row r="176" spans="1:9" x14ac:dyDescent="0.3">
      <c r="A176" s="81" t="s">
        <v>66</v>
      </c>
      <c r="B176" s="10"/>
      <c r="C176" s="10"/>
      <c r="D176" s="81" t="s">
        <v>66</v>
      </c>
      <c r="E176" s="12" t="s">
        <v>608</v>
      </c>
      <c r="F176" s="12" t="s">
        <v>242</v>
      </c>
      <c r="G176" s="12" t="s">
        <v>463</v>
      </c>
      <c r="H176" s="15"/>
      <c r="I176" s="15"/>
    </row>
    <row r="177" spans="1:9" x14ac:dyDescent="0.3">
      <c r="A177" s="81" t="s">
        <v>116</v>
      </c>
      <c r="B177" s="10"/>
      <c r="C177" s="10"/>
      <c r="D177" s="81" t="s">
        <v>116</v>
      </c>
      <c r="E177" s="12" t="s">
        <v>609</v>
      </c>
      <c r="F177" s="12" t="s">
        <v>242</v>
      </c>
      <c r="G177" s="12" t="s">
        <v>463</v>
      </c>
      <c r="H177" s="15"/>
      <c r="I177" s="15"/>
    </row>
    <row r="178" spans="1:9" x14ac:dyDescent="0.3">
      <c r="A178" s="81" t="s">
        <v>112</v>
      </c>
      <c r="B178" s="10"/>
      <c r="C178" s="10"/>
      <c r="D178" s="81" t="s">
        <v>112</v>
      </c>
      <c r="E178" s="12" t="s">
        <v>610</v>
      </c>
      <c r="F178" s="12" t="s">
        <v>242</v>
      </c>
      <c r="G178" s="12" t="s">
        <v>463</v>
      </c>
      <c r="H178" s="15"/>
      <c r="I178" s="15"/>
    </row>
    <row r="179" spans="1:9" x14ac:dyDescent="0.3">
      <c r="A179" s="81" t="s">
        <v>113</v>
      </c>
      <c r="B179" s="10"/>
      <c r="C179" s="10"/>
      <c r="D179" s="81" t="s">
        <v>113</v>
      </c>
      <c r="E179" s="12" t="s">
        <v>606</v>
      </c>
      <c r="F179" s="12" t="s">
        <v>243</v>
      </c>
      <c r="G179" s="12" t="s">
        <v>463</v>
      </c>
      <c r="H179" s="15"/>
      <c r="I179" s="15"/>
    </row>
    <row r="180" spans="1:9" x14ac:dyDescent="0.3">
      <c r="A180" s="81" t="s">
        <v>39</v>
      </c>
      <c r="B180" s="10"/>
      <c r="C180" s="10"/>
      <c r="D180" s="81" t="s">
        <v>39</v>
      </c>
      <c r="E180" s="12" t="s">
        <v>611</v>
      </c>
      <c r="F180" s="12" t="s">
        <v>242</v>
      </c>
      <c r="G180" s="12" t="s">
        <v>463</v>
      </c>
      <c r="H180" s="15"/>
      <c r="I180" s="15"/>
    </row>
    <row r="181" spans="1:9" x14ac:dyDescent="0.3">
      <c r="A181" s="81" t="s">
        <v>40</v>
      </c>
      <c r="B181" s="10"/>
      <c r="C181" s="10"/>
      <c r="D181" s="81" t="s">
        <v>40</v>
      </c>
      <c r="E181" s="12" t="s">
        <v>606</v>
      </c>
      <c r="F181" s="12" t="s">
        <v>243</v>
      </c>
      <c r="G181" s="12" t="s">
        <v>463</v>
      </c>
      <c r="H181" s="15"/>
      <c r="I181" s="15"/>
    </row>
    <row r="182" spans="1:9" x14ac:dyDescent="0.3">
      <c r="A182" s="81" t="s">
        <v>118</v>
      </c>
      <c r="B182" s="10"/>
      <c r="C182" s="10"/>
      <c r="D182" s="81" t="s">
        <v>118</v>
      </c>
      <c r="E182" s="12" t="s">
        <v>612</v>
      </c>
      <c r="F182" s="12" t="s">
        <v>242</v>
      </c>
      <c r="G182" s="12" t="s">
        <v>463</v>
      </c>
      <c r="H182" s="15"/>
      <c r="I182" s="15"/>
    </row>
    <row r="183" spans="1:9" x14ac:dyDescent="0.3">
      <c r="A183" s="81" t="s">
        <v>41</v>
      </c>
      <c r="B183" s="10"/>
      <c r="C183" s="10"/>
      <c r="D183" s="81" t="s">
        <v>41</v>
      </c>
      <c r="E183" s="12" t="s">
        <v>613</v>
      </c>
      <c r="F183" s="12" t="s">
        <v>242</v>
      </c>
      <c r="G183" s="12" t="s">
        <v>463</v>
      </c>
      <c r="H183" s="15"/>
      <c r="I183" s="15"/>
    </row>
    <row r="184" spans="1:9" x14ac:dyDescent="0.3">
      <c r="A184" s="81" t="s">
        <v>71</v>
      </c>
      <c r="B184" s="10"/>
      <c r="C184" s="10"/>
      <c r="D184" s="81" t="s">
        <v>71</v>
      </c>
      <c r="E184" s="12" t="s">
        <v>614</v>
      </c>
      <c r="F184" s="12" t="s">
        <v>242</v>
      </c>
      <c r="G184" s="12" t="s">
        <v>463</v>
      </c>
      <c r="H184" s="15"/>
      <c r="I184" s="15"/>
    </row>
    <row r="185" spans="1:9" x14ac:dyDescent="0.3">
      <c r="A185" s="81" t="s">
        <v>72</v>
      </c>
      <c r="B185" s="10"/>
      <c r="C185" s="10"/>
      <c r="D185" s="81" t="s">
        <v>72</v>
      </c>
      <c r="E185" s="12" t="s">
        <v>606</v>
      </c>
      <c r="F185" s="12" t="s">
        <v>243</v>
      </c>
      <c r="G185" s="12" t="s">
        <v>463</v>
      </c>
      <c r="H185" s="15"/>
      <c r="I185" s="15"/>
    </row>
    <row r="186" spans="1:9" x14ac:dyDescent="0.3">
      <c r="A186" s="81" t="s">
        <v>168</v>
      </c>
      <c r="B186" s="10"/>
      <c r="C186" s="10"/>
      <c r="D186" s="81" t="s">
        <v>168</v>
      </c>
      <c r="E186" s="12" t="s">
        <v>615</v>
      </c>
      <c r="F186" s="12" t="s">
        <v>242</v>
      </c>
      <c r="G186" s="12" t="s">
        <v>463</v>
      </c>
      <c r="H186" s="15"/>
      <c r="I186" s="15"/>
    </row>
    <row r="187" spans="1:9" x14ac:dyDescent="0.3">
      <c r="A187" s="81" t="s">
        <v>38</v>
      </c>
      <c r="B187" s="10"/>
      <c r="C187" s="10"/>
      <c r="D187" s="81" t="s">
        <v>38</v>
      </c>
      <c r="E187" s="12" t="s">
        <v>616</v>
      </c>
      <c r="F187" s="12" t="s">
        <v>242</v>
      </c>
      <c r="G187" s="12" t="s">
        <v>463</v>
      </c>
      <c r="H187" s="15"/>
      <c r="I187" s="15"/>
    </row>
    <row r="188" spans="1:9" x14ac:dyDescent="0.3">
      <c r="A188" s="81" t="s">
        <v>141</v>
      </c>
      <c r="B188" s="10"/>
      <c r="C188" s="10"/>
      <c r="D188" s="81" t="s">
        <v>141</v>
      </c>
      <c r="E188" s="12" t="s">
        <v>617</v>
      </c>
      <c r="F188" s="12" t="s">
        <v>481</v>
      </c>
      <c r="G188" s="12" t="s">
        <v>463</v>
      </c>
      <c r="H188" s="15"/>
      <c r="I188" s="15"/>
    </row>
    <row r="189" spans="1:9" x14ac:dyDescent="0.3">
      <c r="A189" s="81" t="s">
        <v>121</v>
      </c>
      <c r="B189" s="10"/>
      <c r="C189" s="10"/>
      <c r="D189" s="81" t="s">
        <v>121</v>
      </c>
      <c r="E189" s="12" t="s">
        <v>618</v>
      </c>
      <c r="F189" s="12" t="s">
        <v>242</v>
      </c>
      <c r="G189" s="12" t="s">
        <v>463</v>
      </c>
      <c r="H189" s="15"/>
      <c r="I189" s="15"/>
    </row>
    <row r="190" spans="1:9" x14ac:dyDescent="0.3">
      <c r="A190" s="81" t="s">
        <v>55</v>
      </c>
      <c r="B190" s="10"/>
      <c r="C190" s="10"/>
      <c r="D190" s="81" t="s">
        <v>55</v>
      </c>
      <c r="E190" s="12" t="s">
        <v>619</v>
      </c>
      <c r="F190" s="12" t="s">
        <v>526</v>
      </c>
      <c r="G190" s="12" t="s">
        <v>463</v>
      </c>
      <c r="H190" s="15"/>
      <c r="I190" s="15"/>
    </row>
    <row r="191" spans="1:9" x14ac:dyDescent="0.3">
      <c r="A191" s="81" t="s">
        <v>103</v>
      </c>
      <c r="B191" s="10"/>
      <c r="C191" s="10"/>
      <c r="D191" s="81" t="s">
        <v>103</v>
      </c>
      <c r="E191" s="12" t="s">
        <v>620</v>
      </c>
      <c r="F191" s="12" t="s">
        <v>526</v>
      </c>
      <c r="G191" s="12" t="s">
        <v>463</v>
      </c>
      <c r="H191" s="15"/>
      <c r="I191" s="15"/>
    </row>
    <row r="192" spans="1:9" x14ac:dyDescent="0.3">
      <c r="A192" s="81" t="s">
        <v>126</v>
      </c>
      <c r="B192" s="10"/>
      <c r="C192" s="10"/>
      <c r="D192" s="81" t="s">
        <v>126</v>
      </c>
      <c r="E192" s="12" t="s">
        <v>621</v>
      </c>
      <c r="F192" s="12" t="s">
        <v>526</v>
      </c>
      <c r="G192" s="12" t="s">
        <v>463</v>
      </c>
      <c r="H192" s="15"/>
      <c r="I192" s="15"/>
    </row>
    <row r="193" spans="1:9" x14ac:dyDescent="0.3">
      <c r="A193" s="81" t="s">
        <v>67</v>
      </c>
      <c r="B193" s="10"/>
      <c r="C193" s="10"/>
      <c r="D193" s="81" t="s">
        <v>67</v>
      </c>
      <c r="E193" s="12" t="s">
        <v>622</v>
      </c>
      <c r="F193" s="12" t="s">
        <v>526</v>
      </c>
      <c r="G193" s="12" t="s">
        <v>463</v>
      </c>
      <c r="H193" s="15"/>
      <c r="I193" s="15"/>
    </row>
    <row r="194" spans="1:9" x14ac:dyDescent="0.3">
      <c r="A194" s="81" t="s">
        <v>191</v>
      </c>
      <c r="B194" s="10"/>
      <c r="C194" s="10"/>
      <c r="D194" s="81" t="s">
        <v>191</v>
      </c>
      <c r="E194" s="12" t="s">
        <v>623</v>
      </c>
      <c r="F194" s="12" t="s">
        <v>526</v>
      </c>
      <c r="G194" s="12" t="s">
        <v>463</v>
      </c>
      <c r="H194" s="15"/>
      <c r="I194" s="15"/>
    </row>
    <row r="195" spans="1:9" x14ac:dyDescent="0.3">
      <c r="A195" s="93"/>
      <c r="B195" s="93"/>
      <c r="C195" s="91" t="s">
        <v>624</v>
      </c>
      <c r="D195" s="93"/>
      <c r="E195" s="93"/>
      <c r="F195" s="93"/>
      <c r="G195" s="93"/>
      <c r="H195" s="94"/>
      <c r="I195" s="15"/>
    </row>
    <row r="196" spans="1:9" x14ac:dyDescent="0.3">
      <c r="A196" s="81" t="s">
        <v>120</v>
      </c>
      <c r="B196" s="10"/>
      <c r="C196" s="10"/>
      <c r="D196" s="81" t="s">
        <v>120</v>
      </c>
      <c r="E196" s="12" t="s">
        <v>624</v>
      </c>
      <c r="F196" s="12" t="s">
        <v>243</v>
      </c>
      <c r="G196" s="12" t="s">
        <v>463</v>
      </c>
      <c r="H196" s="15"/>
      <c r="I196" s="15"/>
    </row>
    <row r="197" spans="1:9" x14ac:dyDescent="0.3">
      <c r="A197" s="81" t="s">
        <v>42</v>
      </c>
      <c r="B197" s="10"/>
      <c r="C197" s="10"/>
      <c r="D197" s="81" t="s">
        <v>42</v>
      </c>
      <c r="E197" s="12" t="s">
        <v>625</v>
      </c>
      <c r="F197" s="12" t="s">
        <v>243</v>
      </c>
      <c r="G197" s="12" t="s">
        <v>463</v>
      </c>
      <c r="H197" s="15"/>
      <c r="I197" s="15"/>
    </row>
    <row r="198" spans="1:9" x14ac:dyDescent="0.3">
      <c r="A198" s="91"/>
      <c r="B198" s="91"/>
      <c r="C198" s="91" t="s">
        <v>626</v>
      </c>
      <c r="D198" s="91"/>
      <c r="E198" s="91"/>
      <c r="F198" s="91"/>
      <c r="G198" s="91"/>
      <c r="H198" s="92"/>
      <c r="I198" s="15"/>
    </row>
    <row r="199" spans="1:9" x14ac:dyDescent="0.3">
      <c r="A199" s="76" t="s">
        <v>226</v>
      </c>
      <c r="B199" s="77"/>
      <c r="C199" s="77"/>
      <c r="D199" s="76" t="s">
        <v>226</v>
      </c>
      <c r="E199" s="78" t="s">
        <v>627</v>
      </c>
      <c r="F199" s="76" t="s">
        <v>515</v>
      </c>
      <c r="G199" s="76" t="s">
        <v>464</v>
      </c>
      <c r="H199" s="79"/>
      <c r="I199" s="80" t="s">
        <v>14</v>
      </c>
    </row>
    <row r="200" spans="1:9" x14ac:dyDescent="0.3">
      <c r="A200" s="91"/>
      <c r="B200" s="91"/>
      <c r="C200" s="91" t="s">
        <v>628</v>
      </c>
      <c r="D200" s="91"/>
      <c r="E200" s="91" t="s">
        <v>629</v>
      </c>
      <c r="F200" s="91"/>
      <c r="G200" s="91"/>
      <c r="H200" s="92" t="s">
        <v>14</v>
      </c>
      <c r="I200" s="15"/>
    </row>
    <row r="201" spans="1:9" x14ac:dyDescent="0.3">
      <c r="A201" s="81" t="s">
        <v>43</v>
      </c>
      <c r="B201" s="10"/>
      <c r="C201" s="10"/>
      <c r="D201" s="81" t="s">
        <v>43</v>
      </c>
      <c r="E201" s="12" t="s">
        <v>630</v>
      </c>
      <c r="F201" s="12" t="s">
        <v>243</v>
      </c>
      <c r="G201" s="12" t="s">
        <v>463</v>
      </c>
      <c r="H201" s="15"/>
      <c r="I201" s="15"/>
    </row>
    <row r="202" spans="1:9" x14ac:dyDescent="0.3">
      <c r="A202" s="12" t="s">
        <v>249</v>
      </c>
      <c r="B202" s="10"/>
      <c r="C202" s="12" t="s">
        <v>631</v>
      </c>
      <c r="D202" s="12" t="s">
        <v>249</v>
      </c>
      <c r="E202" s="12" t="s">
        <v>632</v>
      </c>
      <c r="F202" s="12" t="s">
        <v>243</v>
      </c>
      <c r="G202" s="12" t="s">
        <v>468</v>
      </c>
      <c r="H202" s="15"/>
      <c r="I202" s="17" t="s">
        <v>14</v>
      </c>
    </row>
    <row r="203" spans="1:9" x14ac:dyDescent="0.3">
      <c r="A203" s="12" t="s">
        <v>250</v>
      </c>
      <c r="B203" s="10"/>
      <c r="C203" s="12"/>
      <c r="D203" s="12" t="s">
        <v>250</v>
      </c>
      <c r="E203" s="12" t="s">
        <v>633</v>
      </c>
      <c r="F203" s="12" t="s">
        <v>240</v>
      </c>
      <c r="G203" s="12" t="s">
        <v>468</v>
      </c>
      <c r="H203" s="15"/>
      <c r="I203" s="17" t="s">
        <v>519</v>
      </c>
    </row>
    <row r="204" spans="1:9" x14ac:dyDescent="0.3">
      <c r="A204" s="95"/>
      <c r="B204" s="95" t="s">
        <v>634</v>
      </c>
      <c r="C204" s="95"/>
      <c r="D204" s="95"/>
      <c r="E204" s="95"/>
      <c r="F204" s="95"/>
      <c r="G204" s="95"/>
      <c r="H204" s="96"/>
      <c r="I204" s="17"/>
    </row>
    <row r="205" spans="1:9" x14ac:dyDescent="0.3">
      <c r="A205" s="95"/>
      <c r="B205" s="95"/>
      <c r="C205" s="95" t="s">
        <v>635</v>
      </c>
      <c r="D205" s="95"/>
      <c r="E205" s="95"/>
      <c r="F205" s="95"/>
      <c r="G205" s="95"/>
      <c r="H205" s="96"/>
      <c r="I205" s="17"/>
    </row>
    <row r="206" spans="1:9" x14ac:dyDescent="0.3">
      <c r="A206" s="81" t="s">
        <v>125</v>
      </c>
      <c r="B206" s="10"/>
      <c r="C206" s="10"/>
      <c r="D206" s="81" t="s">
        <v>125</v>
      </c>
      <c r="E206" s="12" t="s">
        <v>636</v>
      </c>
      <c r="F206" s="12" t="s">
        <v>251</v>
      </c>
      <c r="G206" s="12" t="s">
        <v>463</v>
      </c>
      <c r="H206" s="15"/>
      <c r="I206" s="17"/>
    </row>
    <row r="207" spans="1:9" x14ac:dyDescent="0.3">
      <c r="A207" s="81" t="s">
        <v>190</v>
      </c>
      <c r="B207" s="10"/>
      <c r="C207" s="10"/>
      <c r="D207" s="81" t="s">
        <v>190</v>
      </c>
      <c r="E207" s="12" t="s">
        <v>637</v>
      </c>
      <c r="F207" s="12" t="s">
        <v>251</v>
      </c>
      <c r="G207" s="12" t="s">
        <v>463</v>
      </c>
      <c r="H207" s="15"/>
      <c r="I207" s="17"/>
    </row>
    <row r="208" spans="1:9" x14ac:dyDescent="0.3">
      <c r="A208" s="76" t="s">
        <v>228</v>
      </c>
      <c r="B208" s="76"/>
      <c r="C208" s="76"/>
      <c r="D208" s="76" t="s">
        <v>228</v>
      </c>
      <c r="E208" s="78" t="s">
        <v>638</v>
      </c>
      <c r="F208" s="76" t="s">
        <v>481</v>
      </c>
      <c r="G208" s="76" t="s">
        <v>464</v>
      </c>
      <c r="H208" s="80"/>
      <c r="I208" s="80" t="s">
        <v>230</v>
      </c>
    </row>
    <row r="209" spans="1:9" x14ac:dyDescent="0.3">
      <c r="A209" s="81" t="s">
        <v>187</v>
      </c>
      <c r="B209" s="12"/>
      <c r="C209" s="12"/>
      <c r="D209" s="81" t="s">
        <v>187</v>
      </c>
      <c r="E209" s="12" t="s">
        <v>639</v>
      </c>
      <c r="F209" s="13" t="s">
        <v>526</v>
      </c>
      <c r="G209" s="12" t="s">
        <v>463</v>
      </c>
      <c r="H209" s="17"/>
      <c r="I209" s="17"/>
    </row>
    <row r="210" spans="1:9" x14ac:dyDescent="0.3">
      <c r="A210" s="81" t="s">
        <v>188</v>
      </c>
      <c r="B210" s="12"/>
      <c r="C210" s="12"/>
      <c r="D210" s="81" t="s">
        <v>188</v>
      </c>
      <c r="E210" s="12" t="s">
        <v>640</v>
      </c>
      <c r="F210" s="13" t="s">
        <v>481</v>
      </c>
      <c r="G210" s="12" t="s">
        <v>463</v>
      </c>
      <c r="H210" s="17"/>
      <c r="I210" s="17"/>
    </row>
    <row r="211" spans="1:9" x14ac:dyDescent="0.3">
      <c r="A211" s="81" t="s">
        <v>185</v>
      </c>
      <c r="B211" s="12"/>
      <c r="C211" s="12"/>
      <c r="D211" s="81" t="s">
        <v>185</v>
      </c>
      <c r="E211" s="13" t="s">
        <v>641</v>
      </c>
      <c r="F211" s="13" t="s">
        <v>526</v>
      </c>
      <c r="G211" s="12" t="s">
        <v>463</v>
      </c>
      <c r="H211" s="17"/>
      <c r="I211" s="17"/>
    </row>
    <row r="212" spans="1:9" x14ac:dyDescent="0.3">
      <c r="A212" s="81" t="s">
        <v>186</v>
      </c>
      <c r="B212" s="10"/>
      <c r="C212" s="10"/>
      <c r="D212" s="81" t="s">
        <v>186</v>
      </c>
      <c r="E212" s="13" t="s">
        <v>642</v>
      </c>
      <c r="F212" s="13" t="s">
        <v>481</v>
      </c>
      <c r="G212" s="12" t="s">
        <v>463</v>
      </c>
      <c r="H212" s="15"/>
      <c r="I212" s="17"/>
    </row>
    <row r="213" spans="1:9" x14ac:dyDescent="0.3">
      <c r="A213" s="81" t="s">
        <v>189</v>
      </c>
      <c r="B213" s="12"/>
      <c r="C213" s="12"/>
      <c r="D213" s="81" t="s">
        <v>189</v>
      </c>
      <c r="E213" s="13" t="s">
        <v>643</v>
      </c>
      <c r="F213" s="13" t="s">
        <v>526</v>
      </c>
      <c r="G213" s="12" t="s">
        <v>463</v>
      </c>
      <c r="H213" s="17"/>
      <c r="I213" s="17"/>
    </row>
    <row r="214" spans="1:9" x14ac:dyDescent="0.3">
      <c r="A214" s="81" t="s">
        <v>184</v>
      </c>
      <c r="B214" s="12"/>
      <c r="C214" s="12"/>
      <c r="D214" s="81" t="s">
        <v>184</v>
      </c>
      <c r="E214" s="13" t="s">
        <v>644</v>
      </c>
      <c r="F214" s="13" t="s">
        <v>526</v>
      </c>
      <c r="G214" s="12" t="s">
        <v>463</v>
      </c>
      <c r="H214" s="17"/>
      <c r="I214" s="17"/>
    </row>
    <row r="215" spans="1:9" x14ac:dyDescent="0.3">
      <c r="A215" s="95"/>
      <c r="B215" s="95"/>
      <c r="C215" s="95" t="s">
        <v>645</v>
      </c>
      <c r="D215" s="95"/>
      <c r="E215" s="95"/>
      <c r="F215" s="95"/>
      <c r="G215" s="95"/>
      <c r="H215" s="96" t="s">
        <v>14</v>
      </c>
      <c r="I215" s="17"/>
    </row>
    <row r="216" spans="1:9" x14ac:dyDescent="0.3">
      <c r="A216" s="12" t="s">
        <v>252</v>
      </c>
      <c r="B216" s="10"/>
      <c r="C216" s="12"/>
      <c r="D216" s="12" t="s">
        <v>252</v>
      </c>
      <c r="E216" s="13" t="s">
        <v>253</v>
      </c>
      <c r="F216" s="13" t="s">
        <v>243</v>
      </c>
      <c r="G216" s="12" t="s">
        <v>241</v>
      </c>
      <c r="H216" s="15"/>
      <c r="I216" s="17" t="s">
        <v>230</v>
      </c>
    </row>
    <row r="217" spans="1:9" x14ac:dyDescent="0.3">
      <c r="A217" s="12" t="s">
        <v>254</v>
      </c>
      <c r="B217" s="10"/>
      <c r="C217" s="10"/>
      <c r="D217" s="12" t="s">
        <v>254</v>
      </c>
      <c r="E217" s="12" t="s">
        <v>255</v>
      </c>
      <c r="F217" s="13" t="s">
        <v>242</v>
      </c>
      <c r="G217" s="12" t="s">
        <v>241</v>
      </c>
      <c r="H217" s="15"/>
      <c r="I217" s="17"/>
    </row>
    <row r="218" spans="1:9" x14ac:dyDescent="0.3">
      <c r="A218" s="12" t="s">
        <v>256</v>
      </c>
      <c r="B218" s="10"/>
      <c r="C218" s="10"/>
      <c r="D218" s="12" t="s">
        <v>256</v>
      </c>
      <c r="E218" s="12" t="s">
        <v>257</v>
      </c>
      <c r="F218" s="13" t="s">
        <v>251</v>
      </c>
      <c r="G218" s="12" t="s">
        <v>241</v>
      </c>
      <c r="H218" s="15"/>
      <c r="I218" s="17"/>
    </row>
    <row r="219" spans="1:9" x14ac:dyDescent="0.3">
      <c r="A219" s="12" t="s">
        <v>258</v>
      </c>
      <c r="B219" s="10"/>
      <c r="C219" s="10"/>
      <c r="D219" s="12" t="s">
        <v>258</v>
      </c>
      <c r="E219" s="13" t="s">
        <v>259</v>
      </c>
      <c r="F219" s="13" t="s">
        <v>251</v>
      </c>
      <c r="G219" s="12" t="s">
        <v>241</v>
      </c>
      <c r="H219" s="15"/>
      <c r="I219" s="17"/>
    </row>
    <row r="220" spans="1:9" x14ac:dyDescent="0.3">
      <c r="A220" s="12" t="s">
        <v>260</v>
      </c>
      <c r="B220" s="10"/>
      <c r="C220" s="10"/>
      <c r="D220" s="12" t="s">
        <v>260</v>
      </c>
      <c r="E220" s="12" t="s">
        <v>261</v>
      </c>
      <c r="F220" s="13" t="s">
        <v>242</v>
      </c>
      <c r="G220" s="12" t="s">
        <v>241</v>
      </c>
      <c r="H220" s="15"/>
      <c r="I220" s="17"/>
    </row>
    <row r="221" spans="1:9" x14ac:dyDescent="0.3">
      <c r="A221" s="12" t="s">
        <v>262</v>
      </c>
      <c r="B221" s="10"/>
      <c r="C221" s="10"/>
      <c r="D221" s="12" t="s">
        <v>262</v>
      </c>
      <c r="E221" s="13" t="s">
        <v>263</v>
      </c>
      <c r="F221" s="13" t="s">
        <v>251</v>
      </c>
      <c r="G221" s="12" t="s">
        <v>241</v>
      </c>
      <c r="H221" s="15"/>
      <c r="I221" s="17"/>
    </row>
    <row r="222" spans="1:9" x14ac:dyDescent="0.3">
      <c r="A222" s="95"/>
      <c r="B222" s="95"/>
      <c r="C222" s="95" t="s">
        <v>646</v>
      </c>
      <c r="D222" s="95"/>
      <c r="E222" s="95"/>
      <c r="F222" s="95"/>
      <c r="G222" s="95"/>
      <c r="H222" s="96"/>
      <c r="I222" s="17"/>
    </row>
    <row r="223" spans="1:9" x14ac:dyDescent="0.3">
      <c r="A223" s="81" t="s">
        <v>182</v>
      </c>
      <c r="B223" s="10"/>
      <c r="C223" s="10"/>
      <c r="D223" s="81" t="s">
        <v>182</v>
      </c>
      <c r="E223" s="13" t="s">
        <v>647</v>
      </c>
      <c r="F223" s="13" t="s">
        <v>526</v>
      </c>
      <c r="G223" s="12" t="s">
        <v>463</v>
      </c>
      <c r="H223" s="15"/>
      <c r="I223" s="17"/>
    </row>
    <row r="224" spans="1:9" x14ac:dyDescent="0.3">
      <c r="A224" s="81" t="s">
        <v>181</v>
      </c>
      <c r="B224" s="10"/>
      <c r="C224" s="10"/>
      <c r="D224" s="81" t="s">
        <v>181</v>
      </c>
      <c r="E224" s="12" t="s">
        <v>648</v>
      </c>
      <c r="F224" s="12" t="s">
        <v>243</v>
      </c>
      <c r="G224" s="12" t="s">
        <v>463</v>
      </c>
      <c r="H224" s="15"/>
      <c r="I224" s="17"/>
    </row>
    <row r="225" spans="1:9" x14ac:dyDescent="0.3">
      <c r="A225" s="81" t="s">
        <v>180</v>
      </c>
      <c r="B225" s="10"/>
      <c r="C225" s="10"/>
      <c r="D225" s="81" t="s">
        <v>180</v>
      </c>
      <c r="E225" s="12" t="s">
        <v>649</v>
      </c>
      <c r="F225" s="12" t="s">
        <v>243</v>
      </c>
      <c r="G225" s="12" t="s">
        <v>463</v>
      </c>
      <c r="H225" s="15"/>
      <c r="I225" s="17"/>
    </row>
    <row r="226" spans="1:9" x14ac:dyDescent="0.3">
      <c r="A226" s="81" t="s">
        <v>183</v>
      </c>
      <c r="B226" s="10"/>
      <c r="C226" s="10"/>
      <c r="D226" s="81" t="s">
        <v>183</v>
      </c>
      <c r="E226" s="13" t="s">
        <v>650</v>
      </c>
      <c r="F226" s="13" t="s">
        <v>481</v>
      </c>
      <c r="G226" s="12" t="s">
        <v>463</v>
      </c>
      <c r="H226" s="15"/>
      <c r="I226" s="17"/>
    </row>
    <row r="227" spans="1:9" x14ac:dyDescent="0.3">
      <c r="A227" s="95"/>
      <c r="B227" s="95"/>
      <c r="C227" s="95" t="s">
        <v>651</v>
      </c>
      <c r="D227" s="95"/>
      <c r="E227" s="95"/>
      <c r="F227" s="95"/>
      <c r="G227" s="95"/>
      <c r="H227" s="96"/>
      <c r="I227" s="17"/>
    </row>
    <row r="228" spans="1:9" x14ac:dyDescent="0.3">
      <c r="A228" s="81" t="s">
        <v>123</v>
      </c>
      <c r="B228" s="10"/>
      <c r="C228" s="10"/>
      <c r="D228" s="81" t="s">
        <v>123</v>
      </c>
      <c r="E228" s="12" t="s">
        <v>652</v>
      </c>
      <c r="F228" s="12" t="s">
        <v>251</v>
      </c>
      <c r="G228" s="12" t="s">
        <v>463</v>
      </c>
      <c r="H228" s="15"/>
      <c r="I228" s="17"/>
    </row>
    <row r="229" spans="1:9" x14ac:dyDescent="0.3">
      <c r="A229" s="81" t="s">
        <v>124</v>
      </c>
      <c r="B229" s="10"/>
      <c r="C229" s="10"/>
      <c r="D229" s="81" t="s">
        <v>124</v>
      </c>
      <c r="E229" s="12" t="s">
        <v>653</v>
      </c>
      <c r="F229" s="12" t="s">
        <v>481</v>
      </c>
      <c r="G229" s="12" t="s">
        <v>463</v>
      </c>
      <c r="H229" s="15"/>
      <c r="I229" s="17"/>
    </row>
    <row r="230" spans="1:9" x14ac:dyDescent="0.3">
      <c r="A230" s="95"/>
      <c r="B230" s="95"/>
      <c r="C230" s="95" t="s">
        <v>654</v>
      </c>
      <c r="D230" s="95"/>
      <c r="E230" s="95"/>
      <c r="F230" s="95"/>
      <c r="G230" s="95"/>
      <c r="H230" s="96"/>
      <c r="I230" s="17"/>
    </row>
    <row r="231" spans="1:9" x14ac:dyDescent="0.3">
      <c r="A231" s="81" t="s">
        <v>104</v>
      </c>
      <c r="B231" s="10"/>
      <c r="C231" s="10"/>
      <c r="D231" s="81" t="s">
        <v>104</v>
      </c>
      <c r="E231" s="12" t="s">
        <v>655</v>
      </c>
      <c r="F231" s="12" t="s">
        <v>251</v>
      </c>
      <c r="G231" s="12" t="s">
        <v>463</v>
      </c>
      <c r="H231" s="15"/>
      <c r="I231" s="17"/>
    </row>
    <row r="232" spans="1:9" x14ac:dyDescent="0.3">
      <c r="A232" s="97"/>
      <c r="B232" s="97" t="s">
        <v>475</v>
      </c>
      <c r="C232" s="97"/>
      <c r="D232" s="97"/>
      <c r="E232" s="97"/>
      <c r="F232" s="97"/>
      <c r="G232" s="97"/>
      <c r="H232" s="98"/>
      <c r="I232" s="15"/>
    </row>
    <row r="233" spans="1:9" x14ac:dyDescent="0.3">
      <c r="A233" s="97"/>
      <c r="B233" s="97"/>
      <c r="C233" s="97" t="s">
        <v>550</v>
      </c>
      <c r="D233" s="97"/>
      <c r="E233" s="97"/>
      <c r="F233" s="97"/>
      <c r="G233" s="97"/>
      <c r="H233" s="98"/>
      <c r="I233" s="15"/>
    </row>
    <row r="234" spans="1:9" x14ac:dyDescent="0.3">
      <c r="A234" s="76" t="s">
        <v>227</v>
      </c>
      <c r="B234" s="77"/>
      <c r="C234" s="77"/>
      <c r="D234" s="76" t="s">
        <v>227</v>
      </c>
      <c r="E234" s="78" t="s">
        <v>656</v>
      </c>
      <c r="F234" s="76" t="s">
        <v>481</v>
      </c>
      <c r="G234" s="76" t="s">
        <v>464</v>
      </c>
      <c r="H234" s="79"/>
      <c r="I234" s="80" t="s">
        <v>14</v>
      </c>
    </row>
    <row r="235" spans="1:9" x14ac:dyDescent="0.3">
      <c r="A235" s="97"/>
      <c r="B235" s="97"/>
      <c r="C235" s="97" t="s">
        <v>657</v>
      </c>
      <c r="D235" s="97"/>
      <c r="E235" s="97"/>
      <c r="F235" s="97"/>
      <c r="G235" s="97"/>
      <c r="H235" s="98"/>
      <c r="I235" s="15"/>
    </row>
    <row r="236" spans="1:9" x14ac:dyDescent="0.3">
      <c r="A236" s="81" t="s">
        <v>122</v>
      </c>
      <c r="B236" s="10"/>
      <c r="C236" s="12" t="s">
        <v>658</v>
      </c>
      <c r="D236" s="81" t="s">
        <v>122</v>
      </c>
      <c r="E236" s="12" t="s">
        <v>659</v>
      </c>
      <c r="F236" s="12" t="s">
        <v>251</v>
      </c>
      <c r="G236" s="12" t="s">
        <v>463</v>
      </c>
      <c r="H236" s="15"/>
      <c r="I236" s="17" t="s">
        <v>14</v>
      </c>
    </row>
    <row r="237" spans="1:9" x14ac:dyDescent="0.3">
      <c r="A237" s="81" t="s">
        <v>179</v>
      </c>
      <c r="B237" s="10"/>
      <c r="C237" s="10"/>
      <c r="D237" s="81" t="s">
        <v>179</v>
      </c>
      <c r="E237" s="12" t="s">
        <v>660</v>
      </c>
      <c r="F237" s="12" t="s">
        <v>251</v>
      </c>
      <c r="G237" s="12" t="s">
        <v>463</v>
      </c>
      <c r="H237" s="15"/>
      <c r="I237" s="17" t="s">
        <v>14</v>
      </c>
    </row>
    <row r="238" spans="1:9" x14ac:dyDescent="0.3">
      <c r="A238" s="12" t="s">
        <v>264</v>
      </c>
      <c r="B238" s="10"/>
      <c r="C238" s="10"/>
      <c r="D238" s="12" t="s">
        <v>264</v>
      </c>
      <c r="E238" s="12" t="s">
        <v>661</v>
      </c>
      <c r="F238" s="12" t="s">
        <v>243</v>
      </c>
      <c r="G238" s="12" t="s">
        <v>475</v>
      </c>
      <c r="H238" s="99" t="s">
        <v>14</v>
      </c>
      <c r="I238" s="17" t="s">
        <v>14</v>
      </c>
    </row>
    <row r="239" spans="1:9" x14ac:dyDescent="0.3">
      <c r="A239" s="12" t="s">
        <v>265</v>
      </c>
      <c r="B239" s="12" t="s">
        <v>662</v>
      </c>
      <c r="C239" s="10"/>
      <c r="D239" s="12" t="s">
        <v>265</v>
      </c>
      <c r="E239" s="12" t="s">
        <v>663</v>
      </c>
      <c r="F239" s="12" t="s">
        <v>242</v>
      </c>
      <c r="G239" s="12" t="s">
        <v>475</v>
      </c>
      <c r="H239" s="15"/>
      <c r="I239" s="17" t="s">
        <v>519</v>
      </c>
    </row>
    <row r="240" spans="1:9" x14ac:dyDescent="0.3">
      <c r="A240" s="12" t="s">
        <v>266</v>
      </c>
      <c r="B240" s="10"/>
      <c r="C240" s="10"/>
      <c r="D240" s="12" t="s">
        <v>266</v>
      </c>
      <c r="E240" s="12" t="s">
        <v>664</v>
      </c>
      <c r="F240" s="12" t="s">
        <v>243</v>
      </c>
      <c r="G240" s="12" t="s">
        <v>475</v>
      </c>
      <c r="H240" s="15"/>
      <c r="I240" s="17" t="s">
        <v>14</v>
      </c>
    </row>
    <row r="241" spans="1:9" x14ac:dyDescent="0.3">
      <c r="A241" s="12" t="s">
        <v>267</v>
      </c>
      <c r="B241" s="10"/>
      <c r="C241" s="10"/>
      <c r="D241" s="12" t="s">
        <v>267</v>
      </c>
      <c r="E241" s="12" t="s">
        <v>665</v>
      </c>
      <c r="F241" s="12" t="s">
        <v>243</v>
      </c>
      <c r="G241" s="12" t="s">
        <v>475</v>
      </c>
      <c r="H241" s="15"/>
      <c r="I241" s="15"/>
    </row>
    <row r="242" spans="1:9" x14ac:dyDescent="0.3">
      <c r="A242" s="12" t="s">
        <v>268</v>
      </c>
      <c r="B242" s="10"/>
      <c r="C242" s="10"/>
      <c r="D242" s="12" t="s">
        <v>268</v>
      </c>
      <c r="E242" s="12" t="s">
        <v>666</v>
      </c>
      <c r="F242" s="12" t="s">
        <v>243</v>
      </c>
      <c r="G242" s="12" t="s">
        <v>475</v>
      </c>
      <c r="H242" s="15"/>
      <c r="I242" s="15"/>
    </row>
    <row r="243" spans="1:9" x14ac:dyDescent="0.3">
      <c r="A243" s="12" t="s">
        <v>269</v>
      </c>
      <c r="B243" s="10"/>
      <c r="C243" s="12" t="s">
        <v>667</v>
      </c>
      <c r="D243" s="12" t="s">
        <v>269</v>
      </c>
      <c r="E243" s="12" t="s">
        <v>668</v>
      </c>
      <c r="F243" s="12" t="s">
        <v>515</v>
      </c>
      <c r="G243" s="12" t="s">
        <v>475</v>
      </c>
      <c r="H243" s="81" t="s">
        <v>669</v>
      </c>
      <c r="I243" s="15"/>
    </row>
    <row r="244" spans="1:9" x14ac:dyDescent="0.3">
      <c r="A244" s="12" t="s">
        <v>270</v>
      </c>
      <c r="B244" s="10"/>
      <c r="C244" s="10"/>
      <c r="D244" s="12" t="s">
        <v>270</v>
      </c>
      <c r="E244" s="12" t="s">
        <v>670</v>
      </c>
      <c r="F244" s="12" t="s">
        <v>515</v>
      </c>
      <c r="G244" s="12" t="s">
        <v>475</v>
      </c>
      <c r="H244" s="15"/>
      <c r="I244" s="15"/>
    </row>
    <row r="245" spans="1:9" x14ac:dyDescent="0.3">
      <c r="A245" s="12" t="s">
        <v>271</v>
      </c>
      <c r="B245" s="100"/>
      <c r="C245" s="100"/>
      <c r="D245" s="12" t="s">
        <v>271</v>
      </c>
      <c r="E245" s="12" t="s">
        <v>671</v>
      </c>
      <c r="F245" s="12" t="s">
        <v>243</v>
      </c>
      <c r="G245" s="10" t="s">
        <v>475</v>
      </c>
      <c r="H245" s="101"/>
      <c r="I245" s="101"/>
    </row>
    <row r="246" spans="1:9" x14ac:dyDescent="0.3">
      <c r="A246" s="12" t="s">
        <v>272</v>
      </c>
      <c r="B246" s="10"/>
      <c r="C246" s="12" t="s">
        <v>667</v>
      </c>
      <c r="D246" s="12" t="s">
        <v>272</v>
      </c>
      <c r="E246" s="12" t="s">
        <v>672</v>
      </c>
      <c r="F246" s="12" t="s">
        <v>243</v>
      </c>
      <c r="G246" s="12" t="s">
        <v>475</v>
      </c>
      <c r="H246" s="81" t="s">
        <v>669</v>
      </c>
      <c r="I246" s="17" t="s">
        <v>519</v>
      </c>
    </row>
    <row r="247" spans="1:9" x14ac:dyDescent="0.3">
      <c r="A247" s="12" t="s">
        <v>273</v>
      </c>
      <c r="B247" s="10"/>
      <c r="C247" s="10"/>
      <c r="D247" s="12" t="s">
        <v>273</v>
      </c>
      <c r="E247" s="12" t="s">
        <v>673</v>
      </c>
      <c r="F247" s="12" t="s">
        <v>243</v>
      </c>
      <c r="G247" s="12" t="s">
        <v>475</v>
      </c>
      <c r="H247" s="15"/>
      <c r="I247" s="17" t="s">
        <v>519</v>
      </c>
    </row>
    <row r="248" spans="1:9" x14ac:dyDescent="0.3">
      <c r="A248" s="12" t="s">
        <v>274</v>
      </c>
      <c r="B248" s="10"/>
      <c r="C248" s="10"/>
      <c r="D248" s="12" t="s">
        <v>274</v>
      </c>
      <c r="E248" s="12" t="s">
        <v>674</v>
      </c>
      <c r="F248" s="12" t="s">
        <v>242</v>
      </c>
      <c r="G248" s="12" t="s">
        <v>475</v>
      </c>
      <c r="H248" s="15"/>
      <c r="I248" s="17" t="s">
        <v>519</v>
      </c>
    </row>
    <row r="249" spans="1:9" x14ac:dyDescent="0.3">
      <c r="A249" s="12" t="s">
        <v>275</v>
      </c>
      <c r="B249" s="10"/>
      <c r="C249" s="10"/>
      <c r="D249" s="12" t="s">
        <v>275</v>
      </c>
      <c r="E249" s="12" t="s">
        <v>675</v>
      </c>
      <c r="F249" s="12" t="s">
        <v>243</v>
      </c>
      <c r="G249" s="12" t="s">
        <v>475</v>
      </c>
      <c r="H249" s="15"/>
      <c r="I249" s="17" t="s">
        <v>519</v>
      </c>
    </row>
    <row r="250" spans="1:9" x14ac:dyDescent="0.3">
      <c r="A250" s="10"/>
      <c r="B250" s="102" t="s">
        <v>676</v>
      </c>
      <c r="C250" s="102"/>
      <c r="D250" s="10"/>
      <c r="E250" s="10"/>
      <c r="F250" s="10"/>
      <c r="G250" s="102"/>
      <c r="H250" s="103"/>
      <c r="I250" s="15"/>
    </row>
    <row r="251" spans="1:9" x14ac:dyDescent="0.3">
      <c r="A251" s="102"/>
      <c r="B251" s="102"/>
      <c r="C251" s="102" t="s">
        <v>550</v>
      </c>
      <c r="D251" s="102"/>
      <c r="E251" s="102"/>
      <c r="F251" s="102"/>
      <c r="G251" s="102"/>
      <c r="H251" s="103"/>
      <c r="I251" s="15"/>
    </row>
    <row r="252" spans="1:9" x14ac:dyDescent="0.3">
      <c r="A252" s="76" t="s">
        <v>204</v>
      </c>
      <c r="B252" s="77"/>
      <c r="C252" s="76"/>
      <c r="D252" s="76" t="s">
        <v>204</v>
      </c>
      <c r="E252" s="78" t="s">
        <v>677</v>
      </c>
      <c r="F252" s="76" t="s">
        <v>481</v>
      </c>
      <c r="G252" s="76" t="s">
        <v>464</v>
      </c>
      <c r="H252" s="79"/>
      <c r="I252" s="80" t="s">
        <v>230</v>
      </c>
    </row>
    <row r="253" spans="1:9" x14ac:dyDescent="0.3">
      <c r="A253" s="102"/>
      <c r="B253" s="102"/>
      <c r="C253" s="102" t="s">
        <v>678</v>
      </c>
      <c r="D253" s="102"/>
      <c r="E253" s="102"/>
      <c r="F253" s="102"/>
      <c r="G253" s="102"/>
      <c r="H253" s="103"/>
      <c r="I253" s="15"/>
    </row>
    <row r="254" spans="1:9" x14ac:dyDescent="0.3">
      <c r="A254" s="81" t="s">
        <v>96</v>
      </c>
      <c r="B254" s="10"/>
      <c r="C254" s="12"/>
      <c r="D254" s="81" t="s">
        <v>96</v>
      </c>
      <c r="E254" s="12" t="s">
        <v>679</v>
      </c>
      <c r="F254" s="12" t="s">
        <v>243</v>
      </c>
      <c r="G254" s="12" t="s">
        <v>463</v>
      </c>
      <c r="H254" s="15"/>
      <c r="I254" s="15"/>
    </row>
    <row r="255" spans="1:9" x14ac:dyDescent="0.3">
      <c r="A255" s="81" t="s">
        <v>95</v>
      </c>
      <c r="B255" s="10"/>
      <c r="C255" s="10"/>
      <c r="D255" s="81" t="s">
        <v>95</v>
      </c>
      <c r="E255" s="12" t="s">
        <v>680</v>
      </c>
      <c r="F255" s="12" t="s">
        <v>242</v>
      </c>
      <c r="G255" s="12" t="s">
        <v>463</v>
      </c>
      <c r="H255" s="15"/>
      <c r="I255" s="15"/>
    </row>
    <row r="256" spans="1:9" x14ac:dyDescent="0.3">
      <c r="A256" s="81" t="s">
        <v>94</v>
      </c>
      <c r="B256" s="10"/>
      <c r="C256" s="12"/>
      <c r="D256" s="81" t="s">
        <v>94</v>
      </c>
      <c r="E256" s="12" t="s">
        <v>681</v>
      </c>
      <c r="F256" s="12" t="s">
        <v>243</v>
      </c>
      <c r="G256" s="12" t="s">
        <v>463</v>
      </c>
      <c r="H256" s="15"/>
      <c r="I256" s="15"/>
    </row>
    <row r="257" spans="1:9" x14ac:dyDescent="0.3">
      <c r="A257" s="81" t="s">
        <v>93</v>
      </c>
      <c r="B257" s="10"/>
      <c r="C257" s="10"/>
      <c r="D257" s="81" t="s">
        <v>93</v>
      </c>
      <c r="E257" s="12" t="s">
        <v>680</v>
      </c>
      <c r="F257" s="12" t="s">
        <v>242</v>
      </c>
      <c r="G257" s="12" t="s">
        <v>463</v>
      </c>
      <c r="H257" s="15"/>
      <c r="I257" s="15"/>
    </row>
    <row r="258" spans="1:9" x14ac:dyDescent="0.3">
      <c r="A258" s="81" t="s">
        <v>92</v>
      </c>
      <c r="B258" s="10"/>
      <c r="C258" s="12"/>
      <c r="D258" s="81" t="s">
        <v>92</v>
      </c>
      <c r="E258" s="12" t="s">
        <v>682</v>
      </c>
      <c r="F258" s="12" t="s">
        <v>243</v>
      </c>
      <c r="G258" s="12" t="s">
        <v>463</v>
      </c>
      <c r="H258" s="15"/>
      <c r="I258" s="15"/>
    </row>
    <row r="259" spans="1:9" x14ac:dyDescent="0.3">
      <c r="A259" s="81" t="s">
        <v>91</v>
      </c>
      <c r="B259" s="10"/>
      <c r="C259" s="10"/>
      <c r="D259" s="81" t="s">
        <v>91</v>
      </c>
      <c r="E259" s="12" t="s">
        <v>680</v>
      </c>
      <c r="F259" s="12" t="s">
        <v>242</v>
      </c>
      <c r="G259" s="12" t="s">
        <v>463</v>
      </c>
      <c r="H259" s="15"/>
      <c r="I259" s="15"/>
    </row>
    <row r="260" spans="1:9" x14ac:dyDescent="0.3">
      <c r="A260" s="81" t="s">
        <v>86</v>
      </c>
      <c r="B260" s="10"/>
      <c r="C260" s="12"/>
      <c r="D260" s="81" t="s">
        <v>86</v>
      </c>
      <c r="E260" s="12" t="s">
        <v>683</v>
      </c>
      <c r="F260" s="12" t="s">
        <v>243</v>
      </c>
      <c r="G260" s="12" t="s">
        <v>463</v>
      </c>
      <c r="H260" s="15"/>
      <c r="I260" s="15"/>
    </row>
    <row r="261" spans="1:9" x14ac:dyDescent="0.3">
      <c r="A261" s="81" t="s">
        <v>85</v>
      </c>
      <c r="B261" s="10"/>
      <c r="C261" s="10"/>
      <c r="D261" s="81" t="s">
        <v>85</v>
      </c>
      <c r="E261" s="12" t="s">
        <v>680</v>
      </c>
      <c r="F261" s="12" t="s">
        <v>242</v>
      </c>
      <c r="G261" s="12" t="s">
        <v>463</v>
      </c>
      <c r="H261" s="15"/>
      <c r="I261" s="15"/>
    </row>
    <row r="262" spans="1:9" x14ac:dyDescent="0.3">
      <c r="A262" s="81" t="s">
        <v>90</v>
      </c>
      <c r="B262" s="10"/>
      <c r="C262" s="12"/>
      <c r="D262" s="81" t="s">
        <v>90</v>
      </c>
      <c r="E262" s="12" t="s">
        <v>684</v>
      </c>
      <c r="F262" s="12" t="s">
        <v>242</v>
      </c>
      <c r="G262" s="12" t="s">
        <v>463</v>
      </c>
      <c r="H262" s="15"/>
      <c r="I262" s="15"/>
    </row>
    <row r="263" spans="1:9" x14ac:dyDescent="0.3">
      <c r="A263" s="81" t="s">
        <v>89</v>
      </c>
      <c r="B263" s="10"/>
      <c r="C263" s="10"/>
      <c r="D263" s="81" t="s">
        <v>89</v>
      </c>
      <c r="E263" s="12" t="s">
        <v>680</v>
      </c>
      <c r="F263" s="12" t="s">
        <v>242</v>
      </c>
      <c r="G263" s="12" t="s">
        <v>463</v>
      </c>
      <c r="H263" s="15"/>
      <c r="I263" s="15"/>
    </row>
    <row r="264" spans="1:9" x14ac:dyDescent="0.3">
      <c r="A264" s="81" t="s">
        <v>84</v>
      </c>
      <c r="B264" s="10"/>
      <c r="C264" s="12"/>
      <c r="D264" s="81" t="s">
        <v>84</v>
      </c>
      <c r="E264" s="12" t="s">
        <v>685</v>
      </c>
      <c r="F264" s="12" t="s">
        <v>243</v>
      </c>
      <c r="G264" s="12" t="s">
        <v>463</v>
      </c>
      <c r="H264" s="15"/>
      <c r="I264" s="15"/>
    </row>
    <row r="265" spans="1:9" x14ac:dyDescent="0.3">
      <c r="A265" s="81" t="s">
        <v>83</v>
      </c>
      <c r="B265" s="10"/>
      <c r="C265" s="10"/>
      <c r="D265" s="81" t="s">
        <v>83</v>
      </c>
      <c r="E265" s="12" t="s">
        <v>680</v>
      </c>
      <c r="F265" s="12" t="s">
        <v>242</v>
      </c>
      <c r="G265" s="12" t="s">
        <v>463</v>
      </c>
      <c r="H265" s="15"/>
      <c r="I265" s="15"/>
    </row>
    <row r="266" spans="1:9" x14ac:dyDescent="0.3">
      <c r="A266" s="81" t="s">
        <v>88</v>
      </c>
      <c r="B266" s="10"/>
      <c r="C266" s="12"/>
      <c r="D266" s="81" t="s">
        <v>88</v>
      </c>
      <c r="E266" s="12" t="s">
        <v>686</v>
      </c>
      <c r="F266" s="12" t="s">
        <v>243</v>
      </c>
      <c r="G266" s="12" t="s">
        <v>463</v>
      </c>
      <c r="H266" s="15"/>
      <c r="I266" s="15"/>
    </row>
    <row r="267" spans="1:9" x14ac:dyDescent="0.3">
      <c r="A267" s="81" t="s">
        <v>87</v>
      </c>
      <c r="B267" s="10"/>
      <c r="C267" s="10"/>
      <c r="D267" s="81" t="s">
        <v>87</v>
      </c>
      <c r="E267" s="12" t="s">
        <v>680</v>
      </c>
      <c r="F267" s="12" t="s">
        <v>242</v>
      </c>
      <c r="G267" s="12" t="s">
        <v>463</v>
      </c>
      <c r="H267" s="15"/>
      <c r="I267" s="15"/>
    </row>
    <row r="268" spans="1:9" x14ac:dyDescent="0.3">
      <c r="A268" s="81" t="s">
        <v>100</v>
      </c>
      <c r="B268" s="10"/>
      <c r="C268" s="12"/>
      <c r="D268" s="81" t="s">
        <v>100</v>
      </c>
      <c r="E268" s="12" t="s">
        <v>687</v>
      </c>
      <c r="F268" s="12" t="s">
        <v>243</v>
      </c>
      <c r="G268" s="12" t="s">
        <v>463</v>
      </c>
      <c r="H268" s="15"/>
      <c r="I268" s="15"/>
    </row>
    <row r="269" spans="1:9" x14ac:dyDescent="0.3">
      <c r="A269" s="81" t="s">
        <v>99</v>
      </c>
      <c r="B269" s="10"/>
      <c r="C269" s="10"/>
      <c r="D269" s="81" t="s">
        <v>99</v>
      </c>
      <c r="E269" s="12" t="s">
        <v>680</v>
      </c>
      <c r="F269" s="12" t="s">
        <v>242</v>
      </c>
      <c r="G269" s="12" t="s">
        <v>463</v>
      </c>
      <c r="H269" s="15"/>
      <c r="I269" s="15"/>
    </row>
    <row r="270" spans="1:9" x14ac:dyDescent="0.3">
      <c r="A270" s="81" t="s">
        <v>102</v>
      </c>
      <c r="B270" s="10"/>
      <c r="C270" s="12"/>
      <c r="D270" s="81" t="s">
        <v>102</v>
      </c>
      <c r="E270" s="12" t="s">
        <v>688</v>
      </c>
      <c r="F270" s="12" t="s">
        <v>243</v>
      </c>
      <c r="G270" s="12" t="s">
        <v>463</v>
      </c>
      <c r="H270" s="15"/>
      <c r="I270" s="15"/>
    </row>
    <row r="271" spans="1:9" x14ac:dyDescent="0.3">
      <c r="A271" s="81" t="s">
        <v>101</v>
      </c>
      <c r="B271" s="10"/>
      <c r="C271" s="10"/>
      <c r="D271" s="81" t="s">
        <v>101</v>
      </c>
      <c r="E271" s="12" t="s">
        <v>680</v>
      </c>
      <c r="F271" s="12" t="s">
        <v>242</v>
      </c>
      <c r="G271" s="12" t="s">
        <v>463</v>
      </c>
      <c r="H271" s="15"/>
      <c r="I271" s="15"/>
    </row>
    <row r="272" spans="1:9" x14ac:dyDescent="0.3">
      <c r="A272" s="81" t="s">
        <v>98</v>
      </c>
      <c r="B272" s="10"/>
      <c r="C272" s="12"/>
      <c r="D272" s="81" t="s">
        <v>98</v>
      </c>
      <c r="E272" s="12" t="s">
        <v>689</v>
      </c>
      <c r="F272" s="12" t="s">
        <v>243</v>
      </c>
      <c r="G272" s="12" t="s">
        <v>463</v>
      </c>
      <c r="H272" s="15"/>
      <c r="I272" s="15"/>
    </row>
    <row r="273" spans="1:9" x14ac:dyDescent="0.3">
      <c r="A273" s="81" t="s">
        <v>97</v>
      </c>
      <c r="B273" s="10"/>
      <c r="C273" s="10"/>
      <c r="D273" s="81" t="s">
        <v>97</v>
      </c>
      <c r="E273" s="12" t="s">
        <v>680</v>
      </c>
      <c r="F273" s="12" t="s">
        <v>242</v>
      </c>
      <c r="G273" s="12" t="s">
        <v>463</v>
      </c>
      <c r="H273" s="15"/>
      <c r="I273" s="15"/>
    </row>
    <row r="274" spans="1:9" x14ac:dyDescent="0.3">
      <c r="A274" s="81" t="s">
        <v>82</v>
      </c>
      <c r="B274" s="10"/>
      <c r="C274" s="12"/>
      <c r="D274" s="81" t="s">
        <v>82</v>
      </c>
      <c r="E274" s="12" t="s">
        <v>690</v>
      </c>
      <c r="F274" s="12" t="s">
        <v>243</v>
      </c>
      <c r="G274" s="12" t="s">
        <v>463</v>
      </c>
      <c r="H274" s="15"/>
      <c r="I274" s="15"/>
    </row>
    <row r="275" spans="1:9" x14ac:dyDescent="0.3">
      <c r="A275" s="81" t="s">
        <v>81</v>
      </c>
      <c r="B275" s="10"/>
      <c r="C275" s="10"/>
      <c r="D275" s="81" t="s">
        <v>81</v>
      </c>
      <c r="E275" s="12" t="s">
        <v>680</v>
      </c>
      <c r="F275" s="12" t="s">
        <v>242</v>
      </c>
      <c r="G275" s="12" t="s">
        <v>463</v>
      </c>
      <c r="H275" s="15"/>
      <c r="I275" s="15"/>
    </row>
    <row r="276" spans="1:9" x14ac:dyDescent="0.3">
      <c r="A276" s="81" t="s">
        <v>80</v>
      </c>
      <c r="B276" s="10"/>
      <c r="C276" s="12"/>
      <c r="D276" s="81" t="s">
        <v>80</v>
      </c>
      <c r="E276" s="12" t="s">
        <v>691</v>
      </c>
      <c r="F276" s="12" t="s">
        <v>243</v>
      </c>
      <c r="G276" s="12" t="s">
        <v>463</v>
      </c>
      <c r="H276" s="15"/>
      <c r="I276" s="15"/>
    </row>
    <row r="277" spans="1:9" x14ac:dyDescent="0.3">
      <c r="A277" s="81" t="s">
        <v>79</v>
      </c>
      <c r="B277" s="10"/>
      <c r="C277" s="10"/>
      <c r="D277" s="81" t="s">
        <v>79</v>
      </c>
      <c r="E277" s="12" t="s">
        <v>680</v>
      </c>
      <c r="F277" s="12" t="s">
        <v>242</v>
      </c>
      <c r="G277" s="12" t="s">
        <v>463</v>
      </c>
      <c r="H277" s="15"/>
      <c r="I277" s="15"/>
    </row>
    <row r="278" spans="1:9" x14ac:dyDescent="0.3">
      <c r="A278" s="81" t="s">
        <v>78</v>
      </c>
      <c r="B278" s="10"/>
      <c r="C278" s="12"/>
      <c r="D278" s="81" t="s">
        <v>78</v>
      </c>
      <c r="E278" s="12" t="s">
        <v>692</v>
      </c>
      <c r="F278" s="12" t="s">
        <v>243</v>
      </c>
      <c r="G278" s="12" t="s">
        <v>463</v>
      </c>
      <c r="H278" s="15"/>
      <c r="I278" s="15"/>
    </row>
    <row r="279" spans="1:9" x14ac:dyDescent="0.3">
      <c r="A279" s="81" t="s">
        <v>77</v>
      </c>
      <c r="B279" s="10"/>
      <c r="C279" s="10"/>
      <c r="D279" s="81" t="s">
        <v>77</v>
      </c>
      <c r="E279" s="12" t="s">
        <v>680</v>
      </c>
      <c r="F279" s="12" t="s">
        <v>242</v>
      </c>
      <c r="G279" s="12" t="s">
        <v>463</v>
      </c>
      <c r="H279" s="15"/>
      <c r="I279" s="15"/>
    </row>
    <row r="280" spans="1:9" x14ac:dyDescent="0.3">
      <c r="A280" s="102"/>
      <c r="B280" s="102"/>
      <c r="C280" s="102" t="s">
        <v>693</v>
      </c>
      <c r="D280" s="102"/>
      <c r="E280" s="102"/>
      <c r="F280" s="102"/>
      <c r="G280" s="102"/>
      <c r="H280" s="103" t="s">
        <v>14</v>
      </c>
      <c r="I280" s="15"/>
    </row>
    <row r="281" spans="1:9" x14ac:dyDescent="0.3">
      <c r="A281" s="12" t="s">
        <v>276</v>
      </c>
      <c r="B281" s="10"/>
      <c r="C281" s="12"/>
      <c r="D281" s="12" t="s">
        <v>276</v>
      </c>
      <c r="E281" s="12" t="s">
        <v>694</v>
      </c>
      <c r="F281" s="12" t="s">
        <v>243</v>
      </c>
      <c r="G281" s="12" t="s">
        <v>466</v>
      </c>
      <c r="H281" s="15"/>
      <c r="I281" s="17" t="s">
        <v>230</v>
      </c>
    </row>
    <row r="282" spans="1:9" x14ac:dyDescent="0.3">
      <c r="A282" s="12" t="s">
        <v>277</v>
      </c>
      <c r="B282" s="10"/>
      <c r="C282" s="10"/>
      <c r="D282" s="12" t="s">
        <v>277</v>
      </c>
      <c r="E282" s="12" t="s">
        <v>695</v>
      </c>
      <c r="F282" s="12" t="s">
        <v>242</v>
      </c>
      <c r="G282" s="12" t="s">
        <v>466</v>
      </c>
      <c r="H282" s="15"/>
      <c r="I282" s="17" t="s">
        <v>519</v>
      </c>
    </row>
    <row r="283" spans="1:9" x14ac:dyDescent="0.3">
      <c r="A283" s="12" t="s">
        <v>278</v>
      </c>
      <c r="B283" s="10"/>
      <c r="C283" s="10"/>
      <c r="D283" s="12" t="s">
        <v>278</v>
      </c>
      <c r="E283" s="12" t="s">
        <v>680</v>
      </c>
      <c r="F283" s="12" t="s">
        <v>242</v>
      </c>
      <c r="G283" s="12" t="s">
        <v>466</v>
      </c>
      <c r="H283" s="15"/>
      <c r="I283" s="15"/>
    </row>
    <row r="284" spans="1:9" x14ac:dyDescent="0.3">
      <c r="A284" s="102"/>
      <c r="B284" s="102"/>
      <c r="C284" s="102" t="s">
        <v>696</v>
      </c>
      <c r="D284" s="102"/>
      <c r="E284" s="102"/>
      <c r="F284" s="102"/>
      <c r="G284" s="102"/>
      <c r="H284" s="103" t="s">
        <v>14</v>
      </c>
      <c r="I284" s="15"/>
    </row>
    <row r="285" spans="1:9" x14ac:dyDescent="0.3">
      <c r="A285" s="12" t="s">
        <v>279</v>
      </c>
      <c r="B285" s="10"/>
      <c r="C285" s="12"/>
      <c r="D285" s="12" t="s">
        <v>279</v>
      </c>
      <c r="E285" s="12" t="s">
        <v>697</v>
      </c>
      <c r="F285" s="12" t="s">
        <v>243</v>
      </c>
      <c r="G285" s="12" t="s">
        <v>467</v>
      </c>
      <c r="H285" s="15"/>
      <c r="I285" s="17" t="s">
        <v>14</v>
      </c>
    </row>
    <row r="286" spans="1:9" x14ac:dyDescent="0.3">
      <c r="A286" s="12" t="s">
        <v>280</v>
      </c>
      <c r="B286" s="10"/>
      <c r="C286" s="10"/>
      <c r="D286" s="12" t="s">
        <v>280</v>
      </c>
      <c r="E286" s="12" t="s">
        <v>698</v>
      </c>
      <c r="F286" s="12" t="s">
        <v>242</v>
      </c>
      <c r="G286" s="12" t="s">
        <v>467</v>
      </c>
      <c r="H286" s="15"/>
      <c r="I286" s="17" t="s">
        <v>519</v>
      </c>
    </row>
    <row r="287" spans="1:9" x14ac:dyDescent="0.3">
      <c r="A287" s="12" t="s">
        <v>281</v>
      </c>
      <c r="B287" s="10"/>
      <c r="C287" s="10"/>
      <c r="D287" s="12" t="s">
        <v>281</v>
      </c>
      <c r="E287" s="12" t="s">
        <v>680</v>
      </c>
      <c r="F287" s="12" t="s">
        <v>242</v>
      </c>
      <c r="G287" s="12" t="s">
        <v>467</v>
      </c>
      <c r="H287" s="15"/>
      <c r="I287" s="15"/>
    </row>
    <row r="288" spans="1:9" x14ac:dyDescent="0.3">
      <c r="A288" s="104"/>
      <c r="B288" s="104" t="s">
        <v>699</v>
      </c>
      <c r="C288" s="104"/>
      <c r="D288" s="104"/>
      <c r="E288" s="104"/>
      <c r="F288" s="104"/>
      <c r="G288" s="104"/>
      <c r="H288" s="105"/>
      <c r="I288" s="15"/>
    </row>
    <row r="289" spans="1:9" x14ac:dyDescent="0.3">
      <c r="A289" s="104"/>
      <c r="B289" s="104"/>
      <c r="C289" s="104" t="s">
        <v>700</v>
      </c>
      <c r="D289" s="104"/>
      <c r="E289" s="104"/>
      <c r="F289" s="104"/>
      <c r="G289" s="104"/>
      <c r="H289" s="105"/>
      <c r="I289" s="15"/>
    </row>
    <row r="290" spans="1:9" x14ac:dyDescent="0.3">
      <c r="A290" s="76" t="s">
        <v>211</v>
      </c>
      <c r="B290" s="77"/>
      <c r="C290" s="77"/>
      <c r="D290" s="12" t="s">
        <v>211</v>
      </c>
      <c r="E290" s="78" t="s">
        <v>701</v>
      </c>
      <c r="F290" s="76" t="s">
        <v>243</v>
      </c>
      <c r="G290" s="76" t="s">
        <v>464</v>
      </c>
      <c r="H290" s="79"/>
      <c r="I290" s="80" t="s">
        <v>14</v>
      </c>
    </row>
    <row r="291" spans="1:9" x14ac:dyDescent="0.3">
      <c r="A291" s="76" t="s">
        <v>213</v>
      </c>
      <c r="B291" s="77"/>
      <c r="C291" s="77"/>
      <c r="D291" s="12" t="s">
        <v>213</v>
      </c>
      <c r="E291" s="78" t="s">
        <v>702</v>
      </c>
      <c r="F291" s="76" t="s">
        <v>251</v>
      </c>
      <c r="G291" s="76" t="s">
        <v>464</v>
      </c>
      <c r="H291" s="79"/>
      <c r="I291" s="80" t="s">
        <v>14</v>
      </c>
    </row>
    <row r="292" spans="1:9" x14ac:dyDescent="0.3">
      <c r="A292" s="106" t="s">
        <v>214</v>
      </c>
      <c r="B292" s="77"/>
      <c r="C292" s="77"/>
      <c r="D292" s="12" t="s">
        <v>214</v>
      </c>
      <c r="E292" s="107" t="s">
        <v>703</v>
      </c>
      <c r="F292" s="76" t="s">
        <v>242</v>
      </c>
      <c r="G292" s="76" t="s">
        <v>464</v>
      </c>
      <c r="H292" s="79"/>
      <c r="I292" s="80" t="s">
        <v>14</v>
      </c>
    </row>
    <row r="293" spans="1:9" x14ac:dyDescent="0.3">
      <c r="A293" s="76" t="s">
        <v>215</v>
      </c>
      <c r="B293" s="77"/>
      <c r="C293" s="108" t="s">
        <v>704</v>
      </c>
      <c r="D293" s="12" t="s">
        <v>215</v>
      </c>
      <c r="E293" s="78" t="s">
        <v>705</v>
      </c>
      <c r="F293" s="76" t="s">
        <v>242</v>
      </c>
      <c r="G293" s="76" t="s">
        <v>464</v>
      </c>
      <c r="H293" s="79"/>
      <c r="I293" s="80" t="s">
        <v>519</v>
      </c>
    </row>
    <row r="294" spans="1:9" x14ac:dyDescent="0.3">
      <c r="A294" s="76" t="s">
        <v>216</v>
      </c>
      <c r="B294" s="77"/>
      <c r="C294" s="108" t="s">
        <v>704</v>
      </c>
      <c r="D294" s="12" t="s">
        <v>216</v>
      </c>
      <c r="E294" s="78" t="s">
        <v>706</v>
      </c>
      <c r="F294" s="76" t="s">
        <v>242</v>
      </c>
      <c r="G294" s="76" t="s">
        <v>464</v>
      </c>
      <c r="H294" s="79"/>
      <c r="I294" s="80" t="s">
        <v>519</v>
      </c>
    </row>
    <row r="295" spans="1:9" x14ac:dyDescent="0.3">
      <c r="A295" s="76" t="s">
        <v>217</v>
      </c>
      <c r="B295" s="77"/>
      <c r="C295" s="77"/>
      <c r="D295" s="12" t="s">
        <v>217</v>
      </c>
      <c r="E295" s="78" t="s">
        <v>707</v>
      </c>
      <c r="F295" s="76" t="s">
        <v>251</v>
      </c>
      <c r="G295" s="76" t="s">
        <v>464</v>
      </c>
      <c r="H295" s="79"/>
      <c r="I295" s="80" t="s">
        <v>519</v>
      </c>
    </row>
    <row r="296" spans="1:9" x14ac:dyDescent="0.3">
      <c r="A296" s="76" t="s">
        <v>218</v>
      </c>
      <c r="B296" s="77"/>
      <c r="C296" s="77"/>
      <c r="D296" s="12" t="s">
        <v>218</v>
      </c>
      <c r="E296" s="78" t="s">
        <v>708</v>
      </c>
      <c r="F296" s="76" t="s">
        <v>251</v>
      </c>
      <c r="G296" s="76" t="s">
        <v>464</v>
      </c>
      <c r="H296" s="79"/>
      <c r="I296" s="80" t="s">
        <v>519</v>
      </c>
    </row>
    <row r="297" spans="1:9" x14ac:dyDescent="0.3">
      <c r="A297" s="76" t="s">
        <v>219</v>
      </c>
      <c r="B297" s="77"/>
      <c r="C297" s="77"/>
      <c r="D297" s="12" t="s">
        <v>219</v>
      </c>
      <c r="E297" s="78" t="s">
        <v>709</v>
      </c>
      <c r="F297" s="76" t="s">
        <v>242</v>
      </c>
      <c r="G297" s="76" t="s">
        <v>464</v>
      </c>
      <c r="H297" s="79"/>
      <c r="I297" s="80" t="s">
        <v>519</v>
      </c>
    </row>
    <row r="298" spans="1:9" x14ac:dyDescent="0.3">
      <c r="A298" s="76" t="s">
        <v>212</v>
      </c>
      <c r="B298" s="77"/>
      <c r="C298" s="77"/>
      <c r="D298" s="12" t="s">
        <v>212</v>
      </c>
      <c r="E298" s="78" t="s">
        <v>710</v>
      </c>
      <c r="F298" s="76" t="s">
        <v>515</v>
      </c>
      <c r="G298" s="76" t="s">
        <v>464</v>
      </c>
      <c r="H298" s="79"/>
      <c r="I298" s="80" t="s">
        <v>519</v>
      </c>
    </row>
    <row r="299" spans="1:9" x14ac:dyDescent="0.3">
      <c r="A299" s="104"/>
      <c r="B299" s="104"/>
      <c r="C299" s="104" t="s">
        <v>711</v>
      </c>
      <c r="D299" s="12"/>
      <c r="E299" s="104"/>
      <c r="F299" s="104"/>
      <c r="G299" s="104"/>
      <c r="H299" s="105"/>
      <c r="I299" s="15"/>
    </row>
    <row r="300" spans="1:9" x14ac:dyDescent="0.3">
      <c r="A300" s="76" t="s">
        <v>210</v>
      </c>
      <c r="B300" s="77"/>
      <c r="C300" s="77"/>
      <c r="D300" s="12" t="s">
        <v>210</v>
      </c>
      <c r="E300" s="78" t="s">
        <v>712</v>
      </c>
      <c r="F300" s="76" t="s">
        <v>713</v>
      </c>
      <c r="G300" s="76" t="s">
        <v>464</v>
      </c>
      <c r="H300" s="79"/>
      <c r="I300" s="80" t="s">
        <v>14</v>
      </c>
    </row>
    <row r="301" spans="1:9" x14ac:dyDescent="0.3">
      <c r="A301" s="104"/>
      <c r="B301" s="104"/>
      <c r="C301" s="104" t="s">
        <v>714</v>
      </c>
      <c r="D301" s="12"/>
      <c r="E301" s="104"/>
      <c r="F301" s="104"/>
      <c r="G301" s="104"/>
      <c r="H301" s="105"/>
      <c r="I301" s="15"/>
    </row>
    <row r="302" spans="1:9" x14ac:dyDescent="0.3">
      <c r="A302" s="76" t="s">
        <v>220</v>
      </c>
      <c r="B302" s="77"/>
      <c r="C302" s="77"/>
      <c r="D302" s="12" t="s">
        <v>220</v>
      </c>
      <c r="E302" s="78" t="s">
        <v>715</v>
      </c>
      <c r="F302" s="76" t="s">
        <v>481</v>
      </c>
      <c r="G302" s="76" t="s">
        <v>464</v>
      </c>
      <c r="H302" s="79"/>
      <c r="I302" s="80" t="s">
        <v>14</v>
      </c>
    </row>
    <row r="303" spans="1:9" x14ac:dyDescent="0.3">
      <c r="A303" s="104"/>
      <c r="B303" s="104"/>
      <c r="C303" s="104" t="s">
        <v>716</v>
      </c>
      <c r="D303" s="104"/>
      <c r="E303" s="104"/>
      <c r="F303" s="104"/>
      <c r="G303" s="104"/>
      <c r="H303" s="105"/>
      <c r="I303" s="15"/>
    </row>
    <row r="304" spans="1:9" x14ac:dyDescent="0.3">
      <c r="A304" s="76" t="s">
        <v>225</v>
      </c>
      <c r="B304" s="77"/>
      <c r="C304" s="76" t="s">
        <v>717</v>
      </c>
      <c r="D304" s="76" t="s">
        <v>225</v>
      </c>
      <c r="E304" s="78" t="s">
        <v>718</v>
      </c>
      <c r="F304" s="76" t="s">
        <v>243</v>
      </c>
      <c r="G304" s="76" t="s">
        <v>464</v>
      </c>
      <c r="H304" s="79"/>
      <c r="I304" s="79"/>
    </row>
    <row r="305" spans="1:9" x14ac:dyDescent="0.3">
      <c r="A305" s="76" t="s">
        <v>224</v>
      </c>
      <c r="B305" s="77"/>
      <c r="C305" s="77"/>
      <c r="D305" s="76" t="s">
        <v>224</v>
      </c>
      <c r="E305" s="78" t="s">
        <v>719</v>
      </c>
      <c r="F305" s="76" t="s">
        <v>243</v>
      </c>
      <c r="G305" s="76" t="s">
        <v>464</v>
      </c>
      <c r="H305" s="79"/>
      <c r="I305" s="79"/>
    </row>
    <row r="306" spans="1:9" x14ac:dyDescent="0.3">
      <c r="A306" s="76" t="s">
        <v>222</v>
      </c>
      <c r="B306" s="77"/>
      <c r="C306" s="77"/>
      <c r="D306" s="76" t="s">
        <v>222</v>
      </c>
      <c r="E306" s="78" t="s">
        <v>720</v>
      </c>
      <c r="F306" s="76" t="s">
        <v>515</v>
      </c>
      <c r="G306" s="76" t="s">
        <v>464</v>
      </c>
      <c r="H306" s="79"/>
      <c r="I306" s="79"/>
    </row>
    <row r="307" spans="1:9" x14ac:dyDescent="0.3">
      <c r="A307" s="76" t="s">
        <v>223</v>
      </c>
      <c r="B307" s="77"/>
      <c r="C307" s="77"/>
      <c r="D307" s="76" t="s">
        <v>223</v>
      </c>
      <c r="E307" s="78" t="s">
        <v>721</v>
      </c>
      <c r="F307" s="76" t="s">
        <v>242</v>
      </c>
      <c r="G307" s="76" t="s">
        <v>464</v>
      </c>
      <c r="H307" s="79"/>
      <c r="I307" s="79"/>
    </row>
    <row r="308" spans="1:9" x14ac:dyDescent="0.3">
      <c r="A308" s="76" t="s">
        <v>221</v>
      </c>
      <c r="B308" s="77"/>
      <c r="C308" s="77"/>
      <c r="D308" s="76" t="s">
        <v>221</v>
      </c>
      <c r="E308" s="78" t="s">
        <v>719</v>
      </c>
      <c r="F308" s="76" t="s">
        <v>243</v>
      </c>
      <c r="G308" s="76" t="s">
        <v>464</v>
      </c>
      <c r="H308" s="79"/>
      <c r="I308" s="79"/>
    </row>
    <row r="309" spans="1:9" x14ac:dyDescent="0.3">
      <c r="A309" s="109"/>
      <c r="B309" s="109"/>
      <c r="C309" s="104" t="s">
        <v>722</v>
      </c>
      <c r="D309" s="109"/>
      <c r="E309" s="109"/>
      <c r="F309" s="109"/>
      <c r="G309" s="109"/>
      <c r="H309" s="110"/>
      <c r="I309" s="110"/>
    </row>
    <row r="310" spans="1:9" x14ac:dyDescent="0.3">
      <c r="A310" s="76" t="s">
        <v>723</v>
      </c>
      <c r="B310" s="76"/>
      <c r="C310" s="76"/>
      <c r="D310" s="76" t="s">
        <v>723</v>
      </c>
      <c r="E310" s="78" t="s">
        <v>724</v>
      </c>
      <c r="F310" s="76" t="s">
        <v>243</v>
      </c>
      <c r="G310" s="76" t="s">
        <v>464</v>
      </c>
      <c r="H310" s="80"/>
      <c r="I310" s="80" t="s">
        <v>14</v>
      </c>
    </row>
    <row r="311" spans="1:9" x14ac:dyDescent="0.3">
      <c r="A311" s="111"/>
      <c r="B311" s="111" t="s">
        <v>725</v>
      </c>
      <c r="C311" s="111"/>
      <c r="D311" s="111"/>
      <c r="E311" s="111"/>
      <c r="F311" s="111"/>
      <c r="G311" s="111"/>
      <c r="H311" s="112"/>
      <c r="I311" s="15"/>
    </row>
    <row r="312" spans="1:9" x14ac:dyDescent="0.3">
      <c r="A312" s="10"/>
      <c r="B312" s="10"/>
      <c r="C312" s="10"/>
      <c r="D312" s="10"/>
      <c r="E312" s="10"/>
      <c r="F312" s="10"/>
      <c r="G312" s="10"/>
      <c r="H312" s="15"/>
      <c r="I312" s="15"/>
    </row>
    <row r="313" spans="1:9" x14ac:dyDescent="0.3">
      <c r="A313" s="10"/>
      <c r="B313" s="113" t="s">
        <v>474</v>
      </c>
      <c r="C313" s="10"/>
      <c r="D313" s="10"/>
      <c r="E313" s="10"/>
      <c r="F313" s="10"/>
      <c r="G313" s="10"/>
      <c r="H313" s="15"/>
      <c r="I313" s="15"/>
    </row>
    <row r="314" spans="1:9" x14ac:dyDescent="0.3">
      <c r="A314" s="12" t="s">
        <v>9</v>
      </c>
      <c r="B314" s="10"/>
      <c r="C314" s="10"/>
      <c r="D314" s="12" t="s">
        <v>9</v>
      </c>
      <c r="E314" s="10"/>
      <c r="F314" s="12" t="s">
        <v>240</v>
      </c>
      <c r="G314" s="12" t="s">
        <v>474</v>
      </c>
      <c r="H314" s="15"/>
      <c r="I314" s="17" t="s">
        <v>14</v>
      </c>
    </row>
    <row r="315" spans="1:9" x14ac:dyDescent="0.3">
      <c r="A315" s="12" t="s">
        <v>11</v>
      </c>
      <c r="B315" s="10"/>
      <c r="C315" s="10"/>
      <c r="D315" s="12" t="s">
        <v>11</v>
      </c>
      <c r="E315" s="10"/>
      <c r="F315" s="12" t="s">
        <v>240</v>
      </c>
      <c r="G315" s="12" t="s">
        <v>474</v>
      </c>
      <c r="H315" s="15"/>
      <c r="I315" s="17" t="s">
        <v>14</v>
      </c>
    </row>
    <row r="316" spans="1:9" x14ac:dyDescent="0.3">
      <c r="A316" s="12" t="s">
        <v>2</v>
      </c>
      <c r="B316" s="10"/>
      <c r="C316" s="12" t="s">
        <v>726</v>
      </c>
      <c r="D316" s="12" t="s">
        <v>2</v>
      </c>
      <c r="E316" s="10"/>
      <c r="F316" s="12" t="s">
        <v>240</v>
      </c>
      <c r="G316" s="12" t="s">
        <v>474</v>
      </c>
      <c r="H316" s="15"/>
      <c r="I316" s="17" t="s">
        <v>14</v>
      </c>
    </row>
    <row r="317" spans="1:9" x14ac:dyDescent="0.3">
      <c r="A317" s="12" t="s">
        <v>10</v>
      </c>
      <c r="B317" s="10"/>
      <c r="C317" s="10"/>
      <c r="D317" s="12" t="s">
        <v>10</v>
      </c>
      <c r="E317" s="10"/>
      <c r="F317" s="12" t="s">
        <v>240</v>
      </c>
      <c r="G317" s="12" t="s">
        <v>474</v>
      </c>
      <c r="H317" s="15"/>
      <c r="I317" s="17" t="s">
        <v>14</v>
      </c>
    </row>
    <row r="318" spans="1:9" x14ac:dyDescent="0.3">
      <c r="A318" s="12" t="s">
        <v>3</v>
      </c>
      <c r="B318" s="10"/>
      <c r="C318" s="10"/>
      <c r="D318" s="12" t="s">
        <v>3</v>
      </c>
      <c r="E318" s="10"/>
      <c r="F318" s="12" t="s">
        <v>240</v>
      </c>
      <c r="G318" s="12" t="s">
        <v>474</v>
      </c>
      <c r="H318" s="15"/>
      <c r="I318" s="17" t="s">
        <v>14</v>
      </c>
    </row>
    <row r="319" spans="1:9" x14ac:dyDescent="0.3">
      <c r="A319" s="12" t="s">
        <v>4</v>
      </c>
      <c r="B319" s="10"/>
      <c r="C319" s="10"/>
      <c r="D319" s="12" t="s">
        <v>4</v>
      </c>
      <c r="E319" s="12" t="s">
        <v>727</v>
      </c>
      <c r="F319" s="12" t="s">
        <v>240</v>
      </c>
      <c r="G319" s="12" t="s">
        <v>474</v>
      </c>
      <c r="H319" s="15"/>
      <c r="I319" s="17" t="s">
        <v>14</v>
      </c>
    </row>
    <row r="320" spans="1:9" x14ac:dyDescent="0.3">
      <c r="A320" s="12" t="s">
        <v>12</v>
      </c>
      <c r="B320" s="10"/>
      <c r="C320" s="10"/>
      <c r="D320" s="12" t="s">
        <v>12</v>
      </c>
      <c r="E320" s="10"/>
      <c r="F320" s="12" t="s">
        <v>240</v>
      </c>
      <c r="G320" s="12" t="s">
        <v>474</v>
      </c>
      <c r="H320" s="15"/>
      <c r="I320" s="17" t="s">
        <v>14</v>
      </c>
    </row>
    <row r="321" spans="1:9" x14ac:dyDescent="0.3">
      <c r="A321" s="12" t="s">
        <v>13</v>
      </c>
      <c r="B321" s="12" t="s">
        <v>728</v>
      </c>
      <c r="C321" s="12" t="s">
        <v>729</v>
      </c>
      <c r="D321" s="12" t="s">
        <v>13</v>
      </c>
      <c r="E321" s="12" t="s">
        <v>730</v>
      </c>
      <c r="F321" s="12" t="s">
        <v>240</v>
      </c>
      <c r="G321" s="12" t="s">
        <v>474</v>
      </c>
      <c r="H321" s="15"/>
      <c r="I321" s="17" t="s">
        <v>14</v>
      </c>
    </row>
    <row r="322" spans="1:9" x14ac:dyDescent="0.3">
      <c r="A322" s="12" t="s">
        <v>5</v>
      </c>
      <c r="B322" s="10"/>
      <c r="C322" s="12" t="s">
        <v>731</v>
      </c>
      <c r="D322" s="12" t="s">
        <v>5</v>
      </c>
      <c r="E322" s="12" t="s">
        <v>732</v>
      </c>
      <c r="F322" s="12" t="s">
        <v>240</v>
      </c>
      <c r="G322" s="12" t="s">
        <v>474</v>
      </c>
      <c r="H322" s="15"/>
      <c r="I322" s="17" t="s">
        <v>519</v>
      </c>
    </row>
    <row r="323" spans="1:9" x14ac:dyDescent="0.3">
      <c r="A323" s="12" t="s">
        <v>7</v>
      </c>
      <c r="B323" s="10"/>
      <c r="C323" s="10"/>
      <c r="D323" s="12" t="s">
        <v>7</v>
      </c>
      <c r="E323" s="12" t="s">
        <v>733</v>
      </c>
      <c r="F323" s="12" t="s">
        <v>240</v>
      </c>
      <c r="G323" s="12" t="s">
        <v>474</v>
      </c>
      <c r="H323" s="15"/>
      <c r="I323" s="17" t="s">
        <v>519</v>
      </c>
    </row>
    <row r="324" spans="1:9" x14ac:dyDescent="0.3">
      <c r="A324" s="12" t="s">
        <v>6</v>
      </c>
      <c r="B324" s="10"/>
      <c r="C324" s="10"/>
      <c r="D324" s="12" t="s">
        <v>6</v>
      </c>
      <c r="E324" s="12" t="s">
        <v>734</v>
      </c>
      <c r="F324" s="12" t="s">
        <v>240</v>
      </c>
      <c r="G324" s="12" t="s">
        <v>474</v>
      </c>
      <c r="H324" s="15"/>
      <c r="I324" s="17" t="s">
        <v>519</v>
      </c>
    </row>
    <row r="325" spans="1:9" x14ac:dyDescent="0.3">
      <c r="A325" s="12" t="s">
        <v>0</v>
      </c>
      <c r="B325" s="10"/>
      <c r="C325" s="10"/>
      <c r="D325" s="12" t="s">
        <v>0</v>
      </c>
      <c r="E325" s="12" t="s">
        <v>735</v>
      </c>
      <c r="F325" s="12" t="s">
        <v>736</v>
      </c>
      <c r="G325" s="12" t="s">
        <v>474</v>
      </c>
      <c r="H325" s="15"/>
      <c r="I325" s="15"/>
    </row>
    <row r="326" spans="1:9" x14ac:dyDescent="0.3">
      <c r="A326" s="12" t="s">
        <v>1</v>
      </c>
      <c r="B326" s="10"/>
      <c r="C326" s="10"/>
      <c r="D326" s="12" t="s">
        <v>1</v>
      </c>
      <c r="E326" s="12" t="s">
        <v>737</v>
      </c>
      <c r="F326" s="12" t="s">
        <v>481</v>
      </c>
      <c r="G326" s="12" t="s">
        <v>474</v>
      </c>
      <c r="H326" s="15"/>
      <c r="I326" s="15"/>
    </row>
    <row r="327" spans="1:9" x14ac:dyDescent="0.3">
      <c r="A327" s="81" t="s">
        <v>76</v>
      </c>
      <c r="B327" s="10"/>
      <c r="C327" s="10"/>
      <c r="D327" s="81" t="s">
        <v>76</v>
      </c>
      <c r="E327" s="12" t="s">
        <v>738</v>
      </c>
      <c r="F327" s="12" t="s">
        <v>481</v>
      </c>
      <c r="G327" s="12" t="s">
        <v>463</v>
      </c>
      <c r="H327" s="15"/>
      <c r="I327" s="15"/>
    </row>
    <row r="328" spans="1:9" x14ac:dyDescent="0.3">
      <c r="A328" s="10"/>
      <c r="B328" s="10"/>
      <c r="C328" s="10"/>
      <c r="D328" s="10"/>
      <c r="E328" s="10"/>
      <c r="F328" s="10"/>
      <c r="G328" s="10"/>
      <c r="H328" s="15"/>
      <c r="I328" s="15"/>
    </row>
    <row r="329" spans="1:9" x14ac:dyDescent="0.3">
      <c r="A329" s="114"/>
      <c r="B329" s="115" t="s">
        <v>472</v>
      </c>
      <c r="C329" s="114"/>
      <c r="D329" s="114"/>
      <c r="E329" s="114"/>
      <c r="F329" s="114"/>
      <c r="G329" s="114"/>
      <c r="H329" s="116"/>
      <c r="I329" s="116"/>
    </row>
    <row r="330" spans="1:9" x14ac:dyDescent="0.3">
      <c r="A330" s="12" t="s">
        <v>282</v>
      </c>
      <c r="B330" s="10"/>
      <c r="C330" s="12"/>
      <c r="D330" s="12" t="s">
        <v>282</v>
      </c>
      <c r="E330" s="12" t="s">
        <v>739</v>
      </c>
      <c r="F330" s="12" t="s">
        <v>242</v>
      </c>
      <c r="G330" s="12" t="s">
        <v>472</v>
      </c>
      <c r="H330" s="15"/>
      <c r="I330" s="15"/>
    </row>
    <row r="331" spans="1:9" x14ac:dyDescent="0.3">
      <c r="A331" s="12" t="s">
        <v>283</v>
      </c>
      <c r="B331" s="10"/>
      <c r="C331" s="12"/>
      <c r="D331" s="12" t="s">
        <v>283</v>
      </c>
      <c r="E331" s="12" t="s">
        <v>740</v>
      </c>
      <c r="F331" s="12" t="s">
        <v>741</v>
      </c>
      <c r="G331" s="12" t="s">
        <v>472</v>
      </c>
      <c r="H331" s="15"/>
      <c r="I331" s="15"/>
    </row>
    <row r="332" spans="1:9" x14ac:dyDescent="0.3">
      <c r="A332" s="12" t="s">
        <v>284</v>
      </c>
      <c r="B332" s="10"/>
      <c r="C332" s="12" t="s">
        <v>742</v>
      </c>
      <c r="D332" s="12" t="s">
        <v>284</v>
      </c>
      <c r="E332" s="12" t="s">
        <v>743</v>
      </c>
      <c r="F332" s="12" t="s">
        <v>481</v>
      </c>
      <c r="G332" s="12" t="s">
        <v>472</v>
      </c>
      <c r="H332" s="15"/>
      <c r="I332" s="17" t="s">
        <v>14</v>
      </c>
    </row>
    <row r="333" spans="1:9" x14ac:dyDescent="0.3">
      <c r="A333" s="12" t="s">
        <v>285</v>
      </c>
      <c r="B333" s="10"/>
      <c r="C333" s="12" t="s">
        <v>742</v>
      </c>
      <c r="D333" s="12" t="s">
        <v>285</v>
      </c>
      <c r="E333" s="12" t="s">
        <v>744</v>
      </c>
      <c r="F333" s="12" t="s">
        <v>242</v>
      </c>
      <c r="G333" s="12" t="s">
        <v>472</v>
      </c>
      <c r="H333" s="15"/>
      <c r="I333" s="17" t="s">
        <v>14</v>
      </c>
    </row>
    <row r="334" spans="1:9" x14ac:dyDescent="0.3">
      <c r="A334" s="12" t="s">
        <v>286</v>
      </c>
      <c r="B334" s="10"/>
      <c r="C334" s="12" t="s">
        <v>742</v>
      </c>
      <c r="D334" s="12" t="s">
        <v>286</v>
      </c>
      <c r="E334" s="12" t="s">
        <v>745</v>
      </c>
      <c r="F334" s="12" t="s">
        <v>481</v>
      </c>
      <c r="G334" s="12" t="s">
        <v>472</v>
      </c>
      <c r="H334" s="15"/>
      <c r="I334" s="17" t="s">
        <v>14</v>
      </c>
    </row>
    <row r="335" spans="1:9" x14ac:dyDescent="0.3">
      <c r="A335" s="12" t="s">
        <v>287</v>
      </c>
      <c r="B335" s="10"/>
      <c r="C335" s="12" t="s">
        <v>746</v>
      </c>
      <c r="D335" s="12" t="s">
        <v>287</v>
      </c>
      <c r="E335" s="12" t="s">
        <v>747</v>
      </c>
      <c r="F335" s="12" t="s">
        <v>481</v>
      </c>
      <c r="G335" s="12" t="s">
        <v>472</v>
      </c>
      <c r="H335" s="15"/>
      <c r="I335" s="15"/>
    </row>
    <row r="336" spans="1:9" x14ac:dyDescent="0.3">
      <c r="A336" s="12" t="s">
        <v>288</v>
      </c>
      <c r="B336" s="10"/>
      <c r="C336" s="12" t="s">
        <v>748</v>
      </c>
      <c r="D336" s="12" t="s">
        <v>288</v>
      </c>
      <c r="E336" s="12" t="s">
        <v>749</v>
      </c>
      <c r="F336" s="12" t="s">
        <v>481</v>
      </c>
      <c r="G336" s="12" t="s">
        <v>472</v>
      </c>
      <c r="H336" s="15"/>
      <c r="I336" s="15"/>
    </row>
    <row r="337" spans="1:9" x14ac:dyDescent="0.3">
      <c r="A337" s="12" t="s">
        <v>289</v>
      </c>
      <c r="B337" s="10"/>
      <c r="C337" s="12" t="s">
        <v>750</v>
      </c>
      <c r="D337" s="12" t="s">
        <v>289</v>
      </c>
      <c r="E337" s="12" t="s">
        <v>751</v>
      </c>
      <c r="F337" s="12" t="s">
        <v>242</v>
      </c>
      <c r="G337" s="12" t="s">
        <v>472</v>
      </c>
      <c r="H337" s="15"/>
      <c r="I337" s="17" t="s">
        <v>519</v>
      </c>
    </row>
    <row r="338" spans="1:9" x14ac:dyDescent="0.3">
      <c r="A338" s="12" t="s">
        <v>290</v>
      </c>
      <c r="B338" s="10"/>
      <c r="C338" s="12" t="s">
        <v>752</v>
      </c>
      <c r="D338" s="12" t="s">
        <v>290</v>
      </c>
      <c r="E338" s="12" t="s">
        <v>753</v>
      </c>
      <c r="F338" s="12" t="s">
        <v>481</v>
      </c>
      <c r="G338" s="12" t="s">
        <v>472</v>
      </c>
      <c r="H338" s="15"/>
      <c r="I338" s="17" t="s">
        <v>519</v>
      </c>
    </row>
    <row r="339" spans="1:9" x14ac:dyDescent="0.3">
      <c r="A339" s="12" t="s">
        <v>291</v>
      </c>
      <c r="B339" s="10"/>
      <c r="C339" s="12" t="s">
        <v>754</v>
      </c>
      <c r="D339" s="12" t="s">
        <v>291</v>
      </c>
      <c r="E339" s="12" t="s">
        <v>755</v>
      </c>
      <c r="F339" s="12" t="s">
        <v>242</v>
      </c>
      <c r="G339" s="12" t="s">
        <v>472</v>
      </c>
      <c r="H339" s="15"/>
      <c r="I339" s="17" t="s">
        <v>519</v>
      </c>
    </row>
    <row r="340" spans="1:9" x14ac:dyDescent="0.3">
      <c r="A340" s="12" t="s">
        <v>292</v>
      </c>
      <c r="B340" s="10"/>
      <c r="C340" s="12"/>
      <c r="D340" s="12" t="s">
        <v>292</v>
      </c>
      <c r="E340" s="12" t="s">
        <v>756</v>
      </c>
      <c r="F340" s="12" t="s">
        <v>242</v>
      </c>
      <c r="G340" s="12" t="s">
        <v>472</v>
      </c>
      <c r="H340" s="15"/>
      <c r="I340" s="17"/>
    </row>
    <row r="341" spans="1:9" x14ac:dyDescent="0.3">
      <c r="A341" s="12" t="s">
        <v>293</v>
      </c>
      <c r="B341" s="10"/>
      <c r="C341" s="12"/>
      <c r="D341" s="12" t="s">
        <v>293</v>
      </c>
      <c r="E341" s="12" t="s">
        <v>741</v>
      </c>
      <c r="F341" s="12" t="s">
        <v>242</v>
      </c>
      <c r="G341" s="12" t="s">
        <v>472</v>
      </c>
      <c r="H341" s="15"/>
      <c r="I341" s="15"/>
    </row>
    <row r="342" spans="1:9" x14ac:dyDescent="0.3">
      <c r="A342" s="12" t="s">
        <v>294</v>
      </c>
      <c r="B342" s="10"/>
      <c r="C342" s="12" t="s">
        <v>757</v>
      </c>
      <c r="D342" s="12" t="s">
        <v>294</v>
      </c>
      <c r="E342" s="12" t="s">
        <v>758</v>
      </c>
      <c r="F342" s="12" t="s">
        <v>242</v>
      </c>
      <c r="G342" s="12" t="s">
        <v>472</v>
      </c>
      <c r="H342" s="15"/>
      <c r="I342" s="17" t="s">
        <v>519</v>
      </c>
    </row>
    <row r="343" spans="1:9" x14ac:dyDescent="0.3">
      <c r="A343" s="12" t="s">
        <v>295</v>
      </c>
      <c r="B343" s="10"/>
      <c r="C343" s="12"/>
      <c r="D343" s="12" t="s">
        <v>295</v>
      </c>
      <c r="E343" s="12" t="s">
        <v>759</v>
      </c>
      <c r="F343" s="12" t="s">
        <v>242</v>
      </c>
      <c r="G343" s="12" t="s">
        <v>472</v>
      </c>
      <c r="H343" s="15"/>
      <c r="I343" s="15"/>
    </row>
    <row r="344" spans="1:9" x14ac:dyDescent="0.3">
      <c r="A344" s="12" t="s">
        <v>296</v>
      </c>
      <c r="B344" s="10"/>
      <c r="C344" s="10"/>
      <c r="D344" s="12" t="s">
        <v>296</v>
      </c>
      <c r="E344" s="12" t="s">
        <v>760</v>
      </c>
      <c r="F344" s="12" t="s">
        <v>242</v>
      </c>
      <c r="G344" s="12" t="s">
        <v>472</v>
      </c>
      <c r="H344" s="15"/>
      <c r="I344" s="15"/>
    </row>
    <row r="345" spans="1:9" x14ac:dyDescent="0.3">
      <c r="A345" s="12" t="s">
        <v>297</v>
      </c>
      <c r="B345" s="10"/>
      <c r="C345" s="10"/>
      <c r="D345" s="12" t="s">
        <v>297</v>
      </c>
      <c r="E345" s="12" t="s">
        <v>761</v>
      </c>
      <c r="F345" s="12" t="s">
        <v>242</v>
      </c>
      <c r="G345" s="12" t="s">
        <v>472</v>
      </c>
      <c r="H345" s="15"/>
      <c r="I345" s="15"/>
    </row>
    <row r="346" spans="1:9" x14ac:dyDescent="0.3">
      <c r="A346" s="12" t="s">
        <v>298</v>
      </c>
      <c r="B346" s="10"/>
      <c r="C346" s="10"/>
      <c r="D346" s="12" t="s">
        <v>298</v>
      </c>
      <c r="E346" s="12" t="s">
        <v>762</v>
      </c>
      <c r="F346" s="12" t="s">
        <v>242</v>
      </c>
      <c r="G346" s="12" t="s">
        <v>472</v>
      </c>
      <c r="H346" s="15"/>
      <c r="I346" s="15"/>
    </row>
    <row r="347" spans="1:9" x14ac:dyDescent="0.3">
      <c r="A347" s="12" t="s">
        <v>299</v>
      </c>
      <c r="B347" s="10"/>
      <c r="C347" s="12"/>
      <c r="D347" s="12" t="s">
        <v>299</v>
      </c>
      <c r="E347" s="12" t="s">
        <v>763</v>
      </c>
      <c r="F347" s="12" t="s">
        <v>481</v>
      </c>
      <c r="G347" s="12" t="s">
        <v>472</v>
      </c>
      <c r="H347" s="15"/>
      <c r="I347" s="15"/>
    </row>
    <row r="348" spans="1:9" x14ac:dyDescent="0.3">
      <c r="A348" s="12" t="s">
        <v>300</v>
      </c>
      <c r="B348" s="10"/>
      <c r="C348" s="12"/>
      <c r="D348" s="12" t="s">
        <v>300</v>
      </c>
      <c r="E348" s="12" t="s">
        <v>764</v>
      </c>
      <c r="F348" s="12" t="s">
        <v>481</v>
      </c>
      <c r="G348" s="12" t="s">
        <v>472</v>
      </c>
      <c r="H348" s="15"/>
      <c r="I348" s="15"/>
    </row>
    <row r="349" spans="1:9" x14ac:dyDescent="0.3">
      <c r="A349" s="12" t="s">
        <v>301</v>
      </c>
      <c r="B349" s="10"/>
      <c r="C349" s="12"/>
      <c r="D349" s="12" t="s">
        <v>301</v>
      </c>
      <c r="E349" s="12" t="s">
        <v>765</v>
      </c>
      <c r="F349" s="12" t="s">
        <v>242</v>
      </c>
      <c r="G349" s="12" t="s">
        <v>472</v>
      </c>
      <c r="H349" s="15"/>
      <c r="I349" s="15"/>
    </row>
    <row r="350" spans="1:9" x14ac:dyDescent="0.3">
      <c r="A350" s="12" t="s">
        <v>302</v>
      </c>
      <c r="B350" s="10"/>
      <c r="C350" s="12"/>
      <c r="D350" s="12" t="s">
        <v>302</v>
      </c>
      <c r="E350" s="12" t="s">
        <v>766</v>
      </c>
      <c r="F350" s="12" t="s">
        <v>481</v>
      </c>
      <c r="G350" s="12" t="s">
        <v>472</v>
      </c>
      <c r="H350" s="15"/>
      <c r="I350" s="15"/>
    </row>
    <row r="351" spans="1:9" x14ac:dyDescent="0.3">
      <c r="A351" s="12" t="s">
        <v>303</v>
      </c>
      <c r="B351" s="10"/>
      <c r="C351" s="12"/>
      <c r="D351" s="12" t="s">
        <v>303</v>
      </c>
      <c r="E351" s="12" t="s">
        <v>767</v>
      </c>
      <c r="F351" s="12" t="s">
        <v>481</v>
      </c>
      <c r="G351" s="12" t="s">
        <v>472</v>
      </c>
      <c r="H351" s="15"/>
      <c r="I351" s="15"/>
    </row>
    <row r="352" spans="1:9" x14ac:dyDescent="0.3">
      <c r="A352" s="12" t="s">
        <v>304</v>
      </c>
      <c r="B352" s="10"/>
      <c r="C352" s="10"/>
      <c r="D352" s="12" t="s">
        <v>304</v>
      </c>
      <c r="E352" s="12" t="s">
        <v>768</v>
      </c>
      <c r="F352" s="12" t="s">
        <v>242</v>
      </c>
      <c r="G352" s="12" t="s">
        <v>472</v>
      </c>
      <c r="H352" s="15"/>
      <c r="I352" s="15"/>
    </row>
    <row r="353" spans="1:9" x14ac:dyDescent="0.3">
      <c r="A353" s="117" t="s">
        <v>305</v>
      </c>
      <c r="B353" s="10"/>
      <c r="C353" s="12" t="s">
        <v>769</v>
      </c>
      <c r="D353" s="117" t="s">
        <v>305</v>
      </c>
      <c r="E353" s="117" t="s">
        <v>770</v>
      </c>
      <c r="F353" s="117" t="s">
        <v>771</v>
      </c>
      <c r="G353" s="12" t="s">
        <v>472</v>
      </c>
      <c r="H353" s="15"/>
      <c r="I353" s="17" t="s">
        <v>14</v>
      </c>
    </row>
    <row r="354" spans="1:9" x14ac:dyDescent="0.3">
      <c r="A354" s="118"/>
      <c r="B354" s="118" t="s">
        <v>473</v>
      </c>
      <c r="C354" s="118"/>
      <c r="D354" s="118"/>
      <c r="E354" s="118"/>
      <c r="F354" s="118"/>
      <c r="G354" s="118"/>
      <c r="H354" s="119"/>
      <c r="I354" s="119"/>
    </row>
    <row r="355" spans="1:9" x14ac:dyDescent="0.3">
      <c r="A355" s="12" t="s">
        <v>201</v>
      </c>
      <c r="B355" s="12" t="s">
        <v>772</v>
      </c>
      <c r="C355" s="10"/>
      <c r="D355" s="12" t="s">
        <v>201</v>
      </c>
      <c r="E355" s="12" t="s">
        <v>773</v>
      </c>
      <c r="F355" s="12" t="s">
        <v>774</v>
      </c>
      <c r="G355" s="12" t="s">
        <v>473</v>
      </c>
      <c r="H355" s="15"/>
      <c r="I355" s="17" t="s">
        <v>14</v>
      </c>
    </row>
    <row r="356" spans="1:9" x14ac:dyDescent="0.3">
      <c r="A356" s="12" t="s">
        <v>306</v>
      </c>
      <c r="B356" s="10"/>
      <c r="C356" s="10"/>
      <c r="D356" s="12" t="s">
        <v>306</v>
      </c>
      <c r="E356" s="12" t="s">
        <v>775</v>
      </c>
      <c r="F356" s="12" t="s">
        <v>774</v>
      </c>
      <c r="G356" s="12" t="s">
        <v>473</v>
      </c>
      <c r="H356" s="15"/>
      <c r="I356" s="17" t="s">
        <v>14</v>
      </c>
    </row>
    <row r="357" spans="1:9" x14ac:dyDescent="0.3">
      <c r="A357" s="12" t="s">
        <v>307</v>
      </c>
      <c r="B357" s="10"/>
      <c r="C357" s="10"/>
      <c r="D357" s="12" t="s">
        <v>307</v>
      </c>
      <c r="E357" s="12" t="s">
        <v>776</v>
      </c>
      <c r="F357" s="12" t="s">
        <v>774</v>
      </c>
      <c r="G357" s="12" t="s">
        <v>473</v>
      </c>
      <c r="H357" s="15"/>
      <c r="I357" s="15"/>
    </row>
    <row r="358" spans="1:9" x14ac:dyDescent="0.3">
      <c r="A358" s="12" t="s">
        <v>5</v>
      </c>
      <c r="B358" s="10"/>
      <c r="C358" s="10"/>
      <c r="D358" s="12" t="s">
        <v>5</v>
      </c>
      <c r="E358" s="12" t="s">
        <v>777</v>
      </c>
      <c r="F358" s="12" t="s">
        <v>774</v>
      </c>
      <c r="G358" s="12" t="s">
        <v>473</v>
      </c>
      <c r="H358" s="15"/>
      <c r="I358" s="15"/>
    </row>
    <row r="359" spans="1:9" x14ac:dyDescent="0.3">
      <c r="A359" s="12" t="s">
        <v>308</v>
      </c>
      <c r="B359" s="10"/>
      <c r="C359" s="10"/>
      <c r="D359" s="12" t="s">
        <v>308</v>
      </c>
      <c r="E359" s="10"/>
      <c r="F359" s="12" t="s">
        <v>774</v>
      </c>
      <c r="G359" s="12" t="s">
        <v>473</v>
      </c>
      <c r="H359" s="15"/>
      <c r="I359" s="17" t="s">
        <v>14</v>
      </c>
    </row>
    <row r="360" spans="1:9" x14ac:dyDescent="0.3">
      <c r="A360" s="12" t="s">
        <v>309</v>
      </c>
      <c r="B360" s="10"/>
      <c r="C360" s="10"/>
      <c r="D360" s="12" t="s">
        <v>309</v>
      </c>
      <c r="E360" s="10"/>
      <c r="F360" s="12" t="s">
        <v>774</v>
      </c>
      <c r="G360" s="12" t="s">
        <v>473</v>
      </c>
      <c r="H360" s="15"/>
      <c r="I360" s="15"/>
    </row>
    <row r="361" spans="1:9" x14ac:dyDescent="0.3">
      <c r="A361" s="10"/>
      <c r="B361" s="10"/>
      <c r="C361" s="10"/>
      <c r="D361" s="10"/>
      <c r="E361" s="10"/>
      <c r="F361" s="10"/>
      <c r="G361" s="10"/>
      <c r="H361" s="15"/>
      <c r="I361" s="15"/>
    </row>
    <row r="362" spans="1:9" x14ac:dyDescent="0.3">
      <c r="A362" s="120"/>
      <c r="B362" s="120" t="s">
        <v>778</v>
      </c>
      <c r="C362" s="120" t="s">
        <v>779</v>
      </c>
      <c r="D362" s="120"/>
      <c r="E362" s="120"/>
      <c r="F362" s="120"/>
      <c r="G362" s="120"/>
      <c r="H362" s="121"/>
      <c r="I362" s="121"/>
    </row>
    <row r="363" spans="1:9" x14ac:dyDescent="0.3">
      <c r="A363" s="10" t="s">
        <v>200</v>
      </c>
      <c r="B363" s="10"/>
      <c r="C363" s="12"/>
      <c r="D363" s="10" t="s">
        <v>200</v>
      </c>
      <c r="E363" s="12" t="s">
        <v>780</v>
      </c>
      <c r="F363" s="12" t="s">
        <v>242</v>
      </c>
      <c r="G363" s="12" t="s">
        <v>465</v>
      </c>
      <c r="H363" s="15"/>
      <c r="I363" s="17" t="s">
        <v>14</v>
      </c>
    </row>
    <row r="364" spans="1:9" x14ac:dyDescent="0.3">
      <c r="A364" s="12" t="s">
        <v>201</v>
      </c>
      <c r="B364" s="10"/>
      <c r="C364" s="10"/>
      <c r="D364" s="12" t="s">
        <v>201</v>
      </c>
      <c r="E364" s="12" t="s">
        <v>781</v>
      </c>
      <c r="F364" s="12" t="s">
        <v>481</v>
      </c>
      <c r="G364" s="12" t="s">
        <v>465</v>
      </c>
      <c r="H364" s="15"/>
      <c r="I364" s="17" t="s">
        <v>14</v>
      </c>
    </row>
    <row r="365" spans="1:9" x14ac:dyDescent="0.3">
      <c r="A365" s="12" t="s">
        <v>202</v>
      </c>
      <c r="B365" s="10"/>
      <c r="C365" s="10"/>
      <c r="D365" s="12" t="s">
        <v>202</v>
      </c>
      <c r="E365" s="82" t="s">
        <v>782</v>
      </c>
      <c r="F365" s="12" t="s">
        <v>251</v>
      </c>
      <c r="G365" s="12" t="s">
        <v>465</v>
      </c>
      <c r="H365" s="15"/>
      <c r="I365" s="15"/>
    </row>
    <row r="366" spans="1:9" x14ac:dyDescent="0.3">
      <c r="A366" s="10"/>
      <c r="B366" s="10"/>
      <c r="C366" s="10"/>
      <c r="D366" s="10"/>
      <c r="E366" s="82"/>
      <c r="F366" s="10"/>
      <c r="G366" s="10"/>
      <c r="H366" s="15"/>
      <c r="I366" s="15"/>
    </row>
    <row r="367" spans="1:9" x14ac:dyDescent="0.3">
      <c r="A367" s="122"/>
      <c r="B367" s="122" t="s">
        <v>470</v>
      </c>
      <c r="C367" s="122"/>
      <c r="D367" s="122"/>
      <c r="E367" s="122"/>
      <c r="F367" s="122"/>
      <c r="G367" s="122"/>
      <c r="H367" s="123"/>
      <c r="I367" s="123"/>
    </row>
    <row r="368" spans="1:9" x14ac:dyDescent="0.3">
      <c r="A368" s="12" t="s">
        <v>16</v>
      </c>
      <c r="B368" s="10"/>
      <c r="C368" s="12" t="s">
        <v>783</v>
      </c>
      <c r="D368" s="12" t="s">
        <v>16</v>
      </c>
      <c r="E368" s="12" t="s">
        <v>784</v>
      </c>
      <c r="F368" s="12" t="s">
        <v>242</v>
      </c>
      <c r="G368" s="12" t="s">
        <v>470</v>
      </c>
      <c r="H368" s="15"/>
      <c r="I368" s="17" t="s">
        <v>14</v>
      </c>
    </row>
    <row r="369" spans="1:9" x14ac:dyDescent="0.3">
      <c r="A369" s="12" t="s">
        <v>18</v>
      </c>
      <c r="B369" s="10"/>
      <c r="C369" s="10"/>
      <c r="D369" s="12" t="s">
        <v>18</v>
      </c>
      <c r="E369" s="10"/>
      <c r="F369" s="12" t="s">
        <v>481</v>
      </c>
      <c r="G369" s="12" t="s">
        <v>470</v>
      </c>
      <c r="H369" s="15"/>
      <c r="I369" s="17" t="s">
        <v>14</v>
      </c>
    </row>
    <row r="370" spans="1:9" x14ac:dyDescent="0.3">
      <c r="A370" s="12" t="s">
        <v>20</v>
      </c>
      <c r="B370" s="10"/>
      <c r="C370" s="10"/>
      <c r="D370" s="12" t="s">
        <v>20</v>
      </c>
      <c r="E370" s="10"/>
      <c r="F370" s="12" t="s">
        <v>481</v>
      </c>
      <c r="G370" s="12" t="s">
        <v>470</v>
      </c>
      <c r="H370" s="15"/>
      <c r="I370" s="17" t="s">
        <v>14</v>
      </c>
    </row>
    <row r="371" spans="1:9" x14ac:dyDescent="0.3">
      <c r="A371" s="12" t="s">
        <v>19</v>
      </c>
      <c r="B371" s="10"/>
      <c r="C371" s="10"/>
      <c r="D371" s="12" t="s">
        <v>19</v>
      </c>
      <c r="E371" s="10"/>
      <c r="F371" s="12" t="s">
        <v>481</v>
      </c>
      <c r="G371" s="12" t="s">
        <v>470</v>
      </c>
      <c r="H371" s="15"/>
      <c r="I371" s="15"/>
    </row>
    <row r="372" spans="1:9" x14ac:dyDescent="0.3">
      <c r="A372" s="10" t="s">
        <v>21</v>
      </c>
      <c r="B372" s="10"/>
      <c r="C372" s="10"/>
      <c r="D372" s="10" t="s">
        <v>21</v>
      </c>
      <c r="E372" s="10"/>
      <c r="F372" s="12" t="s">
        <v>481</v>
      </c>
      <c r="G372" s="12" t="s">
        <v>470</v>
      </c>
      <c r="H372" s="15"/>
      <c r="I372" s="15"/>
    </row>
  </sheetData>
  <autoFilter ref="A1:I372" xr:uid="{00000000-0009-0000-0000-000001000000}"/>
  <customSheetViews>
    <customSheetView guid="{03A28D0E-D221-430C-9036-787CFB666EE7}" scale="130" filter="1" showAutoFilter="1">
      <selection activeCell="A216" sqref="A216"/>
      <pageMargins left="0.7" right="0.7" top="0.75" bottom="0.75" header="0.3" footer="0.3"/>
      <pageSetup orientation="portrait" r:id="rId1"/>
      <autoFilter ref="A1:I372" xr:uid="{FF93A066-BED9-4FB5-8EF7-C74AA1FCAB04}">
        <filterColumn colId="6">
          <filters>
            <filter val="usetrade.csv"/>
          </filters>
        </filterColumn>
      </autoFilter>
    </customSheetView>
  </customSheetView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B208"/>
  <sheetViews>
    <sheetView tabSelected="1" topLeftCell="AV1" zoomScale="110" zoomScaleNormal="110" workbookViewId="0">
      <pane ySplit="1" topLeftCell="A8" activePane="bottomLeft" state="frozen"/>
      <selection pane="bottomLeft" activeCell="BF10" sqref="A10:XFD10"/>
    </sheetView>
  </sheetViews>
  <sheetFormatPr defaultColWidth="10.6640625" defaultRowHeight="42.75" customHeight="1" x14ac:dyDescent="0.3"/>
  <cols>
    <col min="1" max="2" width="10.6640625" style="192"/>
    <col min="3" max="8" width="10.77734375" style="192" customWidth="1"/>
    <col min="9" max="9" width="10.77734375" style="193" customWidth="1"/>
    <col min="10" max="16" width="10.77734375" style="192" customWidth="1"/>
    <col min="17" max="23" width="12" style="192" customWidth="1"/>
    <col min="24" max="38" width="11.33203125" style="192" customWidth="1"/>
    <col min="39" max="39" width="67.44140625" style="192" customWidth="1"/>
    <col min="40" max="40" width="11.33203125" style="192" customWidth="1"/>
    <col min="41" max="41" width="11.33203125" style="196" customWidth="1"/>
    <col min="42" max="43" width="11.33203125" style="192" customWidth="1"/>
    <col min="44" max="45" width="11.33203125" style="194" customWidth="1"/>
    <col min="46" max="46" width="30.6640625" style="192" customWidth="1"/>
    <col min="47" max="47" width="12.77734375" style="192" customWidth="1"/>
    <col min="48" max="48" width="12.33203125" style="192" customWidth="1"/>
    <col min="49" max="50" width="10.6640625" style="194"/>
    <col min="51" max="54" width="12.77734375" style="194" customWidth="1"/>
    <col min="55" max="55" width="13.77734375" style="194" customWidth="1"/>
    <col min="56" max="56" width="13.77734375" style="192" customWidth="1"/>
    <col min="57" max="62" width="16.77734375" style="192" customWidth="1"/>
    <col min="63" max="64" width="16.109375" style="192" customWidth="1"/>
    <col min="65" max="65" width="18.44140625" style="192" customWidth="1"/>
    <col min="66" max="66" width="18.44140625" style="219" customWidth="1"/>
    <col min="67" max="67" width="21.109375" style="192" customWidth="1"/>
    <col min="68" max="70" width="12.77734375" style="192" customWidth="1"/>
    <col min="71" max="71" width="28.6640625" style="192" customWidth="1"/>
    <col min="72" max="82" width="15.6640625" style="192" customWidth="1"/>
    <col min="83" max="84" width="10.6640625" style="219"/>
    <col min="85" max="88" width="10.6640625" style="192"/>
    <col min="89" max="89" width="20.77734375" style="192" customWidth="1"/>
    <col min="90" max="90" width="12.44140625" style="192" customWidth="1"/>
    <col min="91" max="98" width="12.44140625" style="195" customWidth="1"/>
    <col min="99" max="105" width="10.6640625" style="195"/>
    <col min="106" max="106" width="21.6640625" style="195" customWidth="1"/>
    <col min="107" max="16384" width="10.6640625" style="195"/>
  </cols>
  <sheetData>
    <row r="1" spans="1:106" s="186" customFormat="1" ht="57.75" customHeight="1" x14ac:dyDescent="0.3">
      <c r="A1" s="190" t="s">
        <v>841</v>
      </c>
      <c r="B1" s="177" t="s">
        <v>439</v>
      </c>
      <c r="C1" s="178" t="s">
        <v>312</v>
      </c>
      <c r="D1" s="178" t="s">
        <v>313</v>
      </c>
      <c r="E1" s="178" t="s">
        <v>314</v>
      </c>
      <c r="F1" s="178" t="s">
        <v>315</v>
      </c>
      <c r="G1" s="178" t="s">
        <v>316</v>
      </c>
      <c r="H1" s="178" t="s">
        <v>440</v>
      </c>
      <c r="I1" s="178" t="s">
        <v>317</v>
      </c>
      <c r="J1" s="178" t="s">
        <v>318</v>
      </c>
      <c r="K1" s="178" t="s">
        <v>368</v>
      </c>
      <c r="L1" s="178" t="s">
        <v>843</v>
      </c>
      <c r="M1" s="178" t="s">
        <v>396</v>
      </c>
      <c r="N1" s="178" t="s">
        <v>395</v>
      </c>
      <c r="O1" s="178" t="s">
        <v>397</v>
      </c>
      <c r="P1" s="178" t="s">
        <v>398</v>
      </c>
      <c r="Q1" s="179" t="s">
        <v>399</v>
      </c>
      <c r="R1" s="179" t="s">
        <v>441</v>
      </c>
      <c r="S1" s="179" t="s">
        <v>789</v>
      </c>
      <c r="T1" s="179" t="s">
        <v>400</v>
      </c>
      <c r="U1" s="179" t="s">
        <v>791</v>
      </c>
      <c r="V1" s="179" t="s">
        <v>401</v>
      </c>
      <c r="W1" s="179" t="s">
        <v>442</v>
      </c>
      <c r="X1" s="180" t="s">
        <v>875</v>
      </c>
      <c r="Y1" s="180" t="s">
        <v>876</v>
      </c>
      <c r="Z1" s="180" t="s">
        <v>877</v>
      </c>
      <c r="AA1" s="180" t="s">
        <v>443</v>
      </c>
      <c r="AB1" s="180" t="s">
        <v>402</v>
      </c>
      <c r="AC1" s="180" t="s">
        <v>403</v>
      </c>
      <c r="AD1" s="180" t="s">
        <v>404</v>
      </c>
      <c r="AE1" s="180" t="s">
        <v>405</v>
      </c>
      <c r="AF1" s="180" t="s">
        <v>406</v>
      </c>
      <c r="AG1" s="180" t="s">
        <v>407</v>
      </c>
      <c r="AH1" s="180" t="s">
        <v>408</v>
      </c>
      <c r="AI1" s="180" t="s">
        <v>409</v>
      </c>
      <c r="AJ1" s="180" t="s">
        <v>410</v>
      </c>
      <c r="AK1" s="180" t="s">
        <v>411</v>
      </c>
      <c r="AL1" s="180" t="s">
        <v>412</v>
      </c>
      <c r="AM1" s="180" t="s">
        <v>413</v>
      </c>
      <c r="AN1" s="180" t="s">
        <v>414</v>
      </c>
      <c r="AO1" s="180" t="s">
        <v>337</v>
      </c>
      <c r="AP1" s="180" t="s">
        <v>319</v>
      </c>
      <c r="AQ1" s="180" t="s">
        <v>787</v>
      </c>
      <c r="AR1" s="180" t="s">
        <v>338</v>
      </c>
      <c r="AS1" s="180" t="s">
        <v>827</v>
      </c>
      <c r="AT1" s="181" t="s">
        <v>368</v>
      </c>
      <c r="AU1" s="215" t="s">
        <v>1215</v>
      </c>
      <c r="AV1" s="215" t="s">
        <v>1216</v>
      </c>
      <c r="AW1" s="181" t="s">
        <v>415</v>
      </c>
      <c r="AX1" s="181" t="s">
        <v>416</v>
      </c>
      <c r="AY1" s="181" t="s">
        <v>339</v>
      </c>
      <c r="AZ1" s="181" t="s">
        <v>340</v>
      </c>
      <c r="BA1" s="181" t="s">
        <v>341</v>
      </c>
      <c r="BB1" s="181" t="s">
        <v>459</v>
      </c>
      <c r="BC1" s="181" t="s">
        <v>342</v>
      </c>
      <c r="BD1" s="181" t="s">
        <v>447</v>
      </c>
      <c r="BE1" s="181" t="s">
        <v>417</v>
      </c>
      <c r="BF1" s="181" t="s">
        <v>444</v>
      </c>
      <c r="BG1" s="181" t="s">
        <v>828</v>
      </c>
      <c r="BH1" s="181" t="s">
        <v>418</v>
      </c>
      <c r="BI1" s="181" t="s">
        <v>829</v>
      </c>
      <c r="BJ1" s="181" t="s">
        <v>446</v>
      </c>
      <c r="BK1" s="181" t="s">
        <v>445</v>
      </c>
      <c r="BL1" s="181" t="s">
        <v>830</v>
      </c>
      <c r="BM1" s="181" t="s">
        <v>419</v>
      </c>
      <c r="BN1" s="216" t="s">
        <v>420</v>
      </c>
      <c r="BO1" s="181" t="s">
        <v>421</v>
      </c>
      <c r="BP1" s="181" t="s">
        <v>422</v>
      </c>
      <c r="BQ1" s="181" t="s">
        <v>792</v>
      </c>
      <c r="BR1" s="181" t="s">
        <v>793</v>
      </c>
      <c r="BS1" s="181" t="s">
        <v>794</v>
      </c>
      <c r="BT1" s="181" t="s">
        <v>345</v>
      </c>
      <c r="BU1" s="181" t="s">
        <v>344</v>
      </c>
      <c r="BV1" s="181" t="s">
        <v>423</v>
      </c>
      <c r="BW1" s="181" t="s">
        <v>424</v>
      </c>
      <c r="BX1" s="181" t="s">
        <v>795</v>
      </c>
      <c r="BY1" s="181" t="s">
        <v>796</v>
      </c>
      <c r="BZ1" s="181" t="s">
        <v>797</v>
      </c>
      <c r="CA1" s="181" t="s">
        <v>394</v>
      </c>
      <c r="CB1" s="181" t="s">
        <v>798</v>
      </c>
      <c r="CC1" s="181" t="s">
        <v>425</v>
      </c>
      <c r="CD1" s="181" t="s">
        <v>426</v>
      </c>
      <c r="CE1" s="216" t="s">
        <v>427</v>
      </c>
      <c r="CF1" s="216" t="s">
        <v>428</v>
      </c>
      <c r="CG1" s="182" t="s">
        <v>429</v>
      </c>
      <c r="CH1" s="182" t="s">
        <v>430</v>
      </c>
      <c r="CI1" s="182" t="s">
        <v>431</v>
      </c>
      <c r="CJ1" s="182" t="s">
        <v>432</v>
      </c>
      <c r="CK1" s="182" t="s">
        <v>433</v>
      </c>
      <c r="CL1" s="182" t="s">
        <v>320</v>
      </c>
      <c r="CM1" s="182" t="s">
        <v>434</v>
      </c>
      <c r="CN1" s="183" t="s">
        <v>869</v>
      </c>
      <c r="CO1" s="183" t="s">
        <v>870</v>
      </c>
      <c r="CP1" s="182" t="s">
        <v>831</v>
      </c>
      <c r="CQ1" s="182" t="s">
        <v>871</v>
      </c>
      <c r="CR1" s="182" t="s">
        <v>799</v>
      </c>
      <c r="CS1" s="182" t="s">
        <v>800</v>
      </c>
      <c r="CT1" s="182" t="s">
        <v>801</v>
      </c>
      <c r="CU1" s="184" t="s">
        <v>435</v>
      </c>
      <c r="CV1" s="184" t="s">
        <v>436</v>
      </c>
      <c r="CW1" s="184" t="s">
        <v>437</v>
      </c>
      <c r="CX1" s="184" t="s">
        <v>438</v>
      </c>
      <c r="CY1" s="184" t="s">
        <v>840</v>
      </c>
      <c r="CZ1" s="184" t="s">
        <v>802</v>
      </c>
      <c r="DA1" s="185" t="s">
        <v>803</v>
      </c>
      <c r="DB1" s="189" t="s">
        <v>836</v>
      </c>
    </row>
    <row r="2" spans="1:106" s="188" customFormat="1" ht="54.75" customHeight="1" x14ac:dyDescent="0.3">
      <c r="A2" s="187" t="s">
        <v>838</v>
      </c>
      <c r="B2" s="187" t="s">
        <v>842</v>
      </c>
      <c r="C2" s="187" t="s">
        <v>907</v>
      </c>
      <c r="D2" s="187" t="s">
        <v>908</v>
      </c>
      <c r="E2" s="187" t="s">
        <v>909</v>
      </c>
      <c r="F2" s="187" t="s">
        <v>910</v>
      </c>
      <c r="G2" s="187" t="s">
        <v>910</v>
      </c>
      <c r="H2" s="187" t="s">
        <v>912</v>
      </c>
      <c r="I2" s="187" t="s">
        <v>913</v>
      </c>
      <c r="J2" s="187" t="s">
        <v>832</v>
      </c>
      <c r="K2" s="187" t="s">
        <v>911</v>
      </c>
      <c r="L2" s="187" t="s">
        <v>873</v>
      </c>
      <c r="M2" s="187" t="s">
        <v>914</v>
      </c>
      <c r="N2" s="187" t="s">
        <v>844</v>
      </c>
      <c r="O2" s="187" t="s">
        <v>845</v>
      </c>
      <c r="P2" s="187" t="s">
        <v>846</v>
      </c>
      <c r="Q2" s="187" t="s">
        <v>917</v>
      </c>
      <c r="R2" s="187" t="s">
        <v>916</v>
      </c>
      <c r="S2" s="187" t="s">
        <v>918</v>
      </c>
      <c r="T2" s="187" t="s">
        <v>874</v>
      </c>
      <c r="U2" s="187" t="s">
        <v>921</v>
      </c>
      <c r="V2" s="187" t="s">
        <v>859</v>
      </c>
      <c r="W2" s="187" t="s">
        <v>923</v>
      </c>
      <c r="X2" s="187" t="s">
        <v>999</v>
      </c>
      <c r="Y2" s="187" t="s">
        <v>878</v>
      </c>
      <c r="Z2" s="187" t="s">
        <v>860</v>
      </c>
      <c r="AA2" s="187" t="s">
        <v>847</v>
      </c>
      <c r="AB2" s="187" t="s">
        <v>848</v>
      </c>
      <c r="AC2" s="187" t="s">
        <v>849</v>
      </c>
      <c r="AD2" s="187" t="s">
        <v>927</v>
      </c>
      <c r="AE2" s="187" t="s">
        <v>879</v>
      </c>
      <c r="AF2" s="187" t="s">
        <v>1000</v>
      </c>
      <c r="AG2" s="187" t="s">
        <v>930</v>
      </c>
      <c r="AH2" s="187" t="s">
        <v>932</v>
      </c>
      <c r="AI2" s="187" t="s">
        <v>934</v>
      </c>
      <c r="AJ2" s="187" t="s">
        <v>936</v>
      </c>
      <c r="AK2" s="187" t="s">
        <v>938</v>
      </c>
      <c r="AL2" s="187" t="s">
        <v>941</v>
      </c>
      <c r="AM2" s="202" t="s">
        <v>1001</v>
      </c>
      <c r="AN2" s="187" t="s">
        <v>861</v>
      </c>
      <c r="AO2" s="187" t="s">
        <v>804</v>
      </c>
      <c r="AP2" s="187" t="s">
        <v>888</v>
      </c>
      <c r="AQ2" s="187" t="s">
        <v>361</v>
      </c>
      <c r="AR2" s="187" t="s">
        <v>889</v>
      </c>
      <c r="AS2" s="187" t="s">
        <v>1002</v>
      </c>
      <c r="AT2" s="187" t="s">
        <v>360</v>
      </c>
      <c r="AU2" s="187"/>
      <c r="AV2" s="187"/>
      <c r="AW2" s="187" t="s">
        <v>850</v>
      </c>
      <c r="AX2" s="187" t="s">
        <v>880</v>
      </c>
      <c r="AY2" s="187" t="s">
        <v>851</v>
      </c>
      <c r="AZ2" s="187" t="s">
        <v>881</v>
      </c>
      <c r="BA2" s="187" t="s">
        <v>852</v>
      </c>
      <c r="BB2" s="187" t="s">
        <v>853</v>
      </c>
      <c r="BC2" s="187" t="s">
        <v>853</v>
      </c>
      <c r="BD2" s="187" t="s">
        <v>854</v>
      </c>
      <c r="BE2" s="187" t="s">
        <v>856</v>
      </c>
      <c r="BF2" s="187" t="s">
        <v>882</v>
      </c>
      <c r="BG2" s="202" t="s">
        <v>1003</v>
      </c>
      <c r="BH2" s="187" t="s">
        <v>883</v>
      </c>
      <c r="BI2" s="187" t="s">
        <v>945</v>
      </c>
      <c r="BJ2" s="187" t="s">
        <v>855</v>
      </c>
      <c r="BK2" s="187" t="s">
        <v>884</v>
      </c>
      <c r="BL2" s="187" t="s">
        <v>947</v>
      </c>
      <c r="BM2" s="187" t="s">
        <v>949</v>
      </c>
      <c r="BN2" s="217" t="s">
        <v>1004</v>
      </c>
      <c r="BO2" s="202" t="s">
        <v>1005</v>
      </c>
      <c r="BP2" s="187" t="s">
        <v>885</v>
      </c>
      <c r="BQ2" s="187" t="s">
        <v>886</v>
      </c>
      <c r="BR2" s="202" t="s">
        <v>1009</v>
      </c>
      <c r="BS2" s="202" t="s">
        <v>1007</v>
      </c>
      <c r="BT2" s="187" t="s">
        <v>957</v>
      </c>
      <c r="BU2" s="187" t="s">
        <v>857</v>
      </c>
      <c r="BV2" s="187" t="s">
        <v>960</v>
      </c>
      <c r="BW2" s="187" t="s">
        <v>858</v>
      </c>
      <c r="BX2" s="187" t="s">
        <v>961</v>
      </c>
      <c r="BY2" s="187" t="s">
        <v>862</v>
      </c>
      <c r="BZ2" s="187" t="s">
        <v>964</v>
      </c>
      <c r="CA2" s="187" t="s">
        <v>890</v>
      </c>
      <c r="CB2" s="187" t="s">
        <v>965</v>
      </c>
      <c r="CC2" s="202" t="s">
        <v>1008</v>
      </c>
      <c r="CD2" s="187" t="s">
        <v>968</v>
      </c>
      <c r="CE2" s="217" t="s">
        <v>863</v>
      </c>
      <c r="CF2" s="217" t="s">
        <v>887</v>
      </c>
      <c r="CG2" s="187" t="s">
        <v>864</v>
      </c>
      <c r="CH2" s="187" t="s">
        <v>865</v>
      </c>
      <c r="CI2" s="187" t="s">
        <v>891</v>
      </c>
      <c r="CJ2" s="187" t="s">
        <v>892</v>
      </c>
      <c r="CK2" s="187" t="s">
        <v>995</v>
      </c>
      <c r="CL2" s="187" t="s">
        <v>867</v>
      </c>
      <c r="CM2" s="187" t="s">
        <v>866</v>
      </c>
      <c r="CN2" s="187" t="s">
        <v>973</v>
      </c>
      <c r="CO2" s="187" t="s">
        <v>868</v>
      </c>
      <c r="CP2" s="187" t="s">
        <v>976</v>
      </c>
      <c r="CQ2" s="187" t="s">
        <v>978</v>
      </c>
      <c r="CR2" s="187" t="s">
        <v>872</v>
      </c>
      <c r="CS2" s="187" t="s">
        <v>981</v>
      </c>
      <c r="CT2" s="187" t="s">
        <v>982</v>
      </c>
      <c r="CU2" s="187" t="s">
        <v>893</v>
      </c>
      <c r="CV2" s="187" t="s">
        <v>992</v>
      </c>
      <c r="CW2" s="187" t="s">
        <v>894</v>
      </c>
      <c r="CX2" s="187" t="s">
        <v>895</v>
      </c>
      <c r="CY2" s="187" t="s">
        <v>896</v>
      </c>
      <c r="CZ2" s="187" t="s">
        <v>988</v>
      </c>
      <c r="DA2" s="187" t="s">
        <v>805</v>
      </c>
      <c r="DB2" s="187" t="s">
        <v>362</v>
      </c>
    </row>
    <row r="3" spans="1:106" s="200" customFormat="1" ht="29.25" customHeight="1" x14ac:dyDescent="0.3">
      <c r="A3" s="197" t="s">
        <v>336</v>
      </c>
      <c r="B3" s="198" t="s">
        <v>8</v>
      </c>
      <c r="C3" s="198" t="s">
        <v>9</v>
      </c>
      <c r="D3" s="198" t="s">
        <v>11</v>
      </c>
      <c r="E3" s="198" t="s">
        <v>2</v>
      </c>
      <c r="F3" s="198" t="s">
        <v>10</v>
      </c>
      <c r="G3" s="198" t="s">
        <v>3</v>
      </c>
      <c r="H3" s="198" t="s">
        <v>4</v>
      </c>
      <c r="I3" s="198" t="s">
        <v>12</v>
      </c>
      <c r="J3" s="198" t="s">
        <v>13</v>
      </c>
      <c r="K3" s="197" t="s">
        <v>336</v>
      </c>
      <c r="L3" s="197" t="s">
        <v>336</v>
      </c>
      <c r="M3" s="197" t="s">
        <v>336</v>
      </c>
      <c r="N3" s="198" t="s">
        <v>201</v>
      </c>
      <c r="O3" s="198" t="s">
        <v>306</v>
      </c>
      <c r="P3" s="198" t="s">
        <v>308</v>
      </c>
      <c r="Q3" s="198" t="s">
        <v>201</v>
      </c>
      <c r="R3" s="198" t="s">
        <v>200</v>
      </c>
      <c r="S3" s="198" t="s">
        <v>202</v>
      </c>
      <c r="T3" s="198" t="s">
        <v>252</v>
      </c>
      <c r="U3" s="198" t="s">
        <v>125</v>
      </c>
      <c r="V3" s="198" t="s">
        <v>228</v>
      </c>
      <c r="W3" s="198" t="s">
        <v>123</v>
      </c>
      <c r="X3" s="198" t="s">
        <v>249</v>
      </c>
      <c r="Y3" s="199" t="s">
        <v>328</v>
      </c>
      <c r="Z3" s="199" t="s">
        <v>76</v>
      </c>
      <c r="AA3" s="198" t="s">
        <v>199</v>
      </c>
      <c r="AB3" s="198" t="s">
        <v>195</v>
      </c>
      <c r="AC3" s="198" t="s">
        <v>198</v>
      </c>
      <c r="AD3" s="198" t="s">
        <v>197</v>
      </c>
      <c r="AE3" s="198" t="s">
        <v>56</v>
      </c>
      <c r="AF3" s="198" t="s">
        <v>57</v>
      </c>
      <c r="AG3" s="198" t="s">
        <v>203</v>
      </c>
      <c r="AH3" s="198" t="s">
        <v>209</v>
      </c>
      <c r="AI3" s="198" t="s">
        <v>206</v>
      </c>
      <c r="AJ3" s="198" t="s">
        <v>226</v>
      </c>
      <c r="AK3" s="198" t="s">
        <v>246</v>
      </c>
      <c r="AL3" s="198" t="s">
        <v>244</v>
      </c>
      <c r="AM3" s="197" t="s">
        <v>336</v>
      </c>
      <c r="AN3" s="197" t="s">
        <v>336</v>
      </c>
      <c r="AO3" s="198" t="s">
        <v>205</v>
      </c>
      <c r="AP3" s="197" t="s">
        <v>336</v>
      </c>
      <c r="AQ3" s="197" t="s">
        <v>336</v>
      </c>
      <c r="AR3" s="197" t="s">
        <v>336</v>
      </c>
      <c r="AS3" s="197" t="s">
        <v>336</v>
      </c>
      <c r="AT3" s="197" t="s">
        <v>336</v>
      </c>
      <c r="AU3" s="197"/>
      <c r="AV3" s="197"/>
      <c r="AW3" s="199" t="s">
        <v>49</v>
      </c>
      <c r="AX3" s="199" t="s">
        <v>26</v>
      </c>
      <c r="AY3" s="199" t="s">
        <v>177</v>
      </c>
      <c r="AZ3" s="199" t="s">
        <v>111</v>
      </c>
      <c r="BA3" s="197" t="s">
        <v>336</v>
      </c>
      <c r="BB3" s="197" t="s">
        <v>336</v>
      </c>
      <c r="BC3" s="197" t="s">
        <v>336</v>
      </c>
      <c r="BD3" s="197" t="s">
        <v>336</v>
      </c>
      <c r="BE3" s="199" t="s">
        <v>169</v>
      </c>
      <c r="BF3" s="199" t="s">
        <v>170</v>
      </c>
      <c r="BG3" s="199" t="s">
        <v>73</v>
      </c>
      <c r="BH3" s="199" t="s">
        <v>74</v>
      </c>
      <c r="BI3" s="199" t="s">
        <v>75</v>
      </c>
      <c r="BJ3" s="199" t="s">
        <v>171</v>
      </c>
      <c r="BK3" s="199" t="s">
        <v>172</v>
      </c>
      <c r="BL3" s="199" t="s">
        <v>173</v>
      </c>
      <c r="BM3" s="198" t="s">
        <v>207</v>
      </c>
      <c r="BN3" s="140" t="s">
        <v>227</v>
      </c>
      <c r="BO3" s="198" t="s">
        <v>264</v>
      </c>
      <c r="BP3" s="198" t="s">
        <v>266</v>
      </c>
      <c r="BQ3" s="199" t="s">
        <v>267</v>
      </c>
      <c r="BR3" s="199" t="s">
        <v>268</v>
      </c>
      <c r="BS3" s="199" t="s">
        <v>269</v>
      </c>
      <c r="BT3" s="198" t="s">
        <v>122</v>
      </c>
      <c r="BU3" s="198" t="s">
        <v>179</v>
      </c>
      <c r="BV3" s="198" t="s">
        <v>208</v>
      </c>
      <c r="BW3" s="198" t="s">
        <v>44</v>
      </c>
      <c r="BX3" s="198" t="s">
        <v>204</v>
      </c>
      <c r="BY3" s="198" t="s">
        <v>86</v>
      </c>
      <c r="BZ3" s="198" t="s">
        <v>85</v>
      </c>
      <c r="CA3" s="198" t="s">
        <v>98</v>
      </c>
      <c r="CB3" s="198" t="s">
        <v>97</v>
      </c>
      <c r="CC3" s="198" t="s">
        <v>276</v>
      </c>
      <c r="CD3" s="198" t="s">
        <v>279</v>
      </c>
      <c r="CE3" s="140" t="s">
        <v>214</v>
      </c>
      <c r="CF3" s="140" t="s">
        <v>215</v>
      </c>
      <c r="CG3" s="198" t="s">
        <v>213</v>
      </c>
      <c r="CH3" s="198" t="s">
        <v>211</v>
      </c>
      <c r="CI3" s="199" t="s">
        <v>212</v>
      </c>
      <c r="CJ3" s="199" t="s">
        <v>218</v>
      </c>
      <c r="CK3" s="198" t="s">
        <v>220</v>
      </c>
      <c r="CL3" s="198" t="s">
        <v>210</v>
      </c>
      <c r="CM3" s="198" t="s">
        <v>229</v>
      </c>
      <c r="CN3" s="197" t="s">
        <v>336</v>
      </c>
      <c r="CO3" s="197" t="s">
        <v>336</v>
      </c>
      <c r="CP3" s="197" t="s">
        <v>336</v>
      </c>
      <c r="CQ3" s="198" t="s">
        <v>806</v>
      </c>
      <c r="CR3" s="198" t="s">
        <v>225</v>
      </c>
      <c r="CS3" s="198" t="s">
        <v>788</v>
      </c>
      <c r="CT3" s="198" t="s">
        <v>222</v>
      </c>
      <c r="CU3" s="197" t="s">
        <v>336</v>
      </c>
      <c r="CV3" s="197" t="s">
        <v>336</v>
      </c>
      <c r="CW3" s="197" t="s">
        <v>336</v>
      </c>
      <c r="CX3" s="197" t="s">
        <v>336</v>
      </c>
      <c r="CY3" s="197" t="s">
        <v>336</v>
      </c>
      <c r="CZ3" s="197" t="s">
        <v>336</v>
      </c>
      <c r="DA3" s="197" t="s">
        <v>336</v>
      </c>
      <c r="DB3" s="197" t="s">
        <v>336</v>
      </c>
    </row>
    <row r="4" spans="1:106" s="200" customFormat="1" ht="29.25" customHeight="1" x14ac:dyDescent="0.3">
      <c r="A4" s="199" t="s">
        <v>839</v>
      </c>
      <c r="B4" s="199" t="s">
        <v>837</v>
      </c>
      <c r="C4" s="199" t="s">
        <v>324</v>
      </c>
      <c r="D4" s="199" t="s">
        <v>324</v>
      </c>
      <c r="E4" s="199" t="s">
        <v>324</v>
      </c>
      <c r="F4" s="199" t="s">
        <v>324</v>
      </c>
      <c r="G4" s="199" t="s">
        <v>324</v>
      </c>
      <c r="H4" s="199" t="s">
        <v>324</v>
      </c>
      <c r="I4" s="199" t="s">
        <v>324</v>
      </c>
      <c r="J4" s="199" t="s">
        <v>324</v>
      </c>
      <c r="K4" s="199" t="s">
        <v>839</v>
      </c>
      <c r="L4" s="199" t="s">
        <v>839</v>
      </c>
      <c r="M4" s="199" t="s">
        <v>839</v>
      </c>
      <c r="N4" s="199" t="s">
        <v>325</v>
      </c>
      <c r="O4" s="199" t="s">
        <v>325</v>
      </c>
      <c r="P4" s="199" t="s">
        <v>325</v>
      </c>
      <c r="Q4" s="199" t="s">
        <v>326</v>
      </c>
      <c r="R4" s="199" t="s">
        <v>326</v>
      </c>
      <c r="S4" s="199" t="s">
        <v>326</v>
      </c>
      <c r="T4" s="199" t="s">
        <v>332</v>
      </c>
      <c r="U4" s="199" t="s">
        <v>329</v>
      </c>
      <c r="V4" s="199" t="s">
        <v>343</v>
      </c>
      <c r="W4" s="199" t="s">
        <v>329</v>
      </c>
      <c r="X4" s="199" t="s">
        <v>327</v>
      </c>
      <c r="Y4" s="199" t="s">
        <v>327</v>
      </c>
      <c r="Z4" s="199" t="s">
        <v>329</v>
      </c>
      <c r="AA4" s="199" t="s">
        <v>330</v>
      </c>
      <c r="AB4" s="199" t="s">
        <v>330</v>
      </c>
      <c r="AC4" s="199" t="s">
        <v>330</v>
      </c>
      <c r="AD4" s="199" t="s">
        <v>330</v>
      </c>
      <c r="AE4" s="199" t="s">
        <v>329</v>
      </c>
      <c r="AF4" s="199" t="s">
        <v>329</v>
      </c>
      <c r="AG4" s="199" t="s">
        <v>343</v>
      </c>
      <c r="AH4" s="199" t="s">
        <v>343</v>
      </c>
      <c r="AI4" s="199" t="s">
        <v>343</v>
      </c>
      <c r="AJ4" s="199" t="s">
        <v>343</v>
      </c>
      <c r="AK4" s="199" t="s">
        <v>331</v>
      </c>
      <c r="AL4" s="199" t="s">
        <v>331</v>
      </c>
      <c r="AM4" s="199" t="s">
        <v>839</v>
      </c>
      <c r="AN4" s="199" t="s">
        <v>839</v>
      </c>
      <c r="AO4" s="199" t="s">
        <v>343</v>
      </c>
      <c r="AP4" s="199" t="s">
        <v>839</v>
      </c>
      <c r="AQ4" s="199" t="s">
        <v>839</v>
      </c>
      <c r="AR4" s="199" t="s">
        <v>839</v>
      </c>
      <c r="AS4" s="199" t="s">
        <v>839</v>
      </c>
      <c r="AT4" s="199" t="s">
        <v>839</v>
      </c>
      <c r="AU4" s="199"/>
      <c r="AV4" s="199"/>
      <c r="AW4" s="199" t="s">
        <v>329</v>
      </c>
      <c r="AX4" s="199" t="s">
        <v>329</v>
      </c>
      <c r="AY4" s="199" t="s">
        <v>329</v>
      </c>
      <c r="AZ4" s="199" t="s">
        <v>329</v>
      </c>
      <c r="BA4" s="199" t="s">
        <v>839</v>
      </c>
      <c r="BB4" s="199" t="s">
        <v>839</v>
      </c>
      <c r="BC4" s="199" t="s">
        <v>839</v>
      </c>
      <c r="BD4" s="199" t="s">
        <v>839</v>
      </c>
      <c r="BE4" s="199" t="s">
        <v>329</v>
      </c>
      <c r="BF4" s="199" t="s">
        <v>329</v>
      </c>
      <c r="BG4" s="199" t="s">
        <v>329</v>
      </c>
      <c r="BH4" s="199" t="s">
        <v>329</v>
      </c>
      <c r="BI4" s="199" t="s">
        <v>329</v>
      </c>
      <c r="BJ4" s="199" t="s">
        <v>329</v>
      </c>
      <c r="BK4" s="199" t="s">
        <v>329</v>
      </c>
      <c r="BL4" s="199" t="s">
        <v>329</v>
      </c>
      <c r="BM4" s="199" t="s">
        <v>343</v>
      </c>
      <c r="BN4" s="140" t="s">
        <v>343</v>
      </c>
      <c r="BO4" s="199" t="s">
        <v>333</v>
      </c>
      <c r="BP4" s="199" t="s">
        <v>333</v>
      </c>
      <c r="BQ4" s="199" t="s">
        <v>333</v>
      </c>
      <c r="BR4" s="199" t="s">
        <v>333</v>
      </c>
      <c r="BS4" s="199" t="s">
        <v>333</v>
      </c>
      <c r="BT4" s="199" t="s">
        <v>329</v>
      </c>
      <c r="BU4" s="199" t="s">
        <v>329</v>
      </c>
      <c r="BV4" s="199" t="s">
        <v>343</v>
      </c>
      <c r="BW4" s="199" t="s">
        <v>329</v>
      </c>
      <c r="BX4" s="199" t="s">
        <v>343</v>
      </c>
      <c r="BY4" s="199" t="s">
        <v>329</v>
      </c>
      <c r="BZ4" s="199" t="s">
        <v>329</v>
      </c>
      <c r="CA4" s="199" t="s">
        <v>329</v>
      </c>
      <c r="CB4" s="199" t="s">
        <v>329</v>
      </c>
      <c r="CC4" s="199" t="s">
        <v>334</v>
      </c>
      <c r="CD4" s="201" t="s">
        <v>1006</v>
      </c>
      <c r="CE4" s="140" t="s">
        <v>343</v>
      </c>
      <c r="CF4" s="140" t="s">
        <v>343</v>
      </c>
      <c r="CG4" s="199" t="s">
        <v>343</v>
      </c>
      <c r="CH4" s="199" t="s">
        <v>343</v>
      </c>
      <c r="CI4" s="199" t="s">
        <v>343</v>
      </c>
      <c r="CJ4" s="199" t="s">
        <v>343</v>
      </c>
      <c r="CK4" s="199" t="s">
        <v>343</v>
      </c>
      <c r="CL4" s="199" t="s">
        <v>343</v>
      </c>
      <c r="CM4" s="199" t="s">
        <v>343</v>
      </c>
      <c r="CN4" s="199" t="s">
        <v>839</v>
      </c>
      <c r="CO4" s="199" t="s">
        <v>839</v>
      </c>
      <c r="CP4" s="199" t="s">
        <v>839</v>
      </c>
      <c r="CQ4" s="199" t="s">
        <v>343</v>
      </c>
      <c r="CR4" s="199" t="s">
        <v>343</v>
      </c>
      <c r="CS4" s="199" t="s">
        <v>343</v>
      </c>
      <c r="CT4" s="199" t="s">
        <v>343</v>
      </c>
      <c r="CU4" s="199" t="s">
        <v>839</v>
      </c>
      <c r="CV4" s="199" t="s">
        <v>839</v>
      </c>
      <c r="CW4" s="199" t="s">
        <v>839</v>
      </c>
      <c r="CX4" s="199" t="s">
        <v>839</v>
      </c>
      <c r="CY4" s="199" t="s">
        <v>839</v>
      </c>
      <c r="CZ4" s="199" t="s">
        <v>839</v>
      </c>
      <c r="DA4" s="199" t="s">
        <v>839</v>
      </c>
      <c r="DB4" s="199" t="s">
        <v>839</v>
      </c>
    </row>
    <row r="5" spans="1:106" s="205" customFormat="1" ht="29.25" customHeight="1" x14ac:dyDescent="0.3">
      <c r="A5" s="206" t="s">
        <v>1011</v>
      </c>
      <c r="B5" s="206" t="s">
        <v>997</v>
      </c>
      <c r="C5" s="206" t="s">
        <v>905</v>
      </c>
      <c r="D5" s="206" t="s">
        <v>906</v>
      </c>
      <c r="E5" s="206" t="s">
        <v>1053</v>
      </c>
      <c r="F5" s="205" t="s">
        <v>1104</v>
      </c>
      <c r="G5" s="206" t="s">
        <v>1012</v>
      </c>
      <c r="H5" s="206" t="s">
        <v>1013</v>
      </c>
      <c r="I5" s="206" t="s">
        <v>1014</v>
      </c>
      <c r="J5" s="206" t="s">
        <v>1051</v>
      </c>
      <c r="K5" s="206" t="s">
        <v>1015</v>
      </c>
      <c r="L5" s="207" t="s">
        <v>1052</v>
      </c>
      <c r="M5" s="206" t="s">
        <v>1016</v>
      </c>
      <c r="N5" s="206" t="s">
        <v>1043</v>
      </c>
      <c r="O5" s="206" t="s">
        <v>1017</v>
      </c>
      <c r="P5" s="206" t="s">
        <v>1018</v>
      </c>
      <c r="Q5" s="206" t="s">
        <v>785</v>
      </c>
      <c r="R5" s="206" t="s">
        <v>785</v>
      </c>
      <c r="S5" s="206" t="s">
        <v>785</v>
      </c>
      <c r="T5" s="206" t="s">
        <v>785</v>
      </c>
      <c r="U5" s="206" t="s">
        <v>919</v>
      </c>
      <c r="V5" s="206" t="s">
        <v>922</v>
      </c>
      <c r="W5" s="206" t="s">
        <v>924</v>
      </c>
      <c r="X5" s="206" t="s">
        <v>1029</v>
      </c>
      <c r="Y5" s="206" t="s">
        <v>1030</v>
      </c>
      <c r="Z5" s="206" t="s">
        <v>1112</v>
      </c>
      <c r="AA5" s="206" t="s">
        <v>925</v>
      </c>
      <c r="AB5" s="206" t="s">
        <v>193</v>
      </c>
      <c r="AC5" s="206" t="s">
        <v>926</v>
      </c>
      <c r="AD5" s="206" t="s">
        <v>928</v>
      </c>
      <c r="AE5" s="206" t="s">
        <v>929</v>
      </c>
      <c r="AF5" s="206" t="s">
        <v>1021</v>
      </c>
      <c r="AG5" s="206" t="s">
        <v>931</v>
      </c>
      <c r="AH5" s="206" t="s">
        <v>1337</v>
      </c>
      <c r="AI5" s="206" t="s">
        <v>935</v>
      </c>
      <c r="AJ5" s="206" t="s">
        <v>937</v>
      </c>
      <c r="AK5" s="206" t="s">
        <v>939</v>
      </c>
      <c r="AL5" s="206" t="s">
        <v>1022</v>
      </c>
      <c r="AM5" s="206" t="s">
        <v>1111</v>
      </c>
      <c r="AN5" s="206" t="s">
        <v>1359</v>
      </c>
      <c r="AO5" s="208" t="str">
        <f>CONCATENATE(AM5," ",AN5)</f>
        <v>La especie ocurre en hábitats de bosques húmedos en tierras bajas (elevación menor a 1.000 msnm), y en bosques de tierras altas (elevación mayor a 1000 msnm) (Sanín et at. 2023). La especie está fertil todo el año (Sanín et at. 2023), y posiblemente es dispersada por viento. No se cuenta con información publicada sobre la ecología de la especie. El área de hábitat calculada tiene un valor de 124.866 km2.</v>
      </c>
      <c r="AP5" s="206" t="s">
        <v>1023</v>
      </c>
      <c r="AQ5" s="214" t="s">
        <v>1024</v>
      </c>
      <c r="AR5" s="231">
        <v>5000</v>
      </c>
      <c r="AS5" s="209">
        <v>0.1</v>
      </c>
      <c r="AT5" s="206" t="s">
        <v>1015</v>
      </c>
      <c r="AU5" s="209">
        <v>215215</v>
      </c>
      <c r="AV5" s="209">
        <v>368</v>
      </c>
      <c r="AW5" s="205" t="s">
        <v>1219</v>
      </c>
      <c r="AX5" s="205" t="s">
        <v>1220</v>
      </c>
      <c r="AY5" s="209">
        <v>52</v>
      </c>
      <c r="AZ5" s="209">
        <v>69</v>
      </c>
      <c r="BA5" s="209"/>
      <c r="BB5" s="209"/>
      <c r="BC5" s="209"/>
      <c r="BD5" s="206"/>
      <c r="BE5" s="206"/>
      <c r="BF5" s="206"/>
      <c r="BG5" s="206"/>
      <c r="BH5" s="206" t="s">
        <v>1389</v>
      </c>
      <c r="BI5" s="206" t="s">
        <v>946</v>
      </c>
      <c r="BJ5" s="206" t="s">
        <v>14</v>
      </c>
      <c r="BK5" s="206" t="s">
        <v>948</v>
      </c>
      <c r="BL5" s="206" t="s">
        <v>946</v>
      </c>
      <c r="BM5" s="206" t="s">
        <v>950</v>
      </c>
      <c r="BN5" s="214" t="s">
        <v>951</v>
      </c>
      <c r="BO5" s="206" t="s">
        <v>952</v>
      </c>
      <c r="BP5" s="206" t="s">
        <v>953</v>
      </c>
      <c r="BQ5" s="206" t="s">
        <v>954</v>
      </c>
      <c r="BR5" s="206" t="s">
        <v>955</v>
      </c>
      <c r="BS5" s="206" t="s">
        <v>956</v>
      </c>
      <c r="BT5" s="206" t="s">
        <v>920</v>
      </c>
      <c r="BU5" s="206" t="s">
        <v>920</v>
      </c>
      <c r="BV5" s="206" t="s">
        <v>958</v>
      </c>
      <c r="BW5" s="206" t="s">
        <v>946</v>
      </c>
      <c r="BX5" s="206" t="s">
        <v>1390</v>
      </c>
      <c r="BY5" s="206" t="s">
        <v>14</v>
      </c>
      <c r="BZ5" s="206" t="s">
        <v>1399</v>
      </c>
      <c r="CA5" s="206" t="s">
        <v>924</v>
      </c>
      <c r="CB5" s="206" t="s">
        <v>785</v>
      </c>
      <c r="CC5" s="206" t="s">
        <v>966</v>
      </c>
      <c r="CD5" s="205" t="s">
        <v>967</v>
      </c>
      <c r="CE5" s="214" t="s">
        <v>969</v>
      </c>
      <c r="CF5" s="214" t="s">
        <v>970</v>
      </c>
      <c r="CG5" s="206" t="s">
        <v>919</v>
      </c>
      <c r="CH5" s="206" t="s">
        <v>971</v>
      </c>
      <c r="CI5" s="206" t="s">
        <v>785</v>
      </c>
      <c r="CJ5" s="206" t="s">
        <v>785</v>
      </c>
      <c r="CK5" s="206" t="s">
        <v>994</v>
      </c>
      <c r="CL5" s="206" t="s">
        <v>972</v>
      </c>
      <c r="CM5" s="205" t="s">
        <v>915</v>
      </c>
      <c r="CN5" s="206" t="s">
        <v>974</v>
      </c>
      <c r="CO5" s="206" t="s">
        <v>975</v>
      </c>
      <c r="CP5" s="206" t="s">
        <v>977</v>
      </c>
      <c r="CQ5" s="206" t="s">
        <v>979</v>
      </c>
      <c r="CR5" s="206" t="s">
        <v>980</v>
      </c>
      <c r="CS5" s="206" t="s">
        <v>785</v>
      </c>
      <c r="CT5" s="206" t="s">
        <v>983</v>
      </c>
      <c r="CU5" s="206" t="s">
        <v>993</v>
      </c>
      <c r="CV5" s="206" t="s">
        <v>991</v>
      </c>
      <c r="CW5" s="206" t="s">
        <v>990</v>
      </c>
      <c r="CX5" s="206" t="s">
        <v>989</v>
      </c>
      <c r="CY5" s="206" t="s">
        <v>987</v>
      </c>
      <c r="CZ5" s="206" t="s">
        <v>986</v>
      </c>
      <c r="DA5" s="206" t="s">
        <v>985</v>
      </c>
      <c r="DB5" s="206" t="s">
        <v>984</v>
      </c>
    </row>
    <row r="6" spans="1:106" s="220" customFormat="1" ht="29.25" customHeight="1" x14ac:dyDescent="0.3">
      <c r="A6" s="220" t="s">
        <v>1011</v>
      </c>
      <c r="B6" s="220" t="s">
        <v>998</v>
      </c>
      <c r="C6" s="220" t="s">
        <v>905</v>
      </c>
      <c r="D6" s="220" t="s">
        <v>906</v>
      </c>
      <c r="E6" s="220" t="s">
        <v>1053</v>
      </c>
      <c r="F6" s="220" t="s">
        <v>1104</v>
      </c>
      <c r="G6" s="220" t="s">
        <v>1012</v>
      </c>
      <c r="H6" s="220" t="s">
        <v>1013</v>
      </c>
      <c r="I6" s="220" t="s">
        <v>1025</v>
      </c>
      <c r="J6" s="220" t="s">
        <v>1031</v>
      </c>
      <c r="K6" s="220" t="s">
        <v>1028</v>
      </c>
      <c r="L6" s="220" t="s">
        <v>1054</v>
      </c>
      <c r="M6" s="220" t="s">
        <v>785</v>
      </c>
      <c r="N6" s="220" t="s">
        <v>785</v>
      </c>
      <c r="O6" s="220" t="s">
        <v>785</v>
      </c>
      <c r="P6" s="220" t="s">
        <v>785</v>
      </c>
      <c r="Q6" s="220" t="s">
        <v>785</v>
      </c>
      <c r="R6" s="220" t="s">
        <v>785</v>
      </c>
      <c r="S6" s="220" t="s">
        <v>785</v>
      </c>
      <c r="T6" s="220" t="s">
        <v>785</v>
      </c>
      <c r="U6" s="220" t="s">
        <v>919</v>
      </c>
      <c r="V6" s="220" t="s">
        <v>922</v>
      </c>
      <c r="W6" s="220" t="s">
        <v>924</v>
      </c>
      <c r="X6" s="220" t="s">
        <v>1019</v>
      </c>
      <c r="Y6" s="220" t="s">
        <v>1020</v>
      </c>
      <c r="Z6" s="220" t="s">
        <v>1144</v>
      </c>
      <c r="AA6" s="220" t="s">
        <v>925</v>
      </c>
      <c r="AB6" s="220" t="s">
        <v>193</v>
      </c>
      <c r="AC6" s="220" t="s">
        <v>926</v>
      </c>
      <c r="AD6" s="220" t="s">
        <v>928</v>
      </c>
      <c r="AE6" s="220" t="s">
        <v>1026</v>
      </c>
      <c r="AF6" s="220" t="s">
        <v>1027</v>
      </c>
      <c r="AG6" s="220" t="s">
        <v>931</v>
      </c>
      <c r="AH6" s="220" t="s">
        <v>1332</v>
      </c>
      <c r="AI6" s="220" t="s">
        <v>935</v>
      </c>
      <c r="AJ6" s="220" t="s">
        <v>937</v>
      </c>
      <c r="AK6" s="220" t="s">
        <v>939</v>
      </c>
      <c r="AL6" s="220" t="s">
        <v>940</v>
      </c>
      <c r="AM6" s="220" t="s">
        <v>942</v>
      </c>
      <c r="AN6" s="220" t="s">
        <v>1360</v>
      </c>
      <c r="AO6" s="221" t="str">
        <f>CONCATENATE(AM6," ",AN6)</f>
        <v>La especie ocurre en hábitats de bosques húmedos en tierras bajas (elevación menor a 1.000 msnm). La especie está fértil en enero, marzo, abril, julio, octubre y diciembre (Sanín et at. 2023), y posiblemente es dispersada por viento. No se cuenta con información publicada sobre la ecología de la especie. El área de hábitat calculada tiene un valor de 664 km2.</v>
      </c>
      <c r="AP6" s="220" t="s">
        <v>1023</v>
      </c>
      <c r="AR6" s="222">
        <v>50</v>
      </c>
      <c r="AS6" s="222">
        <v>150</v>
      </c>
      <c r="AT6" s="220" t="s">
        <v>1028</v>
      </c>
      <c r="AU6" s="222">
        <v>3200</v>
      </c>
      <c r="AV6" s="222">
        <v>36</v>
      </c>
      <c r="AW6" s="220" t="s">
        <v>1331</v>
      </c>
      <c r="AX6" s="220" t="s">
        <v>1095</v>
      </c>
      <c r="AY6" s="220" t="s">
        <v>1066</v>
      </c>
      <c r="AZ6" s="222">
        <v>6</v>
      </c>
      <c r="BA6" s="222">
        <v>33</v>
      </c>
      <c r="BB6" s="222">
        <v>0</v>
      </c>
      <c r="BC6" s="222">
        <v>53</v>
      </c>
      <c r="BD6" s="220" t="s">
        <v>924</v>
      </c>
      <c r="BE6" s="220" t="s">
        <v>924</v>
      </c>
      <c r="BF6" s="222" t="s">
        <v>785</v>
      </c>
      <c r="BG6" s="220" t="s">
        <v>14</v>
      </c>
      <c r="BH6" s="220" t="s">
        <v>1336</v>
      </c>
      <c r="BI6" s="222" t="s">
        <v>946</v>
      </c>
      <c r="BJ6" s="220" t="s">
        <v>924</v>
      </c>
      <c r="BK6" s="222" t="s">
        <v>785</v>
      </c>
      <c r="BL6" s="222" t="s">
        <v>785</v>
      </c>
      <c r="BM6" s="220" t="s">
        <v>1330</v>
      </c>
      <c r="BN6" s="220" t="s">
        <v>1333</v>
      </c>
      <c r="BO6" s="222" t="s">
        <v>785</v>
      </c>
      <c r="BP6" s="222" t="s">
        <v>785</v>
      </c>
      <c r="BQ6" s="222" t="s">
        <v>785</v>
      </c>
      <c r="BR6" s="222" t="s">
        <v>785</v>
      </c>
      <c r="BS6" s="222" t="s">
        <v>785</v>
      </c>
      <c r="BT6" s="220" t="s">
        <v>919</v>
      </c>
      <c r="BU6" s="222" t="s">
        <v>785</v>
      </c>
      <c r="BV6" s="220" t="s">
        <v>959</v>
      </c>
      <c r="BW6" s="220" t="s">
        <v>946</v>
      </c>
      <c r="BX6" s="220" t="s">
        <v>962</v>
      </c>
      <c r="BY6" s="220" t="s">
        <v>14</v>
      </c>
      <c r="BZ6" s="220" t="s">
        <v>1391</v>
      </c>
      <c r="CA6" s="220" t="s">
        <v>14</v>
      </c>
      <c r="CB6" s="220" t="s">
        <v>963</v>
      </c>
      <c r="CC6" s="220" t="s">
        <v>785</v>
      </c>
      <c r="CD6" s="220" t="s">
        <v>785</v>
      </c>
      <c r="CE6" s="214" t="s">
        <v>1408</v>
      </c>
      <c r="CF6" s="214" t="s">
        <v>1407</v>
      </c>
      <c r="CG6" s="220" t="s">
        <v>919</v>
      </c>
      <c r="CH6" s="220" t="s">
        <v>971</v>
      </c>
      <c r="CI6" s="220" t="s">
        <v>785</v>
      </c>
      <c r="CJ6" s="220" t="s">
        <v>785</v>
      </c>
      <c r="CK6" s="220" t="s">
        <v>996</v>
      </c>
      <c r="CL6" s="220" t="s">
        <v>972</v>
      </c>
      <c r="CM6" s="220" t="s">
        <v>915</v>
      </c>
      <c r="CN6" s="220" t="s">
        <v>785</v>
      </c>
      <c r="CO6" s="220" t="s">
        <v>785</v>
      </c>
      <c r="CP6" s="220" t="s">
        <v>785</v>
      </c>
      <c r="CQ6" s="220" t="s">
        <v>785</v>
      </c>
      <c r="CR6" s="220" t="s">
        <v>785</v>
      </c>
      <c r="CS6" s="220" t="s">
        <v>785</v>
      </c>
      <c r="CT6" s="220" t="s">
        <v>785</v>
      </c>
      <c r="CU6" s="220" t="s">
        <v>993</v>
      </c>
      <c r="CV6" s="220" t="s">
        <v>991</v>
      </c>
      <c r="CW6" s="220" t="s">
        <v>990</v>
      </c>
      <c r="CX6" s="220" t="s">
        <v>989</v>
      </c>
      <c r="CY6" s="220" t="s">
        <v>785</v>
      </c>
      <c r="CZ6" s="220" t="s">
        <v>785</v>
      </c>
      <c r="DA6" s="220" t="s">
        <v>985</v>
      </c>
      <c r="DB6" s="220" t="s">
        <v>984</v>
      </c>
    </row>
    <row r="7" spans="1:106" s="205" customFormat="1" ht="42.75" customHeight="1" x14ac:dyDescent="0.3">
      <c r="A7" s="206" t="s">
        <v>1011</v>
      </c>
      <c r="B7" s="206" t="s">
        <v>1064</v>
      </c>
      <c r="C7" s="206" t="s">
        <v>905</v>
      </c>
      <c r="D7" s="206" t="s">
        <v>906</v>
      </c>
      <c r="E7" s="206" t="s">
        <v>1053</v>
      </c>
      <c r="F7" s="205" t="s">
        <v>1104</v>
      </c>
      <c r="G7" s="206" t="s">
        <v>1012</v>
      </c>
      <c r="H7" s="206" t="s">
        <v>1013</v>
      </c>
      <c r="I7" s="191" t="s">
        <v>1032</v>
      </c>
      <c r="J7" s="191" t="s">
        <v>1055</v>
      </c>
      <c r="K7" s="191" t="s">
        <v>1035</v>
      </c>
      <c r="L7" s="191" t="s">
        <v>1056</v>
      </c>
      <c r="M7" s="191" t="s">
        <v>1057</v>
      </c>
      <c r="N7" s="191" t="s">
        <v>1058</v>
      </c>
      <c r="O7" s="191" t="s">
        <v>1059</v>
      </c>
      <c r="P7" s="191" t="s">
        <v>1060</v>
      </c>
      <c r="Q7" s="206" t="s">
        <v>785</v>
      </c>
      <c r="R7" s="206" t="s">
        <v>785</v>
      </c>
      <c r="S7" s="206" t="s">
        <v>785</v>
      </c>
      <c r="T7" s="206" t="s">
        <v>785</v>
      </c>
      <c r="U7" s="206" t="s">
        <v>919</v>
      </c>
      <c r="V7" s="191" t="s">
        <v>1036</v>
      </c>
      <c r="W7" s="191" t="s">
        <v>924</v>
      </c>
      <c r="X7" s="191" t="s">
        <v>1037</v>
      </c>
      <c r="Y7" s="191" t="s">
        <v>1038</v>
      </c>
      <c r="Z7" s="191" t="s">
        <v>1143</v>
      </c>
      <c r="AA7" s="191" t="s">
        <v>925</v>
      </c>
      <c r="AB7" s="191" t="s">
        <v>193</v>
      </c>
      <c r="AC7" s="206" t="s">
        <v>926</v>
      </c>
      <c r="AD7" s="206" t="s">
        <v>928</v>
      </c>
      <c r="AE7" s="191" t="s">
        <v>1033</v>
      </c>
      <c r="AF7" s="191" t="s">
        <v>1034</v>
      </c>
      <c r="AG7" s="191" t="s">
        <v>931</v>
      </c>
      <c r="AH7" s="191" t="s">
        <v>1356</v>
      </c>
      <c r="AI7" s="206" t="s">
        <v>935</v>
      </c>
      <c r="AJ7" s="206" t="s">
        <v>937</v>
      </c>
      <c r="AK7" s="206" t="s">
        <v>939</v>
      </c>
      <c r="AL7" s="206" t="s">
        <v>1022</v>
      </c>
      <c r="AM7" s="206" t="s">
        <v>1111</v>
      </c>
      <c r="AN7" s="206" t="s">
        <v>1361</v>
      </c>
      <c r="AO7" s="203" t="str">
        <f>CONCATENATE(AM7," ",AN7)</f>
        <v>La especie ocurre en hábitats de bosques húmedos en tierras bajas (elevación menor a 1.000 msnm), y en bosques de tierras altas (elevación mayor a 1000 msnm) (Sanín et at. 2023). La especie está fertil todo el año (Sanín et at. 2023), y posiblemente es dispersada por viento. No se cuenta con información publicada sobre la ecología de la especie. El área de hábitat calculada tiene un valor de 160.527 km2.</v>
      </c>
      <c r="AP7" s="206" t="s">
        <v>1023</v>
      </c>
      <c r="AQ7" s="206"/>
      <c r="AR7" s="209">
        <v>50</v>
      </c>
      <c r="AS7" s="209">
        <v>150</v>
      </c>
      <c r="AT7" s="191" t="s">
        <v>1035</v>
      </c>
      <c r="AU7" s="191" t="s">
        <v>1218</v>
      </c>
      <c r="AV7" s="191" t="s">
        <v>1217</v>
      </c>
      <c r="AW7" s="204">
        <v>362947</v>
      </c>
      <c r="AX7" s="204">
        <v>56</v>
      </c>
      <c r="AY7" s="204">
        <v>14</v>
      </c>
      <c r="AZ7" s="204">
        <v>14</v>
      </c>
      <c r="BA7" s="204"/>
      <c r="BB7" s="204"/>
      <c r="BC7" s="204"/>
      <c r="BD7" s="191"/>
      <c r="BE7" s="191"/>
      <c r="BF7" s="191"/>
      <c r="BG7" s="191"/>
      <c r="BH7" s="191"/>
      <c r="BI7" s="191"/>
      <c r="BJ7" s="191"/>
      <c r="BK7" s="191"/>
      <c r="BL7" s="191"/>
      <c r="BM7" s="191" t="s">
        <v>1410</v>
      </c>
      <c r="BN7" s="218"/>
      <c r="BO7" s="191"/>
      <c r="BP7" s="191"/>
      <c r="BQ7" s="191"/>
      <c r="BR7" s="191"/>
      <c r="BS7" s="191"/>
      <c r="BT7" s="191"/>
      <c r="BU7" s="191"/>
      <c r="BV7" s="191"/>
      <c r="BW7" s="191"/>
      <c r="BX7" s="191"/>
      <c r="BY7" s="191" t="s">
        <v>14</v>
      </c>
      <c r="BZ7" s="191" t="s">
        <v>1400</v>
      </c>
      <c r="CA7" s="191"/>
      <c r="CB7" s="191"/>
      <c r="CC7" s="191"/>
      <c r="CD7" s="191"/>
      <c r="CE7" s="218"/>
      <c r="CF7" s="218"/>
      <c r="CG7" s="191"/>
      <c r="CH7" s="191"/>
      <c r="CI7" s="191"/>
      <c r="CJ7" s="191"/>
      <c r="CK7" s="191"/>
      <c r="CL7" s="191"/>
    </row>
    <row r="8" spans="1:106" s="220" customFormat="1" ht="42.75" customHeight="1" x14ac:dyDescent="0.3">
      <c r="A8" s="220" t="s">
        <v>1011</v>
      </c>
      <c r="B8" s="220" t="s">
        <v>1065</v>
      </c>
      <c r="C8" s="220" t="s">
        <v>905</v>
      </c>
      <c r="D8" s="220" t="s">
        <v>906</v>
      </c>
      <c r="E8" s="220" t="s">
        <v>1053</v>
      </c>
      <c r="F8" s="220" t="s">
        <v>1104</v>
      </c>
      <c r="G8" s="220" t="s">
        <v>1012</v>
      </c>
      <c r="H8" s="220" t="s">
        <v>1013</v>
      </c>
      <c r="I8" s="223" t="s">
        <v>1040</v>
      </c>
      <c r="J8" s="223" t="s">
        <v>1039</v>
      </c>
      <c r="K8" s="223" t="s">
        <v>1041</v>
      </c>
      <c r="L8" s="223" t="s">
        <v>1042</v>
      </c>
      <c r="M8" s="223" t="s">
        <v>1061</v>
      </c>
      <c r="N8" s="223" t="s">
        <v>1044</v>
      </c>
      <c r="O8" s="223" t="s">
        <v>1063</v>
      </c>
      <c r="P8" s="223" t="s">
        <v>1062</v>
      </c>
      <c r="Q8" s="223" t="s">
        <v>1174</v>
      </c>
      <c r="R8" s="223" t="s">
        <v>1045</v>
      </c>
      <c r="S8" s="223" t="s">
        <v>919</v>
      </c>
      <c r="T8" s="220" t="s">
        <v>785</v>
      </c>
      <c r="U8" s="220" t="s">
        <v>919</v>
      </c>
      <c r="V8" s="220" t="s">
        <v>1175</v>
      </c>
      <c r="W8" s="220" t="s">
        <v>924</v>
      </c>
      <c r="X8" s="220" t="s">
        <v>1029</v>
      </c>
      <c r="Y8" s="220" t="s">
        <v>1030</v>
      </c>
      <c r="Z8" s="223" t="s">
        <v>1046</v>
      </c>
      <c r="AA8" s="223" t="s">
        <v>925</v>
      </c>
      <c r="AB8" s="223" t="s">
        <v>193</v>
      </c>
      <c r="AC8" s="223" t="s">
        <v>926</v>
      </c>
      <c r="AD8" s="220" t="s">
        <v>928</v>
      </c>
      <c r="AE8" s="223" t="s">
        <v>1162</v>
      </c>
      <c r="AF8" s="223" t="s">
        <v>1163</v>
      </c>
      <c r="AG8" s="223" t="s">
        <v>931</v>
      </c>
      <c r="AH8" s="223" t="s">
        <v>1338</v>
      </c>
      <c r="AI8" s="223" t="s">
        <v>935</v>
      </c>
      <c r="AJ8" s="220" t="s">
        <v>937</v>
      </c>
      <c r="AK8" s="220" t="s">
        <v>939</v>
      </c>
      <c r="AL8" s="220" t="s">
        <v>1022</v>
      </c>
      <c r="AM8" s="220" t="s">
        <v>1111</v>
      </c>
      <c r="AN8" s="220" t="s">
        <v>1362</v>
      </c>
      <c r="AO8" s="224" t="str">
        <f>CONCATENATE(AM8," ",AN8)</f>
        <v>La especie ocurre en hábitats de bosques húmedos en tierras bajas (elevación menor a 1.000 msnm), y en bosques de tierras altas (elevación mayor a 1000 msnm) (Sanín et at. 2023). La especie está fertil todo el año (Sanín et at. 2023), y posiblemente es dispersada por viento. No se cuenta con información publicada sobre la ecología de la especie. El área de hábitat calculada tiene un valor de 6.141 km2.</v>
      </c>
      <c r="AP8" s="223" t="s">
        <v>1023</v>
      </c>
      <c r="AQ8" s="223"/>
      <c r="AR8" s="222">
        <v>50</v>
      </c>
      <c r="AS8" s="222">
        <v>150</v>
      </c>
      <c r="AT8" s="223" t="s">
        <v>1041</v>
      </c>
      <c r="AU8" s="223" t="s">
        <v>1228</v>
      </c>
      <c r="AV8" s="223" t="s">
        <v>1079</v>
      </c>
      <c r="AW8" s="225">
        <v>10727</v>
      </c>
      <c r="AX8" s="225">
        <v>20</v>
      </c>
      <c r="AY8" s="225">
        <v>4</v>
      </c>
      <c r="AZ8" s="225">
        <v>4</v>
      </c>
      <c r="BA8" s="225">
        <v>50</v>
      </c>
      <c r="BB8" s="225" t="s">
        <v>1409</v>
      </c>
      <c r="BC8" s="225">
        <v>33</v>
      </c>
      <c r="BD8" s="223" t="s">
        <v>924</v>
      </c>
      <c r="BE8" s="223"/>
      <c r="BF8" s="223"/>
      <c r="BG8" s="223" t="s">
        <v>924</v>
      </c>
      <c r="BH8" s="220" t="s">
        <v>1336</v>
      </c>
      <c r="BI8" s="222" t="s">
        <v>785</v>
      </c>
      <c r="BJ8" s="220" t="s">
        <v>924</v>
      </c>
      <c r="BK8" s="222" t="s">
        <v>785</v>
      </c>
      <c r="BL8" s="222" t="s">
        <v>785</v>
      </c>
      <c r="BM8" s="220" t="s">
        <v>1334</v>
      </c>
      <c r="BN8" s="220" t="s">
        <v>1335</v>
      </c>
      <c r="BO8" s="223"/>
      <c r="BP8" s="223"/>
      <c r="BQ8" s="223"/>
      <c r="BR8" s="223"/>
      <c r="BS8" s="223"/>
      <c r="BT8" s="223"/>
      <c r="BU8" s="223"/>
      <c r="BV8" s="223"/>
      <c r="BW8" s="223"/>
      <c r="BX8" s="223"/>
      <c r="BY8" s="223"/>
      <c r="BZ8" s="223" t="s">
        <v>1401</v>
      </c>
      <c r="CA8" s="223"/>
      <c r="CB8" s="223"/>
      <c r="CC8" s="223"/>
      <c r="CD8" s="223"/>
      <c r="CE8" s="218"/>
      <c r="CF8" s="218"/>
      <c r="CG8" s="223"/>
      <c r="CH8" s="223"/>
      <c r="CI8" s="223"/>
      <c r="CJ8" s="223"/>
      <c r="CK8" s="223"/>
      <c r="CL8" s="223"/>
    </row>
    <row r="9" spans="1:106" s="220" customFormat="1" ht="42.75" customHeight="1" x14ac:dyDescent="0.3">
      <c r="A9" s="220" t="s">
        <v>1011</v>
      </c>
      <c r="B9" s="220" t="s">
        <v>1033</v>
      </c>
      <c r="C9" s="220" t="s">
        <v>905</v>
      </c>
      <c r="D9" s="220" t="s">
        <v>906</v>
      </c>
      <c r="E9" s="220" t="s">
        <v>1053</v>
      </c>
      <c r="F9" s="220" t="s">
        <v>1104</v>
      </c>
      <c r="G9" s="220" t="s">
        <v>1012</v>
      </c>
      <c r="H9" s="220" t="s">
        <v>1013</v>
      </c>
      <c r="I9" s="223" t="s">
        <v>1099</v>
      </c>
      <c r="J9" s="223" t="s">
        <v>1156</v>
      </c>
      <c r="K9" s="223" t="s">
        <v>1155</v>
      </c>
      <c r="L9" s="223" t="s">
        <v>1157</v>
      </c>
      <c r="M9" s="223" t="s">
        <v>785</v>
      </c>
      <c r="N9" s="223" t="s">
        <v>785</v>
      </c>
      <c r="O9" s="223" t="s">
        <v>785</v>
      </c>
      <c r="P9" s="223" t="s">
        <v>785</v>
      </c>
      <c r="Q9" s="220" t="s">
        <v>785</v>
      </c>
      <c r="R9" s="220" t="s">
        <v>785</v>
      </c>
      <c r="S9" s="220" t="s">
        <v>785</v>
      </c>
      <c r="T9" s="220" t="s">
        <v>785</v>
      </c>
      <c r="U9" s="220" t="s">
        <v>919</v>
      </c>
      <c r="V9" s="220" t="s">
        <v>922</v>
      </c>
      <c r="W9" s="220" t="s">
        <v>924</v>
      </c>
      <c r="X9" s="220" t="s">
        <v>1105</v>
      </c>
      <c r="Y9" s="220" t="s">
        <v>1106</v>
      </c>
      <c r="Z9" s="223" t="s">
        <v>1158</v>
      </c>
      <c r="AA9" s="223" t="s">
        <v>925</v>
      </c>
      <c r="AB9" s="223" t="s">
        <v>193</v>
      </c>
      <c r="AC9" s="220" t="s">
        <v>926</v>
      </c>
      <c r="AD9" s="220" t="s">
        <v>928</v>
      </c>
      <c r="AE9" s="223" t="s">
        <v>1159</v>
      </c>
      <c r="AF9" s="223" t="s">
        <v>1160</v>
      </c>
      <c r="AG9" s="223" t="s">
        <v>931</v>
      </c>
      <c r="AH9" s="223" t="s">
        <v>1161</v>
      </c>
      <c r="AI9" s="220" t="s">
        <v>935</v>
      </c>
      <c r="AJ9" s="220" t="s">
        <v>937</v>
      </c>
      <c r="AK9" s="220" t="s">
        <v>939</v>
      </c>
      <c r="AL9" s="220" t="s">
        <v>1109</v>
      </c>
      <c r="AM9" s="220" t="s">
        <v>1110</v>
      </c>
      <c r="AN9" s="223" t="s">
        <v>1363</v>
      </c>
      <c r="AO9" s="224" t="str">
        <f>CONCATENATE(AM9," ",AN9)</f>
        <v>La especie ocurre en hábitats de bosques húmedos en tierras altas (elevación mayor a 1000 msnm) (Sanín et at. 2023). No se cuenta con información publicada sobre la ecología de la especie. El área de hábitat calculada tiene un valor de 22 km2.</v>
      </c>
      <c r="AP9" s="223" t="s">
        <v>1023</v>
      </c>
      <c r="AQ9" s="223"/>
      <c r="AR9" s="222">
        <v>50</v>
      </c>
      <c r="AS9" s="222">
        <v>150</v>
      </c>
      <c r="AT9" s="223" t="s">
        <v>1155</v>
      </c>
      <c r="AU9" s="223" t="s">
        <v>1095</v>
      </c>
      <c r="AV9" s="223" t="s">
        <v>1072</v>
      </c>
      <c r="AW9" s="225" t="s">
        <v>1221</v>
      </c>
      <c r="AX9" s="225" t="s">
        <v>1223</v>
      </c>
      <c r="AY9" s="225">
        <v>2</v>
      </c>
      <c r="AZ9" s="225" t="s">
        <v>1222</v>
      </c>
      <c r="BA9" s="225">
        <v>100</v>
      </c>
      <c r="BB9" s="225">
        <v>0</v>
      </c>
      <c r="BC9" s="225">
        <v>31</v>
      </c>
      <c r="BD9" s="223" t="s">
        <v>924</v>
      </c>
      <c r="BE9" s="223" t="s">
        <v>924</v>
      </c>
      <c r="BF9" s="222" t="s">
        <v>785</v>
      </c>
      <c r="BG9" s="223" t="s">
        <v>924</v>
      </c>
      <c r="BH9" s="223"/>
      <c r="BI9" s="223"/>
      <c r="BJ9" s="220" t="s">
        <v>924</v>
      </c>
      <c r="BK9" s="222" t="s">
        <v>785</v>
      </c>
      <c r="BL9" s="222" t="s">
        <v>785</v>
      </c>
      <c r="BM9" s="223" t="s">
        <v>1330</v>
      </c>
      <c r="BN9" s="223"/>
      <c r="BO9" s="223"/>
      <c r="BP9" s="223"/>
      <c r="BQ9" s="223"/>
      <c r="BR9" s="223"/>
      <c r="BS9" s="223"/>
      <c r="BT9" s="223"/>
      <c r="BU9" s="223"/>
      <c r="BV9" s="223"/>
      <c r="BW9" s="223"/>
      <c r="BX9" s="223"/>
      <c r="BY9" s="223" t="s">
        <v>14</v>
      </c>
      <c r="BZ9" s="223" t="s">
        <v>1392</v>
      </c>
      <c r="CA9" s="223"/>
      <c r="CB9" s="223"/>
      <c r="CC9" s="223"/>
      <c r="CD9" s="223"/>
      <c r="CE9" s="218"/>
      <c r="CF9" s="218"/>
      <c r="CG9" s="223"/>
      <c r="CH9" s="223"/>
      <c r="CI9" s="223"/>
      <c r="CJ9" s="223"/>
      <c r="CK9" s="223"/>
      <c r="CL9" s="223"/>
    </row>
    <row r="10" spans="1:106" s="205" customFormat="1" ht="42.75" customHeight="1" x14ac:dyDescent="0.3">
      <c r="A10" s="205" t="s">
        <v>1011</v>
      </c>
      <c r="B10" s="205" t="s">
        <v>1066</v>
      </c>
      <c r="C10" s="205" t="s">
        <v>905</v>
      </c>
      <c r="D10" s="205" t="s">
        <v>906</v>
      </c>
      <c r="E10" s="205" t="s">
        <v>1053</v>
      </c>
      <c r="F10" s="205" t="s">
        <v>1104</v>
      </c>
      <c r="G10" s="205" t="s">
        <v>1012</v>
      </c>
      <c r="H10" s="205" t="s">
        <v>1013</v>
      </c>
      <c r="I10" s="191" t="s">
        <v>1047</v>
      </c>
      <c r="J10" s="191" t="s">
        <v>1048</v>
      </c>
      <c r="K10" s="191" t="s">
        <v>1049</v>
      </c>
      <c r="L10" s="191" t="s">
        <v>1100</v>
      </c>
      <c r="M10" s="191" t="s">
        <v>1101</v>
      </c>
      <c r="N10" s="191" t="s">
        <v>1050</v>
      </c>
      <c r="O10" s="191" t="s">
        <v>1102</v>
      </c>
      <c r="P10" s="191" t="s">
        <v>1103</v>
      </c>
      <c r="Q10" s="205" t="s">
        <v>785</v>
      </c>
      <c r="R10" s="205" t="s">
        <v>785</v>
      </c>
      <c r="S10" s="205" t="s">
        <v>785</v>
      </c>
      <c r="T10" s="205" t="s">
        <v>785</v>
      </c>
      <c r="U10" s="205" t="s">
        <v>919</v>
      </c>
      <c r="V10" s="205" t="s">
        <v>922</v>
      </c>
      <c r="W10" s="205" t="s">
        <v>924</v>
      </c>
      <c r="X10" s="191" t="s">
        <v>1105</v>
      </c>
      <c r="Y10" s="191" t="s">
        <v>1106</v>
      </c>
      <c r="Z10" s="191" t="s">
        <v>1113</v>
      </c>
      <c r="AA10" s="191" t="s">
        <v>925</v>
      </c>
      <c r="AB10" s="191" t="s">
        <v>193</v>
      </c>
      <c r="AC10" s="191" t="s">
        <v>926</v>
      </c>
      <c r="AD10" s="205" t="s">
        <v>928</v>
      </c>
      <c r="AE10" s="191" t="s">
        <v>1107</v>
      </c>
      <c r="AF10" s="191" t="s">
        <v>1108</v>
      </c>
      <c r="AG10" s="191" t="s">
        <v>931</v>
      </c>
      <c r="AH10" s="191" t="s">
        <v>1357</v>
      </c>
      <c r="AI10" s="205" t="s">
        <v>935</v>
      </c>
      <c r="AJ10" s="205" t="s">
        <v>937</v>
      </c>
      <c r="AK10" s="205" t="s">
        <v>939</v>
      </c>
      <c r="AL10" s="205" t="s">
        <v>1109</v>
      </c>
      <c r="AM10" s="205" t="s">
        <v>1110</v>
      </c>
      <c r="AN10" s="205" t="s">
        <v>1364</v>
      </c>
      <c r="AO10" s="203" t="str">
        <f>_xlfn.CONCAT(AM10,"",AN10)</f>
        <v>La especie ocurre en hábitats de bosques húmedos en tierras altas (elevación mayor a 1000 msnm) (Sanín et at. 2023).La especie está fértil en enero, marzo, mayo, julio, agosto, septiembre y noviembre (Sanín et at. 2023), y posiblemente es dispersada por viento. No se cuenta con información publicada sobre la ecología de la especie. El área de hábitat calculada tiene un valor de 17.325 km2.</v>
      </c>
      <c r="AP10" s="205" t="s">
        <v>1023</v>
      </c>
      <c r="AR10" s="230">
        <v>50</v>
      </c>
      <c r="AS10" s="230">
        <v>150</v>
      </c>
      <c r="AT10" s="191" t="s">
        <v>1049</v>
      </c>
      <c r="AU10" s="191" t="s">
        <v>1229</v>
      </c>
      <c r="AV10" s="191" t="s">
        <v>1079</v>
      </c>
      <c r="AW10" s="204" t="s">
        <v>1224</v>
      </c>
      <c r="AX10" s="204">
        <v>20</v>
      </c>
      <c r="AY10" s="204">
        <v>5</v>
      </c>
      <c r="AZ10" s="204">
        <v>5</v>
      </c>
      <c r="BA10" s="204">
        <v>20</v>
      </c>
      <c r="BB10" s="204">
        <v>0</v>
      </c>
      <c r="BC10" s="204">
        <v>42</v>
      </c>
      <c r="BD10" s="191" t="s">
        <v>924</v>
      </c>
      <c r="BE10" s="191" t="s">
        <v>924</v>
      </c>
      <c r="BF10" s="222" t="s">
        <v>785</v>
      </c>
      <c r="BG10" s="191" t="s">
        <v>14</v>
      </c>
      <c r="BH10" s="191"/>
      <c r="BI10" s="222" t="s">
        <v>785</v>
      </c>
      <c r="BJ10" s="220" t="s">
        <v>924</v>
      </c>
      <c r="BK10" s="222" t="s">
        <v>785</v>
      </c>
      <c r="BL10" s="222" t="s">
        <v>785</v>
      </c>
      <c r="BM10" s="191"/>
      <c r="BN10" s="191"/>
      <c r="BO10" s="191"/>
      <c r="BP10" s="191"/>
      <c r="BQ10" s="191"/>
      <c r="BR10" s="191"/>
      <c r="BS10" s="191"/>
      <c r="BT10" s="191"/>
      <c r="BU10" s="191"/>
      <c r="BV10" s="191"/>
      <c r="BW10" s="191"/>
      <c r="BX10" s="191"/>
      <c r="BY10" s="191"/>
      <c r="BZ10" s="191" t="s">
        <v>1393</v>
      </c>
      <c r="CA10" s="191"/>
      <c r="CB10" s="191"/>
      <c r="CC10" s="191"/>
      <c r="CD10" s="191"/>
      <c r="CE10" s="218"/>
      <c r="CF10" s="218"/>
      <c r="CG10" s="191"/>
      <c r="CH10" s="191"/>
      <c r="CI10" s="191"/>
      <c r="CJ10" s="191"/>
      <c r="CK10" s="191"/>
      <c r="CL10" s="191"/>
    </row>
    <row r="11" spans="1:106" s="212" customFormat="1" ht="42.75" customHeight="1" x14ac:dyDescent="0.3">
      <c r="A11" s="206" t="s">
        <v>1011</v>
      </c>
      <c r="B11" s="206" t="s">
        <v>1067</v>
      </c>
      <c r="C11" s="206" t="s">
        <v>905</v>
      </c>
      <c r="D11" s="206" t="s">
        <v>906</v>
      </c>
      <c r="E11" s="206" t="s">
        <v>1053</v>
      </c>
      <c r="F11" s="205" t="s">
        <v>1104</v>
      </c>
      <c r="G11" s="206" t="s">
        <v>1012</v>
      </c>
      <c r="H11" s="206" t="s">
        <v>1013</v>
      </c>
      <c r="I11" s="193" t="s">
        <v>1114</v>
      </c>
      <c r="J11" s="193" t="s">
        <v>1115</v>
      </c>
      <c r="K11" s="193" t="s">
        <v>1116</v>
      </c>
      <c r="L11" s="193" t="s">
        <v>1100</v>
      </c>
      <c r="M11" s="193" t="s">
        <v>1120</v>
      </c>
      <c r="N11" s="193" t="s">
        <v>1117</v>
      </c>
      <c r="O11" s="193" t="s">
        <v>1118</v>
      </c>
      <c r="P11" s="193" t="s">
        <v>1119</v>
      </c>
      <c r="Q11" s="193" t="s">
        <v>1173</v>
      </c>
      <c r="R11" s="206" t="s">
        <v>785</v>
      </c>
      <c r="S11" s="206" t="s">
        <v>919</v>
      </c>
      <c r="T11" s="206" t="s">
        <v>785</v>
      </c>
      <c r="U11" s="206" t="s">
        <v>919</v>
      </c>
      <c r="V11" s="193" t="s">
        <v>1121</v>
      </c>
      <c r="W11" s="193" t="s">
        <v>924</v>
      </c>
      <c r="X11" s="206" t="s">
        <v>1029</v>
      </c>
      <c r="Y11" s="206" t="s">
        <v>1030</v>
      </c>
      <c r="Z11" s="193" t="s">
        <v>1131</v>
      </c>
      <c r="AA11" s="193" t="s">
        <v>925</v>
      </c>
      <c r="AB11" s="193" t="s">
        <v>193</v>
      </c>
      <c r="AC11" s="193" t="s">
        <v>926</v>
      </c>
      <c r="AD11" s="193" t="s">
        <v>928</v>
      </c>
      <c r="AE11" s="193" t="s">
        <v>1033</v>
      </c>
      <c r="AF11" s="193" t="s">
        <v>1122</v>
      </c>
      <c r="AG11" s="191" t="s">
        <v>931</v>
      </c>
      <c r="AH11" s="193" t="s">
        <v>1339</v>
      </c>
      <c r="AI11" s="206" t="s">
        <v>935</v>
      </c>
      <c r="AJ11" s="206" t="s">
        <v>937</v>
      </c>
      <c r="AK11" s="206" t="s">
        <v>939</v>
      </c>
      <c r="AL11" s="206" t="s">
        <v>1022</v>
      </c>
      <c r="AM11" s="206" t="s">
        <v>1111</v>
      </c>
      <c r="AN11" s="206" t="s">
        <v>1365</v>
      </c>
      <c r="AO11" s="210" t="str">
        <f t="shared" ref="AO11:AO16" si="0">CONCATENATE(AM11," ",AN11)</f>
        <v>La especie ocurre en hábitats de bosques húmedos en tierras bajas (elevación menor a 1.000 msnm), y en bosques de tierras altas (elevación mayor a 1000 msnm) (Sanín et at. 2023). La especie está fertil todo el año (Sanín et at. 2023), y posiblemente es dispersada por viento. No se cuenta con información publicada sobre la ecología de la especie. El área de hábitat calculada tiene un valor de 93.249 km2.</v>
      </c>
      <c r="AP11" s="206" t="s">
        <v>1023</v>
      </c>
      <c r="AQ11" s="206"/>
      <c r="AR11" s="209">
        <v>50</v>
      </c>
      <c r="AS11" s="209">
        <v>150</v>
      </c>
      <c r="AT11" s="193" t="s">
        <v>1116</v>
      </c>
      <c r="AU11" s="193" t="s">
        <v>1231</v>
      </c>
      <c r="AV11" s="193" t="s">
        <v>1230</v>
      </c>
      <c r="AW11" s="211">
        <v>164922</v>
      </c>
      <c r="AX11" s="211">
        <v>72</v>
      </c>
      <c r="AY11" s="211">
        <v>17</v>
      </c>
      <c r="AZ11" s="211">
        <v>17</v>
      </c>
      <c r="BA11" s="211"/>
      <c r="BB11" s="211"/>
      <c r="BC11" s="211"/>
      <c r="BD11" s="193"/>
      <c r="BE11" s="193"/>
      <c r="BF11" s="193"/>
      <c r="BG11" s="193"/>
      <c r="BH11" s="193"/>
      <c r="BI11" s="193"/>
      <c r="BJ11" s="193"/>
      <c r="BK11" s="193"/>
      <c r="BL11" s="193"/>
      <c r="BM11" s="193"/>
      <c r="BN11" s="213"/>
      <c r="BO11" s="193"/>
      <c r="BP11" s="193"/>
      <c r="BQ11" s="193"/>
      <c r="BR11" s="193"/>
      <c r="BS11" s="193"/>
      <c r="BT11" s="193"/>
      <c r="BU11" s="193"/>
      <c r="BV11" s="193"/>
      <c r="BW11" s="193"/>
      <c r="BX11" s="193"/>
      <c r="BY11" s="193"/>
      <c r="BZ11" s="193" t="s">
        <v>1394</v>
      </c>
      <c r="CA11" s="193"/>
      <c r="CB11" s="193"/>
      <c r="CC11" s="193"/>
      <c r="CD11" s="193"/>
      <c r="CE11" s="213"/>
      <c r="CF11" s="213"/>
      <c r="CG11" s="193"/>
      <c r="CH11" s="193"/>
      <c r="CI11" s="193"/>
      <c r="CJ11" s="193"/>
      <c r="CK11" s="193"/>
      <c r="CL11" s="193"/>
    </row>
    <row r="12" spans="1:106" s="212" customFormat="1" ht="42.75" customHeight="1" x14ac:dyDescent="0.3">
      <c r="A12" s="206" t="s">
        <v>1011</v>
      </c>
      <c r="B12" s="206" t="s">
        <v>1068</v>
      </c>
      <c r="C12" s="206" t="s">
        <v>905</v>
      </c>
      <c r="D12" s="206" t="s">
        <v>906</v>
      </c>
      <c r="E12" s="206" t="s">
        <v>1053</v>
      </c>
      <c r="F12" s="205" t="s">
        <v>1104</v>
      </c>
      <c r="G12" s="206" t="s">
        <v>1012</v>
      </c>
      <c r="H12" s="206" t="s">
        <v>1013</v>
      </c>
      <c r="I12" s="193" t="s">
        <v>1124</v>
      </c>
      <c r="J12" s="193" t="s">
        <v>1125</v>
      </c>
      <c r="K12" s="193" t="s">
        <v>1123</v>
      </c>
      <c r="L12" s="193" t="s">
        <v>1100</v>
      </c>
      <c r="M12" s="193" t="s">
        <v>1126</v>
      </c>
      <c r="N12" s="212" t="s">
        <v>1129</v>
      </c>
      <c r="O12" s="193" t="s">
        <v>1127</v>
      </c>
      <c r="P12" s="193" t="s">
        <v>1128</v>
      </c>
      <c r="Q12" s="206" t="s">
        <v>785</v>
      </c>
      <c r="R12" s="206" t="s">
        <v>785</v>
      </c>
      <c r="S12" s="206" t="s">
        <v>785</v>
      </c>
      <c r="T12" s="206" t="s">
        <v>785</v>
      </c>
      <c r="U12" s="206" t="s">
        <v>919</v>
      </c>
      <c r="V12" s="206" t="s">
        <v>922</v>
      </c>
      <c r="W12" s="206" t="s">
        <v>924</v>
      </c>
      <c r="X12" s="206" t="s">
        <v>1029</v>
      </c>
      <c r="Y12" s="206" t="s">
        <v>1030</v>
      </c>
      <c r="Z12" s="193" t="s">
        <v>1130</v>
      </c>
      <c r="AA12" s="191" t="s">
        <v>925</v>
      </c>
      <c r="AB12" s="193" t="s">
        <v>193</v>
      </c>
      <c r="AC12" s="193" t="s">
        <v>926</v>
      </c>
      <c r="AD12" s="193" t="s">
        <v>928</v>
      </c>
      <c r="AE12" s="193" t="s">
        <v>1132</v>
      </c>
      <c r="AF12" s="193" t="s">
        <v>1133</v>
      </c>
      <c r="AG12" s="193" t="s">
        <v>931</v>
      </c>
      <c r="AH12" s="193" t="s">
        <v>1340</v>
      </c>
      <c r="AI12" s="206" t="s">
        <v>935</v>
      </c>
      <c r="AJ12" s="206" t="s">
        <v>937</v>
      </c>
      <c r="AK12" s="206" t="s">
        <v>939</v>
      </c>
      <c r="AL12" s="206" t="s">
        <v>1109</v>
      </c>
      <c r="AM12" s="206" t="s">
        <v>1110</v>
      </c>
      <c r="AN12" s="206" t="s">
        <v>1366</v>
      </c>
      <c r="AO12" s="210" t="str">
        <f t="shared" si="0"/>
        <v>La especie ocurre en hábitats de bosques húmedos en tierras altas (elevación mayor a 1000 msnm) (Sanín et at. 2023). La especie está fertil todo el año (Sanín et at. 2023), y posiblemente es dispersada por viento. No se cuenta con información publicada sobre la ecología de la especie. El área de hábitat calculada tiene un valor de 35.614 km2.</v>
      </c>
      <c r="AP12" s="206" t="s">
        <v>1023</v>
      </c>
      <c r="AQ12" s="206"/>
      <c r="AR12" s="209">
        <v>50</v>
      </c>
      <c r="AS12" s="209">
        <v>150</v>
      </c>
      <c r="AT12" s="193" t="s">
        <v>1123</v>
      </c>
      <c r="AU12" s="193" t="s">
        <v>1232</v>
      </c>
      <c r="AV12" s="193" t="s">
        <v>1233</v>
      </c>
      <c r="AW12" s="211">
        <v>187541</v>
      </c>
      <c r="AX12" s="211">
        <v>204</v>
      </c>
      <c r="AY12" s="211">
        <v>28</v>
      </c>
      <c r="AZ12" s="211">
        <v>42</v>
      </c>
      <c r="BA12" s="211"/>
      <c r="BB12" s="211"/>
      <c r="BC12" s="211"/>
      <c r="BD12" s="193"/>
      <c r="BE12" s="193"/>
      <c r="BF12" s="193"/>
      <c r="BG12" s="193"/>
      <c r="BH12" s="193"/>
      <c r="BI12" s="193"/>
      <c r="BJ12" s="193"/>
      <c r="BK12" s="193"/>
      <c r="BL12" s="193"/>
      <c r="BM12" s="193"/>
      <c r="BN12" s="213"/>
      <c r="BO12" s="193"/>
      <c r="BP12" s="193"/>
      <c r="BQ12" s="193"/>
      <c r="BR12" s="193"/>
      <c r="BS12" s="193"/>
      <c r="BT12" s="193"/>
      <c r="BU12" s="193"/>
      <c r="BV12" s="193"/>
      <c r="BW12" s="193"/>
      <c r="BX12" s="193"/>
      <c r="BY12" s="193"/>
      <c r="BZ12" s="193" t="s">
        <v>1402</v>
      </c>
      <c r="CA12" s="193"/>
      <c r="CB12" s="193"/>
      <c r="CC12" s="193"/>
      <c r="CD12" s="193"/>
      <c r="CE12" s="213"/>
      <c r="CF12" s="213"/>
      <c r="CG12" s="193"/>
      <c r="CH12" s="193"/>
      <c r="CI12" s="193"/>
      <c r="CJ12" s="193"/>
      <c r="CK12" s="193"/>
      <c r="CL12" s="193"/>
    </row>
    <row r="13" spans="1:106" s="212" customFormat="1" ht="42.75" customHeight="1" x14ac:dyDescent="0.3">
      <c r="A13" s="206" t="s">
        <v>1011</v>
      </c>
      <c r="B13" s="206" t="s">
        <v>1069</v>
      </c>
      <c r="C13" s="206" t="s">
        <v>905</v>
      </c>
      <c r="D13" s="206" t="s">
        <v>906</v>
      </c>
      <c r="E13" s="206" t="s">
        <v>1053</v>
      </c>
      <c r="F13" s="205" t="s">
        <v>1104</v>
      </c>
      <c r="G13" s="206" t="s">
        <v>1012</v>
      </c>
      <c r="H13" s="206" t="s">
        <v>1013</v>
      </c>
      <c r="I13" s="193" t="s">
        <v>1135</v>
      </c>
      <c r="J13" s="193" t="s">
        <v>1136</v>
      </c>
      <c r="K13" s="193" t="s">
        <v>1134</v>
      </c>
      <c r="L13" s="193" t="s">
        <v>1100</v>
      </c>
      <c r="M13" s="193" t="s">
        <v>1137</v>
      </c>
      <c r="N13" s="193" t="s">
        <v>1138</v>
      </c>
      <c r="O13" s="193" t="s">
        <v>1139</v>
      </c>
      <c r="P13" s="193" t="s">
        <v>1140</v>
      </c>
      <c r="Q13" s="193" t="s">
        <v>1141</v>
      </c>
      <c r="R13" s="193" t="s">
        <v>1171</v>
      </c>
      <c r="S13" s="193" t="s">
        <v>919</v>
      </c>
      <c r="T13" s="206" t="s">
        <v>785</v>
      </c>
      <c r="U13" s="206" t="s">
        <v>919</v>
      </c>
      <c r="V13" s="193" t="s">
        <v>1142</v>
      </c>
      <c r="W13" s="206" t="s">
        <v>924</v>
      </c>
      <c r="X13" s="206" t="s">
        <v>1029</v>
      </c>
      <c r="Y13" s="206" t="s">
        <v>1030</v>
      </c>
      <c r="Z13" s="193" t="s">
        <v>1145</v>
      </c>
      <c r="AA13" s="193" t="s">
        <v>925</v>
      </c>
      <c r="AB13" s="193" t="s">
        <v>193</v>
      </c>
      <c r="AC13" s="193" t="s">
        <v>926</v>
      </c>
      <c r="AD13" s="193" t="s">
        <v>928</v>
      </c>
      <c r="AE13" s="193" t="s">
        <v>1146</v>
      </c>
      <c r="AF13" s="193" t="s">
        <v>1021</v>
      </c>
      <c r="AG13" s="193" t="s">
        <v>931</v>
      </c>
      <c r="AH13" s="193" t="s">
        <v>1341</v>
      </c>
      <c r="AI13" s="206" t="s">
        <v>935</v>
      </c>
      <c r="AJ13" s="206" t="s">
        <v>937</v>
      </c>
      <c r="AK13" s="206" t="s">
        <v>939</v>
      </c>
      <c r="AL13" s="206" t="s">
        <v>1022</v>
      </c>
      <c r="AM13" s="206" t="s">
        <v>1111</v>
      </c>
      <c r="AN13" s="206" t="s">
        <v>1367</v>
      </c>
      <c r="AO13" s="210" t="str">
        <f t="shared" si="0"/>
        <v>La especie ocurre en hábitats de bosques húmedos en tierras bajas (elevación menor a 1.000 msnm), y en bosques de tierras altas (elevación mayor a 1000 msnm) (Sanín et at. 2023). La especie está fertil todo el año (Sanín et at. 2023), y posiblemente es dispersada por viento. No se cuenta con información publicada sobre la ecología de la especie. El área de hábitat calculada tiene un valor de 175.282 km2.</v>
      </c>
      <c r="AP13" s="206" t="s">
        <v>1023</v>
      </c>
      <c r="AQ13" s="206"/>
      <c r="AR13" s="209">
        <v>50</v>
      </c>
      <c r="AS13" s="209">
        <v>150</v>
      </c>
      <c r="AT13" s="193" t="s">
        <v>1134</v>
      </c>
      <c r="AU13" s="193" t="s">
        <v>1234</v>
      </c>
      <c r="AV13" s="193" t="s">
        <v>1235</v>
      </c>
      <c r="AW13" s="211">
        <v>319959</v>
      </c>
      <c r="AX13" s="211">
        <v>448</v>
      </c>
      <c r="AY13" s="211">
        <v>66</v>
      </c>
      <c r="AZ13" s="211">
        <v>91</v>
      </c>
      <c r="BA13" s="211"/>
      <c r="BB13" s="211"/>
      <c r="BC13" s="211"/>
      <c r="BD13" s="193"/>
      <c r="BE13" s="193"/>
      <c r="BF13" s="193"/>
      <c r="BG13" s="193"/>
      <c r="BH13" s="193"/>
      <c r="BI13" s="193"/>
      <c r="BJ13" s="193"/>
      <c r="BK13" s="193"/>
      <c r="BL13" s="193"/>
      <c r="BM13" s="193"/>
      <c r="BN13" s="213"/>
      <c r="BO13" s="193"/>
      <c r="BP13" s="193"/>
      <c r="BQ13" s="193"/>
      <c r="BR13" s="193"/>
      <c r="BS13" s="193"/>
      <c r="BT13" s="193"/>
      <c r="BU13" s="193"/>
      <c r="BV13" s="193"/>
      <c r="BW13" s="193"/>
      <c r="BX13" s="193"/>
      <c r="BY13" s="193"/>
      <c r="BZ13" s="193" t="s">
        <v>1395</v>
      </c>
      <c r="CA13" s="193"/>
      <c r="CB13" s="193"/>
      <c r="CC13" s="193"/>
      <c r="CD13" s="193"/>
      <c r="CE13" s="213"/>
      <c r="CF13" s="213"/>
      <c r="CG13" s="193"/>
      <c r="CH13" s="193"/>
      <c r="CI13" s="193"/>
      <c r="CJ13" s="193"/>
      <c r="CK13" s="193"/>
      <c r="CL13" s="193"/>
    </row>
    <row r="14" spans="1:106" s="212" customFormat="1" ht="42.75" customHeight="1" x14ac:dyDescent="0.3">
      <c r="A14" s="206" t="s">
        <v>1011</v>
      </c>
      <c r="B14" s="206" t="s">
        <v>1070</v>
      </c>
      <c r="C14" s="206" t="s">
        <v>905</v>
      </c>
      <c r="D14" s="206" t="s">
        <v>906</v>
      </c>
      <c r="E14" s="206" t="s">
        <v>1053</v>
      </c>
      <c r="F14" s="205" t="s">
        <v>1104</v>
      </c>
      <c r="G14" s="206" t="s">
        <v>1012</v>
      </c>
      <c r="H14" s="206" t="s">
        <v>1013</v>
      </c>
      <c r="I14" s="193" t="s">
        <v>1147</v>
      </c>
      <c r="J14" s="193" t="s">
        <v>1148</v>
      </c>
      <c r="K14" s="193" t="s">
        <v>1149</v>
      </c>
      <c r="L14" s="193" t="s">
        <v>1100</v>
      </c>
      <c r="M14" s="193" t="s">
        <v>1150</v>
      </c>
      <c r="N14" s="193" t="s">
        <v>1151</v>
      </c>
      <c r="O14" s="193" t="s">
        <v>1147</v>
      </c>
      <c r="P14" s="193" t="s">
        <v>1152</v>
      </c>
      <c r="Q14" s="206" t="s">
        <v>785</v>
      </c>
      <c r="R14" s="206" t="s">
        <v>785</v>
      </c>
      <c r="S14" s="206" t="s">
        <v>785</v>
      </c>
      <c r="T14" s="206" t="s">
        <v>785</v>
      </c>
      <c r="U14" s="206" t="s">
        <v>919</v>
      </c>
      <c r="V14" s="206" t="s">
        <v>922</v>
      </c>
      <c r="W14" s="206" t="s">
        <v>924</v>
      </c>
      <c r="X14" s="206" t="s">
        <v>1019</v>
      </c>
      <c r="Y14" s="206" t="s">
        <v>1020</v>
      </c>
      <c r="Z14" s="193" t="s">
        <v>1153</v>
      </c>
      <c r="AA14" s="193" t="s">
        <v>925</v>
      </c>
      <c r="AB14" s="193" t="s">
        <v>193</v>
      </c>
      <c r="AC14" s="193" t="s">
        <v>926</v>
      </c>
      <c r="AD14" s="193" t="s">
        <v>928</v>
      </c>
      <c r="AE14" s="193" t="s">
        <v>1154</v>
      </c>
      <c r="AF14" s="193" t="s">
        <v>1108</v>
      </c>
      <c r="AG14" s="193" t="s">
        <v>931</v>
      </c>
      <c r="AH14" s="193" t="s">
        <v>1342</v>
      </c>
      <c r="AI14" s="206" t="s">
        <v>935</v>
      </c>
      <c r="AJ14" s="206" t="s">
        <v>937</v>
      </c>
      <c r="AK14" s="206" t="s">
        <v>939</v>
      </c>
      <c r="AL14" s="206" t="s">
        <v>1109</v>
      </c>
      <c r="AM14" s="206" t="s">
        <v>1110</v>
      </c>
      <c r="AN14" s="193" t="s">
        <v>1368</v>
      </c>
      <c r="AO14" s="210" t="str">
        <f t="shared" si="0"/>
        <v>La especie ocurre en hábitats de bosques húmedos en tierras altas (elevación mayor a 1000 msnm) (Sanín et at. 2023). La especie está fértil casi todo el año, excepto en junio y agosto (Sanín et at. 2023), y posiblemente es dispersada por viento. No se cuenta con información publicada sobre la ecología de la especie. El área de hábitat calculada tiene un valor de 54.650 km2.</v>
      </c>
      <c r="AP14" s="206" t="s">
        <v>1023</v>
      </c>
      <c r="AQ14" s="206"/>
      <c r="AR14" s="209">
        <v>50</v>
      </c>
      <c r="AS14" s="209">
        <v>150</v>
      </c>
      <c r="AT14" s="193" t="s">
        <v>1149</v>
      </c>
      <c r="AU14" s="193" t="s">
        <v>1236</v>
      </c>
      <c r="AV14" s="193" t="s">
        <v>1237</v>
      </c>
      <c r="AW14" s="211">
        <v>138336</v>
      </c>
      <c r="AX14" s="211">
        <v>120</v>
      </c>
      <c r="AY14" s="211">
        <v>18</v>
      </c>
      <c r="AZ14" s="211">
        <v>25</v>
      </c>
      <c r="BA14" s="211"/>
      <c r="BB14" s="211"/>
      <c r="BC14" s="211"/>
      <c r="BD14" s="193"/>
      <c r="BE14" s="193"/>
      <c r="BF14" s="193"/>
      <c r="BG14" s="193"/>
      <c r="BH14" s="193"/>
      <c r="BI14" s="193"/>
      <c r="BJ14" s="193"/>
      <c r="BK14" s="193"/>
      <c r="BL14" s="193"/>
      <c r="BM14" s="193"/>
      <c r="BN14" s="213"/>
      <c r="BO14" s="193"/>
      <c r="BP14" s="193"/>
      <c r="BQ14" s="193"/>
      <c r="BR14" s="193"/>
      <c r="BS14" s="193"/>
      <c r="BT14" s="193"/>
      <c r="BU14" s="193"/>
      <c r="BV14" s="193"/>
      <c r="BW14" s="193"/>
      <c r="BX14" s="193"/>
      <c r="BY14" s="193"/>
      <c r="BZ14" s="193" t="s">
        <v>1403</v>
      </c>
      <c r="CA14" s="193"/>
      <c r="CB14" s="193"/>
      <c r="CC14" s="193"/>
      <c r="CD14" s="193"/>
      <c r="CE14" s="213"/>
      <c r="CF14" s="213"/>
      <c r="CG14" s="193"/>
      <c r="CH14" s="193"/>
      <c r="CI14" s="193"/>
      <c r="CJ14" s="193"/>
      <c r="CK14" s="193"/>
      <c r="CL14" s="193"/>
    </row>
    <row r="15" spans="1:106" s="212" customFormat="1" ht="42.75" customHeight="1" x14ac:dyDescent="0.3">
      <c r="A15" s="206" t="s">
        <v>1011</v>
      </c>
      <c r="B15" s="206" t="s">
        <v>1071</v>
      </c>
      <c r="C15" s="206" t="s">
        <v>905</v>
      </c>
      <c r="D15" s="206" t="s">
        <v>906</v>
      </c>
      <c r="E15" s="206" t="s">
        <v>1053</v>
      </c>
      <c r="F15" s="205" t="s">
        <v>1104</v>
      </c>
      <c r="G15" s="206" t="s">
        <v>1012</v>
      </c>
      <c r="H15" s="206" t="s">
        <v>1013</v>
      </c>
      <c r="I15" s="193" t="s">
        <v>1165</v>
      </c>
      <c r="J15" s="193" t="s">
        <v>1164</v>
      </c>
      <c r="K15" s="193" t="s">
        <v>1166</v>
      </c>
      <c r="L15" s="193" t="s">
        <v>1100</v>
      </c>
      <c r="M15" s="193" t="s">
        <v>1167</v>
      </c>
      <c r="N15" s="193" t="s">
        <v>1168</v>
      </c>
      <c r="O15" s="193" t="s">
        <v>1169</v>
      </c>
      <c r="P15" s="193" t="s">
        <v>1170</v>
      </c>
      <c r="Q15" s="193" t="s">
        <v>1172</v>
      </c>
      <c r="R15" s="193" t="s">
        <v>1171</v>
      </c>
      <c r="S15" s="193" t="s">
        <v>919</v>
      </c>
      <c r="T15" s="206" t="s">
        <v>785</v>
      </c>
      <c r="U15" s="206" t="s">
        <v>919</v>
      </c>
      <c r="V15" s="206" t="s">
        <v>922</v>
      </c>
      <c r="W15" s="206" t="s">
        <v>924</v>
      </c>
      <c r="X15" s="206" t="s">
        <v>1029</v>
      </c>
      <c r="Y15" s="206" t="s">
        <v>1030</v>
      </c>
      <c r="Z15" s="193" t="s">
        <v>1178</v>
      </c>
      <c r="AA15" s="193" t="s">
        <v>925</v>
      </c>
      <c r="AB15" s="193" t="s">
        <v>193</v>
      </c>
      <c r="AC15" s="193" t="s">
        <v>926</v>
      </c>
      <c r="AD15" s="193" t="s">
        <v>928</v>
      </c>
      <c r="AE15" s="193" t="s">
        <v>1176</v>
      </c>
      <c r="AF15" s="193" t="s">
        <v>1177</v>
      </c>
      <c r="AG15" s="193" t="s">
        <v>931</v>
      </c>
      <c r="AH15" s="193" t="s">
        <v>1343</v>
      </c>
      <c r="AI15" s="206" t="s">
        <v>935</v>
      </c>
      <c r="AJ15" s="206" t="s">
        <v>937</v>
      </c>
      <c r="AK15" s="206" t="s">
        <v>939</v>
      </c>
      <c r="AL15" s="206" t="s">
        <v>1022</v>
      </c>
      <c r="AM15" s="206" t="s">
        <v>1111</v>
      </c>
      <c r="AN15" s="206" t="s">
        <v>1369</v>
      </c>
      <c r="AO15" s="210" t="str">
        <f t="shared" si="0"/>
        <v>La especie ocurre en hábitats de bosques húmedos en tierras bajas (elevación menor a 1.000 msnm), y en bosques de tierras altas (elevación mayor a 1000 msnm) (Sanín et at. 2023). La especie está fertil todo el año (Sanín et at. 2023), y posiblemente es dispersada por viento. No se cuenta con información publicada sobre la ecología de la especie. El área de hábitat calculada tiene un valor de 30.966 km2.</v>
      </c>
      <c r="AP15" s="206" t="s">
        <v>1023</v>
      </c>
      <c r="AQ15" s="206"/>
      <c r="AR15" s="209">
        <v>50</v>
      </c>
      <c r="AS15" s="209">
        <v>150</v>
      </c>
      <c r="AT15" s="193" t="s">
        <v>1166</v>
      </c>
      <c r="AU15" s="193" t="s">
        <v>1238</v>
      </c>
      <c r="AV15" s="193" t="s">
        <v>1239</v>
      </c>
      <c r="AW15" s="211">
        <v>58858</v>
      </c>
      <c r="AX15" s="211">
        <v>48</v>
      </c>
      <c r="AY15" s="211">
        <v>10</v>
      </c>
      <c r="AZ15" s="211">
        <v>11</v>
      </c>
      <c r="BA15" s="211">
        <v>9</v>
      </c>
      <c r="BB15" s="211"/>
      <c r="BC15" s="211">
        <v>88</v>
      </c>
      <c r="BD15" s="193" t="s">
        <v>1162</v>
      </c>
      <c r="BE15" s="193"/>
      <c r="BF15" s="193"/>
      <c r="BG15" s="193"/>
      <c r="BH15" s="193"/>
      <c r="BI15" s="193"/>
      <c r="BJ15" s="193"/>
      <c r="BK15" s="193"/>
      <c r="BL15" s="193"/>
      <c r="BM15" s="193"/>
      <c r="BN15" s="213"/>
      <c r="BO15" s="193"/>
      <c r="BP15" s="193"/>
      <c r="BQ15" s="193"/>
      <c r="BR15" s="193"/>
      <c r="BS15" s="193"/>
      <c r="BT15" s="193"/>
      <c r="BU15" s="193"/>
      <c r="BV15" s="193"/>
      <c r="BW15" s="193"/>
      <c r="BX15" s="193"/>
      <c r="BY15" s="193"/>
      <c r="BZ15" s="193" t="s">
        <v>1396</v>
      </c>
      <c r="CA15" s="193"/>
      <c r="CB15" s="193"/>
      <c r="CC15" s="193"/>
      <c r="CD15" s="193"/>
      <c r="CE15" s="213"/>
      <c r="CF15" s="213"/>
      <c r="CG15" s="193"/>
      <c r="CH15" s="193"/>
      <c r="CI15" s="193"/>
      <c r="CJ15" s="193"/>
      <c r="CK15" s="193"/>
      <c r="CL15" s="193"/>
    </row>
    <row r="16" spans="1:106" s="212" customFormat="1" ht="42.75" customHeight="1" x14ac:dyDescent="0.3">
      <c r="A16" s="206" t="s">
        <v>1011</v>
      </c>
      <c r="B16" s="206" t="s">
        <v>1072</v>
      </c>
      <c r="C16" s="206" t="s">
        <v>905</v>
      </c>
      <c r="D16" s="206" t="s">
        <v>906</v>
      </c>
      <c r="E16" s="206" t="s">
        <v>1053</v>
      </c>
      <c r="F16" s="205" t="s">
        <v>1104</v>
      </c>
      <c r="G16" s="206" t="s">
        <v>1012</v>
      </c>
      <c r="H16" s="206" t="s">
        <v>1013</v>
      </c>
      <c r="I16" s="193" t="s">
        <v>1179</v>
      </c>
      <c r="J16" s="193" t="s">
        <v>1180</v>
      </c>
      <c r="K16" s="193" t="s">
        <v>1181</v>
      </c>
      <c r="L16" s="193" t="s">
        <v>1100</v>
      </c>
      <c r="M16" s="193" t="s">
        <v>1182</v>
      </c>
      <c r="N16" s="193" t="s">
        <v>1151</v>
      </c>
      <c r="O16" s="193" t="s">
        <v>1179</v>
      </c>
      <c r="P16" s="193" t="s">
        <v>1183</v>
      </c>
      <c r="Q16" s="206" t="s">
        <v>785</v>
      </c>
      <c r="R16" s="206" t="s">
        <v>785</v>
      </c>
      <c r="S16" s="206" t="s">
        <v>785</v>
      </c>
      <c r="T16" s="206" t="s">
        <v>785</v>
      </c>
      <c r="U16" s="206" t="s">
        <v>919</v>
      </c>
      <c r="V16" s="206" t="s">
        <v>922</v>
      </c>
      <c r="W16" s="206" t="s">
        <v>924</v>
      </c>
      <c r="X16" s="206" t="s">
        <v>1029</v>
      </c>
      <c r="Y16" s="206" t="s">
        <v>1030</v>
      </c>
      <c r="Z16" s="193" t="s">
        <v>1184</v>
      </c>
      <c r="AA16" s="193" t="s">
        <v>925</v>
      </c>
      <c r="AB16" s="193" t="s">
        <v>193</v>
      </c>
      <c r="AC16" s="193" t="s">
        <v>926</v>
      </c>
      <c r="AD16" s="193" t="s">
        <v>928</v>
      </c>
      <c r="AE16" s="193" t="s">
        <v>1162</v>
      </c>
      <c r="AF16" s="193" t="s">
        <v>1185</v>
      </c>
      <c r="AG16" s="193" t="s">
        <v>931</v>
      </c>
      <c r="AH16" s="193" t="s">
        <v>1344</v>
      </c>
      <c r="AI16" s="206" t="s">
        <v>935</v>
      </c>
      <c r="AJ16" s="206" t="s">
        <v>937</v>
      </c>
      <c r="AK16" s="206" t="s">
        <v>939</v>
      </c>
      <c r="AL16" s="206" t="s">
        <v>1022</v>
      </c>
      <c r="AM16" s="206" t="s">
        <v>1111</v>
      </c>
      <c r="AN16" s="193" t="s">
        <v>1370</v>
      </c>
      <c r="AO16" s="210" t="str">
        <f t="shared" si="0"/>
        <v>La especie ocurre en hábitats de bosques húmedos en tierras bajas (elevación menor a 1.000 msnm), y en bosques de tierras altas (elevación mayor a 1000 msnm) (Sanín et at. 2023). La especie está fértil casi todo el año, excepto en marzo y diciembre (Sanín et at. 2023), y posiblemente es dispersada por viento. No se cuenta con información publicada sobre la ecología de la especie. El área de hábitat calculada tiene un valor de 361.052 km2.</v>
      </c>
      <c r="AP16" s="206" t="s">
        <v>1023</v>
      </c>
      <c r="AQ16" s="206"/>
      <c r="AR16" s="209">
        <v>50</v>
      </c>
      <c r="AS16" s="209">
        <v>150</v>
      </c>
      <c r="AT16" s="193" t="s">
        <v>1181</v>
      </c>
      <c r="AU16" s="193" t="s">
        <v>1240</v>
      </c>
      <c r="AV16" s="193" t="s">
        <v>1241</v>
      </c>
      <c r="AW16" s="211">
        <v>520184</v>
      </c>
      <c r="AX16" s="211">
        <v>124</v>
      </c>
      <c r="AY16" s="211">
        <v>27</v>
      </c>
      <c r="AZ16" s="211">
        <v>28</v>
      </c>
      <c r="BA16" s="211"/>
      <c r="BB16" s="211"/>
      <c r="BC16" s="211"/>
      <c r="BD16" s="193"/>
      <c r="BE16" s="193"/>
      <c r="BF16" s="193"/>
      <c r="BG16" s="193"/>
      <c r="BH16" s="193"/>
      <c r="BI16" s="193"/>
      <c r="BJ16" s="193"/>
      <c r="BK16" s="193"/>
      <c r="BL16" s="193"/>
      <c r="BM16" s="193"/>
      <c r="BN16" s="213"/>
      <c r="BO16" s="193"/>
      <c r="BP16" s="193"/>
      <c r="BR16" s="193"/>
      <c r="BS16" s="193"/>
      <c r="BT16" s="193"/>
      <c r="BU16" s="193"/>
      <c r="BV16" s="193"/>
      <c r="BW16" s="193"/>
      <c r="BX16" s="193"/>
      <c r="BY16" s="193"/>
      <c r="BZ16" s="193" t="s">
        <v>1397</v>
      </c>
      <c r="CA16" s="193"/>
      <c r="CB16" s="193"/>
      <c r="CC16" s="193"/>
      <c r="CD16" s="193"/>
      <c r="CE16" s="213"/>
      <c r="CF16" s="213"/>
      <c r="CG16" s="193"/>
      <c r="CH16" s="193"/>
      <c r="CI16" s="193"/>
      <c r="CJ16" s="193"/>
      <c r="CK16" s="193"/>
      <c r="CL16" s="193"/>
    </row>
    <row r="17" spans="1:90" s="212" customFormat="1" ht="42.75" customHeight="1" x14ac:dyDescent="0.3">
      <c r="A17" s="206" t="s">
        <v>1011</v>
      </c>
      <c r="B17" s="206" t="s">
        <v>1073</v>
      </c>
      <c r="C17" s="206" t="s">
        <v>905</v>
      </c>
      <c r="D17" s="206" t="s">
        <v>906</v>
      </c>
      <c r="E17" s="206" t="s">
        <v>1053</v>
      </c>
      <c r="F17" s="205" t="s">
        <v>1104</v>
      </c>
      <c r="G17" s="206" t="s">
        <v>1012</v>
      </c>
      <c r="H17" s="206" t="s">
        <v>1013</v>
      </c>
      <c r="I17" s="193" t="s">
        <v>1187</v>
      </c>
      <c r="J17" s="193" t="s">
        <v>1188</v>
      </c>
      <c r="K17" s="193" t="s">
        <v>1189</v>
      </c>
      <c r="L17" s="193" t="s">
        <v>1100</v>
      </c>
      <c r="M17" s="193" t="s">
        <v>1190</v>
      </c>
      <c r="N17" s="193" t="s">
        <v>1191</v>
      </c>
      <c r="O17" s="193" t="s">
        <v>1192</v>
      </c>
      <c r="P17" s="193" t="s">
        <v>1193</v>
      </c>
      <c r="Q17" s="193" t="s">
        <v>1194</v>
      </c>
      <c r="R17" s="193" t="s">
        <v>1171</v>
      </c>
      <c r="S17" s="193" t="s">
        <v>919</v>
      </c>
      <c r="T17" s="206" t="s">
        <v>785</v>
      </c>
      <c r="U17" s="206" t="s">
        <v>919</v>
      </c>
      <c r="V17" s="193" t="s">
        <v>1195</v>
      </c>
      <c r="W17" s="193" t="s">
        <v>924</v>
      </c>
      <c r="X17" s="206" t="s">
        <v>1029</v>
      </c>
      <c r="Y17" s="206" t="s">
        <v>1030</v>
      </c>
      <c r="Z17" s="193" t="s">
        <v>1196</v>
      </c>
      <c r="AA17" s="193" t="s">
        <v>925</v>
      </c>
      <c r="AB17" s="193" t="s">
        <v>193</v>
      </c>
      <c r="AC17" s="193" t="s">
        <v>926</v>
      </c>
      <c r="AD17" s="193" t="s">
        <v>928</v>
      </c>
      <c r="AE17" s="193" t="s">
        <v>1186</v>
      </c>
      <c r="AF17" s="193" t="s">
        <v>1021</v>
      </c>
      <c r="AG17" s="193" t="s">
        <v>931</v>
      </c>
      <c r="AH17" s="193" t="s">
        <v>1345</v>
      </c>
      <c r="AI17" s="206" t="s">
        <v>935</v>
      </c>
      <c r="AJ17" s="206" t="s">
        <v>937</v>
      </c>
      <c r="AK17" s="206" t="s">
        <v>939</v>
      </c>
      <c r="AL17" s="206" t="s">
        <v>1022</v>
      </c>
      <c r="AM17" s="206" t="s">
        <v>1111</v>
      </c>
      <c r="AN17" s="206" t="s">
        <v>1371</v>
      </c>
      <c r="AO17" s="210" t="str">
        <f t="shared" ref="AO17" si="1">CONCATENATE(AM17," ",AN17)</f>
        <v>La especie ocurre en hábitats de bosques húmedos en tierras bajas (elevación menor a 1.000 msnm), y en bosques de tierras altas (elevación mayor a 1000 msnm) (Sanín et at. 2023). La especie está fertil todo el año (Sanín et at. 2023), y posiblemente es dispersada por viento. No se cuenta con información publicada sobre la ecología de la especie. El área de hábitat calculada tiene un valor de 147.576 km2.</v>
      </c>
      <c r="AP17" s="206" t="s">
        <v>1023</v>
      </c>
      <c r="AQ17" s="206"/>
      <c r="AR17" s="209">
        <v>50</v>
      </c>
      <c r="AS17" s="209">
        <v>150</v>
      </c>
      <c r="AT17" s="193" t="s">
        <v>1189</v>
      </c>
      <c r="AU17" s="193" t="s">
        <v>1242</v>
      </c>
      <c r="AV17" s="193" t="s">
        <v>1243</v>
      </c>
      <c r="AW17" s="211">
        <v>354288</v>
      </c>
      <c r="AX17" s="211">
        <v>572</v>
      </c>
      <c r="AY17" s="211">
        <v>80</v>
      </c>
      <c r="AZ17" s="211">
        <v>120</v>
      </c>
      <c r="BA17" s="211"/>
      <c r="BB17" s="211"/>
      <c r="BC17" s="211"/>
      <c r="BD17" s="193"/>
      <c r="BE17" s="193"/>
      <c r="BF17" s="193"/>
      <c r="BG17" s="193"/>
      <c r="BH17" s="193"/>
      <c r="BI17" s="193"/>
      <c r="BJ17" s="193"/>
      <c r="BK17" s="193"/>
      <c r="BL17" s="193"/>
      <c r="BM17" s="193"/>
      <c r="BN17" s="213"/>
      <c r="BO17" s="193"/>
      <c r="BP17" s="193"/>
      <c r="BQ17" s="193"/>
      <c r="BR17" s="193"/>
      <c r="BS17" s="193"/>
      <c r="BT17" s="193"/>
      <c r="BU17" s="193"/>
      <c r="BV17" s="193"/>
      <c r="BW17" s="193"/>
      <c r="BX17" s="193"/>
      <c r="BY17" s="193"/>
      <c r="BZ17" s="193" t="s">
        <v>1404</v>
      </c>
      <c r="CA17" s="193"/>
      <c r="CB17" s="193"/>
      <c r="CC17" s="193"/>
      <c r="CD17" s="193"/>
      <c r="CE17" s="213"/>
      <c r="CF17" s="213"/>
      <c r="CG17" s="193"/>
      <c r="CH17" s="193"/>
      <c r="CI17" s="193"/>
      <c r="CJ17" s="193"/>
      <c r="CK17" s="193"/>
      <c r="CL17" s="193"/>
    </row>
    <row r="18" spans="1:90" s="212" customFormat="1" ht="42.75" customHeight="1" x14ac:dyDescent="0.3">
      <c r="A18" s="206" t="s">
        <v>1011</v>
      </c>
      <c r="B18" s="206" t="s">
        <v>1074</v>
      </c>
      <c r="C18" s="206" t="s">
        <v>905</v>
      </c>
      <c r="D18" s="206" t="s">
        <v>906</v>
      </c>
      <c r="E18" s="206" t="s">
        <v>1053</v>
      </c>
      <c r="F18" s="205" t="s">
        <v>1104</v>
      </c>
      <c r="G18" s="206" t="s">
        <v>1012</v>
      </c>
      <c r="H18" s="206" t="s">
        <v>1013</v>
      </c>
      <c r="I18" s="193" t="s">
        <v>1197</v>
      </c>
      <c r="J18" s="193" t="s">
        <v>1115</v>
      </c>
      <c r="K18" s="193" t="s">
        <v>1198</v>
      </c>
      <c r="L18" s="193" t="s">
        <v>1100</v>
      </c>
      <c r="M18" s="193" t="s">
        <v>1199</v>
      </c>
      <c r="N18" s="193" t="s">
        <v>1200</v>
      </c>
      <c r="O18" s="193" t="s">
        <v>1201</v>
      </c>
      <c r="P18" s="193" t="s">
        <v>1202</v>
      </c>
      <c r="Q18" s="206" t="s">
        <v>785</v>
      </c>
      <c r="R18" s="206" t="s">
        <v>785</v>
      </c>
      <c r="S18" s="206" t="s">
        <v>785</v>
      </c>
      <c r="T18" s="206" t="s">
        <v>785</v>
      </c>
      <c r="U18" s="206" t="s">
        <v>919</v>
      </c>
      <c r="V18" s="206" t="s">
        <v>922</v>
      </c>
      <c r="W18" s="206" t="s">
        <v>924</v>
      </c>
      <c r="X18" s="206" t="s">
        <v>1037</v>
      </c>
      <c r="Y18" s="206" t="s">
        <v>1038</v>
      </c>
      <c r="Z18" s="193" t="s">
        <v>1203</v>
      </c>
      <c r="AA18" s="193" t="s">
        <v>925</v>
      </c>
      <c r="AB18" s="193" t="s">
        <v>193</v>
      </c>
      <c r="AC18" s="193" t="s">
        <v>926</v>
      </c>
      <c r="AD18" s="193" t="s">
        <v>928</v>
      </c>
      <c r="AE18" s="193" t="s">
        <v>1204</v>
      </c>
      <c r="AF18" s="193" t="s">
        <v>1205</v>
      </c>
      <c r="AG18" s="193" t="s">
        <v>931</v>
      </c>
      <c r="AH18" s="193" t="s">
        <v>1355</v>
      </c>
      <c r="AI18" s="206" t="s">
        <v>935</v>
      </c>
      <c r="AJ18" s="206" t="s">
        <v>937</v>
      </c>
      <c r="AK18" s="206" t="s">
        <v>939</v>
      </c>
      <c r="AL18" s="206" t="s">
        <v>1022</v>
      </c>
      <c r="AM18" s="206" t="s">
        <v>1111</v>
      </c>
      <c r="AN18" s="193" t="s">
        <v>1372</v>
      </c>
      <c r="AO18" s="210" t="str">
        <f t="shared" ref="AO18" si="2">CONCATENATE(AM18," ",AN18)</f>
        <v>La especie ocurre en hábitats de bosques húmedos en tierras bajas (elevación menor a 1.000 msnm), y en bosques de tierras altas (elevación mayor a 1000 msnm) (Sanín et at. 2023). La especie está fértil casi todo el año, excepto en febrero (Sanín et at. 2023), y posiblemente es dispersada por viento. No se cuenta con información publicada sobre la ecología de la especie. El área de hábitat calculada tiene un valor de 107.449 km2.</v>
      </c>
      <c r="AP18" s="206" t="s">
        <v>1023</v>
      </c>
      <c r="AQ18" s="206"/>
      <c r="AR18" s="209">
        <v>50</v>
      </c>
      <c r="AS18" s="209">
        <v>150</v>
      </c>
      <c r="AT18" s="193" t="s">
        <v>1198</v>
      </c>
      <c r="AU18" s="193" t="s">
        <v>1244</v>
      </c>
      <c r="AV18" s="193" t="s">
        <v>1091</v>
      </c>
      <c r="AW18" s="211" t="s">
        <v>1227</v>
      </c>
      <c r="AX18" s="211" t="s">
        <v>1226</v>
      </c>
      <c r="AY18" s="211">
        <v>8</v>
      </c>
      <c r="AZ18" s="211" t="s">
        <v>1225</v>
      </c>
      <c r="BA18" s="211">
        <v>37</v>
      </c>
      <c r="BB18" s="211"/>
      <c r="BC18" s="211">
        <v>47</v>
      </c>
      <c r="BD18" s="193"/>
      <c r="BE18" s="193"/>
      <c r="BF18" s="193"/>
      <c r="BG18" s="193"/>
      <c r="BH18" s="193"/>
      <c r="BI18" s="193"/>
      <c r="BJ18" s="193"/>
      <c r="BK18" s="193"/>
      <c r="BL18" s="193"/>
      <c r="BM18" s="193"/>
      <c r="BN18" s="213"/>
      <c r="BO18" s="193"/>
      <c r="BP18" s="193"/>
      <c r="BQ18" s="193"/>
      <c r="BR18" s="193"/>
      <c r="BS18" s="193"/>
      <c r="BT18" s="193"/>
      <c r="BU18" s="193"/>
      <c r="BV18" s="193"/>
      <c r="BW18" s="193"/>
      <c r="BX18" s="193"/>
      <c r="BY18" s="193"/>
      <c r="BZ18" s="193" t="s">
        <v>1398</v>
      </c>
      <c r="CA18" s="193"/>
      <c r="CB18" s="193"/>
      <c r="CC18" s="193"/>
      <c r="CD18" s="193"/>
      <c r="CE18" s="213"/>
      <c r="CF18" s="213"/>
      <c r="CG18" s="193"/>
      <c r="CH18" s="193"/>
      <c r="CI18" s="193"/>
      <c r="CJ18" s="193"/>
      <c r="CK18" s="193"/>
      <c r="CL18" s="193"/>
    </row>
    <row r="19" spans="1:90" s="212" customFormat="1" ht="42.75" customHeight="1" x14ac:dyDescent="0.3">
      <c r="A19" s="206" t="s">
        <v>1011</v>
      </c>
      <c r="B19" s="206" t="s">
        <v>1075</v>
      </c>
      <c r="C19" s="206" t="s">
        <v>905</v>
      </c>
      <c r="D19" s="206" t="s">
        <v>906</v>
      </c>
      <c r="E19" s="206" t="s">
        <v>1053</v>
      </c>
      <c r="F19" s="205" t="s">
        <v>1104</v>
      </c>
      <c r="G19" s="206" t="s">
        <v>1012</v>
      </c>
      <c r="H19" s="206" t="s">
        <v>1013</v>
      </c>
      <c r="I19" s="193" t="s">
        <v>1207</v>
      </c>
      <c r="J19" s="193" t="s">
        <v>1208</v>
      </c>
      <c r="K19" s="193" t="s">
        <v>1206</v>
      </c>
      <c r="L19" s="193" t="s">
        <v>1100</v>
      </c>
      <c r="M19" s="193" t="s">
        <v>1209</v>
      </c>
      <c r="N19" s="193" t="s">
        <v>1210</v>
      </c>
      <c r="O19" s="193" t="s">
        <v>1211</v>
      </c>
      <c r="P19" s="193" t="s">
        <v>1212</v>
      </c>
      <c r="Q19" s="206" t="s">
        <v>785</v>
      </c>
      <c r="R19" s="206" t="s">
        <v>785</v>
      </c>
      <c r="S19" s="206" t="s">
        <v>785</v>
      </c>
      <c r="T19" s="206" t="s">
        <v>785</v>
      </c>
      <c r="U19" s="206" t="s">
        <v>919</v>
      </c>
      <c r="V19" s="206" t="s">
        <v>922</v>
      </c>
      <c r="W19" s="206" t="s">
        <v>924</v>
      </c>
      <c r="X19" s="206" t="s">
        <v>1037</v>
      </c>
      <c r="Y19" s="206" t="s">
        <v>1038</v>
      </c>
      <c r="Z19" s="193" t="s">
        <v>1203</v>
      </c>
      <c r="AA19" s="193" t="s">
        <v>925</v>
      </c>
      <c r="AB19" s="193" t="s">
        <v>193</v>
      </c>
      <c r="AC19" s="193" t="s">
        <v>926</v>
      </c>
      <c r="AD19" s="193" t="s">
        <v>928</v>
      </c>
      <c r="AE19" s="193" t="s">
        <v>1213</v>
      </c>
      <c r="AF19" s="193" t="s">
        <v>1214</v>
      </c>
      <c r="AG19" s="193" t="s">
        <v>931</v>
      </c>
      <c r="AH19" s="193" t="s">
        <v>1346</v>
      </c>
      <c r="AI19" s="206" t="s">
        <v>935</v>
      </c>
      <c r="AJ19" s="206" t="s">
        <v>937</v>
      </c>
      <c r="AK19" s="206" t="s">
        <v>939</v>
      </c>
      <c r="AL19" s="206" t="s">
        <v>940</v>
      </c>
      <c r="AM19" s="206" t="s">
        <v>942</v>
      </c>
      <c r="AN19" s="193" t="s">
        <v>1373</v>
      </c>
      <c r="AO19" s="210" t="str">
        <f t="shared" ref="AO19" si="3">CONCATENATE(AM19," ",AN19)</f>
        <v>La especie ocurre en hábitats de bosques húmedos en tierras bajas (elevación menor a 1.000 msnm). La especie está fértil casi todo el año, excepto en septiembre (Sanín et at. 2023), y posiblemente es dispersada por viento. No se cuenta con información publicada sobre la ecología de la especie. El área de hábitat calculada tiene un valor de 90.590 km2.</v>
      </c>
      <c r="AP19" s="206" t="s">
        <v>1023</v>
      </c>
      <c r="AQ19" s="206"/>
      <c r="AR19" s="209">
        <v>50</v>
      </c>
      <c r="AS19" s="209">
        <v>150</v>
      </c>
      <c r="AT19" s="193" t="s">
        <v>1206</v>
      </c>
      <c r="AU19" s="193" t="s">
        <v>1245</v>
      </c>
      <c r="AV19" s="193" t="s">
        <v>1246</v>
      </c>
      <c r="AW19" s="211">
        <v>5344464</v>
      </c>
      <c r="AX19" s="211">
        <v>52</v>
      </c>
      <c r="AY19" s="211">
        <v>12</v>
      </c>
      <c r="AZ19" s="211">
        <v>12</v>
      </c>
      <c r="BA19" s="211"/>
      <c r="BB19" s="211"/>
      <c r="BC19" s="211">
        <v>24</v>
      </c>
      <c r="BD19" s="193"/>
      <c r="BE19" s="193"/>
      <c r="BF19" s="193"/>
      <c r="BG19" s="193"/>
      <c r="BH19" s="193"/>
      <c r="BI19" s="193"/>
      <c r="BJ19" s="193"/>
      <c r="BK19" s="193"/>
      <c r="BL19" s="193"/>
      <c r="BM19" s="193"/>
      <c r="BN19" s="213"/>
      <c r="BO19" s="193"/>
      <c r="BP19" s="193"/>
      <c r="BQ19" s="193"/>
      <c r="BR19" s="193"/>
      <c r="BS19" s="193"/>
      <c r="BT19" s="193"/>
      <c r="BU19" s="193"/>
      <c r="BV19" s="193"/>
      <c r="BW19" s="193"/>
      <c r="BX19" s="193"/>
      <c r="BY19" s="193"/>
      <c r="BZ19" s="193" t="s">
        <v>1405</v>
      </c>
      <c r="CA19" s="193"/>
      <c r="CB19" s="193"/>
      <c r="CC19" s="193"/>
      <c r="CD19" s="193"/>
      <c r="CE19" s="213"/>
      <c r="CF19" s="213"/>
      <c r="CG19" s="193"/>
      <c r="CH19" s="193"/>
      <c r="CI19" s="193"/>
      <c r="CJ19" s="193"/>
      <c r="CK19" s="193"/>
      <c r="CL19" s="193"/>
    </row>
    <row r="20" spans="1:90" s="212" customFormat="1" ht="42.75" customHeight="1" x14ac:dyDescent="0.3">
      <c r="A20" s="206" t="s">
        <v>1011</v>
      </c>
      <c r="B20" s="206" t="s">
        <v>944</v>
      </c>
      <c r="C20" s="206" t="s">
        <v>905</v>
      </c>
      <c r="D20" s="206" t="s">
        <v>906</v>
      </c>
      <c r="E20" s="206" t="s">
        <v>1053</v>
      </c>
      <c r="F20" s="205" t="s">
        <v>1104</v>
      </c>
      <c r="G20" s="206" t="s">
        <v>1012</v>
      </c>
      <c r="H20" s="206" t="s">
        <v>1013</v>
      </c>
      <c r="I20" s="193" t="s">
        <v>1247</v>
      </c>
      <c r="J20" s="193" t="s">
        <v>1248</v>
      </c>
      <c r="K20" s="193" t="s">
        <v>1249</v>
      </c>
      <c r="L20" s="193" t="s">
        <v>1100</v>
      </c>
      <c r="M20" s="193" t="s">
        <v>1250</v>
      </c>
      <c r="N20" s="193" t="s">
        <v>1151</v>
      </c>
      <c r="O20" s="193" t="s">
        <v>1247</v>
      </c>
      <c r="P20" s="193" t="s">
        <v>1251</v>
      </c>
      <c r="Q20" s="206" t="s">
        <v>785</v>
      </c>
      <c r="R20" s="206" t="s">
        <v>785</v>
      </c>
      <c r="S20" s="206" t="s">
        <v>785</v>
      </c>
      <c r="T20" s="206" t="s">
        <v>785</v>
      </c>
      <c r="U20" s="206" t="s">
        <v>919</v>
      </c>
      <c r="V20" s="206" t="s">
        <v>922</v>
      </c>
      <c r="W20" s="206" t="s">
        <v>924</v>
      </c>
      <c r="X20" s="206" t="s">
        <v>1037</v>
      </c>
      <c r="Y20" s="206" t="s">
        <v>1038</v>
      </c>
      <c r="Z20" s="193" t="s">
        <v>1252</v>
      </c>
      <c r="AA20" s="193" t="s">
        <v>925</v>
      </c>
      <c r="AB20" s="193" t="s">
        <v>193</v>
      </c>
      <c r="AC20" s="193" t="s">
        <v>926</v>
      </c>
      <c r="AD20" s="193" t="s">
        <v>928</v>
      </c>
      <c r="AE20" s="193" t="s">
        <v>1253</v>
      </c>
      <c r="AF20" s="193" t="s">
        <v>1254</v>
      </c>
      <c r="AG20" s="193" t="s">
        <v>931</v>
      </c>
      <c r="AH20" s="193" t="s">
        <v>1347</v>
      </c>
      <c r="AI20" s="206" t="s">
        <v>935</v>
      </c>
      <c r="AJ20" s="206" t="s">
        <v>937</v>
      </c>
      <c r="AK20" s="206" t="s">
        <v>939</v>
      </c>
      <c r="AL20" s="193" t="s">
        <v>1109</v>
      </c>
      <c r="AM20" s="206" t="s">
        <v>1110</v>
      </c>
      <c r="AN20" s="193" t="s">
        <v>1374</v>
      </c>
      <c r="AO20" s="210" t="str">
        <f t="shared" ref="AO20:AO21" si="4">CONCATENATE(AM20," ",AN20)</f>
        <v>La especie ocurre en hábitats de bosques húmedos en tierras altas (elevación mayor a 1000 msnm) (Sanín et at. 2023). La especie está fértil casi todo el año, excepto en noviembre (Sanín et at. 2023), y posiblemente es dispersada por viento. No se cuenta con información publicada sobre la ecología de la especie. El área de hábitat calculada tiene un valor de 31.821 km2.</v>
      </c>
      <c r="AP20" s="206" t="s">
        <v>1023</v>
      </c>
      <c r="AQ20" s="206"/>
      <c r="AR20" s="209">
        <v>50</v>
      </c>
      <c r="AS20" s="209">
        <v>150</v>
      </c>
      <c r="AT20" s="193" t="s">
        <v>1249</v>
      </c>
      <c r="AU20" s="193" t="s">
        <v>1255</v>
      </c>
      <c r="AV20" s="193" t="s">
        <v>1256</v>
      </c>
      <c r="AW20" s="211">
        <v>150772</v>
      </c>
      <c r="AX20" s="211">
        <v>100</v>
      </c>
      <c r="AY20" s="211">
        <v>17</v>
      </c>
      <c r="AZ20" s="211">
        <v>19</v>
      </c>
      <c r="BA20" s="211"/>
      <c r="BB20" s="211"/>
      <c r="BC20" s="211"/>
      <c r="BD20" s="193"/>
      <c r="BE20" s="193"/>
      <c r="BF20" s="193"/>
      <c r="BG20" s="193"/>
      <c r="BH20" s="193"/>
      <c r="BI20" s="193"/>
      <c r="BJ20" s="193"/>
      <c r="BK20" s="193"/>
      <c r="BL20" s="193"/>
      <c r="BM20" s="193"/>
      <c r="BN20" s="213"/>
      <c r="BO20" s="193"/>
      <c r="BP20" s="193"/>
      <c r="BQ20" s="193"/>
      <c r="BR20" s="193"/>
      <c r="BS20" s="193"/>
      <c r="BT20" s="193"/>
      <c r="BU20" s="193"/>
      <c r="BV20" s="193"/>
      <c r="BW20" s="193"/>
      <c r="BX20" s="193"/>
      <c r="BY20" s="193"/>
      <c r="BZ20" s="193"/>
      <c r="CA20" s="193"/>
      <c r="CB20" s="193"/>
      <c r="CC20" s="193"/>
      <c r="CD20" s="193"/>
      <c r="CE20" s="213"/>
      <c r="CF20" s="213"/>
      <c r="CG20" s="193"/>
      <c r="CH20" s="193"/>
      <c r="CI20" s="193"/>
      <c r="CJ20" s="193"/>
      <c r="CK20" s="193"/>
      <c r="CL20" s="193"/>
    </row>
    <row r="21" spans="1:90" s="212" customFormat="1" ht="42.75" customHeight="1" x14ac:dyDescent="0.3">
      <c r="A21" s="206" t="s">
        <v>1011</v>
      </c>
      <c r="B21" s="206" t="s">
        <v>1076</v>
      </c>
      <c r="C21" s="206" t="s">
        <v>905</v>
      </c>
      <c r="D21" s="206" t="s">
        <v>906</v>
      </c>
      <c r="E21" s="206" t="s">
        <v>1053</v>
      </c>
      <c r="F21" s="205" t="s">
        <v>1104</v>
      </c>
      <c r="G21" s="206" t="s">
        <v>1012</v>
      </c>
      <c r="H21" s="206" t="s">
        <v>1013</v>
      </c>
      <c r="I21" s="193" t="s">
        <v>1260</v>
      </c>
      <c r="J21" s="193" t="s">
        <v>1148</v>
      </c>
      <c r="K21" s="193" t="s">
        <v>1258</v>
      </c>
      <c r="L21" s="193" t="s">
        <v>1100</v>
      </c>
      <c r="M21" s="193" t="s">
        <v>1262</v>
      </c>
      <c r="N21" s="193" t="s">
        <v>1264</v>
      </c>
      <c r="O21" s="193" t="s">
        <v>1263</v>
      </c>
      <c r="P21" s="193" t="s">
        <v>1265</v>
      </c>
      <c r="Q21" s="193" t="s">
        <v>1271</v>
      </c>
      <c r="R21" s="193" t="s">
        <v>1171</v>
      </c>
      <c r="S21" s="193" t="s">
        <v>919</v>
      </c>
      <c r="T21" s="206" t="s">
        <v>785</v>
      </c>
      <c r="U21" s="206" t="s">
        <v>919</v>
      </c>
      <c r="V21" s="206" t="s">
        <v>922</v>
      </c>
      <c r="W21" s="206" t="s">
        <v>924</v>
      </c>
      <c r="X21" s="206" t="s">
        <v>1037</v>
      </c>
      <c r="Y21" s="206" t="s">
        <v>1038</v>
      </c>
      <c r="Z21" s="193" t="s">
        <v>1270</v>
      </c>
      <c r="AA21" s="193" t="s">
        <v>925</v>
      </c>
      <c r="AB21" s="193" t="s">
        <v>193</v>
      </c>
      <c r="AC21" s="193" t="s">
        <v>926</v>
      </c>
      <c r="AD21" s="193" t="s">
        <v>928</v>
      </c>
      <c r="AE21" s="193" t="s">
        <v>1268</v>
      </c>
      <c r="AF21" s="193" t="s">
        <v>1269</v>
      </c>
      <c r="AG21" s="193" t="s">
        <v>931</v>
      </c>
      <c r="AH21" s="193" t="s">
        <v>1348</v>
      </c>
      <c r="AI21" s="206" t="s">
        <v>935</v>
      </c>
      <c r="AJ21" s="206" t="s">
        <v>937</v>
      </c>
      <c r="AK21" s="206" t="s">
        <v>939</v>
      </c>
      <c r="AL21" s="206" t="s">
        <v>1022</v>
      </c>
      <c r="AM21" s="206" t="s">
        <v>1111</v>
      </c>
      <c r="AN21" s="206" t="s">
        <v>1375</v>
      </c>
      <c r="AO21" s="210" t="str">
        <f t="shared" si="4"/>
        <v>La especie ocurre en hábitats de bosques húmedos en tierras bajas (elevación menor a 1.000 msnm), y en bosques de tierras altas (elevación mayor a 1000 msnm) (Sanín et at. 2023). La especie está fertil todo el año (Sanín et at. 2023), y posiblemente es dispersada por viento. No se cuenta con información publicada sobre la ecología de la especie. El área de hábitat calculada tiene un valor de 25.741 km2.</v>
      </c>
      <c r="AP21" s="206" t="s">
        <v>1023</v>
      </c>
      <c r="AQ21" s="206"/>
      <c r="AR21" s="209">
        <v>50</v>
      </c>
      <c r="AS21" s="209">
        <v>150</v>
      </c>
      <c r="AT21" s="193" t="s">
        <v>1258</v>
      </c>
      <c r="AU21" s="193" t="s">
        <v>1257</v>
      </c>
      <c r="AV21" s="193" t="s">
        <v>1095</v>
      </c>
      <c r="AW21" s="211">
        <v>29790</v>
      </c>
      <c r="AX21" s="211">
        <v>32</v>
      </c>
      <c r="AY21" s="211">
        <v>4</v>
      </c>
      <c r="AZ21" s="211">
        <v>5</v>
      </c>
      <c r="BA21" s="211"/>
      <c r="BB21" s="211"/>
      <c r="BC21" s="211"/>
      <c r="BD21" s="193"/>
      <c r="BE21" s="193"/>
      <c r="BF21" s="193"/>
      <c r="BG21" s="193"/>
      <c r="BH21" s="193"/>
      <c r="BI21" s="193"/>
      <c r="BJ21" s="193"/>
      <c r="BK21" s="193"/>
      <c r="BL21" s="193"/>
      <c r="BM21" s="193"/>
      <c r="BN21" s="213"/>
      <c r="BO21" s="193"/>
      <c r="BP21" s="193"/>
      <c r="BQ21" s="193"/>
      <c r="BR21" s="193"/>
      <c r="BS21" s="193"/>
      <c r="BT21" s="193"/>
      <c r="BU21" s="193"/>
      <c r="BV21" s="193"/>
      <c r="BW21" s="193"/>
      <c r="BX21" s="193"/>
      <c r="BY21" s="193"/>
      <c r="BZ21" s="193"/>
      <c r="CA21" s="193"/>
      <c r="CB21" s="193"/>
      <c r="CC21" s="193"/>
      <c r="CD21" s="193"/>
      <c r="CE21" s="213"/>
      <c r="CF21" s="213"/>
      <c r="CG21" s="193"/>
      <c r="CH21" s="193"/>
      <c r="CI21" s="193"/>
      <c r="CJ21" s="193"/>
      <c r="CK21" s="193"/>
      <c r="CL21" s="193"/>
    </row>
    <row r="22" spans="1:90" s="212" customFormat="1" ht="42.75" customHeight="1" x14ac:dyDescent="0.3">
      <c r="A22" s="206" t="s">
        <v>1011</v>
      </c>
      <c r="B22" s="206" t="s">
        <v>1077</v>
      </c>
      <c r="C22" s="206" t="s">
        <v>905</v>
      </c>
      <c r="D22" s="206" t="s">
        <v>906</v>
      </c>
      <c r="E22" s="206" t="s">
        <v>1053</v>
      </c>
      <c r="F22" s="205" t="s">
        <v>1104</v>
      </c>
      <c r="G22" s="206" t="s">
        <v>1012</v>
      </c>
      <c r="H22" s="206" t="s">
        <v>1013</v>
      </c>
      <c r="I22" s="193" t="s">
        <v>1261</v>
      </c>
      <c r="J22" s="193" t="s">
        <v>1274</v>
      </c>
      <c r="K22" s="193" t="s">
        <v>1259</v>
      </c>
      <c r="L22" s="193" t="s">
        <v>1275</v>
      </c>
      <c r="M22" s="193" t="s">
        <v>785</v>
      </c>
      <c r="N22" s="193" t="s">
        <v>785</v>
      </c>
      <c r="O22" s="193" t="s">
        <v>785</v>
      </c>
      <c r="P22" s="193" t="s">
        <v>785</v>
      </c>
      <c r="Q22" s="193" t="s">
        <v>1276</v>
      </c>
      <c r="R22" s="193" t="s">
        <v>1171</v>
      </c>
      <c r="S22" s="193" t="s">
        <v>919</v>
      </c>
      <c r="T22" s="206" t="s">
        <v>785</v>
      </c>
      <c r="U22" s="206" t="s">
        <v>919</v>
      </c>
      <c r="V22" s="206" t="s">
        <v>922</v>
      </c>
      <c r="W22" s="206" t="s">
        <v>924</v>
      </c>
      <c r="X22" s="206" t="s">
        <v>1037</v>
      </c>
      <c r="Y22" s="206" t="s">
        <v>1038</v>
      </c>
      <c r="Z22" s="193" t="s">
        <v>1278</v>
      </c>
      <c r="AA22" s="193" t="s">
        <v>925</v>
      </c>
      <c r="AB22" s="193" t="s">
        <v>193</v>
      </c>
      <c r="AC22" s="193" t="s">
        <v>926</v>
      </c>
      <c r="AD22" s="193" t="s">
        <v>928</v>
      </c>
      <c r="AE22" s="193" t="s">
        <v>1204</v>
      </c>
      <c r="AF22" s="193" t="s">
        <v>1277</v>
      </c>
      <c r="AG22" s="193" t="s">
        <v>931</v>
      </c>
      <c r="AH22" s="193" t="s">
        <v>1349</v>
      </c>
      <c r="AI22" s="206" t="s">
        <v>935</v>
      </c>
      <c r="AJ22" s="206" t="s">
        <v>937</v>
      </c>
      <c r="AK22" s="206" t="s">
        <v>939</v>
      </c>
      <c r="AL22" s="206" t="s">
        <v>1022</v>
      </c>
      <c r="AM22" s="206" t="s">
        <v>1111</v>
      </c>
      <c r="AN22" s="206" t="s">
        <v>1376</v>
      </c>
      <c r="AO22" s="210" t="str">
        <f t="shared" ref="AO22" si="5">CONCATENATE(AM22," ",AN22)</f>
        <v>La especie ocurre en hábitats de bosques húmedos en tierras bajas (elevación menor a 1.000 msnm), y en bosques de tierras altas (elevación mayor a 1000 msnm) (Sanín et at. 2023). La especie está fertil todo el año (Sanín et at. 2023), y posiblemente es dispersada por viento. No se cuenta con información publicada sobre la ecología de la especie. El área de hábitat calculada tiene un valor de 270.332 km2.</v>
      </c>
      <c r="AP22" s="206" t="s">
        <v>1023</v>
      </c>
      <c r="AQ22" s="206"/>
      <c r="AR22" s="209">
        <v>50</v>
      </c>
      <c r="AS22" s="209">
        <v>150</v>
      </c>
      <c r="AT22" s="193" t="s">
        <v>1259</v>
      </c>
      <c r="AU22" s="193" t="s">
        <v>1266</v>
      </c>
      <c r="AV22" s="193" t="s">
        <v>1267</v>
      </c>
      <c r="AW22" s="211">
        <v>429306</v>
      </c>
      <c r="AX22" s="211">
        <v>80</v>
      </c>
      <c r="AY22" s="211">
        <v>17</v>
      </c>
      <c r="AZ22" s="211">
        <v>18</v>
      </c>
      <c r="BA22" s="211"/>
      <c r="BB22" s="211"/>
      <c r="BC22" s="211"/>
      <c r="BD22" s="193"/>
      <c r="BE22" s="193"/>
      <c r="BF22" s="193"/>
      <c r="BG22" s="193"/>
      <c r="BH22" s="193"/>
      <c r="BI22" s="193"/>
      <c r="BJ22" s="193"/>
      <c r="BK22" s="193"/>
      <c r="BL22" s="193"/>
      <c r="BM22" s="193"/>
      <c r="BN22" s="213"/>
      <c r="BO22" s="193"/>
      <c r="BP22" s="193"/>
      <c r="BQ22" s="193"/>
      <c r="BR22" s="193"/>
      <c r="BS22" s="193"/>
      <c r="BT22" s="193"/>
      <c r="BU22" s="193"/>
      <c r="BV22" s="193"/>
      <c r="BW22" s="193"/>
      <c r="BX22" s="193"/>
      <c r="BY22" s="193"/>
      <c r="BZ22" s="193"/>
      <c r="CA22" s="193"/>
      <c r="CB22" s="193"/>
      <c r="CC22" s="193"/>
      <c r="CD22" s="193"/>
      <c r="CE22" s="213"/>
      <c r="CF22" s="213"/>
      <c r="CG22" s="193"/>
      <c r="CH22" s="193"/>
      <c r="CI22" s="193"/>
      <c r="CJ22" s="193"/>
      <c r="CK22" s="193"/>
      <c r="CL22" s="193"/>
    </row>
    <row r="23" spans="1:90" s="229" customFormat="1" ht="42.75" customHeight="1" x14ac:dyDescent="0.3">
      <c r="A23" s="220" t="s">
        <v>1011</v>
      </c>
      <c r="B23" s="220" t="s">
        <v>1078</v>
      </c>
      <c r="C23" s="220" t="s">
        <v>905</v>
      </c>
      <c r="D23" s="220" t="s">
        <v>906</v>
      </c>
      <c r="E23" s="220" t="s">
        <v>1053</v>
      </c>
      <c r="F23" s="220" t="s">
        <v>1104</v>
      </c>
      <c r="G23" s="220" t="s">
        <v>1012</v>
      </c>
      <c r="H23" s="220" t="s">
        <v>1013</v>
      </c>
      <c r="I23" s="226" t="s">
        <v>1279</v>
      </c>
      <c r="J23" s="226" t="s">
        <v>1280</v>
      </c>
      <c r="K23" s="226" t="s">
        <v>1272</v>
      </c>
      <c r="L23" s="226" t="s">
        <v>1281</v>
      </c>
      <c r="M23" s="226" t="s">
        <v>1282</v>
      </c>
      <c r="N23" s="226" t="s">
        <v>1151</v>
      </c>
      <c r="O23" s="226" t="s">
        <v>1279</v>
      </c>
      <c r="P23" s="226" t="s">
        <v>1283</v>
      </c>
      <c r="Q23" s="220" t="s">
        <v>785</v>
      </c>
      <c r="R23" s="220" t="s">
        <v>785</v>
      </c>
      <c r="S23" s="220" t="s">
        <v>785</v>
      </c>
      <c r="T23" s="220" t="s">
        <v>785</v>
      </c>
      <c r="U23" s="220" t="s">
        <v>919</v>
      </c>
      <c r="V23" s="220" t="s">
        <v>922</v>
      </c>
      <c r="W23" s="220" t="s">
        <v>924</v>
      </c>
      <c r="X23" s="220" t="s">
        <v>1029</v>
      </c>
      <c r="Y23" s="220" t="s">
        <v>1030</v>
      </c>
      <c r="Z23" s="226" t="s">
        <v>1284</v>
      </c>
      <c r="AA23" s="226" t="s">
        <v>925</v>
      </c>
      <c r="AB23" s="226" t="s">
        <v>193</v>
      </c>
      <c r="AC23" s="226" t="s">
        <v>926</v>
      </c>
      <c r="AD23" s="226" t="s">
        <v>928</v>
      </c>
      <c r="AE23" s="226" t="s">
        <v>1285</v>
      </c>
      <c r="AF23" s="226" t="s">
        <v>1286</v>
      </c>
      <c r="AG23" s="226" t="s">
        <v>931</v>
      </c>
      <c r="AH23" s="226" t="s">
        <v>1350</v>
      </c>
      <c r="AI23" s="220" t="s">
        <v>935</v>
      </c>
      <c r="AJ23" s="220" t="s">
        <v>937</v>
      </c>
      <c r="AK23" s="220" t="s">
        <v>939</v>
      </c>
      <c r="AL23" s="220" t="s">
        <v>1022</v>
      </c>
      <c r="AM23" s="220" t="s">
        <v>1111</v>
      </c>
      <c r="AN23" s="220" t="s">
        <v>1377</v>
      </c>
      <c r="AO23" s="227" t="str">
        <f t="shared" ref="AO23:AO24" si="6">CONCATENATE(AM23," ",AN23)</f>
        <v>La especie ocurre en hábitats de bosques húmedos en tierras bajas (elevación menor a 1.000 msnm), y en bosques de tierras altas (elevación mayor a 1000 msnm) (Sanín et at. 2023). La especie está fertil todo el año (Sanín et at. 2023), y posiblemente es dispersada por viento. No se cuenta con información publicada sobre la ecología de la especie. El área de hábitat calculada tiene un valor de 1.552 km2.</v>
      </c>
      <c r="AP23" s="220" t="s">
        <v>1023</v>
      </c>
      <c r="AQ23" s="220"/>
      <c r="AR23" s="222">
        <v>50</v>
      </c>
      <c r="AS23" s="222">
        <v>150</v>
      </c>
      <c r="AT23" s="226" t="s">
        <v>1272</v>
      </c>
      <c r="AU23" s="226" t="s">
        <v>1273</v>
      </c>
      <c r="AV23" s="226" t="s">
        <v>1095</v>
      </c>
      <c r="AW23" s="228">
        <v>3065</v>
      </c>
      <c r="AX23" s="228">
        <v>32</v>
      </c>
      <c r="AY23" s="228">
        <v>5</v>
      </c>
      <c r="AZ23" s="228">
        <v>7</v>
      </c>
      <c r="BA23" s="228">
        <v>80</v>
      </c>
      <c r="BB23" s="228"/>
      <c r="BC23" s="228">
        <v>98</v>
      </c>
      <c r="BD23" s="226" t="s">
        <v>924</v>
      </c>
      <c r="BE23" s="226"/>
      <c r="BF23" s="226"/>
      <c r="BG23" s="226"/>
      <c r="BH23" s="226"/>
      <c r="BI23" s="226"/>
      <c r="BJ23" s="226"/>
      <c r="BK23" s="226"/>
      <c r="BL23" s="226"/>
      <c r="BM23" s="226"/>
      <c r="BN23" s="226"/>
      <c r="BO23" s="226"/>
      <c r="BP23" s="226"/>
      <c r="BQ23" s="226"/>
      <c r="BR23" s="226"/>
      <c r="BS23" s="226"/>
      <c r="BT23" s="226"/>
      <c r="BU23" s="226"/>
      <c r="BV23" s="226"/>
      <c r="BW23" s="226"/>
      <c r="BX23" s="226"/>
      <c r="BY23" s="226"/>
      <c r="BZ23" s="226"/>
      <c r="CA23" s="226"/>
      <c r="CB23" s="226"/>
      <c r="CC23" s="226"/>
      <c r="CD23" s="226"/>
      <c r="CE23" s="213"/>
      <c r="CF23" s="213"/>
      <c r="CG23" s="226"/>
      <c r="CH23" s="226"/>
      <c r="CI23" s="226"/>
      <c r="CJ23" s="226"/>
      <c r="CK23" s="226"/>
      <c r="CL23" s="226"/>
    </row>
    <row r="24" spans="1:90" s="229" customFormat="1" ht="42.75" customHeight="1" x14ac:dyDescent="0.3">
      <c r="A24" s="220" t="s">
        <v>1011</v>
      </c>
      <c r="B24" s="220"/>
      <c r="C24" s="220" t="s">
        <v>905</v>
      </c>
      <c r="D24" s="220" t="s">
        <v>906</v>
      </c>
      <c r="E24" s="220" t="s">
        <v>1053</v>
      </c>
      <c r="F24" s="220" t="s">
        <v>1104</v>
      </c>
      <c r="G24" s="220" t="s">
        <v>1012</v>
      </c>
      <c r="H24" s="220" t="s">
        <v>1013</v>
      </c>
      <c r="I24" s="226" t="s">
        <v>1317</v>
      </c>
      <c r="J24" s="226"/>
      <c r="K24" s="226" t="s">
        <v>1382</v>
      </c>
      <c r="L24" s="226"/>
      <c r="M24" s="226"/>
      <c r="N24" s="226"/>
      <c r="O24" s="226"/>
      <c r="P24" s="226"/>
      <c r="Q24" s="220" t="s">
        <v>785</v>
      </c>
      <c r="R24" s="220" t="s">
        <v>785</v>
      </c>
      <c r="S24" s="220" t="s">
        <v>785</v>
      </c>
      <c r="T24" s="220" t="s">
        <v>785</v>
      </c>
      <c r="U24" s="220" t="s">
        <v>919</v>
      </c>
      <c r="V24" s="220" t="s">
        <v>922</v>
      </c>
      <c r="W24" s="220" t="s">
        <v>924</v>
      </c>
      <c r="X24" s="220" t="s">
        <v>1029</v>
      </c>
      <c r="Y24" s="220" t="s">
        <v>1030</v>
      </c>
      <c r="Z24" s="226" t="s">
        <v>1385</v>
      </c>
      <c r="AA24" s="226" t="s">
        <v>925</v>
      </c>
      <c r="AB24" s="226" t="s">
        <v>193</v>
      </c>
      <c r="AC24" s="226" t="s">
        <v>926</v>
      </c>
      <c r="AD24" s="226" t="s">
        <v>928</v>
      </c>
      <c r="AE24" s="226" t="s">
        <v>1383</v>
      </c>
      <c r="AF24" s="226" t="s">
        <v>1384</v>
      </c>
      <c r="AG24" s="226" t="s">
        <v>931</v>
      </c>
      <c r="AH24" s="226" t="s">
        <v>1386</v>
      </c>
      <c r="AI24" s="220" t="s">
        <v>935</v>
      </c>
      <c r="AJ24" s="220" t="s">
        <v>937</v>
      </c>
      <c r="AK24" s="220" t="s">
        <v>939</v>
      </c>
      <c r="AL24" s="220" t="s">
        <v>1022</v>
      </c>
      <c r="AM24" s="220" t="s">
        <v>1111</v>
      </c>
      <c r="AN24" s="220" t="s">
        <v>1388</v>
      </c>
      <c r="AO24" s="227" t="str">
        <f t="shared" si="6"/>
        <v>La especie ocurre en hábitats de bosques húmedos en tierras bajas (elevación menor a 1.000 msnm), y en bosques de tierras altas (elevación mayor a 1000 msnm) (Sanín et at. 2023). La especie está fertil todo el año (Sanín et at. 2023), y posiblemente es dispersada por viento. No se cuenta con información publicada sobre la ecología de la especie. El área de hábitat calculada tiene un valor de 108.520 km2. El área de hábitat calculada tiene un valor de 1.524 km2.</v>
      </c>
      <c r="AP24" s="220" t="s">
        <v>1023</v>
      </c>
      <c r="AQ24" s="220"/>
      <c r="AR24" s="222">
        <v>50</v>
      </c>
      <c r="AS24" s="222">
        <v>150</v>
      </c>
      <c r="AT24" s="226" t="s">
        <v>1406</v>
      </c>
      <c r="AU24" s="226" t="s">
        <v>1387</v>
      </c>
      <c r="AV24" s="226" t="s">
        <v>1072</v>
      </c>
      <c r="AW24" s="228">
        <v>4426</v>
      </c>
      <c r="AX24" s="228">
        <v>12</v>
      </c>
      <c r="AY24" s="228">
        <v>3</v>
      </c>
      <c r="AZ24" s="228">
        <v>3</v>
      </c>
      <c r="BA24" s="228">
        <v>0</v>
      </c>
      <c r="BB24" s="228"/>
      <c r="BC24" s="228">
        <v>41</v>
      </c>
      <c r="BD24" s="226" t="s">
        <v>924</v>
      </c>
      <c r="BE24" s="226"/>
      <c r="BF24" s="226"/>
      <c r="BG24" s="226"/>
      <c r="BH24" s="226"/>
      <c r="BI24" s="226"/>
      <c r="BJ24" s="226"/>
      <c r="BK24" s="226"/>
      <c r="BL24" s="226"/>
      <c r="BM24" s="226"/>
      <c r="BN24" s="226"/>
      <c r="BO24" s="226"/>
      <c r="BP24" s="226"/>
      <c r="BQ24" s="226"/>
      <c r="BR24" s="226"/>
      <c r="BS24" s="226"/>
      <c r="BT24" s="226"/>
      <c r="BU24" s="226"/>
      <c r="BV24" s="226"/>
      <c r="BW24" s="226"/>
      <c r="BX24" s="226"/>
      <c r="BY24" s="226"/>
      <c r="BZ24" s="226"/>
      <c r="CA24" s="226"/>
      <c r="CB24" s="226"/>
      <c r="CC24" s="226"/>
      <c r="CD24" s="226"/>
      <c r="CE24" s="213"/>
      <c r="CF24" s="213"/>
      <c r="CG24" s="226"/>
      <c r="CH24" s="226"/>
      <c r="CI24" s="226"/>
      <c r="CJ24" s="226"/>
      <c r="CK24" s="226"/>
      <c r="CL24" s="226"/>
    </row>
    <row r="25" spans="1:90" s="212" customFormat="1" ht="42.75" customHeight="1" x14ac:dyDescent="0.3">
      <c r="A25" s="206" t="s">
        <v>1011</v>
      </c>
      <c r="B25" s="206" t="s">
        <v>1079</v>
      </c>
      <c r="C25" s="206" t="s">
        <v>905</v>
      </c>
      <c r="D25" s="206" t="s">
        <v>906</v>
      </c>
      <c r="E25" s="206" t="s">
        <v>1053</v>
      </c>
      <c r="F25" s="205" t="s">
        <v>1104</v>
      </c>
      <c r="G25" s="206" t="s">
        <v>1012</v>
      </c>
      <c r="H25" s="206" t="s">
        <v>1013</v>
      </c>
      <c r="I25" s="193" t="s">
        <v>1287</v>
      </c>
      <c r="J25" s="193" t="s">
        <v>1289</v>
      </c>
      <c r="K25" s="193" t="s">
        <v>1288</v>
      </c>
      <c r="L25" s="193" t="s">
        <v>1281</v>
      </c>
      <c r="M25" s="193" t="s">
        <v>1290</v>
      </c>
      <c r="N25" s="193" t="s">
        <v>1291</v>
      </c>
      <c r="O25" s="193" t="s">
        <v>1292</v>
      </c>
      <c r="P25" s="193" t="s">
        <v>1295</v>
      </c>
      <c r="Q25" s="206" t="s">
        <v>785</v>
      </c>
      <c r="R25" s="206" t="s">
        <v>785</v>
      </c>
      <c r="S25" s="206" t="s">
        <v>785</v>
      </c>
      <c r="T25" s="206" t="s">
        <v>785</v>
      </c>
      <c r="U25" s="206" t="s">
        <v>919</v>
      </c>
      <c r="V25" s="206" t="s">
        <v>922</v>
      </c>
      <c r="W25" s="206" t="s">
        <v>924</v>
      </c>
      <c r="X25" s="206" t="s">
        <v>1029</v>
      </c>
      <c r="Y25" s="206" t="s">
        <v>1030</v>
      </c>
      <c r="Z25" s="193" t="s">
        <v>1296</v>
      </c>
      <c r="AA25" s="193" t="s">
        <v>925</v>
      </c>
      <c r="AB25" s="193" t="s">
        <v>193</v>
      </c>
      <c r="AC25" s="193" t="s">
        <v>926</v>
      </c>
      <c r="AD25" s="193" t="s">
        <v>928</v>
      </c>
      <c r="AE25" s="193" t="s">
        <v>1293</v>
      </c>
      <c r="AF25" s="193" t="s">
        <v>1294</v>
      </c>
      <c r="AG25" s="193" t="s">
        <v>931</v>
      </c>
      <c r="AH25" s="193" t="s">
        <v>1351</v>
      </c>
      <c r="AI25" s="206" t="s">
        <v>935</v>
      </c>
      <c r="AJ25" s="206" t="s">
        <v>937</v>
      </c>
      <c r="AK25" s="206" t="s">
        <v>939</v>
      </c>
      <c r="AL25" s="206" t="s">
        <v>1022</v>
      </c>
      <c r="AM25" s="206" t="s">
        <v>1111</v>
      </c>
      <c r="AN25" s="206" t="s">
        <v>1378</v>
      </c>
      <c r="AO25" s="210" t="str">
        <f t="shared" ref="AO25" si="7">CONCATENATE(AM25," ",AN25)</f>
        <v>La especie ocurre en hábitats de bosques húmedos en tierras bajas (elevación menor a 1.000 msnm), y en bosques de tierras altas (elevación mayor a 1000 msnm) (Sanín et at. 2023). La especie está fertil todo el año (Sanín et at. 2023), y posiblemente es dispersada por viento. No se cuenta con información publicada sobre la ecología de la especie. El área de hábitat calculada tiene un valor de 108.520 km2.</v>
      </c>
      <c r="AP25" s="206" t="s">
        <v>1023</v>
      </c>
      <c r="AQ25" s="206"/>
      <c r="AR25" s="209">
        <v>50</v>
      </c>
      <c r="AS25" s="209">
        <v>150</v>
      </c>
      <c r="AT25" s="193" t="s">
        <v>1288</v>
      </c>
      <c r="AU25" s="193" t="s">
        <v>1297</v>
      </c>
      <c r="AV25" s="193" t="s">
        <v>1298</v>
      </c>
      <c r="AW25" s="211">
        <v>196810</v>
      </c>
      <c r="AX25" s="211">
        <v>160</v>
      </c>
      <c r="AY25" s="211">
        <v>28</v>
      </c>
      <c r="AZ25" s="211">
        <v>31</v>
      </c>
      <c r="BA25" s="211"/>
      <c r="BB25" s="211"/>
      <c r="BC25" s="211"/>
      <c r="BD25" s="193"/>
      <c r="BE25" s="193"/>
      <c r="BF25" s="193"/>
      <c r="BG25" s="193"/>
      <c r="BH25" s="193"/>
      <c r="BI25" s="193"/>
      <c r="BJ25" s="193"/>
      <c r="BK25" s="193"/>
      <c r="BL25" s="193"/>
      <c r="BM25" s="193"/>
      <c r="BN25" s="213"/>
      <c r="BO25" s="193"/>
      <c r="BP25" s="193"/>
      <c r="BQ25" s="193"/>
      <c r="BR25" s="193"/>
      <c r="BS25" s="193"/>
      <c r="BT25" s="193"/>
      <c r="BU25" s="193"/>
      <c r="BV25" s="193"/>
      <c r="BW25" s="193"/>
      <c r="BX25" s="193"/>
      <c r="BY25" s="193"/>
      <c r="BZ25" s="193"/>
      <c r="CA25" s="193"/>
      <c r="CB25" s="193"/>
      <c r="CC25" s="193"/>
      <c r="CD25" s="193"/>
      <c r="CE25" s="213"/>
      <c r="CF25" s="213"/>
      <c r="CG25" s="193"/>
      <c r="CH25" s="193"/>
      <c r="CI25" s="193"/>
      <c r="CJ25" s="193"/>
      <c r="CK25" s="193"/>
      <c r="CL25" s="193"/>
    </row>
    <row r="26" spans="1:90" s="212" customFormat="1" ht="42.75" customHeight="1" x14ac:dyDescent="0.3">
      <c r="A26" s="206" t="s">
        <v>1011</v>
      </c>
      <c r="B26" s="206" t="s">
        <v>1080</v>
      </c>
      <c r="C26" s="206" t="s">
        <v>905</v>
      </c>
      <c r="D26" s="206" t="s">
        <v>906</v>
      </c>
      <c r="E26" s="206" t="s">
        <v>1053</v>
      </c>
      <c r="F26" s="205" t="s">
        <v>1104</v>
      </c>
      <c r="G26" s="206" t="s">
        <v>1012</v>
      </c>
      <c r="H26" s="206" t="s">
        <v>1013</v>
      </c>
      <c r="I26" s="193" t="s">
        <v>1299</v>
      </c>
      <c r="J26" s="193" t="s">
        <v>1248</v>
      </c>
      <c r="K26" s="193" t="s">
        <v>1300</v>
      </c>
      <c r="L26" s="193" t="s">
        <v>1281</v>
      </c>
      <c r="M26" s="193" t="s">
        <v>1303</v>
      </c>
      <c r="N26" s="193" t="s">
        <v>1151</v>
      </c>
      <c r="O26" s="193" t="s">
        <v>1299</v>
      </c>
      <c r="P26" s="193" t="s">
        <v>1251</v>
      </c>
      <c r="Q26" s="206" t="s">
        <v>785</v>
      </c>
      <c r="R26" s="206" t="s">
        <v>785</v>
      </c>
      <c r="S26" s="206" t="s">
        <v>785</v>
      </c>
      <c r="T26" s="206" t="s">
        <v>785</v>
      </c>
      <c r="U26" s="206" t="s">
        <v>919</v>
      </c>
      <c r="V26" s="206" t="s">
        <v>922</v>
      </c>
      <c r="W26" s="206" t="s">
        <v>924</v>
      </c>
      <c r="X26" s="206" t="s">
        <v>1029</v>
      </c>
      <c r="Y26" s="206" t="s">
        <v>1030</v>
      </c>
      <c r="Z26" s="193" t="s">
        <v>1304</v>
      </c>
      <c r="AA26" s="193" t="s">
        <v>925</v>
      </c>
      <c r="AB26" s="193" t="s">
        <v>193</v>
      </c>
      <c r="AC26" s="193" t="s">
        <v>926</v>
      </c>
      <c r="AD26" s="193" t="s">
        <v>928</v>
      </c>
      <c r="AE26" s="193" t="s">
        <v>1301</v>
      </c>
      <c r="AF26" s="193" t="s">
        <v>1302</v>
      </c>
      <c r="AG26" s="193" t="s">
        <v>931</v>
      </c>
      <c r="AH26" s="193" t="s">
        <v>1352</v>
      </c>
      <c r="AI26" s="206" t="s">
        <v>935</v>
      </c>
      <c r="AJ26" s="206" t="s">
        <v>937</v>
      </c>
      <c r="AK26" s="206" t="s">
        <v>939</v>
      </c>
      <c r="AL26" s="193" t="s">
        <v>1109</v>
      </c>
      <c r="AM26" s="206" t="s">
        <v>1110</v>
      </c>
      <c r="AN26" s="206" t="s">
        <v>1379</v>
      </c>
      <c r="AO26" s="210" t="str">
        <f t="shared" ref="AO26:AO27" si="8">CONCATENATE(AM26," ",AN26)</f>
        <v>La especie ocurre en hábitats de bosques húmedos en tierras altas (elevación mayor a 1000 msnm) (Sanín et at. 2023). La especie está fertil todo el año (Sanín et at. 2023), y posiblemente es dispersada por viento. No se cuenta con información publicada sobre la ecología de la especie. El área de hábitat calculada tiene un valor de 127.381 km2.</v>
      </c>
      <c r="AP26" s="206" t="s">
        <v>1023</v>
      </c>
      <c r="AQ26" s="206"/>
      <c r="AR26" s="209">
        <v>50</v>
      </c>
      <c r="AS26" s="209">
        <v>150</v>
      </c>
      <c r="AT26" s="193" t="s">
        <v>1300</v>
      </c>
      <c r="AU26" s="193" t="s">
        <v>1305</v>
      </c>
      <c r="AV26" s="193" t="s">
        <v>1306</v>
      </c>
      <c r="AW26" s="211">
        <v>238241</v>
      </c>
      <c r="AX26" s="211">
        <v>152</v>
      </c>
      <c r="AY26" s="211">
        <v>29</v>
      </c>
      <c r="AZ26" s="211">
        <v>38</v>
      </c>
      <c r="BA26" s="211"/>
      <c r="BB26" s="211"/>
      <c r="BC26" s="211"/>
      <c r="BD26" s="193"/>
      <c r="BE26" s="193"/>
      <c r="BF26" s="193"/>
      <c r="BG26" s="193"/>
      <c r="BH26" s="193"/>
      <c r="BI26" s="193"/>
      <c r="BJ26" s="193"/>
      <c r="BK26" s="193"/>
      <c r="BL26" s="193"/>
      <c r="BM26" s="193"/>
      <c r="BN26" s="213"/>
      <c r="BO26" s="193"/>
      <c r="BP26" s="193"/>
      <c r="BQ26" s="193"/>
      <c r="BR26" s="193"/>
      <c r="BS26" s="193"/>
      <c r="BT26" s="193"/>
      <c r="BU26" s="193"/>
      <c r="BV26" s="193"/>
      <c r="BW26" s="193"/>
      <c r="BX26" s="193"/>
      <c r="BY26" s="193"/>
      <c r="BZ26" s="193"/>
      <c r="CA26" s="193"/>
      <c r="CB26" s="193"/>
      <c r="CC26" s="193"/>
      <c r="CD26" s="193"/>
      <c r="CE26" s="213"/>
      <c r="CF26" s="213"/>
      <c r="CG26" s="193"/>
      <c r="CH26" s="193"/>
      <c r="CI26" s="193"/>
      <c r="CJ26" s="193"/>
      <c r="CK26" s="193"/>
      <c r="CL26" s="193"/>
    </row>
    <row r="27" spans="1:90" s="212" customFormat="1" ht="42.75" customHeight="1" x14ac:dyDescent="0.3">
      <c r="A27" s="206" t="s">
        <v>1011</v>
      </c>
      <c r="B27" s="206" t="s">
        <v>1081</v>
      </c>
      <c r="C27" s="206" t="s">
        <v>905</v>
      </c>
      <c r="D27" s="206" t="s">
        <v>906</v>
      </c>
      <c r="E27" s="206" t="s">
        <v>1053</v>
      </c>
      <c r="F27" s="205" t="s">
        <v>1104</v>
      </c>
      <c r="G27" s="206" t="s">
        <v>1012</v>
      </c>
      <c r="H27" s="206" t="s">
        <v>1013</v>
      </c>
      <c r="I27" s="193" t="s">
        <v>1307</v>
      </c>
      <c r="J27" s="193" t="s">
        <v>1308</v>
      </c>
      <c r="K27" s="193" t="s">
        <v>1309</v>
      </c>
      <c r="L27" s="193" t="s">
        <v>1281</v>
      </c>
      <c r="M27" s="193" t="s">
        <v>1310</v>
      </c>
      <c r="N27" s="193" t="s">
        <v>1311</v>
      </c>
      <c r="O27" s="193" t="s">
        <v>1312</v>
      </c>
      <c r="P27" s="193" t="s">
        <v>1313</v>
      </c>
      <c r="Q27" s="193" t="s">
        <v>1314</v>
      </c>
      <c r="R27" s="193" t="s">
        <v>1171</v>
      </c>
      <c r="S27" s="193" t="s">
        <v>919</v>
      </c>
      <c r="T27" s="206" t="s">
        <v>785</v>
      </c>
      <c r="U27" s="206" t="s">
        <v>919</v>
      </c>
      <c r="V27" s="193" t="s">
        <v>1315</v>
      </c>
      <c r="W27" s="193" t="s">
        <v>924</v>
      </c>
      <c r="X27" s="206" t="s">
        <v>1029</v>
      </c>
      <c r="Y27" s="206" t="s">
        <v>1030</v>
      </c>
      <c r="Z27" s="193" t="s">
        <v>1316</v>
      </c>
      <c r="AA27" s="193" t="s">
        <v>925</v>
      </c>
      <c r="AB27" s="193" t="s">
        <v>193</v>
      </c>
      <c r="AC27" s="193" t="s">
        <v>926</v>
      </c>
      <c r="AD27" s="193" t="s">
        <v>928</v>
      </c>
      <c r="AE27" s="193" t="s">
        <v>1162</v>
      </c>
      <c r="AF27" s="193" t="s">
        <v>1318</v>
      </c>
      <c r="AG27" s="193" t="s">
        <v>931</v>
      </c>
      <c r="AH27" s="193" t="s">
        <v>1353</v>
      </c>
      <c r="AI27" s="206" t="s">
        <v>935</v>
      </c>
      <c r="AJ27" s="206" t="s">
        <v>937</v>
      </c>
      <c r="AK27" s="206" t="s">
        <v>939</v>
      </c>
      <c r="AL27" s="206" t="s">
        <v>1022</v>
      </c>
      <c r="AM27" s="206" t="s">
        <v>1111</v>
      </c>
      <c r="AN27" s="206" t="s">
        <v>1381</v>
      </c>
      <c r="AO27" s="210" t="str">
        <f t="shared" si="8"/>
        <v>La especie ocurre en hábitats de bosques húmedos en tierras bajas (elevación menor a 1.000 msnm), y en bosques de tierras altas (elevación mayor a 1000 msnm) (Sanín et at. 2023). La especie está fertil todo el año (Sanín et at. 2023), y posiblemente es dispersada por viento. No se cuenta con información publicada sobre la ecología de la especie. El área de hábitat calculada tiene un valor de 675.077 km2.</v>
      </c>
      <c r="AP27" s="206" t="s">
        <v>1023</v>
      </c>
      <c r="AQ27" s="206"/>
      <c r="AR27" s="209">
        <v>50</v>
      </c>
      <c r="AS27" s="209">
        <v>150</v>
      </c>
      <c r="AT27" s="193" t="s">
        <v>1309</v>
      </c>
      <c r="AU27" s="193" t="s">
        <v>1325</v>
      </c>
      <c r="AV27" s="193" t="s">
        <v>1326</v>
      </c>
      <c r="AW27" s="211">
        <v>992143</v>
      </c>
      <c r="AX27" s="211">
        <v>364</v>
      </c>
      <c r="AY27" s="211">
        <v>76</v>
      </c>
      <c r="AZ27" s="211">
        <v>79</v>
      </c>
      <c r="BA27" s="211"/>
      <c r="BB27" s="211"/>
      <c r="BC27" s="211"/>
      <c r="BD27" s="193"/>
      <c r="BE27" s="193"/>
      <c r="BF27" s="193"/>
      <c r="BG27" s="193"/>
      <c r="BH27" s="193"/>
      <c r="BI27" s="193"/>
      <c r="BJ27" s="193"/>
      <c r="BK27" s="193"/>
      <c r="BL27" s="193"/>
      <c r="BM27" s="193"/>
      <c r="BN27" s="213"/>
      <c r="BO27" s="193"/>
      <c r="BP27" s="193"/>
      <c r="BQ27" s="193"/>
      <c r="BR27" s="193"/>
      <c r="BS27" s="193"/>
      <c r="BT27" s="193"/>
      <c r="BU27" s="193"/>
      <c r="BV27" s="193"/>
      <c r="BW27" s="193"/>
      <c r="BX27" s="193"/>
      <c r="BY27" s="193"/>
      <c r="BZ27" s="193"/>
      <c r="CA27" s="193"/>
      <c r="CB27" s="193"/>
      <c r="CC27" s="193"/>
      <c r="CD27" s="193"/>
      <c r="CE27" s="213"/>
      <c r="CF27" s="213"/>
      <c r="CG27" s="193"/>
      <c r="CH27" s="193"/>
      <c r="CI27" s="193"/>
      <c r="CJ27" s="193"/>
      <c r="CK27" s="193"/>
      <c r="CL27" s="193"/>
    </row>
    <row r="28" spans="1:90" s="212" customFormat="1" ht="42.75" customHeight="1" x14ac:dyDescent="0.3">
      <c r="A28" s="206" t="s">
        <v>1011</v>
      </c>
      <c r="B28" s="206" t="s">
        <v>1082</v>
      </c>
      <c r="C28" s="206" t="s">
        <v>905</v>
      </c>
      <c r="D28" s="206" t="s">
        <v>906</v>
      </c>
      <c r="E28" s="206" t="s">
        <v>1053</v>
      </c>
      <c r="F28" s="205" t="s">
        <v>1104</v>
      </c>
      <c r="G28" s="206" t="s">
        <v>1012</v>
      </c>
      <c r="H28" s="206" t="s">
        <v>1013</v>
      </c>
      <c r="I28" s="193" t="s">
        <v>1320</v>
      </c>
      <c r="J28" s="193" t="s">
        <v>1148</v>
      </c>
      <c r="K28" s="193" t="s">
        <v>1319</v>
      </c>
      <c r="L28" s="193" t="s">
        <v>1281</v>
      </c>
      <c r="M28" s="193" t="s">
        <v>1321</v>
      </c>
      <c r="N28" s="193" t="s">
        <v>1322</v>
      </c>
      <c r="O28" s="193" t="s">
        <v>1323</v>
      </c>
      <c r="P28" s="193" t="s">
        <v>1324</v>
      </c>
      <c r="Q28" s="193" t="s">
        <v>1327</v>
      </c>
      <c r="R28" s="193" t="s">
        <v>1171</v>
      </c>
      <c r="S28" s="193" t="s">
        <v>919</v>
      </c>
      <c r="T28" s="206" t="s">
        <v>785</v>
      </c>
      <c r="U28" s="206" t="s">
        <v>919</v>
      </c>
      <c r="V28" s="206" t="s">
        <v>922</v>
      </c>
      <c r="W28" s="206" t="s">
        <v>924</v>
      </c>
      <c r="X28" s="206" t="s">
        <v>1019</v>
      </c>
      <c r="Y28" s="206" t="s">
        <v>1020</v>
      </c>
      <c r="Z28" s="193" t="s">
        <v>1329</v>
      </c>
      <c r="AA28" s="193" t="s">
        <v>925</v>
      </c>
      <c r="AB28" s="193" t="s">
        <v>193</v>
      </c>
      <c r="AC28" s="193" t="s">
        <v>926</v>
      </c>
      <c r="AD28" s="193" t="s">
        <v>928</v>
      </c>
      <c r="AE28" s="193" t="s">
        <v>1070</v>
      </c>
      <c r="AF28" s="193" t="s">
        <v>1328</v>
      </c>
      <c r="AG28" s="193" t="s">
        <v>931</v>
      </c>
      <c r="AH28" s="193" t="s">
        <v>1354</v>
      </c>
      <c r="AI28" s="206" t="s">
        <v>935</v>
      </c>
      <c r="AJ28" s="206" t="s">
        <v>937</v>
      </c>
      <c r="AK28" s="206" t="s">
        <v>939</v>
      </c>
      <c r="AL28" s="206" t="s">
        <v>1022</v>
      </c>
      <c r="AM28" s="206" t="s">
        <v>1111</v>
      </c>
      <c r="AN28" s="206" t="s">
        <v>1380</v>
      </c>
      <c r="AO28" s="210" t="str">
        <f t="shared" ref="AO28" si="9">CONCATENATE(AM28," ",AN28)</f>
        <v>La especie ocurre en hábitats de bosques húmedos en tierras bajas (elevación menor a 1.000 msnm), y en bosques de tierras altas (elevación mayor a 1000 msnm) (Sanín et at. 2023). La especie está fertil todo el año (Sanín et at. 2023), y posiblemente es dispersada por viento. No se cuenta con información publicada sobre la ecología de la especie. El área de hábitat calculada tiene un valor de 54.533 km2.</v>
      </c>
      <c r="AP28" s="206" t="s">
        <v>1023</v>
      </c>
      <c r="AQ28" s="206"/>
      <c r="AR28" s="209">
        <v>50</v>
      </c>
      <c r="AS28" s="209">
        <v>150</v>
      </c>
      <c r="AT28" s="193" t="s">
        <v>1319</v>
      </c>
      <c r="AU28" s="193" t="s">
        <v>1358</v>
      </c>
      <c r="AV28" s="193" t="s">
        <v>1087</v>
      </c>
      <c r="AW28" s="211">
        <v>91865</v>
      </c>
      <c r="AX28" s="211">
        <v>28</v>
      </c>
      <c r="AY28" s="211">
        <v>6</v>
      </c>
      <c r="AZ28" s="211">
        <v>6</v>
      </c>
      <c r="BA28" s="211"/>
      <c r="BB28" s="211"/>
      <c r="BC28" s="211"/>
      <c r="BD28" s="193"/>
      <c r="BE28" s="193"/>
      <c r="BF28" s="193"/>
      <c r="BG28" s="193"/>
      <c r="BH28" s="193"/>
      <c r="BI28" s="193"/>
      <c r="BJ28" s="193"/>
      <c r="BK28" s="193"/>
      <c r="BL28" s="193"/>
      <c r="BM28" s="193"/>
      <c r="BN28" s="213"/>
      <c r="BO28" s="193"/>
      <c r="BP28" s="193"/>
      <c r="BQ28" s="193"/>
      <c r="BR28" s="193"/>
      <c r="BS28" s="193"/>
      <c r="BT28" s="193"/>
      <c r="BU28" s="193"/>
      <c r="BV28" s="193"/>
      <c r="BW28" s="193"/>
      <c r="BX28" s="193"/>
      <c r="BY28" s="193"/>
      <c r="BZ28" s="193"/>
      <c r="CA28" s="193"/>
      <c r="CB28" s="193"/>
      <c r="CC28" s="193"/>
      <c r="CD28" s="193"/>
      <c r="CE28" s="213"/>
      <c r="CF28" s="213"/>
      <c r="CG28" s="193"/>
      <c r="CH28" s="193"/>
      <c r="CI28" s="193"/>
      <c r="CJ28" s="193"/>
      <c r="CK28" s="193"/>
      <c r="CL28" s="193"/>
    </row>
    <row r="29" spans="1:90" s="212" customFormat="1" ht="42.75" customHeight="1" x14ac:dyDescent="0.3">
      <c r="A29" s="193"/>
      <c r="B29" s="206" t="s">
        <v>1083</v>
      </c>
      <c r="C29" s="193"/>
      <c r="D29" s="193"/>
      <c r="E29" s="193"/>
      <c r="F29" s="193"/>
      <c r="G29" s="193"/>
      <c r="H29" s="193"/>
      <c r="I29" s="193"/>
      <c r="J29" s="193"/>
      <c r="K29" s="193"/>
      <c r="L29" s="193"/>
      <c r="M29" s="193"/>
      <c r="N29" s="193"/>
      <c r="O29" s="193"/>
      <c r="P29" s="193"/>
      <c r="Q29" s="193"/>
      <c r="R29" s="193"/>
      <c r="S29" s="193"/>
      <c r="T29" s="193"/>
      <c r="U29" s="193"/>
      <c r="V29" s="193"/>
      <c r="W29" s="193"/>
      <c r="X29" s="193"/>
      <c r="Y29" s="193"/>
      <c r="Z29" s="193"/>
      <c r="AA29" s="193"/>
      <c r="AB29" s="193"/>
      <c r="AC29" s="193"/>
      <c r="AD29" s="193"/>
      <c r="AE29" s="193"/>
      <c r="AF29" s="193"/>
      <c r="AG29" s="193"/>
      <c r="AH29" s="193"/>
      <c r="AI29" s="193"/>
      <c r="AJ29" s="193"/>
      <c r="AK29" s="193"/>
      <c r="AL29" s="193"/>
      <c r="AM29" s="193"/>
      <c r="AN29" s="193"/>
      <c r="AO29" s="210"/>
      <c r="AP29" s="193"/>
      <c r="AQ29" s="193"/>
      <c r="AR29" s="211"/>
      <c r="AS29" s="211"/>
      <c r="AT29" s="193"/>
      <c r="AU29" s="193"/>
      <c r="AV29" s="193"/>
      <c r="AW29" s="211"/>
      <c r="AX29" s="211"/>
      <c r="AY29" s="211"/>
      <c r="AZ29" s="211"/>
      <c r="BA29" s="211"/>
      <c r="BB29" s="211"/>
      <c r="BC29" s="211"/>
      <c r="BD29" s="193"/>
      <c r="BE29" s="193"/>
      <c r="BF29" s="193"/>
      <c r="BG29" s="193"/>
      <c r="BH29" s="193"/>
      <c r="BI29" s="193"/>
      <c r="BJ29" s="193"/>
      <c r="BK29" s="193"/>
      <c r="BL29" s="193"/>
      <c r="BM29" s="193"/>
      <c r="BN29" s="213"/>
      <c r="BO29" s="193"/>
      <c r="BP29" s="193"/>
      <c r="BQ29" s="193"/>
      <c r="BR29" s="193"/>
      <c r="BS29" s="193"/>
      <c r="BT29" s="193"/>
      <c r="BU29" s="193"/>
      <c r="BV29" s="193"/>
      <c r="BW29" s="193"/>
      <c r="BX29" s="193"/>
      <c r="BY29" s="193"/>
      <c r="BZ29" s="193"/>
      <c r="CA29" s="193"/>
      <c r="CB29" s="193"/>
      <c r="CC29" s="193"/>
      <c r="CD29" s="193"/>
      <c r="CE29" s="213"/>
      <c r="CF29" s="213"/>
      <c r="CG29" s="193"/>
      <c r="CH29" s="193"/>
      <c r="CI29" s="193"/>
      <c r="CJ29" s="193"/>
      <c r="CK29" s="193"/>
      <c r="CL29" s="193"/>
    </row>
    <row r="30" spans="1:90" s="212" customFormat="1" ht="42.75" customHeight="1" x14ac:dyDescent="0.3">
      <c r="A30" s="193"/>
      <c r="B30" s="206" t="s">
        <v>1084</v>
      </c>
      <c r="C30" s="193"/>
      <c r="D30" s="193"/>
      <c r="E30" s="193"/>
      <c r="F30" s="193"/>
      <c r="G30" s="193"/>
      <c r="H30" s="193"/>
      <c r="I30" s="193"/>
      <c r="J30" s="193"/>
      <c r="K30" s="193"/>
      <c r="L30" s="193"/>
      <c r="M30" s="193"/>
      <c r="N30" s="193"/>
      <c r="O30" s="193"/>
      <c r="P30" s="193"/>
      <c r="Q30" s="193"/>
      <c r="R30" s="193"/>
      <c r="S30" s="193"/>
      <c r="T30" s="193"/>
      <c r="U30" s="193"/>
      <c r="V30" s="193"/>
      <c r="W30" s="193"/>
      <c r="X30" s="193"/>
      <c r="Y30" s="193"/>
      <c r="Z30" s="193"/>
      <c r="AA30" s="193"/>
      <c r="AB30" s="193"/>
      <c r="AC30" s="193"/>
      <c r="AD30" s="193"/>
      <c r="AE30" s="193"/>
      <c r="AF30" s="193"/>
      <c r="AG30" s="193"/>
      <c r="AH30" s="193"/>
      <c r="AI30" s="193"/>
      <c r="AJ30" s="193"/>
      <c r="AK30" s="193"/>
      <c r="AL30" s="193"/>
      <c r="AM30" s="193"/>
      <c r="AN30" s="193"/>
      <c r="AO30" s="210"/>
      <c r="AP30" s="193"/>
      <c r="AQ30" s="193"/>
      <c r="AR30" s="211"/>
      <c r="AS30" s="211"/>
      <c r="AT30" s="193"/>
      <c r="AU30" s="193"/>
      <c r="AV30" s="193"/>
      <c r="AW30" s="211"/>
      <c r="AX30" s="211"/>
      <c r="AY30" s="211"/>
      <c r="AZ30" s="211"/>
      <c r="BA30" s="211"/>
      <c r="BB30" s="211"/>
      <c r="BC30" s="211"/>
      <c r="BD30" s="193"/>
      <c r="BE30" s="193"/>
      <c r="BF30" s="193"/>
      <c r="BG30" s="193"/>
      <c r="BH30" s="193"/>
      <c r="BI30" s="193"/>
      <c r="BJ30" s="193"/>
      <c r="BK30" s="193"/>
      <c r="BL30" s="193"/>
      <c r="BM30" s="193"/>
      <c r="BN30" s="213"/>
      <c r="BO30" s="193"/>
      <c r="BP30" s="193"/>
      <c r="BQ30" s="193"/>
      <c r="BR30" s="193"/>
      <c r="BS30" s="193"/>
      <c r="BT30" s="193"/>
      <c r="BU30" s="193"/>
      <c r="BV30" s="193"/>
      <c r="BW30" s="193"/>
      <c r="BX30" s="193"/>
      <c r="BY30" s="193"/>
      <c r="BZ30" s="193"/>
      <c r="CA30" s="193"/>
      <c r="CB30" s="193"/>
      <c r="CC30" s="193"/>
      <c r="CD30" s="193"/>
      <c r="CE30" s="213"/>
      <c r="CF30" s="213"/>
      <c r="CG30" s="193"/>
      <c r="CH30" s="193"/>
      <c r="CI30" s="193"/>
      <c r="CJ30" s="193"/>
      <c r="CK30" s="193"/>
      <c r="CL30" s="193"/>
    </row>
    <row r="31" spans="1:90" s="212" customFormat="1" ht="42.75" customHeight="1" x14ac:dyDescent="0.3">
      <c r="A31" s="193"/>
      <c r="B31" s="206" t="s">
        <v>1085</v>
      </c>
      <c r="C31" s="193"/>
      <c r="D31" s="193"/>
      <c r="E31" s="193"/>
      <c r="F31" s="193"/>
      <c r="G31" s="193"/>
      <c r="H31" s="193"/>
      <c r="I31" s="193"/>
      <c r="J31" s="193"/>
      <c r="K31" s="193"/>
      <c r="L31" s="193"/>
      <c r="M31" s="193"/>
      <c r="N31" s="193"/>
      <c r="O31" s="193"/>
      <c r="P31" s="193"/>
      <c r="Q31" s="193"/>
      <c r="R31" s="193"/>
      <c r="S31" s="193"/>
      <c r="T31" s="193"/>
      <c r="U31" s="193"/>
      <c r="V31" s="193"/>
      <c r="W31" s="193"/>
      <c r="X31" s="193"/>
      <c r="Y31" s="193"/>
      <c r="Z31" s="193"/>
      <c r="AA31" s="193"/>
      <c r="AB31" s="193"/>
      <c r="AC31" s="193"/>
      <c r="AD31" s="193"/>
      <c r="AE31" s="193"/>
      <c r="AF31" s="193"/>
      <c r="AG31" s="193"/>
      <c r="AH31" s="193"/>
      <c r="AI31" s="193"/>
      <c r="AJ31" s="193"/>
      <c r="AK31" s="193"/>
      <c r="AL31" s="193"/>
      <c r="AM31" s="193"/>
      <c r="AN31" s="193"/>
      <c r="AO31" s="210"/>
      <c r="AP31" s="193"/>
      <c r="AQ31" s="193"/>
      <c r="AR31" s="211"/>
      <c r="AS31" s="211"/>
      <c r="AT31" s="193"/>
      <c r="AU31" s="193"/>
      <c r="AV31" s="193"/>
      <c r="AW31" s="211"/>
      <c r="AX31" s="211"/>
      <c r="AY31" s="211"/>
      <c r="AZ31" s="211"/>
      <c r="BA31" s="211"/>
      <c r="BB31" s="211"/>
      <c r="BC31" s="211"/>
      <c r="BD31" s="193"/>
      <c r="BE31" s="193"/>
      <c r="BF31" s="193"/>
      <c r="BG31" s="193"/>
      <c r="BH31" s="193"/>
      <c r="BI31" s="193"/>
      <c r="BJ31" s="193"/>
      <c r="BK31" s="193"/>
      <c r="BL31" s="193"/>
      <c r="BM31" s="193"/>
      <c r="BN31" s="213"/>
      <c r="BO31" s="193"/>
      <c r="BP31" s="193"/>
      <c r="BQ31" s="193"/>
      <c r="BR31" s="193"/>
      <c r="BS31" s="193"/>
      <c r="BT31" s="193"/>
      <c r="BU31" s="193"/>
      <c r="BV31" s="193"/>
      <c r="BW31" s="193"/>
      <c r="BX31" s="193"/>
      <c r="BY31" s="193"/>
      <c r="BZ31" s="193"/>
      <c r="CA31" s="193"/>
      <c r="CB31" s="193"/>
      <c r="CC31" s="193"/>
      <c r="CD31" s="193"/>
      <c r="CE31" s="213"/>
      <c r="CF31" s="213"/>
      <c r="CG31" s="193"/>
      <c r="CH31" s="193"/>
      <c r="CI31" s="193"/>
      <c r="CJ31" s="193"/>
      <c r="CK31" s="193"/>
      <c r="CL31" s="193"/>
    </row>
    <row r="32" spans="1:90" s="212" customFormat="1" ht="42.75" customHeight="1" x14ac:dyDescent="0.3">
      <c r="A32" s="193"/>
      <c r="B32" s="206" t="s">
        <v>1086</v>
      </c>
      <c r="C32" s="193"/>
      <c r="D32" s="193"/>
      <c r="E32" s="193"/>
      <c r="F32" s="193"/>
      <c r="G32" s="193"/>
      <c r="H32" s="193"/>
      <c r="I32" s="193"/>
      <c r="J32" s="193"/>
      <c r="K32" s="193"/>
      <c r="L32" s="193"/>
      <c r="M32" s="193"/>
      <c r="N32" s="193"/>
      <c r="O32" s="193"/>
      <c r="P32" s="193"/>
      <c r="Q32" s="193"/>
      <c r="R32" s="193"/>
      <c r="S32" s="193"/>
      <c r="T32" s="193"/>
      <c r="U32" s="193"/>
      <c r="V32" s="193"/>
      <c r="W32" s="193"/>
      <c r="X32" s="193"/>
      <c r="Y32" s="193"/>
      <c r="Z32" s="193"/>
      <c r="AA32" s="193"/>
      <c r="AB32" s="193"/>
      <c r="AC32" s="193"/>
      <c r="AD32" s="193"/>
      <c r="AE32" s="193"/>
      <c r="AF32" s="193"/>
      <c r="AG32" s="193"/>
      <c r="AH32" s="193"/>
      <c r="AI32" s="193"/>
      <c r="AJ32" s="193"/>
      <c r="AK32" s="193"/>
      <c r="AL32" s="193"/>
      <c r="AM32" s="193"/>
      <c r="AN32" s="193"/>
      <c r="AO32" s="210"/>
      <c r="AP32" s="193"/>
      <c r="AQ32" s="193"/>
      <c r="AR32" s="211"/>
      <c r="AS32" s="211"/>
      <c r="AT32" s="193"/>
      <c r="AU32" s="193"/>
      <c r="AV32" s="193"/>
      <c r="AW32" s="211"/>
      <c r="AX32" s="211"/>
      <c r="AY32" s="211"/>
      <c r="AZ32" s="211"/>
      <c r="BA32" s="211"/>
      <c r="BB32" s="211"/>
      <c r="BC32" s="211"/>
      <c r="BD32" s="193"/>
      <c r="BE32" s="193"/>
      <c r="BF32" s="193"/>
      <c r="BG32" s="193"/>
      <c r="BH32" s="193"/>
      <c r="BI32" s="193"/>
      <c r="BJ32" s="193"/>
      <c r="BK32" s="193"/>
      <c r="BL32" s="193"/>
      <c r="BM32" s="193"/>
      <c r="BN32" s="213"/>
      <c r="BO32" s="193"/>
      <c r="BP32" s="193"/>
      <c r="BQ32" s="193"/>
      <c r="BR32" s="193"/>
      <c r="BS32" s="193"/>
      <c r="BT32" s="193"/>
      <c r="BU32" s="193"/>
      <c r="BV32" s="193"/>
      <c r="BW32" s="193"/>
      <c r="BX32" s="193"/>
      <c r="BY32" s="193"/>
      <c r="BZ32" s="193"/>
      <c r="CA32" s="193"/>
      <c r="CB32" s="193"/>
      <c r="CC32" s="193"/>
      <c r="CD32" s="193"/>
      <c r="CE32" s="213"/>
      <c r="CF32" s="213"/>
      <c r="CG32" s="193"/>
      <c r="CH32" s="193"/>
      <c r="CI32" s="193"/>
      <c r="CJ32" s="193"/>
      <c r="CK32" s="193"/>
      <c r="CL32" s="193"/>
    </row>
    <row r="33" spans="1:90" s="212" customFormat="1" ht="42.75" customHeight="1" x14ac:dyDescent="0.3">
      <c r="A33" s="193"/>
      <c r="B33" s="206" t="s">
        <v>1087</v>
      </c>
      <c r="C33" s="193"/>
      <c r="D33" s="193"/>
      <c r="E33" s="193"/>
      <c r="F33" s="193"/>
      <c r="G33" s="193"/>
      <c r="H33" s="193"/>
      <c r="I33" s="193"/>
      <c r="J33" s="193"/>
      <c r="K33" s="193"/>
      <c r="L33" s="193"/>
      <c r="M33" s="193"/>
      <c r="N33" s="193"/>
      <c r="O33" s="193"/>
      <c r="P33" s="193"/>
      <c r="Q33" s="193"/>
      <c r="R33" s="193"/>
      <c r="S33" s="193"/>
      <c r="T33" s="193"/>
      <c r="U33" s="193"/>
      <c r="V33" s="193"/>
      <c r="W33" s="193"/>
      <c r="X33" s="193"/>
      <c r="Y33" s="193"/>
      <c r="Z33" s="193"/>
      <c r="AA33" s="193"/>
      <c r="AB33" s="193"/>
      <c r="AC33" s="193"/>
      <c r="AD33" s="193"/>
      <c r="AE33" s="193"/>
      <c r="AF33" s="193"/>
      <c r="AG33" s="193"/>
      <c r="AH33" s="193"/>
      <c r="AI33" s="193"/>
      <c r="AJ33" s="193"/>
      <c r="AK33" s="193"/>
      <c r="AL33" s="193"/>
      <c r="AM33" s="193"/>
      <c r="AN33" s="193"/>
      <c r="AO33" s="210"/>
      <c r="AP33" s="193"/>
      <c r="AQ33" s="193"/>
      <c r="AR33" s="211"/>
      <c r="AS33" s="211"/>
      <c r="AT33" s="193"/>
      <c r="AU33" s="193"/>
      <c r="AV33" s="193"/>
      <c r="AW33" s="211"/>
      <c r="AX33" s="211"/>
      <c r="AY33" s="211"/>
      <c r="AZ33" s="211"/>
      <c r="BA33" s="211"/>
      <c r="BB33" s="211"/>
      <c r="BC33" s="211"/>
      <c r="BD33" s="193"/>
      <c r="BE33" s="193"/>
      <c r="BF33" s="193"/>
      <c r="BG33" s="193"/>
      <c r="BH33" s="193"/>
      <c r="BI33" s="193"/>
      <c r="BJ33" s="193"/>
      <c r="BK33" s="193"/>
      <c r="BL33" s="193"/>
      <c r="BM33" s="193"/>
      <c r="BN33" s="213"/>
      <c r="BO33" s="193"/>
      <c r="BP33" s="193"/>
      <c r="BQ33" s="193"/>
      <c r="BR33" s="193"/>
      <c r="BS33" s="193"/>
      <c r="BT33" s="193"/>
      <c r="BU33" s="193"/>
      <c r="BV33" s="193"/>
      <c r="BW33" s="193"/>
      <c r="BX33" s="193"/>
      <c r="BY33" s="193"/>
      <c r="BZ33" s="193"/>
      <c r="CA33" s="193"/>
      <c r="CB33" s="193"/>
      <c r="CC33" s="193"/>
      <c r="CD33" s="193"/>
      <c r="CE33" s="213"/>
      <c r="CF33" s="213"/>
      <c r="CG33" s="193"/>
      <c r="CH33" s="193"/>
      <c r="CI33" s="193"/>
      <c r="CJ33" s="193"/>
      <c r="CK33" s="193"/>
      <c r="CL33" s="193"/>
    </row>
    <row r="34" spans="1:90" s="212" customFormat="1" ht="42.75" customHeight="1" x14ac:dyDescent="0.3">
      <c r="A34" s="193"/>
      <c r="B34" s="206" t="s">
        <v>1088</v>
      </c>
      <c r="C34" s="193"/>
      <c r="D34" s="193"/>
      <c r="E34" s="193"/>
      <c r="F34" s="193"/>
      <c r="G34" s="193"/>
      <c r="H34" s="193"/>
      <c r="I34" s="193"/>
      <c r="J34" s="193"/>
      <c r="K34" s="193"/>
      <c r="L34" s="193"/>
      <c r="M34" s="193"/>
      <c r="N34" s="193"/>
      <c r="O34" s="193"/>
      <c r="P34" s="193"/>
      <c r="Q34" s="193"/>
      <c r="R34" s="193"/>
      <c r="S34" s="193"/>
      <c r="T34" s="193"/>
      <c r="U34" s="193"/>
      <c r="V34" s="193"/>
      <c r="W34" s="193"/>
      <c r="X34" s="193"/>
      <c r="Y34" s="193"/>
      <c r="Z34" s="193"/>
      <c r="AA34" s="193"/>
      <c r="AB34" s="193"/>
      <c r="AC34" s="193"/>
      <c r="AD34" s="193"/>
      <c r="AE34" s="193"/>
      <c r="AF34" s="193"/>
      <c r="AG34" s="193"/>
      <c r="AH34" s="193"/>
      <c r="AI34" s="193"/>
      <c r="AJ34" s="193"/>
      <c r="AK34" s="193"/>
      <c r="AL34" s="193"/>
      <c r="AM34" s="193"/>
      <c r="AN34" s="193"/>
      <c r="AO34" s="210"/>
      <c r="AP34" s="193"/>
      <c r="AQ34" s="193"/>
      <c r="AR34" s="211"/>
      <c r="AS34" s="211"/>
      <c r="AT34" s="193"/>
      <c r="AU34" s="193"/>
      <c r="AV34" s="193"/>
      <c r="AW34" s="211"/>
      <c r="AX34" s="211"/>
      <c r="AY34" s="211"/>
      <c r="AZ34" s="211"/>
      <c r="BA34" s="211"/>
      <c r="BB34" s="211"/>
      <c r="BC34" s="211"/>
      <c r="BD34" s="193"/>
      <c r="BE34" s="193"/>
      <c r="BF34" s="193"/>
      <c r="BG34" s="193"/>
      <c r="BH34" s="193"/>
      <c r="BI34" s="193"/>
      <c r="BJ34" s="193"/>
      <c r="BK34" s="193"/>
      <c r="BL34" s="193"/>
      <c r="BM34" s="193"/>
      <c r="BN34" s="213"/>
      <c r="BO34" s="193"/>
      <c r="BP34" s="193"/>
      <c r="BQ34" s="193"/>
      <c r="BR34" s="193"/>
      <c r="BS34" s="193"/>
      <c r="BT34" s="193"/>
      <c r="BU34" s="193"/>
      <c r="BV34" s="193"/>
      <c r="BW34" s="193"/>
      <c r="BX34" s="193"/>
      <c r="BY34" s="193"/>
      <c r="BZ34" s="193"/>
      <c r="CA34" s="193"/>
      <c r="CB34" s="193"/>
      <c r="CC34" s="193"/>
      <c r="CD34" s="193"/>
      <c r="CE34" s="213"/>
      <c r="CF34" s="213"/>
      <c r="CG34" s="193"/>
      <c r="CH34" s="193"/>
      <c r="CI34" s="193"/>
      <c r="CJ34" s="193"/>
      <c r="CK34" s="193"/>
      <c r="CL34" s="193"/>
    </row>
    <row r="35" spans="1:90" ht="42.75" customHeight="1" x14ac:dyDescent="0.3">
      <c r="B35" s="206" t="s">
        <v>1089</v>
      </c>
    </row>
    <row r="36" spans="1:90" ht="42.75" customHeight="1" x14ac:dyDescent="0.3">
      <c r="B36" s="206" t="s">
        <v>1090</v>
      </c>
    </row>
    <row r="37" spans="1:90" ht="42.75" customHeight="1" x14ac:dyDescent="0.3">
      <c r="B37" s="206" t="s">
        <v>1091</v>
      </c>
    </row>
    <row r="38" spans="1:90" ht="42.75" customHeight="1" x14ac:dyDescent="0.3">
      <c r="B38" s="206" t="s">
        <v>1092</v>
      </c>
    </row>
    <row r="39" spans="1:90" ht="42.75" customHeight="1" x14ac:dyDescent="0.3">
      <c r="B39" s="206" t="s">
        <v>1093</v>
      </c>
    </row>
    <row r="40" spans="1:90" ht="42.75" customHeight="1" x14ac:dyDescent="0.3">
      <c r="B40" s="206" t="s">
        <v>1094</v>
      </c>
    </row>
    <row r="41" spans="1:90" ht="42.75" customHeight="1" x14ac:dyDescent="0.3">
      <c r="B41" s="206" t="s">
        <v>1095</v>
      </c>
    </row>
    <row r="42" spans="1:90" ht="42.75" customHeight="1" x14ac:dyDescent="0.3">
      <c r="B42" s="206" t="s">
        <v>1096</v>
      </c>
    </row>
    <row r="43" spans="1:90" ht="42.75" customHeight="1" x14ac:dyDescent="0.3">
      <c r="B43" s="206" t="s">
        <v>1097</v>
      </c>
    </row>
    <row r="44" spans="1:90" ht="42.75" customHeight="1" x14ac:dyDescent="0.3">
      <c r="B44" s="206" t="s">
        <v>1098</v>
      </c>
    </row>
    <row r="45" spans="1:90" ht="42.75" customHeight="1" x14ac:dyDescent="0.3">
      <c r="B45" s="192">
        <v>37</v>
      </c>
    </row>
    <row r="46" spans="1:90" ht="42.75" customHeight="1" x14ac:dyDescent="0.3">
      <c r="B46" s="192">
        <v>38</v>
      </c>
    </row>
    <row r="47" spans="1:90" ht="42.75" customHeight="1" x14ac:dyDescent="0.3">
      <c r="B47" s="192">
        <v>39</v>
      </c>
    </row>
    <row r="48" spans="1:90" ht="42.75" customHeight="1" x14ac:dyDescent="0.3">
      <c r="B48" s="192">
        <v>40</v>
      </c>
    </row>
    <row r="49" spans="2:2" ht="42.75" customHeight="1" x14ac:dyDescent="0.3">
      <c r="B49" s="192">
        <v>41</v>
      </c>
    </row>
    <row r="50" spans="2:2" ht="42.75" customHeight="1" x14ac:dyDescent="0.3">
      <c r="B50" s="192">
        <v>42</v>
      </c>
    </row>
    <row r="51" spans="2:2" ht="42.75" customHeight="1" x14ac:dyDescent="0.3">
      <c r="B51" s="192">
        <v>43</v>
      </c>
    </row>
    <row r="52" spans="2:2" ht="42.75" customHeight="1" x14ac:dyDescent="0.3">
      <c r="B52" s="192">
        <v>44</v>
      </c>
    </row>
    <row r="53" spans="2:2" ht="42.75" customHeight="1" x14ac:dyDescent="0.3">
      <c r="B53" s="192">
        <v>45</v>
      </c>
    </row>
    <row r="54" spans="2:2" ht="42.75" customHeight="1" x14ac:dyDescent="0.3">
      <c r="B54" s="192">
        <v>46</v>
      </c>
    </row>
    <row r="55" spans="2:2" ht="42.75" customHeight="1" x14ac:dyDescent="0.3">
      <c r="B55" s="192">
        <v>47</v>
      </c>
    </row>
    <row r="56" spans="2:2" ht="42.75" customHeight="1" x14ac:dyDescent="0.3">
      <c r="B56" s="192">
        <v>48</v>
      </c>
    </row>
    <row r="57" spans="2:2" ht="42.75" customHeight="1" x14ac:dyDescent="0.3">
      <c r="B57" s="192">
        <v>49</v>
      </c>
    </row>
    <row r="58" spans="2:2" ht="42.75" customHeight="1" x14ac:dyDescent="0.3">
      <c r="B58" s="192">
        <v>50</v>
      </c>
    </row>
    <row r="59" spans="2:2" ht="42.75" customHeight="1" x14ac:dyDescent="0.3">
      <c r="B59" s="192">
        <v>51</v>
      </c>
    </row>
    <row r="60" spans="2:2" ht="42.75" customHeight="1" x14ac:dyDescent="0.3">
      <c r="B60" s="192">
        <v>52</v>
      </c>
    </row>
    <row r="61" spans="2:2" ht="42.75" customHeight="1" x14ac:dyDescent="0.3">
      <c r="B61" s="192">
        <v>53</v>
      </c>
    </row>
    <row r="62" spans="2:2" ht="42.75" customHeight="1" x14ac:dyDescent="0.3">
      <c r="B62" s="192">
        <v>54</v>
      </c>
    </row>
    <row r="63" spans="2:2" ht="42.75" customHeight="1" x14ac:dyDescent="0.3">
      <c r="B63" s="192">
        <v>55</v>
      </c>
    </row>
    <row r="64" spans="2:2" ht="42.75" customHeight="1" x14ac:dyDescent="0.3">
      <c r="B64" s="192">
        <v>56</v>
      </c>
    </row>
    <row r="65" spans="2:2" ht="42.75" customHeight="1" x14ac:dyDescent="0.3">
      <c r="B65" s="192">
        <v>57</v>
      </c>
    </row>
    <row r="66" spans="2:2" ht="42.75" customHeight="1" x14ac:dyDescent="0.3">
      <c r="B66" s="192">
        <v>58</v>
      </c>
    </row>
    <row r="67" spans="2:2" ht="42.75" customHeight="1" x14ac:dyDescent="0.3">
      <c r="B67" s="192">
        <v>59</v>
      </c>
    </row>
    <row r="68" spans="2:2" ht="42.75" customHeight="1" x14ac:dyDescent="0.3">
      <c r="B68" s="192">
        <v>60</v>
      </c>
    </row>
    <row r="69" spans="2:2" ht="42.75" customHeight="1" x14ac:dyDescent="0.3">
      <c r="B69" s="192">
        <v>61</v>
      </c>
    </row>
    <row r="70" spans="2:2" ht="42.75" customHeight="1" x14ac:dyDescent="0.3">
      <c r="B70" s="192">
        <v>62</v>
      </c>
    </row>
    <row r="71" spans="2:2" ht="42.75" customHeight="1" x14ac:dyDescent="0.3">
      <c r="B71" s="192">
        <v>63</v>
      </c>
    </row>
    <row r="72" spans="2:2" ht="42.75" customHeight="1" x14ac:dyDescent="0.3">
      <c r="B72" s="192">
        <v>64</v>
      </c>
    </row>
    <row r="73" spans="2:2" ht="42.75" customHeight="1" x14ac:dyDescent="0.3">
      <c r="B73" s="192">
        <v>65</v>
      </c>
    </row>
    <row r="74" spans="2:2" ht="42.75" customHeight="1" x14ac:dyDescent="0.3">
      <c r="B74" s="192">
        <v>66</v>
      </c>
    </row>
    <row r="75" spans="2:2" ht="42.75" customHeight="1" x14ac:dyDescent="0.3">
      <c r="B75" s="192">
        <v>67</v>
      </c>
    </row>
    <row r="76" spans="2:2" ht="42.75" customHeight="1" x14ac:dyDescent="0.3">
      <c r="B76" s="192">
        <v>68</v>
      </c>
    </row>
    <row r="77" spans="2:2" ht="42.75" customHeight="1" x14ac:dyDescent="0.3">
      <c r="B77" s="192">
        <v>69</v>
      </c>
    </row>
    <row r="78" spans="2:2" ht="42.75" customHeight="1" x14ac:dyDescent="0.3">
      <c r="B78" s="192">
        <v>70</v>
      </c>
    </row>
    <row r="79" spans="2:2" ht="42.75" customHeight="1" x14ac:dyDescent="0.3">
      <c r="B79" s="192">
        <v>71</v>
      </c>
    </row>
    <row r="80" spans="2:2" ht="42.75" customHeight="1" x14ac:dyDescent="0.3">
      <c r="B80" s="192">
        <v>72</v>
      </c>
    </row>
    <row r="81" spans="2:2" ht="42.75" customHeight="1" x14ac:dyDescent="0.3">
      <c r="B81" s="192">
        <v>73</v>
      </c>
    </row>
    <row r="82" spans="2:2" ht="42.75" customHeight="1" x14ac:dyDescent="0.3">
      <c r="B82" s="192">
        <v>74</v>
      </c>
    </row>
    <row r="83" spans="2:2" ht="42.75" customHeight="1" x14ac:dyDescent="0.3">
      <c r="B83" s="192">
        <v>75</v>
      </c>
    </row>
    <row r="84" spans="2:2" ht="42.75" customHeight="1" x14ac:dyDescent="0.3">
      <c r="B84" s="192">
        <v>76</v>
      </c>
    </row>
    <row r="85" spans="2:2" ht="42.75" customHeight="1" x14ac:dyDescent="0.3">
      <c r="B85" s="192">
        <v>77</v>
      </c>
    </row>
    <row r="86" spans="2:2" ht="42.75" customHeight="1" x14ac:dyDescent="0.3">
      <c r="B86" s="192">
        <v>78</v>
      </c>
    </row>
    <row r="87" spans="2:2" ht="42.75" customHeight="1" x14ac:dyDescent="0.3">
      <c r="B87" s="192">
        <v>79</v>
      </c>
    </row>
    <row r="88" spans="2:2" ht="42.75" customHeight="1" x14ac:dyDescent="0.3">
      <c r="B88" s="192">
        <v>80</v>
      </c>
    </row>
    <row r="89" spans="2:2" ht="42.75" customHeight="1" x14ac:dyDescent="0.3">
      <c r="B89" s="192">
        <v>81</v>
      </c>
    </row>
    <row r="90" spans="2:2" ht="42.75" customHeight="1" x14ac:dyDescent="0.3">
      <c r="B90" s="192">
        <v>82</v>
      </c>
    </row>
    <row r="91" spans="2:2" ht="42.75" customHeight="1" x14ac:dyDescent="0.3">
      <c r="B91" s="192">
        <v>83</v>
      </c>
    </row>
    <row r="92" spans="2:2" ht="42.75" customHeight="1" x14ac:dyDescent="0.3">
      <c r="B92" s="192">
        <v>84</v>
      </c>
    </row>
    <row r="93" spans="2:2" ht="42.75" customHeight="1" x14ac:dyDescent="0.3">
      <c r="B93" s="192">
        <v>85</v>
      </c>
    </row>
    <row r="94" spans="2:2" ht="42.75" customHeight="1" x14ac:dyDescent="0.3">
      <c r="B94" s="192">
        <v>86</v>
      </c>
    </row>
    <row r="95" spans="2:2" ht="42.75" customHeight="1" x14ac:dyDescent="0.3">
      <c r="B95" s="192">
        <v>87</v>
      </c>
    </row>
    <row r="96" spans="2:2" ht="42.75" customHeight="1" x14ac:dyDescent="0.3">
      <c r="B96" s="192">
        <v>88</v>
      </c>
    </row>
    <row r="97" spans="2:2" ht="42.75" customHeight="1" x14ac:dyDescent="0.3">
      <c r="B97" s="192">
        <v>89</v>
      </c>
    </row>
    <row r="98" spans="2:2" ht="42.75" customHeight="1" x14ac:dyDescent="0.3">
      <c r="B98" s="192">
        <v>90</v>
      </c>
    </row>
    <row r="99" spans="2:2" ht="42.75" customHeight="1" x14ac:dyDescent="0.3">
      <c r="B99" s="192">
        <v>91</v>
      </c>
    </row>
    <row r="100" spans="2:2" ht="42.75" customHeight="1" x14ac:dyDescent="0.3">
      <c r="B100" s="192">
        <v>92</v>
      </c>
    </row>
    <row r="101" spans="2:2" ht="42.75" customHeight="1" x14ac:dyDescent="0.3">
      <c r="B101" s="192">
        <v>93</v>
      </c>
    </row>
    <row r="102" spans="2:2" ht="42.75" customHeight="1" x14ac:dyDescent="0.3">
      <c r="B102" s="192">
        <v>94</v>
      </c>
    </row>
    <row r="103" spans="2:2" ht="42.75" customHeight="1" x14ac:dyDescent="0.3">
      <c r="B103" s="192">
        <v>95</v>
      </c>
    </row>
    <row r="104" spans="2:2" ht="42.75" customHeight="1" x14ac:dyDescent="0.3">
      <c r="B104" s="192">
        <v>96</v>
      </c>
    </row>
    <row r="105" spans="2:2" ht="42.75" customHeight="1" x14ac:dyDescent="0.3">
      <c r="B105" s="192">
        <v>97</v>
      </c>
    </row>
    <row r="106" spans="2:2" ht="42.75" customHeight="1" x14ac:dyDescent="0.3">
      <c r="B106" s="192">
        <v>98</v>
      </c>
    </row>
    <row r="107" spans="2:2" ht="42.75" customHeight="1" x14ac:dyDescent="0.3">
      <c r="B107" s="192">
        <v>99</v>
      </c>
    </row>
    <row r="108" spans="2:2" ht="42.75" customHeight="1" x14ac:dyDescent="0.3">
      <c r="B108" s="192">
        <v>100</v>
      </c>
    </row>
    <row r="109" spans="2:2" ht="42.75" customHeight="1" x14ac:dyDescent="0.3">
      <c r="B109" s="192">
        <v>101</v>
      </c>
    </row>
    <row r="110" spans="2:2" ht="42.75" customHeight="1" x14ac:dyDescent="0.3">
      <c r="B110" s="192">
        <v>102</v>
      </c>
    </row>
    <row r="111" spans="2:2" ht="42.75" customHeight="1" x14ac:dyDescent="0.3">
      <c r="B111" s="192">
        <v>103</v>
      </c>
    </row>
    <row r="112" spans="2:2" ht="42.75" customHeight="1" x14ac:dyDescent="0.3">
      <c r="B112" s="192">
        <v>104</v>
      </c>
    </row>
    <row r="113" spans="2:2" ht="42.75" customHeight="1" x14ac:dyDescent="0.3">
      <c r="B113" s="192">
        <v>105</v>
      </c>
    </row>
    <row r="114" spans="2:2" ht="42.75" customHeight="1" x14ac:dyDescent="0.3">
      <c r="B114" s="192">
        <v>106</v>
      </c>
    </row>
    <row r="115" spans="2:2" ht="42.75" customHeight="1" x14ac:dyDescent="0.3">
      <c r="B115" s="192">
        <v>107</v>
      </c>
    </row>
    <row r="116" spans="2:2" ht="42.75" customHeight="1" x14ac:dyDescent="0.3">
      <c r="B116" s="192">
        <v>108</v>
      </c>
    </row>
    <row r="117" spans="2:2" ht="42.75" customHeight="1" x14ac:dyDescent="0.3">
      <c r="B117" s="192">
        <v>109</v>
      </c>
    </row>
    <row r="118" spans="2:2" ht="42.75" customHeight="1" x14ac:dyDescent="0.3">
      <c r="B118" s="192">
        <v>110</v>
      </c>
    </row>
    <row r="119" spans="2:2" ht="42.75" customHeight="1" x14ac:dyDescent="0.3">
      <c r="B119" s="192">
        <v>111</v>
      </c>
    </row>
    <row r="120" spans="2:2" ht="42.75" customHeight="1" x14ac:dyDescent="0.3">
      <c r="B120" s="192">
        <v>112</v>
      </c>
    </row>
    <row r="121" spans="2:2" ht="42.75" customHeight="1" x14ac:dyDescent="0.3">
      <c r="B121" s="192">
        <v>113</v>
      </c>
    </row>
    <row r="122" spans="2:2" ht="42.75" customHeight="1" x14ac:dyDescent="0.3">
      <c r="B122" s="192">
        <v>114</v>
      </c>
    </row>
    <row r="123" spans="2:2" ht="42.75" customHeight="1" x14ac:dyDescent="0.3">
      <c r="B123" s="192">
        <v>115</v>
      </c>
    </row>
    <row r="124" spans="2:2" ht="42.75" customHeight="1" x14ac:dyDescent="0.3">
      <c r="B124" s="192">
        <v>116</v>
      </c>
    </row>
    <row r="125" spans="2:2" ht="42.75" customHeight="1" x14ac:dyDescent="0.3">
      <c r="B125" s="192">
        <v>117</v>
      </c>
    </row>
    <row r="126" spans="2:2" ht="42.75" customHeight="1" x14ac:dyDescent="0.3">
      <c r="B126" s="192">
        <v>118</v>
      </c>
    </row>
    <row r="127" spans="2:2" ht="42.75" customHeight="1" x14ac:dyDescent="0.3">
      <c r="B127" s="192">
        <v>119</v>
      </c>
    </row>
    <row r="128" spans="2:2" ht="42.75" customHeight="1" x14ac:dyDescent="0.3">
      <c r="B128" s="192">
        <v>120</v>
      </c>
    </row>
    <row r="129" spans="2:2" ht="42.75" customHeight="1" x14ac:dyDescent="0.3">
      <c r="B129" s="192">
        <v>121</v>
      </c>
    </row>
    <row r="130" spans="2:2" ht="42.75" customHeight="1" x14ac:dyDescent="0.3">
      <c r="B130" s="192">
        <v>122</v>
      </c>
    </row>
    <row r="131" spans="2:2" ht="42.75" customHeight="1" x14ac:dyDescent="0.3">
      <c r="B131" s="192">
        <v>123</v>
      </c>
    </row>
    <row r="132" spans="2:2" ht="42.75" customHeight="1" x14ac:dyDescent="0.3">
      <c r="B132" s="192">
        <v>124</v>
      </c>
    </row>
    <row r="133" spans="2:2" ht="42.75" customHeight="1" x14ac:dyDescent="0.3">
      <c r="B133" s="192">
        <v>125</v>
      </c>
    </row>
    <row r="134" spans="2:2" ht="42.75" customHeight="1" x14ac:dyDescent="0.3">
      <c r="B134" s="192">
        <v>126</v>
      </c>
    </row>
    <row r="135" spans="2:2" ht="42.75" customHeight="1" x14ac:dyDescent="0.3">
      <c r="B135" s="192">
        <v>127</v>
      </c>
    </row>
    <row r="136" spans="2:2" ht="42.75" customHeight="1" x14ac:dyDescent="0.3">
      <c r="B136" s="192">
        <v>128</v>
      </c>
    </row>
    <row r="137" spans="2:2" ht="42.75" customHeight="1" x14ac:dyDescent="0.3">
      <c r="B137" s="192">
        <v>129</v>
      </c>
    </row>
    <row r="138" spans="2:2" ht="42.75" customHeight="1" x14ac:dyDescent="0.3">
      <c r="B138" s="192">
        <v>130</v>
      </c>
    </row>
    <row r="139" spans="2:2" ht="42.75" customHeight="1" x14ac:dyDescent="0.3">
      <c r="B139" s="192">
        <v>131</v>
      </c>
    </row>
    <row r="140" spans="2:2" ht="42.75" customHeight="1" x14ac:dyDescent="0.3">
      <c r="B140" s="192">
        <v>132</v>
      </c>
    </row>
    <row r="141" spans="2:2" ht="42.75" customHeight="1" x14ac:dyDescent="0.3">
      <c r="B141" s="192">
        <v>133</v>
      </c>
    </row>
    <row r="142" spans="2:2" ht="42.75" customHeight="1" x14ac:dyDescent="0.3">
      <c r="B142" s="192">
        <v>134</v>
      </c>
    </row>
    <row r="143" spans="2:2" ht="42.75" customHeight="1" x14ac:dyDescent="0.3">
      <c r="B143" s="192">
        <v>135</v>
      </c>
    </row>
    <row r="144" spans="2:2" ht="42.75" customHeight="1" x14ac:dyDescent="0.3">
      <c r="B144" s="192">
        <v>136</v>
      </c>
    </row>
    <row r="145" spans="2:2" ht="42.75" customHeight="1" x14ac:dyDescent="0.3">
      <c r="B145" s="192">
        <v>137</v>
      </c>
    </row>
    <row r="146" spans="2:2" ht="42.75" customHeight="1" x14ac:dyDescent="0.3">
      <c r="B146" s="192">
        <v>138</v>
      </c>
    </row>
    <row r="147" spans="2:2" ht="42.75" customHeight="1" x14ac:dyDescent="0.3">
      <c r="B147" s="192">
        <v>139</v>
      </c>
    </row>
    <row r="148" spans="2:2" ht="42.75" customHeight="1" x14ac:dyDescent="0.3">
      <c r="B148" s="192">
        <v>140</v>
      </c>
    </row>
    <row r="149" spans="2:2" ht="42.75" customHeight="1" x14ac:dyDescent="0.3">
      <c r="B149" s="192">
        <v>141</v>
      </c>
    </row>
    <row r="150" spans="2:2" ht="42.75" customHeight="1" x14ac:dyDescent="0.3">
      <c r="B150" s="192">
        <v>142</v>
      </c>
    </row>
    <row r="151" spans="2:2" ht="42.75" customHeight="1" x14ac:dyDescent="0.3">
      <c r="B151" s="192">
        <v>143</v>
      </c>
    </row>
    <row r="152" spans="2:2" ht="42.75" customHeight="1" x14ac:dyDescent="0.3">
      <c r="B152" s="192">
        <v>144</v>
      </c>
    </row>
    <row r="153" spans="2:2" ht="42.75" customHeight="1" x14ac:dyDescent="0.3">
      <c r="B153" s="192">
        <v>145</v>
      </c>
    </row>
    <row r="154" spans="2:2" ht="42.75" customHeight="1" x14ac:dyDescent="0.3">
      <c r="B154" s="192">
        <v>146</v>
      </c>
    </row>
    <row r="155" spans="2:2" ht="42.75" customHeight="1" x14ac:dyDescent="0.3">
      <c r="B155" s="192">
        <v>147</v>
      </c>
    </row>
    <row r="156" spans="2:2" ht="42.75" customHeight="1" x14ac:dyDescent="0.3">
      <c r="B156" s="192">
        <v>148</v>
      </c>
    </row>
    <row r="157" spans="2:2" ht="42.75" customHeight="1" x14ac:dyDescent="0.3">
      <c r="B157" s="192">
        <v>149</v>
      </c>
    </row>
    <row r="158" spans="2:2" ht="42.75" customHeight="1" x14ac:dyDescent="0.3">
      <c r="B158" s="192">
        <v>150</v>
      </c>
    </row>
    <row r="159" spans="2:2" ht="42.75" customHeight="1" x14ac:dyDescent="0.3">
      <c r="B159" s="192">
        <v>151</v>
      </c>
    </row>
    <row r="160" spans="2:2" ht="42.75" customHeight="1" x14ac:dyDescent="0.3">
      <c r="B160" s="192">
        <v>152</v>
      </c>
    </row>
    <row r="161" spans="2:2" ht="42.75" customHeight="1" x14ac:dyDescent="0.3">
      <c r="B161" s="192">
        <v>153</v>
      </c>
    </row>
    <row r="162" spans="2:2" ht="42.75" customHeight="1" x14ac:dyDescent="0.3">
      <c r="B162" s="192">
        <v>154</v>
      </c>
    </row>
    <row r="163" spans="2:2" ht="42.75" customHeight="1" x14ac:dyDescent="0.3">
      <c r="B163" s="192">
        <v>155</v>
      </c>
    </row>
    <row r="164" spans="2:2" ht="42.75" customHeight="1" x14ac:dyDescent="0.3">
      <c r="B164" s="192">
        <v>156</v>
      </c>
    </row>
    <row r="165" spans="2:2" ht="42.75" customHeight="1" x14ac:dyDescent="0.3">
      <c r="B165" s="192">
        <v>157</v>
      </c>
    </row>
    <row r="166" spans="2:2" ht="42.75" customHeight="1" x14ac:dyDescent="0.3">
      <c r="B166" s="192">
        <v>158</v>
      </c>
    </row>
    <row r="167" spans="2:2" ht="42.75" customHeight="1" x14ac:dyDescent="0.3">
      <c r="B167" s="192">
        <v>159</v>
      </c>
    </row>
    <row r="168" spans="2:2" ht="42.75" customHeight="1" x14ac:dyDescent="0.3">
      <c r="B168" s="192">
        <v>160</v>
      </c>
    </row>
    <row r="169" spans="2:2" ht="42.75" customHeight="1" x14ac:dyDescent="0.3">
      <c r="B169" s="192">
        <v>161</v>
      </c>
    </row>
    <row r="170" spans="2:2" ht="42.75" customHeight="1" x14ac:dyDescent="0.3">
      <c r="B170" s="192">
        <v>162</v>
      </c>
    </row>
    <row r="171" spans="2:2" ht="42.75" customHeight="1" x14ac:dyDescent="0.3">
      <c r="B171" s="192">
        <v>163</v>
      </c>
    </row>
    <row r="172" spans="2:2" ht="42.75" customHeight="1" x14ac:dyDescent="0.3">
      <c r="B172" s="192">
        <v>164</v>
      </c>
    </row>
    <row r="173" spans="2:2" ht="42.75" customHeight="1" x14ac:dyDescent="0.3">
      <c r="B173" s="192">
        <v>165</v>
      </c>
    </row>
    <row r="174" spans="2:2" ht="42.75" customHeight="1" x14ac:dyDescent="0.3">
      <c r="B174" s="192">
        <v>166</v>
      </c>
    </row>
    <row r="175" spans="2:2" ht="42.75" customHeight="1" x14ac:dyDescent="0.3">
      <c r="B175" s="192">
        <v>167</v>
      </c>
    </row>
    <row r="176" spans="2:2" ht="42.75" customHeight="1" x14ac:dyDescent="0.3">
      <c r="B176" s="192">
        <v>168</v>
      </c>
    </row>
    <row r="177" spans="2:2" ht="42.75" customHeight="1" x14ac:dyDescent="0.3">
      <c r="B177" s="192">
        <v>169</v>
      </c>
    </row>
    <row r="178" spans="2:2" ht="42.75" customHeight="1" x14ac:dyDescent="0.3">
      <c r="B178" s="192">
        <v>170</v>
      </c>
    </row>
    <row r="179" spans="2:2" ht="42.75" customHeight="1" x14ac:dyDescent="0.3">
      <c r="B179" s="192">
        <v>171</v>
      </c>
    </row>
    <row r="180" spans="2:2" ht="42.75" customHeight="1" x14ac:dyDescent="0.3">
      <c r="B180" s="192">
        <v>172</v>
      </c>
    </row>
    <row r="181" spans="2:2" ht="42.75" customHeight="1" x14ac:dyDescent="0.3">
      <c r="B181" s="192">
        <v>173</v>
      </c>
    </row>
    <row r="182" spans="2:2" ht="42.75" customHeight="1" x14ac:dyDescent="0.3">
      <c r="B182" s="192">
        <v>174</v>
      </c>
    </row>
    <row r="183" spans="2:2" ht="42.75" customHeight="1" x14ac:dyDescent="0.3">
      <c r="B183" s="192">
        <v>175</v>
      </c>
    </row>
    <row r="184" spans="2:2" ht="42.75" customHeight="1" x14ac:dyDescent="0.3">
      <c r="B184" s="192">
        <v>176</v>
      </c>
    </row>
    <row r="185" spans="2:2" ht="42.75" customHeight="1" x14ac:dyDescent="0.3">
      <c r="B185" s="192">
        <v>177</v>
      </c>
    </row>
    <row r="186" spans="2:2" ht="42.75" customHeight="1" x14ac:dyDescent="0.3">
      <c r="B186" s="192">
        <v>178</v>
      </c>
    </row>
    <row r="187" spans="2:2" ht="42.75" customHeight="1" x14ac:dyDescent="0.3">
      <c r="B187" s="192">
        <v>179</v>
      </c>
    </row>
    <row r="188" spans="2:2" ht="42.75" customHeight="1" x14ac:dyDescent="0.3">
      <c r="B188" s="192">
        <v>180</v>
      </c>
    </row>
    <row r="189" spans="2:2" ht="42.75" customHeight="1" x14ac:dyDescent="0.3">
      <c r="B189" s="192">
        <v>181</v>
      </c>
    </row>
    <row r="190" spans="2:2" ht="42.75" customHeight="1" x14ac:dyDescent="0.3">
      <c r="B190" s="192">
        <v>182</v>
      </c>
    </row>
    <row r="191" spans="2:2" ht="42.75" customHeight="1" x14ac:dyDescent="0.3">
      <c r="B191" s="192">
        <v>183</v>
      </c>
    </row>
    <row r="192" spans="2:2" ht="42.75" customHeight="1" x14ac:dyDescent="0.3">
      <c r="B192" s="192">
        <v>184</v>
      </c>
    </row>
    <row r="193" spans="2:2" ht="42.75" customHeight="1" x14ac:dyDescent="0.3">
      <c r="B193" s="192">
        <v>185</v>
      </c>
    </row>
    <row r="194" spans="2:2" ht="42.75" customHeight="1" x14ac:dyDescent="0.3">
      <c r="B194" s="192">
        <v>186</v>
      </c>
    </row>
    <row r="195" spans="2:2" ht="42.75" customHeight="1" x14ac:dyDescent="0.3">
      <c r="B195" s="192">
        <v>187</v>
      </c>
    </row>
    <row r="196" spans="2:2" ht="42.75" customHeight="1" x14ac:dyDescent="0.3">
      <c r="B196" s="192">
        <v>188</v>
      </c>
    </row>
    <row r="197" spans="2:2" ht="42.75" customHeight="1" x14ac:dyDescent="0.3">
      <c r="B197" s="192">
        <v>189</v>
      </c>
    </row>
    <row r="198" spans="2:2" ht="42.75" customHeight="1" x14ac:dyDescent="0.3">
      <c r="B198" s="192">
        <v>190</v>
      </c>
    </row>
    <row r="199" spans="2:2" ht="42.75" customHeight="1" x14ac:dyDescent="0.3">
      <c r="B199" s="192">
        <v>191</v>
      </c>
    </row>
    <row r="200" spans="2:2" ht="42.75" customHeight="1" x14ac:dyDescent="0.3">
      <c r="B200" s="192">
        <v>192</v>
      </c>
    </row>
    <row r="201" spans="2:2" ht="42.75" customHeight="1" x14ac:dyDescent="0.3">
      <c r="B201" s="192">
        <v>193</v>
      </c>
    </row>
    <row r="202" spans="2:2" ht="42.75" customHeight="1" x14ac:dyDescent="0.3">
      <c r="B202" s="192">
        <v>194</v>
      </c>
    </row>
    <row r="203" spans="2:2" ht="42.75" customHeight="1" x14ac:dyDescent="0.3">
      <c r="B203" s="192">
        <v>195</v>
      </c>
    </row>
    <row r="204" spans="2:2" ht="42.75" customHeight="1" x14ac:dyDescent="0.3">
      <c r="B204" s="192">
        <v>196</v>
      </c>
    </row>
    <row r="205" spans="2:2" ht="42.75" customHeight="1" x14ac:dyDescent="0.3">
      <c r="B205" s="192">
        <v>197</v>
      </c>
    </row>
    <row r="206" spans="2:2" ht="42.75" customHeight="1" x14ac:dyDescent="0.3">
      <c r="B206" s="192">
        <v>198</v>
      </c>
    </row>
    <row r="207" spans="2:2" ht="42.75" customHeight="1" x14ac:dyDescent="0.3">
      <c r="B207" s="192">
        <v>199</v>
      </c>
    </row>
    <row r="208" spans="2:2" ht="42.75" customHeight="1" x14ac:dyDescent="0.3">
      <c r="B208" s="192">
        <v>200</v>
      </c>
    </row>
  </sheetData>
  <customSheetViews>
    <customSheetView guid="{03A28D0E-D221-430C-9036-787CFB666EE7}" scale="90" showAutoFilter="1" topLeftCell="AP1">
      <pane ySplit="1" topLeftCell="A2" activePane="bottomLeft" state="frozen"/>
      <selection pane="bottomLeft" activeCell="AR6" sqref="AR6"/>
      <pageMargins left="0.7" right="0.7" top="0.75" bottom="0.75" header="0.3" footer="0.3"/>
      <pageSetup orientation="portrait" r:id="rId1"/>
      <autoFilter ref="A1:CP140" xr:uid="{3FDD9375-E952-43D8-A6A3-F515BD2A5F06}"/>
    </customSheetView>
  </customSheetViews>
  <phoneticPr fontId="54" type="noConversion"/>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383"/>
  <sheetViews>
    <sheetView zoomScaleNormal="100" workbookViewId="0">
      <pane ySplit="1" topLeftCell="A2" activePane="bottomLeft" state="frozen"/>
      <selection activeCell="C1" sqref="C1"/>
      <selection pane="bottomLeft"/>
    </sheetView>
  </sheetViews>
  <sheetFormatPr defaultColWidth="11.44140625" defaultRowHeight="15.6" x14ac:dyDescent="0.3"/>
  <cols>
    <col min="1" max="1" width="10" style="52" customWidth="1"/>
    <col min="2" max="2" width="8.109375" style="52" customWidth="1"/>
    <col min="3" max="3" width="7.44140625" style="52" customWidth="1"/>
    <col min="4" max="4" width="3.44140625" style="52" customWidth="1"/>
    <col min="5" max="5" width="40.6640625" style="52" customWidth="1"/>
    <col min="6" max="8" width="3.6640625" style="52" customWidth="1"/>
    <col min="9" max="9" width="11.44140625" style="53" customWidth="1"/>
    <col min="10" max="10" width="11.44140625" style="52" customWidth="1"/>
    <col min="11" max="11" width="1.77734375" style="52" customWidth="1"/>
    <col min="12" max="12" width="12" style="52" customWidth="1"/>
    <col min="13" max="13" width="3.44140625" style="52" customWidth="1"/>
    <col min="14" max="18" width="10.77734375" style="52" customWidth="1"/>
    <col min="19" max="20" width="2.109375" style="52" customWidth="1"/>
    <col min="21" max="21" width="13" style="52" customWidth="1"/>
    <col min="22" max="22" width="22.109375" style="52" customWidth="1"/>
    <col min="23" max="23" width="7.44140625" style="52" customWidth="1"/>
    <col min="24" max="24" width="12.109375" style="52" customWidth="1"/>
    <col min="25" max="26" width="7.44140625" style="53" customWidth="1"/>
    <col min="27" max="16384" width="11.44140625" style="54"/>
  </cols>
  <sheetData>
    <row r="1" spans="1:26" s="30" customFormat="1" ht="41.25" customHeight="1" x14ac:dyDescent="0.3">
      <c r="A1" s="153" t="s">
        <v>310</v>
      </c>
      <c r="B1" s="28" t="s">
        <v>305</v>
      </c>
      <c r="C1" s="28" t="s">
        <v>295</v>
      </c>
      <c r="D1" s="28" t="s">
        <v>300</v>
      </c>
      <c r="E1" s="29" t="s">
        <v>284</v>
      </c>
      <c r="F1" s="29" t="s">
        <v>298</v>
      </c>
      <c r="G1" s="29" t="s">
        <v>297</v>
      </c>
      <c r="H1" s="29" t="s">
        <v>283</v>
      </c>
      <c r="I1" s="29" t="s">
        <v>8</v>
      </c>
      <c r="J1" s="28" t="s">
        <v>301</v>
      </c>
      <c r="K1" s="28" t="s">
        <v>302</v>
      </c>
      <c r="L1" s="28" t="s">
        <v>293</v>
      </c>
      <c r="M1" s="28" t="s">
        <v>292</v>
      </c>
      <c r="N1" s="28" t="s">
        <v>294</v>
      </c>
      <c r="O1" s="28" t="s">
        <v>289</v>
      </c>
      <c r="P1" s="28" t="s">
        <v>290</v>
      </c>
      <c r="Q1" s="28" t="s">
        <v>287</v>
      </c>
      <c r="R1" s="28" t="s">
        <v>288</v>
      </c>
      <c r="S1" s="28" t="s">
        <v>296</v>
      </c>
      <c r="T1" s="28" t="s">
        <v>299</v>
      </c>
      <c r="U1" s="28" t="s">
        <v>304</v>
      </c>
      <c r="V1" s="28" t="s">
        <v>286</v>
      </c>
      <c r="W1" s="28" t="s">
        <v>282</v>
      </c>
      <c r="X1" s="28" t="s">
        <v>303</v>
      </c>
      <c r="Y1" s="28" t="s">
        <v>291</v>
      </c>
      <c r="Z1" s="28" t="s">
        <v>285</v>
      </c>
    </row>
    <row r="2" spans="1:26" s="156" customFormat="1" ht="45.75" customHeight="1" x14ac:dyDescent="0.3">
      <c r="A2" s="153" t="s">
        <v>455</v>
      </c>
      <c r="B2" s="154" t="s">
        <v>808</v>
      </c>
      <c r="C2" s="154" t="s">
        <v>809</v>
      </c>
      <c r="D2" s="154" t="s">
        <v>810</v>
      </c>
      <c r="E2" s="155" t="s">
        <v>811</v>
      </c>
      <c r="F2" s="154" t="s">
        <v>812</v>
      </c>
      <c r="G2" s="154" t="s">
        <v>812</v>
      </c>
      <c r="H2" s="154" t="s">
        <v>812</v>
      </c>
      <c r="I2" s="155" t="s">
        <v>813</v>
      </c>
      <c r="J2" s="154" t="s">
        <v>812</v>
      </c>
      <c r="K2" s="154" t="s">
        <v>812</v>
      </c>
      <c r="L2" s="154" t="s">
        <v>814</v>
      </c>
      <c r="M2" s="154" t="s">
        <v>812</v>
      </c>
      <c r="N2" s="154" t="s">
        <v>815</v>
      </c>
      <c r="O2" s="154" t="s">
        <v>816</v>
      </c>
      <c r="P2" s="154" t="s">
        <v>817</v>
      </c>
      <c r="Q2" s="154" t="s">
        <v>825</v>
      </c>
      <c r="R2" s="154" t="s">
        <v>818</v>
      </c>
      <c r="S2" s="154" t="s">
        <v>812</v>
      </c>
      <c r="T2" s="154" t="s">
        <v>812</v>
      </c>
      <c r="U2" s="154" t="s">
        <v>819</v>
      </c>
      <c r="V2" s="154" t="s">
        <v>820</v>
      </c>
      <c r="W2" s="154" t="s">
        <v>821</v>
      </c>
      <c r="X2" s="154" t="s">
        <v>822</v>
      </c>
      <c r="Y2" s="154" t="s">
        <v>823</v>
      </c>
      <c r="Z2" s="154" t="s">
        <v>824</v>
      </c>
    </row>
    <row r="3" spans="1:26" s="160" customFormat="1" ht="13.2" x14ac:dyDescent="0.3">
      <c r="A3" s="242" t="s">
        <v>807</v>
      </c>
      <c r="B3" s="157" t="s">
        <v>786</v>
      </c>
      <c r="C3" s="157" t="s">
        <v>385</v>
      </c>
      <c r="D3" s="157"/>
      <c r="E3" s="155" t="s">
        <v>456</v>
      </c>
      <c r="F3" s="157"/>
      <c r="G3" s="157"/>
      <c r="H3" s="157"/>
      <c r="I3" s="158">
        <v>1</v>
      </c>
      <c r="J3" s="157"/>
      <c r="K3" s="157"/>
      <c r="L3" s="157"/>
      <c r="M3" s="157"/>
      <c r="N3" s="157" t="s">
        <v>388</v>
      </c>
      <c r="O3" s="157" t="s">
        <v>193</v>
      </c>
      <c r="P3" s="157" t="s">
        <v>826</v>
      </c>
      <c r="Q3" s="157"/>
      <c r="R3" s="157"/>
      <c r="S3" s="157"/>
      <c r="T3" s="157"/>
      <c r="U3" s="157" t="s">
        <v>451</v>
      </c>
      <c r="V3" s="157" t="s">
        <v>390</v>
      </c>
      <c r="W3" s="157" t="s">
        <v>358</v>
      </c>
      <c r="X3" s="157"/>
      <c r="Y3" s="159"/>
      <c r="Z3" s="159">
        <v>2015</v>
      </c>
    </row>
    <row r="4" spans="1:26" s="160" customFormat="1" ht="13.2" x14ac:dyDescent="0.3">
      <c r="A4" s="242"/>
      <c r="B4" s="157" t="s">
        <v>786</v>
      </c>
      <c r="C4" s="157" t="s">
        <v>385</v>
      </c>
      <c r="D4" s="157"/>
      <c r="E4" s="155" t="s">
        <v>457</v>
      </c>
      <c r="F4" s="157"/>
      <c r="G4" s="157"/>
      <c r="H4" s="157"/>
      <c r="I4" s="158">
        <v>1</v>
      </c>
      <c r="J4" s="157"/>
      <c r="K4" s="157"/>
      <c r="L4" s="157"/>
      <c r="M4" s="157"/>
      <c r="N4" s="157" t="s">
        <v>389</v>
      </c>
      <c r="O4" s="157" t="s">
        <v>193</v>
      </c>
      <c r="P4" s="157" t="s">
        <v>454</v>
      </c>
      <c r="Q4" s="157"/>
      <c r="R4" s="157" t="s">
        <v>453</v>
      </c>
      <c r="S4" s="157"/>
      <c r="T4" s="157"/>
      <c r="U4" s="157" t="s">
        <v>451</v>
      </c>
      <c r="V4" s="157" t="s">
        <v>391</v>
      </c>
      <c r="W4" s="157" t="s">
        <v>359</v>
      </c>
      <c r="X4" s="157"/>
      <c r="Y4" s="159">
        <v>68</v>
      </c>
      <c r="Z4" s="159">
        <v>2017</v>
      </c>
    </row>
    <row r="5" spans="1:26" s="160" customFormat="1" ht="13.2" x14ac:dyDescent="0.3">
      <c r="A5" s="242"/>
      <c r="B5" s="157" t="s">
        <v>786</v>
      </c>
      <c r="C5" s="157" t="s">
        <v>385</v>
      </c>
      <c r="D5" s="157"/>
      <c r="E5" s="155" t="s">
        <v>386</v>
      </c>
      <c r="F5" s="157"/>
      <c r="G5" s="157"/>
      <c r="H5" s="157"/>
      <c r="I5" s="158">
        <v>1</v>
      </c>
      <c r="J5" s="157"/>
      <c r="K5" s="157"/>
      <c r="L5" s="157"/>
      <c r="M5" s="157"/>
      <c r="N5" s="157"/>
      <c r="O5" s="157" t="s">
        <v>193</v>
      </c>
      <c r="P5" s="157" t="s">
        <v>386</v>
      </c>
      <c r="Q5" s="157"/>
      <c r="R5" s="157"/>
      <c r="S5" s="157"/>
      <c r="T5" s="157"/>
      <c r="U5" s="157" t="s">
        <v>451</v>
      </c>
      <c r="V5" s="157" t="s">
        <v>392</v>
      </c>
      <c r="W5" s="157" t="s">
        <v>460</v>
      </c>
      <c r="X5" s="161" t="s">
        <v>384</v>
      </c>
      <c r="Y5" s="159"/>
      <c r="Z5" s="159">
        <v>2019</v>
      </c>
    </row>
    <row r="6" spans="1:26" x14ac:dyDescent="0.3">
      <c r="A6" s="129"/>
      <c r="B6" s="152"/>
      <c r="C6" s="162"/>
      <c r="D6" s="54"/>
      <c r="E6" s="152"/>
      <c r="F6" s="152"/>
      <c r="G6" s="152"/>
      <c r="H6" s="152"/>
      <c r="I6" s="152"/>
      <c r="J6" s="162"/>
      <c r="K6" s="152"/>
      <c r="L6" s="152"/>
      <c r="M6" s="152"/>
      <c r="N6" s="163"/>
      <c r="O6" s="152"/>
      <c r="P6" s="152"/>
      <c r="Q6" s="152"/>
      <c r="R6" s="152"/>
      <c r="S6" s="152"/>
      <c r="T6" s="152"/>
      <c r="U6" s="152"/>
      <c r="V6" s="152"/>
      <c r="W6" s="152"/>
      <c r="X6" s="152"/>
      <c r="Y6" s="152"/>
      <c r="Z6" s="152"/>
    </row>
    <row r="7" spans="1:26" x14ac:dyDescent="0.3">
      <c r="A7" s="129"/>
      <c r="B7" s="152"/>
      <c r="C7" s="162"/>
      <c r="D7" s="54"/>
      <c r="E7" s="152"/>
      <c r="F7" s="152"/>
      <c r="G7" s="152"/>
      <c r="H7" s="152"/>
      <c r="I7" s="152"/>
      <c r="J7" s="162"/>
      <c r="K7" s="152"/>
      <c r="L7" s="152"/>
      <c r="M7" s="152"/>
      <c r="N7" s="163"/>
      <c r="O7" s="152"/>
      <c r="P7" s="152"/>
      <c r="Q7" s="152"/>
      <c r="R7" s="152"/>
      <c r="S7" s="152"/>
      <c r="T7" s="152"/>
      <c r="U7" s="152"/>
      <c r="V7" s="152"/>
      <c r="W7" s="152"/>
      <c r="X7" s="152"/>
      <c r="Y7" s="152"/>
      <c r="Z7" s="152"/>
    </row>
    <row r="8" spans="1:26" x14ac:dyDescent="0.3">
      <c r="A8" s="129"/>
      <c r="B8" s="152"/>
      <c r="C8" s="162"/>
      <c r="D8" s="54"/>
      <c r="E8" s="152"/>
      <c r="F8" s="152"/>
      <c r="G8" s="152"/>
      <c r="H8" s="152"/>
      <c r="I8" s="152"/>
      <c r="J8" s="162"/>
      <c r="K8" s="152"/>
      <c r="L8" s="163"/>
      <c r="M8" s="152"/>
      <c r="N8" s="152"/>
      <c r="O8" s="152"/>
      <c r="P8" s="152"/>
      <c r="Q8" s="152"/>
      <c r="R8" s="152"/>
      <c r="S8" s="152"/>
      <c r="T8" s="152"/>
      <c r="U8" s="152"/>
      <c r="V8" s="152"/>
      <c r="W8" s="163"/>
      <c r="X8" s="152"/>
      <c r="Y8" s="152"/>
      <c r="Z8" s="152"/>
    </row>
    <row r="9" spans="1:26" x14ac:dyDescent="0.3">
      <c r="A9" s="129"/>
      <c r="B9" s="152"/>
      <c r="C9" s="162"/>
      <c r="D9" s="54"/>
      <c r="E9" s="54"/>
      <c r="F9" s="54"/>
      <c r="G9" s="54"/>
      <c r="H9" s="54"/>
      <c r="I9" s="164"/>
      <c r="J9" s="54"/>
      <c r="K9" s="54"/>
      <c r="L9" s="54"/>
      <c r="M9" s="54"/>
      <c r="N9" s="54"/>
      <c r="O9" s="152"/>
      <c r="P9" s="152"/>
      <c r="Q9" s="54"/>
      <c r="R9" s="54"/>
      <c r="S9" s="54"/>
      <c r="T9" s="54"/>
      <c r="U9" s="152"/>
      <c r="V9" s="54"/>
      <c r="W9" s="152"/>
      <c r="X9" s="54"/>
      <c r="Y9" s="164"/>
      <c r="Z9" s="164"/>
    </row>
    <row r="10" spans="1:26" x14ac:dyDescent="0.3">
      <c r="A10" s="129"/>
      <c r="B10" s="152"/>
      <c r="C10" s="162"/>
      <c r="D10" s="54"/>
      <c r="E10" s="152"/>
      <c r="F10" s="152"/>
      <c r="G10" s="152"/>
      <c r="H10" s="152"/>
      <c r="I10" s="152"/>
      <c r="J10" s="162"/>
      <c r="K10" s="152"/>
      <c r="L10" s="152"/>
      <c r="M10" s="152"/>
      <c r="N10" s="163"/>
      <c r="O10" s="152"/>
      <c r="P10" s="152"/>
      <c r="Q10" s="152"/>
      <c r="R10" s="152"/>
      <c r="S10" s="152"/>
      <c r="T10" s="152"/>
      <c r="U10" s="152"/>
      <c r="V10" s="152"/>
      <c r="W10" s="152"/>
      <c r="X10" s="152"/>
      <c r="Y10" s="152"/>
      <c r="Z10" s="152"/>
    </row>
    <row r="11" spans="1:26" x14ac:dyDescent="0.3">
      <c r="A11" s="129"/>
      <c r="B11" s="152"/>
      <c r="C11" s="162"/>
      <c r="D11" s="54"/>
      <c r="E11" s="152"/>
      <c r="F11" s="152"/>
      <c r="G11" s="152"/>
      <c r="H11" s="152"/>
      <c r="I11" s="152"/>
      <c r="J11" s="162"/>
      <c r="K11" s="152"/>
      <c r="L11" s="152"/>
      <c r="M11" s="152"/>
      <c r="N11" s="163"/>
      <c r="O11" s="152"/>
      <c r="P11" s="152"/>
      <c r="Q11" s="152"/>
      <c r="R11" s="152"/>
      <c r="S11" s="152"/>
      <c r="T11" s="152"/>
      <c r="U11" s="152"/>
      <c r="V11" s="152"/>
      <c r="W11" s="152"/>
      <c r="X11" s="152"/>
      <c r="Y11" s="152"/>
      <c r="Z11" s="152"/>
    </row>
    <row r="12" spans="1:26" x14ac:dyDescent="0.3">
      <c r="A12" s="129"/>
      <c r="B12" s="152"/>
      <c r="C12" s="162"/>
      <c r="D12" s="54"/>
      <c r="E12" s="152"/>
      <c r="F12" s="152"/>
      <c r="G12" s="152"/>
      <c r="H12" s="152"/>
      <c r="I12" s="152"/>
      <c r="J12" s="162"/>
      <c r="K12" s="152"/>
      <c r="L12" s="152"/>
      <c r="M12" s="152"/>
      <c r="N12" s="163"/>
      <c r="O12" s="152"/>
      <c r="P12" s="152"/>
      <c r="Q12" s="152"/>
      <c r="R12" s="152"/>
      <c r="S12" s="152"/>
      <c r="T12" s="152"/>
      <c r="U12" s="152"/>
      <c r="V12" s="152"/>
      <c r="W12" s="152"/>
      <c r="X12" s="152"/>
      <c r="Y12" s="152"/>
      <c r="Z12" s="152"/>
    </row>
    <row r="13" spans="1:26" x14ac:dyDescent="0.3">
      <c r="A13" s="129"/>
      <c r="B13" s="152"/>
      <c r="C13" s="162"/>
      <c r="D13" s="54"/>
      <c r="E13" s="152"/>
      <c r="F13" s="152"/>
      <c r="G13" s="152"/>
      <c r="H13" s="152"/>
      <c r="I13" s="152"/>
      <c r="J13" s="162"/>
      <c r="K13" s="152"/>
      <c r="L13" s="163"/>
      <c r="M13" s="152"/>
      <c r="N13" s="163"/>
      <c r="O13" s="152"/>
      <c r="P13" s="152"/>
      <c r="Q13" s="152"/>
      <c r="R13" s="152"/>
      <c r="S13" s="152"/>
      <c r="T13" s="152"/>
      <c r="U13" s="152"/>
      <c r="V13" s="152"/>
      <c r="W13" s="163"/>
      <c r="X13" s="163"/>
      <c r="Y13" s="152"/>
      <c r="Z13" s="152"/>
    </row>
    <row r="14" spans="1:26" x14ac:dyDescent="0.3">
      <c r="A14" s="129"/>
      <c r="B14" s="152"/>
      <c r="C14" s="162"/>
      <c r="D14" s="54"/>
      <c r="E14" s="152"/>
      <c r="F14" s="152"/>
      <c r="G14" s="152"/>
      <c r="H14" s="152"/>
      <c r="I14" s="152"/>
      <c r="J14" s="162"/>
      <c r="K14" s="152"/>
      <c r="L14" s="163"/>
      <c r="M14" s="152"/>
      <c r="N14" s="152"/>
      <c r="O14" s="152"/>
      <c r="P14" s="152"/>
      <c r="Q14" s="152"/>
      <c r="R14" s="152"/>
      <c r="S14" s="152"/>
      <c r="T14" s="152"/>
      <c r="U14" s="152"/>
      <c r="V14" s="152"/>
      <c r="W14" s="152"/>
      <c r="X14" s="152"/>
      <c r="Y14" s="152"/>
      <c r="Z14" s="152"/>
    </row>
    <row r="15" spans="1:26" x14ac:dyDescent="0.3">
      <c r="A15" s="129"/>
      <c r="B15" s="152"/>
      <c r="C15" s="162"/>
      <c r="D15" s="54"/>
      <c r="E15" s="152"/>
      <c r="F15" s="152"/>
      <c r="G15" s="152"/>
      <c r="H15" s="152"/>
      <c r="I15" s="152"/>
      <c r="J15" s="162"/>
      <c r="K15" s="152"/>
      <c r="L15" s="163"/>
      <c r="M15" s="152"/>
      <c r="N15" s="152"/>
      <c r="O15" s="152"/>
      <c r="P15" s="152"/>
      <c r="Q15" s="152"/>
      <c r="R15" s="152"/>
      <c r="S15" s="152"/>
      <c r="T15" s="152"/>
      <c r="U15" s="152"/>
      <c r="V15" s="152"/>
      <c r="W15" s="152"/>
      <c r="X15" s="152"/>
      <c r="Y15" s="152"/>
      <c r="Z15" s="152"/>
    </row>
    <row r="16" spans="1:26" x14ac:dyDescent="0.3">
      <c r="A16" s="129"/>
      <c r="B16" s="152"/>
      <c r="C16" s="162"/>
      <c r="D16" s="54"/>
      <c r="E16" s="152"/>
      <c r="F16" s="152"/>
      <c r="G16" s="152"/>
      <c r="H16" s="152"/>
      <c r="I16" s="152"/>
      <c r="J16" s="162"/>
      <c r="K16" s="152"/>
      <c r="L16" s="163"/>
      <c r="M16" s="152"/>
      <c r="N16" s="152"/>
      <c r="O16" s="152"/>
      <c r="P16" s="152"/>
      <c r="Q16" s="152"/>
      <c r="R16" s="152"/>
      <c r="S16" s="152"/>
      <c r="T16" s="152"/>
      <c r="U16" s="152"/>
      <c r="V16" s="152"/>
      <c r="W16" s="163"/>
      <c r="X16" s="152"/>
      <c r="Y16" s="152"/>
      <c r="Z16" s="152"/>
    </row>
    <row r="17" spans="1:26" x14ac:dyDescent="0.3">
      <c r="A17" s="129"/>
      <c r="B17" s="152"/>
      <c r="C17" s="162"/>
      <c r="D17" s="54"/>
      <c r="E17" s="152"/>
      <c r="F17" s="152"/>
      <c r="G17" s="152"/>
      <c r="H17" s="152"/>
      <c r="I17" s="165"/>
      <c r="J17" s="162"/>
      <c r="K17" s="152"/>
      <c r="L17" s="152"/>
      <c r="M17" s="152"/>
      <c r="N17" s="152"/>
      <c r="O17" s="152"/>
      <c r="P17" s="152"/>
      <c r="Q17" s="152"/>
      <c r="R17" s="152"/>
      <c r="S17" s="152"/>
      <c r="T17" s="152"/>
      <c r="U17" s="152"/>
      <c r="V17" s="152"/>
      <c r="W17" s="152"/>
      <c r="X17" s="152"/>
      <c r="Y17" s="165"/>
      <c r="Z17" s="165"/>
    </row>
    <row r="18" spans="1:26" x14ac:dyDescent="0.3">
      <c r="A18" s="129"/>
      <c r="B18" s="152"/>
      <c r="C18" s="162"/>
      <c r="D18" s="54"/>
      <c r="E18" s="152"/>
      <c r="F18" s="152"/>
      <c r="G18" s="152"/>
      <c r="H18" s="152"/>
      <c r="I18" s="152"/>
      <c r="J18" s="162"/>
      <c r="K18" s="152"/>
      <c r="L18" s="163"/>
      <c r="M18" s="152"/>
      <c r="N18" s="152"/>
      <c r="O18" s="152"/>
      <c r="P18" s="152"/>
      <c r="Q18" s="152"/>
      <c r="R18" s="152"/>
      <c r="S18" s="152"/>
      <c r="T18" s="152"/>
      <c r="U18" s="152"/>
      <c r="V18" s="152"/>
      <c r="W18" s="152"/>
      <c r="X18" s="152"/>
      <c r="Y18" s="152"/>
      <c r="Z18" s="152"/>
    </row>
    <row r="19" spans="1:26" x14ac:dyDescent="0.3">
      <c r="A19" s="129"/>
      <c r="B19" s="152"/>
      <c r="C19" s="162"/>
      <c r="D19" s="54"/>
      <c r="E19" s="152"/>
      <c r="F19" s="152"/>
      <c r="G19" s="152"/>
      <c r="H19" s="152"/>
      <c r="I19" s="165"/>
      <c r="J19" s="162"/>
      <c r="K19" s="152"/>
      <c r="L19" s="163"/>
      <c r="M19" s="152"/>
      <c r="N19" s="152"/>
      <c r="O19" s="152"/>
      <c r="P19" s="152"/>
      <c r="Q19" s="152"/>
      <c r="R19" s="152"/>
      <c r="S19" s="152"/>
      <c r="T19" s="152"/>
      <c r="U19" s="152"/>
      <c r="V19" s="152"/>
      <c r="W19" s="152"/>
      <c r="X19" s="163"/>
      <c r="Y19" s="165"/>
      <c r="Z19" s="166"/>
    </row>
    <row r="20" spans="1:26" x14ac:dyDescent="0.3">
      <c r="A20" s="129"/>
      <c r="B20" s="152"/>
      <c r="C20" s="162"/>
      <c r="D20" s="54"/>
      <c r="E20" s="152"/>
      <c r="F20" s="152"/>
      <c r="G20" s="152"/>
      <c r="H20" s="152"/>
      <c r="I20" s="152"/>
      <c r="J20" s="162"/>
      <c r="K20" s="152"/>
      <c r="L20" s="152"/>
      <c r="M20" s="152"/>
      <c r="N20" s="152"/>
      <c r="O20" s="152"/>
      <c r="P20" s="152"/>
      <c r="Q20" s="152"/>
      <c r="R20" s="152"/>
      <c r="S20" s="152"/>
      <c r="T20" s="152"/>
      <c r="U20" s="152"/>
      <c r="V20" s="163"/>
      <c r="W20" s="152"/>
      <c r="X20" s="152"/>
      <c r="Y20" s="152"/>
      <c r="Z20" s="152"/>
    </row>
    <row r="21" spans="1:26" x14ac:dyDescent="0.3">
      <c r="A21" s="129"/>
      <c r="B21" s="152"/>
      <c r="C21" s="162"/>
      <c r="D21" s="54"/>
      <c r="E21" s="152"/>
      <c r="F21" s="152"/>
      <c r="G21" s="152"/>
      <c r="H21" s="152"/>
      <c r="I21" s="165"/>
      <c r="J21" s="162"/>
      <c r="K21" s="152"/>
      <c r="L21" s="163"/>
      <c r="M21" s="152"/>
      <c r="N21" s="163"/>
      <c r="O21" s="152"/>
      <c r="P21" s="152"/>
      <c r="Q21" s="152"/>
      <c r="R21" s="152"/>
      <c r="S21" s="152"/>
      <c r="T21" s="152"/>
      <c r="U21" s="152"/>
      <c r="V21" s="152"/>
      <c r="W21" s="152"/>
      <c r="X21" s="152"/>
      <c r="Y21" s="165"/>
      <c r="Z21" s="165"/>
    </row>
    <row r="22" spans="1:26" x14ac:dyDescent="0.3">
      <c r="A22" s="129"/>
      <c r="B22" s="152"/>
      <c r="C22" s="162"/>
      <c r="D22" s="54"/>
      <c r="E22" s="152"/>
      <c r="F22" s="152"/>
      <c r="G22" s="152"/>
      <c r="H22" s="152"/>
      <c r="I22" s="165"/>
      <c r="J22" s="162"/>
      <c r="K22" s="152"/>
      <c r="L22" s="163"/>
      <c r="M22" s="152"/>
      <c r="N22" s="163"/>
      <c r="O22" s="152"/>
      <c r="P22" s="152"/>
      <c r="Q22" s="152"/>
      <c r="R22" s="152"/>
      <c r="S22" s="152"/>
      <c r="T22" s="152"/>
      <c r="U22" s="152"/>
      <c r="V22" s="152"/>
      <c r="W22" s="152"/>
      <c r="X22" s="152"/>
      <c r="Y22" s="165"/>
      <c r="Z22" s="165"/>
    </row>
    <row r="23" spans="1:26" x14ac:dyDescent="0.3">
      <c r="A23" s="129"/>
      <c r="B23" s="152"/>
      <c r="C23" s="162"/>
      <c r="D23" s="54"/>
      <c r="E23" s="152"/>
      <c r="F23" s="152"/>
      <c r="G23" s="152"/>
      <c r="H23" s="152"/>
      <c r="I23" s="152"/>
      <c r="J23" s="162"/>
      <c r="K23" s="152"/>
      <c r="L23" s="163"/>
      <c r="M23" s="152"/>
      <c r="N23" s="152"/>
      <c r="O23" s="152"/>
      <c r="P23" s="152"/>
      <c r="Q23" s="152"/>
      <c r="R23" s="152"/>
      <c r="S23" s="152"/>
      <c r="T23" s="152"/>
      <c r="U23" s="152"/>
      <c r="V23" s="152"/>
      <c r="W23" s="163"/>
      <c r="X23" s="152"/>
      <c r="Y23" s="152"/>
      <c r="Z23" s="152"/>
    </row>
    <row r="24" spans="1:26" x14ac:dyDescent="0.3">
      <c r="A24" s="129"/>
      <c r="B24" s="152"/>
      <c r="C24" s="162"/>
      <c r="D24" s="152"/>
      <c r="E24" s="152"/>
      <c r="F24" s="152"/>
      <c r="G24" s="152"/>
      <c r="H24" s="152"/>
      <c r="I24" s="167"/>
      <c r="J24" s="162"/>
      <c r="K24" s="152"/>
      <c r="L24" s="152"/>
      <c r="M24" s="152"/>
      <c r="N24" s="152"/>
      <c r="O24" s="152"/>
      <c r="P24" s="152"/>
      <c r="Q24" s="152"/>
      <c r="R24" s="152"/>
      <c r="S24" s="152"/>
      <c r="T24" s="152"/>
      <c r="U24" s="152"/>
      <c r="V24" s="152"/>
      <c r="W24" s="152"/>
      <c r="X24" s="152"/>
      <c r="Y24" s="152"/>
      <c r="Z24" s="152"/>
    </row>
    <row r="25" spans="1:26" x14ac:dyDescent="0.3">
      <c r="A25" s="129"/>
      <c r="B25" s="152"/>
      <c r="C25" s="162"/>
      <c r="D25" s="54"/>
      <c r="E25" s="152"/>
      <c r="F25" s="152"/>
      <c r="G25" s="152"/>
      <c r="H25" s="152"/>
      <c r="I25" s="165"/>
      <c r="J25" s="162"/>
      <c r="K25" s="152"/>
      <c r="L25" s="152"/>
      <c r="M25" s="152"/>
      <c r="N25" s="152"/>
      <c r="O25" s="152"/>
      <c r="P25" s="152"/>
      <c r="Q25" s="152"/>
      <c r="R25" s="152"/>
      <c r="S25" s="152"/>
      <c r="T25" s="152"/>
      <c r="U25" s="152"/>
      <c r="V25" s="152"/>
      <c r="W25" s="152"/>
      <c r="X25" s="152"/>
      <c r="Y25" s="165"/>
      <c r="Z25" s="152"/>
    </row>
    <row r="26" spans="1:26" x14ac:dyDescent="0.3">
      <c r="A26" s="129"/>
      <c r="B26" s="152"/>
      <c r="C26" s="162"/>
      <c r="D26" s="152"/>
      <c r="E26" s="152"/>
      <c r="F26" s="152"/>
      <c r="G26" s="152"/>
      <c r="H26" s="152"/>
      <c r="I26" s="167"/>
      <c r="J26" s="162"/>
      <c r="K26" s="152"/>
      <c r="L26" s="152"/>
      <c r="M26" s="152"/>
      <c r="N26" s="152"/>
      <c r="O26" s="152"/>
      <c r="P26" s="152"/>
      <c r="Q26" s="152"/>
      <c r="R26" s="152"/>
      <c r="S26" s="152"/>
      <c r="T26" s="152"/>
      <c r="U26" s="152"/>
      <c r="V26" s="152"/>
      <c r="W26" s="152"/>
      <c r="X26" s="152"/>
      <c r="Y26" s="152"/>
      <c r="Z26" s="152"/>
    </row>
    <row r="27" spans="1:26" x14ac:dyDescent="0.3">
      <c r="A27" s="129"/>
      <c r="B27" s="152"/>
      <c r="C27" s="162"/>
      <c r="D27" s="54"/>
      <c r="E27" s="152"/>
      <c r="F27" s="152"/>
      <c r="G27" s="152"/>
      <c r="H27" s="152"/>
      <c r="I27" s="165"/>
      <c r="J27" s="162"/>
      <c r="K27" s="152"/>
      <c r="L27" s="152"/>
      <c r="M27" s="152"/>
      <c r="N27" s="152"/>
      <c r="O27" s="152"/>
      <c r="P27" s="152"/>
      <c r="Q27" s="152"/>
      <c r="R27" s="152"/>
      <c r="S27" s="152"/>
      <c r="T27" s="152"/>
      <c r="U27" s="152"/>
      <c r="V27" s="152"/>
      <c r="W27" s="152"/>
      <c r="X27" s="152"/>
      <c r="Y27" s="165"/>
      <c r="Z27" s="152"/>
    </row>
    <row r="28" spans="1:26" x14ac:dyDescent="0.3">
      <c r="A28" s="129"/>
      <c r="B28" s="152"/>
      <c r="C28" s="162"/>
      <c r="D28" s="54"/>
      <c r="E28" s="152"/>
      <c r="F28" s="152"/>
      <c r="G28" s="152"/>
      <c r="H28" s="152"/>
      <c r="I28" s="165"/>
      <c r="J28" s="162"/>
      <c r="K28" s="152"/>
      <c r="L28" s="152"/>
      <c r="M28" s="152"/>
      <c r="N28" s="152"/>
      <c r="O28" s="152"/>
      <c r="P28" s="152"/>
      <c r="Q28" s="152"/>
      <c r="R28" s="152"/>
      <c r="S28" s="152"/>
      <c r="T28" s="152"/>
      <c r="U28" s="152"/>
      <c r="V28" s="152"/>
      <c r="W28" s="152"/>
      <c r="X28" s="152"/>
      <c r="Y28" s="165"/>
      <c r="Z28" s="152"/>
    </row>
    <row r="29" spans="1:26" x14ac:dyDescent="0.3">
      <c r="A29" s="129"/>
      <c r="B29" s="152"/>
      <c r="C29" s="162"/>
      <c r="D29" s="54"/>
      <c r="E29" s="152"/>
      <c r="F29" s="152"/>
      <c r="G29" s="152"/>
      <c r="H29" s="152"/>
      <c r="I29" s="165"/>
      <c r="J29" s="162"/>
      <c r="K29" s="152"/>
      <c r="L29" s="152"/>
      <c r="M29" s="152"/>
      <c r="N29" s="152"/>
      <c r="O29" s="152"/>
      <c r="P29" s="152"/>
      <c r="Q29" s="152"/>
      <c r="R29" s="152"/>
      <c r="S29" s="152"/>
      <c r="T29" s="152"/>
      <c r="U29" s="152"/>
      <c r="V29" s="152"/>
      <c r="W29" s="152"/>
      <c r="X29" s="152"/>
      <c r="Y29" s="165"/>
      <c r="Z29" s="152"/>
    </row>
    <row r="30" spans="1:26" x14ac:dyDescent="0.3">
      <c r="A30" s="129"/>
      <c r="B30" s="152"/>
      <c r="C30" s="162"/>
      <c r="D30" s="54"/>
      <c r="E30" s="152"/>
      <c r="F30" s="152"/>
      <c r="G30" s="152"/>
      <c r="H30" s="152"/>
      <c r="I30" s="165"/>
      <c r="J30" s="162"/>
      <c r="K30" s="152"/>
      <c r="L30" s="152"/>
      <c r="M30" s="152"/>
      <c r="N30" s="152"/>
      <c r="O30" s="152"/>
      <c r="P30" s="152"/>
      <c r="Q30" s="152"/>
      <c r="R30" s="152"/>
      <c r="S30" s="152"/>
      <c r="T30" s="152"/>
      <c r="U30" s="152"/>
      <c r="V30" s="152"/>
      <c r="W30" s="152"/>
      <c r="X30" s="152"/>
      <c r="Y30" s="165"/>
      <c r="Z30" s="152"/>
    </row>
    <row r="31" spans="1:26" x14ac:dyDescent="0.3">
      <c r="A31" s="129"/>
      <c r="B31" s="152"/>
      <c r="C31" s="162"/>
      <c r="D31" s="54"/>
      <c r="E31" s="152"/>
      <c r="F31" s="152"/>
      <c r="G31" s="152"/>
      <c r="H31" s="152"/>
      <c r="I31" s="165"/>
      <c r="J31" s="162"/>
      <c r="K31" s="152"/>
      <c r="L31" s="152"/>
      <c r="M31" s="152"/>
      <c r="N31" s="152"/>
      <c r="O31" s="152"/>
      <c r="P31" s="152"/>
      <c r="Q31" s="152"/>
      <c r="R31" s="152"/>
      <c r="S31" s="152"/>
      <c r="T31" s="152"/>
      <c r="U31" s="152"/>
      <c r="V31" s="152"/>
      <c r="W31" s="152"/>
      <c r="X31" s="152"/>
      <c r="Y31" s="165"/>
      <c r="Z31" s="152"/>
    </row>
    <row r="32" spans="1:26" x14ac:dyDescent="0.3">
      <c r="A32" s="129"/>
      <c r="B32" s="152"/>
      <c r="C32" s="162"/>
      <c r="D32" s="54"/>
      <c r="E32" s="152"/>
      <c r="F32" s="152"/>
      <c r="G32" s="152"/>
      <c r="H32" s="152"/>
      <c r="I32" s="165"/>
      <c r="J32" s="162"/>
      <c r="K32" s="152"/>
      <c r="L32" s="152"/>
      <c r="M32" s="152"/>
      <c r="N32" s="152"/>
      <c r="O32" s="152"/>
      <c r="P32" s="152"/>
      <c r="Q32" s="152"/>
      <c r="R32" s="152"/>
      <c r="S32" s="152"/>
      <c r="T32" s="152"/>
      <c r="U32" s="152"/>
      <c r="V32" s="152"/>
      <c r="W32" s="152"/>
      <c r="X32" s="152"/>
      <c r="Y32" s="165"/>
      <c r="Z32" s="152"/>
    </row>
    <row r="33" spans="1:26" x14ac:dyDescent="0.3">
      <c r="A33" s="129"/>
      <c r="B33" s="152"/>
      <c r="C33" s="162"/>
      <c r="D33" s="54"/>
      <c r="E33" s="152"/>
      <c r="F33" s="152"/>
      <c r="G33" s="152"/>
      <c r="H33" s="152"/>
      <c r="I33" s="165"/>
      <c r="J33" s="162"/>
      <c r="K33" s="152"/>
      <c r="L33" s="152"/>
      <c r="M33" s="152"/>
      <c r="N33" s="152"/>
      <c r="O33" s="152"/>
      <c r="P33" s="152"/>
      <c r="Q33" s="152"/>
      <c r="R33" s="152"/>
      <c r="S33" s="152"/>
      <c r="T33" s="152"/>
      <c r="U33" s="152"/>
      <c r="V33" s="152"/>
      <c r="W33" s="152"/>
      <c r="X33" s="152"/>
      <c r="Y33" s="165"/>
      <c r="Z33" s="152"/>
    </row>
    <row r="34" spans="1:26" x14ac:dyDescent="0.3">
      <c r="A34" s="129"/>
      <c r="B34" s="152"/>
      <c r="C34" s="162"/>
      <c r="D34" s="54"/>
      <c r="E34" s="152"/>
      <c r="F34" s="152"/>
      <c r="G34" s="152"/>
      <c r="H34" s="152"/>
      <c r="I34" s="165"/>
      <c r="J34" s="162"/>
      <c r="K34" s="152"/>
      <c r="L34" s="152"/>
      <c r="M34" s="152"/>
      <c r="N34" s="152"/>
      <c r="O34" s="152"/>
      <c r="P34" s="152"/>
      <c r="Q34" s="152"/>
      <c r="R34" s="152"/>
      <c r="S34" s="152"/>
      <c r="T34" s="152"/>
      <c r="U34" s="152"/>
      <c r="V34" s="152"/>
      <c r="W34" s="152"/>
      <c r="X34" s="152"/>
      <c r="Y34" s="165"/>
      <c r="Z34" s="152"/>
    </row>
    <row r="35" spans="1:26" x14ac:dyDescent="0.3">
      <c r="A35" s="129"/>
      <c r="B35" s="152"/>
      <c r="C35" s="162"/>
      <c r="D35" s="54"/>
      <c r="E35" s="152"/>
      <c r="F35" s="152"/>
      <c r="G35" s="152"/>
      <c r="H35" s="152"/>
      <c r="I35" s="165"/>
      <c r="J35" s="162"/>
      <c r="K35" s="152"/>
      <c r="L35" s="152"/>
      <c r="M35" s="152"/>
      <c r="N35" s="152"/>
      <c r="O35" s="152"/>
      <c r="P35" s="152"/>
      <c r="Q35" s="152"/>
      <c r="R35" s="152"/>
      <c r="S35" s="152"/>
      <c r="T35" s="152"/>
      <c r="U35" s="152"/>
      <c r="V35" s="152"/>
      <c r="W35" s="152"/>
      <c r="X35" s="152"/>
      <c r="Y35" s="165"/>
      <c r="Z35" s="152"/>
    </row>
    <row r="36" spans="1:26" x14ac:dyDescent="0.3">
      <c r="A36" s="129"/>
      <c r="B36" s="152"/>
      <c r="C36" s="162"/>
      <c r="D36" s="54"/>
      <c r="E36" s="152"/>
      <c r="F36" s="152"/>
      <c r="G36" s="152"/>
      <c r="H36" s="152"/>
      <c r="I36" s="152"/>
      <c r="J36" s="162"/>
      <c r="K36" s="152"/>
      <c r="L36" s="152"/>
      <c r="M36" s="152"/>
      <c r="N36" s="152"/>
      <c r="O36" s="152"/>
      <c r="P36" s="152"/>
      <c r="Q36" s="152"/>
      <c r="R36" s="152"/>
      <c r="S36" s="152"/>
      <c r="T36" s="152"/>
      <c r="U36" s="152"/>
      <c r="V36" s="152"/>
      <c r="W36" s="152"/>
      <c r="X36" s="152"/>
      <c r="Y36" s="152"/>
      <c r="Z36" s="152"/>
    </row>
    <row r="37" spans="1:26" x14ac:dyDescent="0.3">
      <c r="A37" s="129"/>
      <c r="B37" s="152"/>
      <c r="C37" s="162"/>
      <c r="D37" s="54"/>
      <c r="E37" s="152"/>
      <c r="F37" s="152"/>
      <c r="G37" s="152"/>
      <c r="H37" s="152"/>
      <c r="I37" s="152"/>
      <c r="J37" s="162"/>
      <c r="K37" s="152"/>
      <c r="L37" s="152"/>
      <c r="M37" s="152"/>
      <c r="N37" s="152"/>
      <c r="O37" s="152"/>
      <c r="P37" s="152"/>
      <c r="Q37" s="152"/>
      <c r="R37" s="152"/>
      <c r="S37" s="152"/>
      <c r="T37" s="152"/>
      <c r="U37" s="152"/>
      <c r="V37" s="152"/>
      <c r="W37" s="152"/>
      <c r="X37" s="152"/>
      <c r="Y37" s="152"/>
      <c r="Z37" s="152"/>
    </row>
    <row r="38" spans="1:26" x14ac:dyDescent="0.3">
      <c r="A38" s="129"/>
      <c r="B38" s="152"/>
      <c r="C38" s="162"/>
      <c r="D38" s="54"/>
      <c r="E38" s="152"/>
      <c r="F38" s="152"/>
      <c r="G38" s="152"/>
      <c r="H38" s="152"/>
      <c r="I38" s="152"/>
      <c r="J38" s="162"/>
      <c r="K38" s="152"/>
      <c r="L38" s="152"/>
      <c r="M38" s="152"/>
      <c r="N38" s="152"/>
      <c r="O38" s="152"/>
      <c r="P38" s="152"/>
      <c r="Q38" s="152"/>
      <c r="R38" s="152"/>
      <c r="S38" s="152"/>
      <c r="T38" s="152"/>
      <c r="U38" s="152"/>
      <c r="V38" s="152"/>
      <c r="W38" s="152"/>
      <c r="X38" s="152"/>
      <c r="Y38" s="152"/>
      <c r="Z38" s="152"/>
    </row>
    <row r="39" spans="1:26" x14ac:dyDescent="0.3">
      <c r="A39" s="129"/>
      <c r="B39" s="152"/>
      <c r="C39" s="162"/>
      <c r="D39" s="54"/>
      <c r="E39" s="152"/>
      <c r="F39" s="152"/>
      <c r="G39" s="152"/>
      <c r="H39" s="152"/>
      <c r="I39" s="152"/>
      <c r="J39" s="162"/>
      <c r="K39" s="152"/>
      <c r="L39" s="152"/>
      <c r="M39" s="152"/>
      <c r="N39" s="152"/>
      <c r="O39" s="152"/>
      <c r="P39" s="152"/>
      <c r="Q39" s="152"/>
      <c r="R39" s="152"/>
      <c r="S39" s="152"/>
      <c r="T39" s="152"/>
      <c r="U39" s="152"/>
      <c r="V39" s="152"/>
      <c r="W39" s="152"/>
      <c r="X39" s="152"/>
      <c r="Y39" s="152"/>
      <c r="Z39" s="152"/>
    </row>
    <row r="40" spans="1:26" x14ac:dyDescent="0.3">
      <c r="A40" s="129"/>
      <c r="B40" s="152"/>
      <c r="C40" s="162"/>
      <c r="D40" s="54"/>
      <c r="E40" s="152"/>
      <c r="F40" s="152"/>
      <c r="G40" s="152"/>
      <c r="H40" s="152"/>
      <c r="I40" s="152"/>
      <c r="J40" s="162"/>
      <c r="K40" s="152"/>
      <c r="L40" s="152"/>
      <c r="M40" s="152"/>
      <c r="N40" s="152"/>
      <c r="O40" s="152"/>
      <c r="P40" s="152"/>
      <c r="Q40" s="152"/>
      <c r="R40" s="152"/>
      <c r="S40" s="152"/>
      <c r="T40" s="152"/>
      <c r="U40" s="152"/>
      <c r="V40" s="152"/>
      <c r="W40" s="152"/>
      <c r="X40" s="152"/>
      <c r="Y40" s="152"/>
      <c r="Z40" s="152"/>
    </row>
    <row r="41" spans="1:26" x14ac:dyDescent="0.3">
      <c r="A41" s="129"/>
      <c r="B41" s="152"/>
      <c r="C41" s="162"/>
      <c r="D41" s="54"/>
      <c r="E41" s="152"/>
      <c r="F41" s="152"/>
      <c r="G41" s="152"/>
      <c r="H41" s="152"/>
      <c r="I41" s="152"/>
      <c r="J41" s="162"/>
      <c r="K41" s="152"/>
      <c r="L41" s="152"/>
      <c r="M41" s="152"/>
      <c r="N41" s="152"/>
      <c r="O41" s="152"/>
      <c r="P41" s="152"/>
      <c r="Q41" s="152"/>
      <c r="R41" s="152"/>
      <c r="S41" s="152"/>
      <c r="T41" s="152"/>
      <c r="U41" s="152"/>
      <c r="V41" s="152"/>
      <c r="W41" s="152"/>
      <c r="X41" s="152"/>
      <c r="Y41" s="152"/>
      <c r="Z41" s="152"/>
    </row>
    <row r="42" spans="1:26" x14ac:dyDescent="0.3">
      <c r="A42" s="129"/>
      <c r="B42" s="152"/>
      <c r="C42" s="162"/>
      <c r="D42" s="152"/>
      <c r="E42" s="152"/>
      <c r="F42" s="152"/>
      <c r="G42" s="152"/>
      <c r="H42" s="152"/>
      <c r="I42" s="167"/>
      <c r="J42" s="162"/>
      <c r="K42" s="152"/>
      <c r="L42" s="152"/>
      <c r="M42" s="152"/>
      <c r="N42" s="152"/>
      <c r="O42" s="152"/>
      <c r="P42" s="152"/>
      <c r="Q42" s="152"/>
      <c r="R42" s="152"/>
      <c r="S42" s="152"/>
      <c r="T42" s="152"/>
      <c r="U42" s="152"/>
      <c r="V42" s="152"/>
      <c r="W42" s="152"/>
      <c r="X42" s="152"/>
      <c r="Y42" s="152"/>
      <c r="Z42" s="152"/>
    </row>
    <row r="43" spans="1:26" x14ac:dyDescent="0.3">
      <c r="A43" s="129"/>
      <c r="B43" s="152"/>
      <c r="C43" s="162"/>
      <c r="D43" s="54"/>
      <c r="E43" s="152"/>
      <c r="F43" s="152"/>
      <c r="G43" s="152"/>
      <c r="H43" s="152"/>
      <c r="I43" s="152"/>
      <c r="J43" s="162"/>
      <c r="K43" s="152"/>
      <c r="L43" s="152"/>
      <c r="M43" s="152"/>
      <c r="N43" s="152"/>
      <c r="O43" s="152"/>
      <c r="P43" s="152"/>
      <c r="Q43" s="152"/>
      <c r="R43" s="152"/>
      <c r="S43" s="152"/>
      <c r="T43" s="152"/>
      <c r="U43" s="152"/>
      <c r="V43" s="152"/>
      <c r="W43" s="152"/>
      <c r="X43" s="152"/>
      <c r="Y43" s="152"/>
      <c r="Z43" s="152"/>
    </row>
    <row r="44" spans="1:26" x14ac:dyDescent="0.3">
      <c r="A44" s="129"/>
      <c r="B44" s="152"/>
      <c r="C44" s="162"/>
      <c r="D44" s="54"/>
      <c r="E44" s="152"/>
      <c r="F44" s="152"/>
      <c r="G44" s="152"/>
      <c r="H44" s="152"/>
      <c r="I44" s="152"/>
      <c r="J44" s="162"/>
      <c r="K44" s="152"/>
      <c r="L44" s="152"/>
      <c r="M44" s="152"/>
      <c r="N44" s="152"/>
      <c r="O44" s="152"/>
      <c r="P44" s="152"/>
      <c r="Q44" s="152"/>
      <c r="R44" s="152"/>
      <c r="S44" s="152"/>
      <c r="T44" s="152"/>
      <c r="U44" s="152"/>
      <c r="V44" s="152"/>
      <c r="W44" s="152"/>
      <c r="X44" s="152"/>
      <c r="Y44" s="152"/>
      <c r="Z44" s="152"/>
    </row>
    <row r="45" spans="1:26" x14ac:dyDescent="0.3">
      <c r="A45" s="129"/>
      <c r="B45" s="152"/>
      <c r="C45" s="162"/>
      <c r="D45" s="54"/>
      <c r="E45" s="152"/>
      <c r="F45" s="152"/>
      <c r="G45" s="152"/>
      <c r="H45" s="152"/>
      <c r="I45" s="152"/>
      <c r="J45" s="162"/>
      <c r="K45" s="152"/>
      <c r="L45" s="152"/>
      <c r="M45" s="152"/>
      <c r="N45" s="152"/>
      <c r="O45" s="152"/>
      <c r="P45" s="152"/>
      <c r="Q45" s="152"/>
      <c r="R45" s="152"/>
      <c r="S45" s="152"/>
      <c r="T45" s="152"/>
      <c r="U45" s="152"/>
      <c r="V45" s="152"/>
      <c r="W45" s="152"/>
      <c r="X45" s="152"/>
      <c r="Y45" s="152"/>
      <c r="Z45" s="152"/>
    </row>
    <row r="46" spans="1:26" x14ac:dyDescent="0.3">
      <c r="A46" s="129"/>
      <c r="B46" s="152"/>
      <c r="C46" s="162"/>
      <c r="D46" s="54"/>
      <c r="E46" s="152"/>
      <c r="F46" s="152"/>
      <c r="G46" s="152"/>
      <c r="H46" s="152"/>
      <c r="I46" s="152"/>
      <c r="J46" s="162"/>
      <c r="K46" s="152"/>
      <c r="L46" s="152"/>
      <c r="M46" s="152"/>
      <c r="N46" s="152"/>
      <c r="O46" s="152"/>
      <c r="P46" s="152"/>
      <c r="Q46" s="152"/>
      <c r="R46" s="152"/>
      <c r="S46" s="152"/>
      <c r="T46" s="152"/>
      <c r="U46" s="152"/>
      <c r="V46" s="152"/>
      <c r="W46" s="152"/>
      <c r="X46" s="152"/>
      <c r="Y46" s="152"/>
      <c r="Z46" s="152"/>
    </row>
    <row r="47" spans="1:26" x14ac:dyDescent="0.3">
      <c r="A47" s="129"/>
      <c r="B47" s="152"/>
      <c r="C47" s="162"/>
      <c r="D47" s="54"/>
      <c r="E47" s="152"/>
      <c r="F47" s="152"/>
      <c r="G47" s="152"/>
      <c r="H47" s="152"/>
      <c r="I47" s="152"/>
      <c r="J47" s="162"/>
      <c r="K47" s="152"/>
      <c r="L47" s="152"/>
      <c r="M47" s="152"/>
      <c r="N47" s="152"/>
      <c r="O47" s="152"/>
      <c r="P47" s="152"/>
      <c r="Q47" s="152"/>
      <c r="R47" s="152"/>
      <c r="S47" s="152"/>
      <c r="T47" s="152"/>
      <c r="U47" s="152"/>
      <c r="V47" s="152"/>
      <c r="W47" s="152"/>
      <c r="X47" s="152"/>
      <c r="Y47" s="152"/>
      <c r="Z47" s="152"/>
    </row>
    <row r="48" spans="1:26" x14ac:dyDescent="0.3">
      <c r="A48" s="129"/>
      <c r="B48" s="152"/>
      <c r="C48" s="162"/>
      <c r="D48" s="152"/>
      <c r="E48" s="152"/>
      <c r="F48" s="152"/>
      <c r="G48" s="152"/>
      <c r="H48" s="152"/>
      <c r="I48" s="167"/>
      <c r="J48" s="162"/>
      <c r="K48" s="152"/>
      <c r="L48" s="152"/>
      <c r="M48" s="152"/>
      <c r="N48" s="152"/>
      <c r="O48" s="152"/>
      <c r="P48" s="152"/>
      <c r="Q48" s="152"/>
      <c r="R48" s="152"/>
      <c r="S48" s="152"/>
      <c r="T48" s="152"/>
      <c r="U48" s="152"/>
      <c r="V48" s="152"/>
      <c r="W48" s="152"/>
      <c r="X48" s="152"/>
      <c r="Y48" s="152"/>
      <c r="Z48" s="152"/>
    </row>
    <row r="49" spans="1:26" x14ac:dyDescent="0.3">
      <c r="A49" s="129"/>
      <c r="B49" s="152"/>
      <c r="C49" s="162"/>
      <c r="D49" s="54"/>
      <c r="E49" s="152"/>
      <c r="F49" s="152"/>
      <c r="G49" s="152"/>
      <c r="H49" s="152"/>
      <c r="I49" s="152"/>
      <c r="J49" s="162"/>
      <c r="K49" s="152"/>
      <c r="L49" s="152"/>
      <c r="M49" s="152"/>
      <c r="N49" s="152"/>
      <c r="O49" s="152"/>
      <c r="P49" s="152"/>
      <c r="Q49" s="152"/>
      <c r="R49" s="152"/>
      <c r="S49" s="152"/>
      <c r="T49" s="152"/>
      <c r="U49" s="152"/>
      <c r="V49" s="152"/>
      <c r="W49" s="152"/>
      <c r="X49" s="152"/>
      <c r="Y49" s="152"/>
      <c r="Z49" s="152"/>
    </row>
    <row r="50" spans="1:26" x14ac:dyDescent="0.3">
      <c r="A50" s="129"/>
      <c r="B50" s="152"/>
      <c r="C50" s="162"/>
      <c r="D50" s="54"/>
      <c r="E50" s="152"/>
      <c r="F50" s="152"/>
      <c r="G50" s="152"/>
      <c r="H50" s="152"/>
      <c r="I50" s="152"/>
      <c r="J50" s="162"/>
      <c r="K50" s="152"/>
      <c r="L50" s="152"/>
      <c r="M50" s="152"/>
      <c r="N50" s="152"/>
      <c r="O50" s="152"/>
      <c r="P50" s="152"/>
      <c r="Q50" s="152"/>
      <c r="R50" s="152"/>
      <c r="S50" s="152"/>
      <c r="T50" s="152"/>
      <c r="U50" s="152"/>
      <c r="V50" s="152"/>
      <c r="W50" s="152"/>
      <c r="X50" s="152"/>
      <c r="Y50" s="152"/>
      <c r="Z50" s="152"/>
    </row>
    <row r="51" spans="1:26" x14ac:dyDescent="0.3">
      <c r="A51" s="129"/>
      <c r="B51" s="152"/>
      <c r="C51" s="162"/>
      <c r="D51" s="54"/>
      <c r="E51" s="152"/>
      <c r="F51" s="152"/>
      <c r="G51" s="152"/>
      <c r="H51" s="152"/>
      <c r="I51" s="152"/>
      <c r="J51" s="162"/>
      <c r="K51" s="152"/>
      <c r="L51" s="152"/>
      <c r="M51" s="152"/>
      <c r="N51" s="152"/>
      <c r="O51" s="152"/>
      <c r="P51" s="152"/>
      <c r="Q51" s="152"/>
      <c r="R51" s="152"/>
      <c r="S51" s="152"/>
      <c r="T51" s="152"/>
      <c r="U51" s="152"/>
      <c r="V51" s="152"/>
      <c r="W51" s="152"/>
      <c r="X51" s="152"/>
      <c r="Y51" s="152"/>
      <c r="Z51" s="152"/>
    </row>
    <row r="52" spans="1:26" x14ac:dyDescent="0.3">
      <c r="A52" s="129"/>
      <c r="B52" s="152"/>
      <c r="C52" s="162"/>
      <c r="D52" s="54"/>
      <c r="E52" s="152"/>
      <c r="F52" s="152"/>
      <c r="G52" s="152"/>
      <c r="H52" s="152"/>
      <c r="I52" s="152"/>
      <c r="J52" s="162"/>
      <c r="K52" s="152"/>
      <c r="L52" s="152"/>
      <c r="M52" s="152"/>
      <c r="N52" s="152"/>
      <c r="O52" s="152"/>
      <c r="P52" s="152"/>
      <c r="Q52" s="152"/>
      <c r="R52" s="152"/>
      <c r="S52" s="152"/>
      <c r="T52" s="152"/>
      <c r="U52" s="152"/>
      <c r="V52" s="152"/>
      <c r="W52" s="152"/>
      <c r="X52" s="152"/>
      <c r="Y52" s="152"/>
      <c r="Z52" s="152"/>
    </row>
    <row r="53" spans="1:26" x14ac:dyDescent="0.3">
      <c r="A53" s="129"/>
      <c r="B53" s="152"/>
      <c r="C53" s="162"/>
      <c r="D53" s="54"/>
      <c r="E53" s="152"/>
      <c r="F53" s="152"/>
      <c r="G53" s="152"/>
      <c r="H53" s="152"/>
      <c r="I53" s="152"/>
      <c r="J53" s="162"/>
      <c r="K53" s="152"/>
      <c r="L53" s="152"/>
      <c r="M53" s="152"/>
      <c r="N53" s="152"/>
      <c r="O53" s="152"/>
      <c r="P53" s="152"/>
      <c r="Q53" s="152"/>
      <c r="R53" s="152"/>
      <c r="S53" s="152"/>
      <c r="T53" s="152"/>
      <c r="U53" s="152"/>
      <c r="V53" s="152"/>
      <c r="W53" s="152"/>
      <c r="X53" s="152"/>
      <c r="Y53" s="152"/>
      <c r="Z53" s="152"/>
    </row>
    <row r="54" spans="1:26" x14ac:dyDescent="0.3">
      <c r="A54" s="129"/>
      <c r="B54" s="152"/>
      <c r="C54" s="162"/>
      <c r="D54" s="54"/>
      <c r="E54" s="152"/>
      <c r="F54" s="152"/>
      <c r="G54" s="152"/>
      <c r="H54" s="152"/>
      <c r="I54" s="152"/>
      <c r="J54" s="162"/>
      <c r="K54" s="152"/>
      <c r="L54" s="152"/>
      <c r="M54" s="152"/>
      <c r="N54" s="152"/>
      <c r="O54" s="152"/>
      <c r="P54" s="152"/>
      <c r="Q54" s="152"/>
      <c r="R54" s="152"/>
      <c r="S54" s="152"/>
      <c r="T54" s="152"/>
      <c r="U54" s="152"/>
      <c r="V54" s="152"/>
      <c r="W54" s="152"/>
      <c r="X54" s="152"/>
      <c r="Y54" s="152"/>
      <c r="Z54" s="152"/>
    </row>
    <row r="55" spans="1:26" x14ac:dyDescent="0.3">
      <c r="A55" s="129"/>
      <c r="B55" s="152"/>
      <c r="C55" s="162"/>
      <c r="D55" s="54"/>
      <c r="E55" s="152"/>
      <c r="F55" s="152"/>
      <c r="G55" s="152"/>
      <c r="H55" s="152"/>
      <c r="I55" s="152"/>
      <c r="J55" s="162"/>
      <c r="K55" s="152"/>
      <c r="L55" s="152"/>
      <c r="M55" s="152"/>
      <c r="N55" s="152"/>
      <c r="O55" s="152"/>
      <c r="P55" s="152"/>
      <c r="Q55" s="152"/>
      <c r="R55" s="152"/>
      <c r="S55" s="152"/>
      <c r="T55" s="152"/>
      <c r="U55" s="152"/>
      <c r="V55" s="152"/>
      <c r="W55" s="152"/>
      <c r="X55" s="152"/>
      <c r="Y55" s="152"/>
      <c r="Z55" s="152"/>
    </row>
    <row r="56" spans="1:26" x14ac:dyDescent="0.3">
      <c r="A56" s="129"/>
      <c r="B56" s="152"/>
      <c r="C56" s="162"/>
      <c r="D56" s="54"/>
      <c r="E56" s="152"/>
      <c r="F56" s="152"/>
      <c r="G56" s="152"/>
      <c r="H56" s="152"/>
      <c r="I56" s="152"/>
      <c r="J56" s="162"/>
      <c r="K56" s="152"/>
      <c r="L56" s="152"/>
      <c r="M56" s="152"/>
      <c r="N56" s="152"/>
      <c r="O56" s="152"/>
      <c r="P56" s="152"/>
      <c r="Q56" s="152"/>
      <c r="R56" s="152"/>
      <c r="S56" s="152"/>
      <c r="T56" s="152"/>
      <c r="U56" s="152"/>
      <c r="V56" s="152"/>
      <c r="W56" s="152"/>
      <c r="X56" s="152"/>
      <c r="Y56" s="152"/>
      <c r="Z56" s="152"/>
    </row>
    <row r="57" spans="1:26" x14ac:dyDescent="0.3">
      <c r="A57" s="129"/>
      <c r="B57" s="152"/>
      <c r="C57" s="162"/>
      <c r="D57" s="54"/>
      <c r="E57" s="152"/>
      <c r="F57" s="152"/>
      <c r="G57" s="152"/>
      <c r="H57" s="152"/>
      <c r="I57" s="152"/>
      <c r="J57" s="162"/>
      <c r="K57" s="152"/>
      <c r="L57" s="152"/>
      <c r="M57" s="152"/>
      <c r="N57" s="152"/>
      <c r="O57" s="152"/>
      <c r="P57" s="152"/>
      <c r="Q57" s="152"/>
      <c r="R57" s="152"/>
      <c r="S57" s="152"/>
      <c r="T57" s="152"/>
      <c r="U57" s="152"/>
      <c r="V57" s="152"/>
      <c r="W57" s="152"/>
      <c r="X57" s="152"/>
      <c r="Y57" s="152"/>
      <c r="Z57" s="152"/>
    </row>
    <row r="58" spans="1:26" x14ac:dyDescent="0.3">
      <c r="A58" s="129"/>
      <c r="B58" s="152"/>
      <c r="C58" s="162"/>
      <c r="D58" s="54"/>
      <c r="E58" s="152"/>
      <c r="F58" s="152"/>
      <c r="G58" s="152"/>
      <c r="H58" s="152"/>
      <c r="I58" s="152"/>
      <c r="J58" s="162"/>
      <c r="K58" s="152"/>
      <c r="L58" s="152"/>
      <c r="M58" s="152"/>
      <c r="N58" s="152"/>
      <c r="O58" s="152"/>
      <c r="P58" s="152"/>
      <c r="Q58" s="152"/>
      <c r="R58" s="152"/>
      <c r="S58" s="152"/>
      <c r="T58" s="152"/>
      <c r="U58" s="152"/>
      <c r="V58" s="152"/>
      <c r="W58" s="152"/>
      <c r="X58" s="152"/>
      <c r="Y58" s="152"/>
      <c r="Z58" s="152"/>
    </row>
    <row r="59" spans="1:26" x14ac:dyDescent="0.3">
      <c r="A59" s="129"/>
      <c r="B59" s="152"/>
      <c r="C59" s="162"/>
      <c r="D59" s="54"/>
      <c r="E59" s="152"/>
      <c r="F59" s="152"/>
      <c r="G59" s="152"/>
      <c r="H59" s="152"/>
      <c r="I59" s="152"/>
      <c r="J59" s="162"/>
      <c r="K59" s="152"/>
      <c r="L59" s="152"/>
      <c r="M59" s="152"/>
      <c r="N59" s="152"/>
      <c r="O59" s="152"/>
      <c r="P59" s="152"/>
      <c r="Q59" s="152"/>
      <c r="R59" s="152"/>
      <c r="S59" s="152"/>
      <c r="T59" s="152"/>
      <c r="U59" s="152"/>
      <c r="V59" s="152"/>
      <c r="W59" s="152"/>
      <c r="X59" s="152"/>
      <c r="Y59" s="152"/>
      <c r="Z59" s="152"/>
    </row>
    <row r="60" spans="1:26" x14ac:dyDescent="0.3">
      <c r="A60" s="129"/>
      <c r="B60" s="152"/>
      <c r="C60" s="162"/>
      <c r="D60" s="54"/>
      <c r="E60" s="152"/>
      <c r="F60" s="152"/>
      <c r="G60" s="152"/>
      <c r="H60" s="152"/>
      <c r="I60" s="152"/>
      <c r="J60" s="162"/>
      <c r="K60" s="152"/>
      <c r="L60" s="152"/>
      <c r="M60" s="152"/>
      <c r="N60" s="152"/>
      <c r="O60" s="152"/>
      <c r="P60" s="152"/>
      <c r="Q60" s="152"/>
      <c r="R60" s="152"/>
      <c r="S60" s="152"/>
      <c r="T60" s="152"/>
      <c r="U60" s="152"/>
      <c r="V60" s="152"/>
      <c r="W60" s="152"/>
      <c r="X60" s="152"/>
      <c r="Y60" s="152"/>
      <c r="Z60" s="152"/>
    </row>
    <row r="61" spans="1:26" x14ac:dyDescent="0.3">
      <c r="A61" s="129"/>
      <c r="B61" s="152"/>
      <c r="C61" s="162"/>
      <c r="D61" s="54"/>
      <c r="E61" s="152"/>
      <c r="F61" s="152"/>
      <c r="G61" s="152"/>
      <c r="H61" s="152"/>
      <c r="I61" s="152"/>
      <c r="J61" s="162"/>
      <c r="K61" s="152"/>
      <c r="L61" s="152"/>
      <c r="M61" s="152"/>
      <c r="N61" s="152"/>
      <c r="O61" s="152"/>
      <c r="P61" s="152"/>
      <c r="Q61" s="152"/>
      <c r="R61" s="152"/>
      <c r="S61" s="152"/>
      <c r="T61" s="152"/>
      <c r="U61" s="152"/>
      <c r="V61" s="152"/>
      <c r="W61" s="152"/>
      <c r="X61" s="152"/>
      <c r="Y61" s="152"/>
      <c r="Z61" s="152"/>
    </row>
    <row r="62" spans="1:26" x14ac:dyDescent="0.3">
      <c r="A62" s="129"/>
      <c r="B62" s="152"/>
      <c r="C62" s="162"/>
      <c r="D62" s="54"/>
      <c r="E62" s="152"/>
      <c r="F62" s="152"/>
      <c r="G62" s="152"/>
      <c r="H62" s="152"/>
      <c r="I62" s="152"/>
      <c r="J62" s="162"/>
      <c r="K62" s="152"/>
      <c r="L62" s="152"/>
      <c r="M62" s="152"/>
      <c r="N62" s="152"/>
      <c r="O62" s="152"/>
      <c r="P62" s="152"/>
      <c r="Q62" s="152"/>
      <c r="R62" s="152"/>
      <c r="S62" s="152"/>
      <c r="T62" s="152"/>
      <c r="U62" s="152"/>
      <c r="V62" s="152"/>
      <c r="W62" s="152"/>
      <c r="X62" s="152"/>
      <c r="Y62" s="152"/>
      <c r="Z62" s="152"/>
    </row>
    <row r="63" spans="1:26" x14ac:dyDescent="0.3">
      <c r="A63" s="129"/>
      <c r="B63" s="152"/>
      <c r="C63" s="162"/>
      <c r="D63" s="54"/>
      <c r="E63" s="152"/>
      <c r="F63" s="152"/>
      <c r="G63" s="152"/>
      <c r="H63" s="152"/>
      <c r="I63" s="152"/>
      <c r="J63" s="162"/>
      <c r="K63" s="152"/>
      <c r="L63" s="152"/>
      <c r="M63" s="152"/>
      <c r="N63" s="152"/>
      <c r="O63" s="152"/>
      <c r="P63" s="152"/>
      <c r="Q63" s="152"/>
      <c r="R63" s="152"/>
      <c r="S63" s="152"/>
      <c r="T63" s="152"/>
      <c r="U63" s="152"/>
      <c r="V63" s="152"/>
      <c r="W63" s="152"/>
      <c r="X63" s="152"/>
      <c r="Y63" s="152"/>
      <c r="Z63" s="152"/>
    </row>
    <row r="64" spans="1:26" x14ac:dyDescent="0.3">
      <c r="A64" s="129"/>
      <c r="B64" s="152"/>
      <c r="C64" s="162"/>
      <c r="D64" s="54"/>
      <c r="E64" s="152"/>
      <c r="F64" s="152"/>
      <c r="G64" s="152"/>
      <c r="H64" s="152"/>
      <c r="I64" s="152"/>
      <c r="J64" s="162"/>
      <c r="K64" s="152"/>
      <c r="L64" s="152"/>
      <c r="M64" s="152"/>
      <c r="N64" s="152"/>
      <c r="O64" s="152"/>
      <c r="P64" s="152"/>
      <c r="Q64" s="152"/>
      <c r="R64" s="152"/>
      <c r="S64" s="152"/>
      <c r="T64" s="152"/>
      <c r="U64" s="152"/>
      <c r="V64" s="152"/>
      <c r="W64" s="152"/>
      <c r="X64" s="152"/>
      <c r="Y64" s="152"/>
      <c r="Z64" s="152"/>
    </row>
    <row r="65" spans="1:26" x14ac:dyDescent="0.3">
      <c r="A65" s="129"/>
      <c r="B65" s="152"/>
      <c r="C65" s="162"/>
      <c r="D65" s="54"/>
      <c r="E65" s="152"/>
      <c r="F65" s="152"/>
      <c r="G65" s="152"/>
      <c r="H65" s="152"/>
      <c r="I65" s="152"/>
      <c r="J65" s="162"/>
      <c r="K65" s="152"/>
      <c r="L65" s="152"/>
      <c r="M65" s="152"/>
      <c r="N65" s="152"/>
      <c r="O65" s="152"/>
      <c r="P65" s="152"/>
      <c r="Q65" s="152"/>
      <c r="R65" s="152"/>
      <c r="S65" s="152"/>
      <c r="T65" s="152"/>
      <c r="U65" s="152"/>
      <c r="V65" s="152"/>
      <c r="W65" s="152"/>
      <c r="X65" s="152"/>
      <c r="Y65" s="152"/>
      <c r="Z65" s="152"/>
    </row>
    <row r="66" spans="1:26" x14ac:dyDescent="0.3">
      <c r="A66" s="129"/>
      <c r="B66" s="152"/>
      <c r="C66" s="162"/>
      <c r="D66" s="54"/>
      <c r="E66" s="152"/>
      <c r="F66" s="152"/>
      <c r="G66" s="152"/>
      <c r="H66" s="152"/>
      <c r="I66" s="152"/>
      <c r="J66" s="162"/>
      <c r="K66" s="152"/>
      <c r="L66" s="152"/>
      <c r="M66" s="152"/>
      <c r="N66" s="152"/>
      <c r="O66" s="152"/>
      <c r="P66" s="152"/>
      <c r="Q66" s="152"/>
      <c r="R66" s="152"/>
      <c r="S66" s="152"/>
      <c r="T66" s="152"/>
      <c r="U66" s="152"/>
      <c r="V66" s="152"/>
      <c r="W66" s="152"/>
      <c r="X66" s="152"/>
      <c r="Y66" s="152"/>
      <c r="Z66" s="152"/>
    </row>
    <row r="67" spans="1:26" x14ac:dyDescent="0.3">
      <c r="A67" s="129"/>
      <c r="B67" s="152"/>
      <c r="C67" s="162"/>
      <c r="D67" s="54"/>
      <c r="E67" s="152"/>
      <c r="F67" s="152"/>
      <c r="G67" s="152"/>
      <c r="H67" s="152"/>
      <c r="I67" s="152"/>
      <c r="J67" s="162"/>
      <c r="K67" s="152"/>
      <c r="L67" s="152"/>
      <c r="M67" s="152"/>
      <c r="N67" s="152"/>
      <c r="O67" s="152"/>
      <c r="P67" s="152"/>
      <c r="Q67" s="152"/>
      <c r="R67" s="152"/>
      <c r="S67" s="152"/>
      <c r="T67" s="152"/>
      <c r="U67" s="152"/>
      <c r="V67" s="152"/>
      <c r="W67" s="152"/>
      <c r="X67" s="152"/>
      <c r="Y67" s="152"/>
      <c r="Z67" s="152"/>
    </row>
    <row r="68" spans="1:26" x14ac:dyDescent="0.3">
      <c r="A68" s="129"/>
      <c r="B68" s="152"/>
      <c r="C68" s="162"/>
      <c r="D68" s="54"/>
      <c r="E68" s="152"/>
      <c r="F68" s="152"/>
      <c r="G68" s="152"/>
      <c r="H68" s="152"/>
      <c r="I68" s="152"/>
      <c r="J68" s="162"/>
      <c r="K68" s="152"/>
      <c r="L68" s="152"/>
      <c r="M68" s="152"/>
      <c r="N68" s="152"/>
      <c r="O68" s="152"/>
      <c r="P68" s="152"/>
      <c r="Q68" s="152"/>
      <c r="R68" s="152"/>
      <c r="S68" s="152"/>
      <c r="T68" s="152"/>
      <c r="U68" s="152"/>
      <c r="V68" s="152"/>
      <c r="W68" s="152"/>
      <c r="X68" s="152"/>
      <c r="Y68" s="152"/>
      <c r="Z68" s="152"/>
    </row>
    <row r="69" spans="1:26" x14ac:dyDescent="0.3">
      <c r="A69" s="129"/>
      <c r="B69" s="152"/>
      <c r="C69" s="162"/>
      <c r="D69" s="54"/>
      <c r="E69" s="152"/>
      <c r="F69" s="152"/>
      <c r="G69" s="152"/>
      <c r="H69" s="152"/>
      <c r="I69" s="152"/>
      <c r="J69" s="162"/>
      <c r="K69" s="152"/>
      <c r="L69" s="152"/>
      <c r="M69" s="152"/>
      <c r="N69" s="152"/>
      <c r="O69" s="152"/>
      <c r="P69" s="152"/>
      <c r="Q69" s="152"/>
      <c r="R69" s="152"/>
      <c r="S69" s="152"/>
      <c r="T69" s="152"/>
      <c r="U69" s="152"/>
      <c r="V69" s="152"/>
      <c r="W69" s="152"/>
      <c r="X69" s="152"/>
      <c r="Y69" s="152"/>
      <c r="Z69" s="152"/>
    </row>
    <row r="70" spans="1:26" x14ac:dyDescent="0.3">
      <c r="A70" s="129"/>
      <c r="B70" s="152"/>
      <c r="C70" s="162"/>
      <c r="D70" s="54"/>
      <c r="E70" s="152"/>
      <c r="F70" s="152"/>
      <c r="G70" s="152"/>
      <c r="H70" s="152"/>
      <c r="I70" s="152"/>
      <c r="J70" s="162"/>
      <c r="K70" s="152"/>
      <c r="L70" s="152"/>
      <c r="M70" s="152"/>
      <c r="N70" s="152"/>
      <c r="O70" s="152"/>
      <c r="P70" s="152"/>
      <c r="Q70" s="152"/>
      <c r="R70" s="152"/>
      <c r="S70" s="152"/>
      <c r="T70" s="152"/>
      <c r="U70" s="152"/>
      <c r="V70" s="152"/>
      <c r="W70" s="152"/>
      <c r="X70" s="152"/>
      <c r="Y70" s="152"/>
      <c r="Z70" s="152"/>
    </row>
    <row r="71" spans="1:26" x14ac:dyDescent="0.3">
      <c r="A71" s="129"/>
      <c r="B71" s="152"/>
      <c r="C71" s="162"/>
      <c r="D71" s="54"/>
      <c r="E71" s="152"/>
      <c r="F71" s="152"/>
      <c r="G71" s="152"/>
      <c r="H71" s="152"/>
      <c r="I71" s="152"/>
      <c r="J71" s="162"/>
      <c r="K71" s="152"/>
      <c r="L71" s="152"/>
      <c r="M71" s="152"/>
      <c r="N71" s="152"/>
      <c r="O71" s="152"/>
      <c r="P71" s="152"/>
      <c r="Q71" s="152"/>
      <c r="R71" s="152"/>
      <c r="S71" s="152"/>
      <c r="T71" s="152"/>
      <c r="U71" s="152"/>
      <c r="V71" s="152"/>
      <c r="W71" s="152"/>
      <c r="X71" s="152"/>
      <c r="Y71" s="152"/>
      <c r="Z71" s="152"/>
    </row>
    <row r="72" spans="1:26" x14ac:dyDescent="0.3">
      <c r="A72" s="129"/>
      <c r="B72" s="152"/>
      <c r="C72" s="162"/>
      <c r="D72" s="54"/>
      <c r="E72" s="152"/>
      <c r="F72" s="152"/>
      <c r="G72" s="152"/>
      <c r="H72" s="152"/>
      <c r="I72" s="152"/>
      <c r="J72" s="162"/>
      <c r="K72" s="152"/>
      <c r="L72" s="152"/>
      <c r="M72" s="152"/>
      <c r="N72" s="152"/>
      <c r="O72" s="152"/>
      <c r="P72" s="152"/>
      <c r="Q72" s="152"/>
      <c r="R72" s="152"/>
      <c r="S72" s="152"/>
      <c r="T72" s="152"/>
      <c r="U72" s="152"/>
      <c r="V72" s="152"/>
      <c r="W72" s="152"/>
      <c r="X72" s="152"/>
      <c r="Y72" s="152"/>
      <c r="Z72" s="152"/>
    </row>
    <row r="73" spans="1:26" x14ac:dyDescent="0.3">
      <c r="A73" s="129"/>
      <c r="B73" s="152"/>
      <c r="C73" s="162"/>
      <c r="D73" s="54"/>
      <c r="E73" s="152"/>
      <c r="F73" s="152"/>
      <c r="G73" s="152"/>
      <c r="H73" s="152"/>
      <c r="I73" s="152"/>
      <c r="J73" s="162"/>
      <c r="K73" s="152"/>
      <c r="L73" s="152"/>
      <c r="M73" s="152"/>
      <c r="N73" s="152"/>
      <c r="O73" s="152"/>
      <c r="P73" s="152"/>
      <c r="Q73" s="152"/>
      <c r="R73" s="152"/>
      <c r="S73" s="152"/>
      <c r="T73" s="152"/>
      <c r="U73" s="152"/>
      <c r="V73" s="152"/>
      <c r="W73" s="152"/>
      <c r="X73" s="152"/>
      <c r="Y73" s="152"/>
      <c r="Z73" s="152"/>
    </row>
    <row r="74" spans="1:26" x14ac:dyDescent="0.3">
      <c r="A74" s="129"/>
      <c r="B74" s="152"/>
      <c r="C74" s="162"/>
      <c r="D74" s="54"/>
      <c r="E74" s="152"/>
      <c r="F74" s="152"/>
      <c r="G74" s="152"/>
      <c r="H74" s="152"/>
      <c r="I74" s="152"/>
      <c r="J74" s="162"/>
      <c r="K74" s="152"/>
      <c r="L74" s="152"/>
      <c r="M74" s="152"/>
      <c r="N74" s="152"/>
      <c r="O74" s="152"/>
      <c r="P74" s="152"/>
      <c r="Q74" s="152"/>
      <c r="R74" s="152"/>
      <c r="S74" s="152"/>
      <c r="T74" s="152"/>
      <c r="U74" s="152"/>
      <c r="V74" s="152"/>
      <c r="W74" s="152"/>
      <c r="X74" s="152"/>
      <c r="Y74" s="152"/>
      <c r="Z74" s="152"/>
    </row>
    <row r="75" spans="1:26" x14ac:dyDescent="0.3">
      <c r="A75" s="129"/>
      <c r="B75" s="152"/>
      <c r="C75" s="162"/>
      <c r="D75" s="54"/>
      <c r="E75" s="152"/>
      <c r="F75" s="152"/>
      <c r="G75" s="152"/>
      <c r="H75" s="152"/>
      <c r="I75" s="152"/>
      <c r="J75" s="162"/>
      <c r="K75" s="152"/>
      <c r="L75" s="152"/>
      <c r="M75" s="152"/>
      <c r="N75" s="152"/>
      <c r="O75" s="152"/>
      <c r="P75" s="152"/>
      <c r="Q75" s="152"/>
      <c r="R75" s="152"/>
      <c r="S75" s="152"/>
      <c r="T75" s="152"/>
      <c r="U75" s="152"/>
      <c r="V75" s="152"/>
      <c r="W75" s="152"/>
      <c r="X75" s="152"/>
      <c r="Y75" s="152"/>
      <c r="Z75" s="152"/>
    </row>
    <row r="76" spans="1:26" x14ac:dyDescent="0.3">
      <c r="A76" s="129"/>
      <c r="B76" s="152"/>
      <c r="C76" s="162"/>
      <c r="D76" s="54"/>
      <c r="E76" s="152"/>
      <c r="F76" s="152"/>
      <c r="G76" s="152"/>
      <c r="H76" s="152"/>
      <c r="I76" s="152"/>
      <c r="J76" s="162"/>
      <c r="K76" s="152"/>
      <c r="L76" s="152"/>
      <c r="M76" s="152"/>
      <c r="N76" s="152"/>
      <c r="O76" s="152"/>
      <c r="P76" s="152"/>
      <c r="Q76" s="152"/>
      <c r="R76" s="152"/>
      <c r="S76" s="152"/>
      <c r="T76" s="152"/>
      <c r="U76" s="152"/>
      <c r="V76" s="152"/>
      <c r="W76" s="152"/>
      <c r="X76" s="152"/>
      <c r="Y76" s="152"/>
      <c r="Z76" s="152"/>
    </row>
    <row r="77" spans="1:26" x14ac:dyDescent="0.3">
      <c r="A77" s="129"/>
      <c r="B77" s="152"/>
      <c r="C77" s="162"/>
      <c r="D77" s="54"/>
      <c r="E77" s="152"/>
      <c r="F77" s="152"/>
      <c r="G77" s="152"/>
      <c r="H77" s="152"/>
      <c r="I77" s="152"/>
      <c r="J77" s="162"/>
      <c r="K77" s="152"/>
      <c r="L77" s="152"/>
      <c r="M77" s="152"/>
      <c r="N77" s="152"/>
      <c r="O77" s="152"/>
      <c r="P77" s="152"/>
      <c r="Q77" s="152"/>
      <c r="R77" s="152"/>
      <c r="S77" s="152"/>
      <c r="T77" s="152"/>
      <c r="U77" s="152"/>
      <c r="V77" s="152"/>
      <c r="W77" s="152"/>
      <c r="X77" s="152"/>
      <c r="Y77" s="152"/>
      <c r="Z77" s="152"/>
    </row>
    <row r="78" spans="1:26" x14ac:dyDescent="0.3">
      <c r="A78" s="129"/>
      <c r="B78" s="152"/>
      <c r="C78" s="162"/>
      <c r="D78" s="54"/>
      <c r="E78" s="152"/>
      <c r="F78" s="152"/>
      <c r="G78" s="152"/>
      <c r="H78" s="152"/>
      <c r="I78" s="152"/>
      <c r="J78" s="162"/>
      <c r="K78" s="152"/>
      <c r="L78" s="152"/>
      <c r="M78" s="152"/>
      <c r="N78" s="152"/>
      <c r="O78" s="152"/>
      <c r="P78" s="152"/>
      <c r="Q78" s="152"/>
      <c r="R78" s="152"/>
      <c r="S78" s="152"/>
      <c r="T78" s="152"/>
      <c r="U78" s="152"/>
      <c r="V78" s="152"/>
      <c r="W78" s="152"/>
      <c r="X78" s="152"/>
      <c r="Y78" s="152"/>
      <c r="Z78" s="152"/>
    </row>
    <row r="79" spans="1:26" x14ac:dyDescent="0.3">
      <c r="A79" s="129"/>
      <c r="B79" s="152"/>
      <c r="C79" s="162"/>
      <c r="D79" s="54"/>
      <c r="E79" s="152"/>
      <c r="F79" s="152"/>
      <c r="G79" s="152"/>
      <c r="H79" s="152"/>
      <c r="I79" s="152"/>
      <c r="J79" s="162"/>
      <c r="K79" s="152"/>
      <c r="L79" s="152"/>
      <c r="M79" s="152"/>
      <c r="N79" s="152"/>
      <c r="O79" s="152"/>
      <c r="P79" s="152"/>
      <c r="Q79" s="152"/>
      <c r="R79" s="152"/>
      <c r="S79" s="152"/>
      <c r="T79" s="152"/>
      <c r="U79" s="152"/>
      <c r="V79" s="152"/>
      <c r="W79" s="152"/>
      <c r="X79" s="152"/>
      <c r="Y79" s="152"/>
      <c r="Z79" s="152"/>
    </row>
    <row r="80" spans="1:26" x14ac:dyDescent="0.3">
      <c r="A80" s="129"/>
      <c r="B80" s="152"/>
      <c r="C80" s="162"/>
      <c r="D80" s="54"/>
      <c r="E80" s="152"/>
      <c r="F80" s="152"/>
      <c r="G80" s="152"/>
      <c r="H80" s="152"/>
      <c r="I80" s="152"/>
      <c r="J80" s="162"/>
      <c r="K80" s="152"/>
      <c r="L80" s="152"/>
      <c r="M80" s="152"/>
      <c r="N80" s="152"/>
      <c r="O80" s="152"/>
      <c r="P80" s="152"/>
      <c r="Q80" s="152"/>
      <c r="R80" s="152"/>
      <c r="S80" s="152"/>
      <c r="T80" s="152"/>
      <c r="U80" s="152"/>
      <c r="V80" s="152"/>
      <c r="W80" s="152"/>
      <c r="X80" s="152"/>
      <c r="Y80" s="152"/>
      <c r="Z80" s="152"/>
    </row>
    <row r="81" spans="1:26" x14ac:dyDescent="0.3">
      <c r="A81" s="129"/>
      <c r="B81" s="152"/>
      <c r="C81" s="162"/>
      <c r="D81" s="54"/>
      <c r="E81" s="152"/>
      <c r="F81" s="152"/>
      <c r="G81" s="152"/>
      <c r="H81" s="152"/>
      <c r="I81" s="152"/>
      <c r="J81" s="162"/>
      <c r="K81" s="152"/>
      <c r="L81" s="152"/>
      <c r="M81" s="152"/>
      <c r="N81" s="152"/>
      <c r="O81" s="152"/>
      <c r="P81" s="152"/>
      <c r="Q81" s="152"/>
      <c r="R81" s="152"/>
      <c r="S81" s="152"/>
      <c r="T81" s="152"/>
      <c r="U81" s="152"/>
      <c r="V81" s="152"/>
      <c r="W81" s="152"/>
      <c r="X81" s="152"/>
      <c r="Y81" s="152"/>
      <c r="Z81" s="152"/>
    </row>
    <row r="82" spans="1:26" x14ac:dyDescent="0.3">
      <c r="A82" s="129"/>
      <c r="B82" s="152"/>
      <c r="C82" s="162"/>
      <c r="D82" s="54"/>
      <c r="E82" s="152"/>
      <c r="F82" s="152"/>
      <c r="G82" s="152"/>
      <c r="H82" s="152"/>
      <c r="I82" s="152"/>
      <c r="J82" s="162"/>
      <c r="K82" s="152"/>
      <c r="L82" s="152"/>
      <c r="M82" s="152"/>
      <c r="N82" s="152"/>
      <c r="O82" s="152"/>
      <c r="P82" s="152"/>
      <c r="Q82" s="152"/>
      <c r="R82" s="152"/>
      <c r="S82" s="152"/>
      <c r="T82" s="152"/>
      <c r="U82" s="152"/>
      <c r="V82" s="152"/>
      <c r="W82" s="152"/>
      <c r="X82" s="152"/>
      <c r="Y82" s="152"/>
      <c r="Z82" s="152"/>
    </row>
    <row r="83" spans="1:26" x14ac:dyDescent="0.3">
      <c r="A83" s="129"/>
      <c r="B83" s="152"/>
      <c r="C83" s="162"/>
      <c r="D83" s="54"/>
      <c r="E83" s="152"/>
      <c r="F83" s="152"/>
      <c r="G83" s="152"/>
      <c r="H83" s="152"/>
      <c r="I83" s="152"/>
      <c r="J83" s="162"/>
      <c r="K83" s="152"/>
      <c r="L83" s="152"/>
      <c r="M83" s="152"/>
      <c r="N83" s="152"/>
      <c r="O83" s="152"/>
      <c r="P83" s="152"/>
      <c r="Q83" s="152"/>
      <c r="R83" s="152"/>
      <c r="S83" s="152"/>
      <c r="T83" s="152"/>
      <c r="U83" s="152"/>
      <c r="V83" s="152"/>
      <c r="W83" s="152"/>
      <c r="X83" s="152"/>
      <c r="Y83" s="152"/>
      <c r="Z83" s="152"/>
    </row>
    <row r="84" spans="1:26" x14ac:dyDescent="0.3">
      <c r="A84" s="129"/>
      <c r="B84" s="152"/>
      <c r="C84" s="162"/>
      <c r="D84" s="54"/>
      <c r="E84" s="152"/>
      <c r="F84" s="152"/>
      <c r="G84" s="152"/>
      <c r="H84" s="152"/>
      <c r="I84" s="152"/>
      <c r="J84" s="162"/>
      <c r="K84" s="152"/>
      <c r="L84" s="152"/>
      <c r="M84" s="152"/>
      <c r="N84" s="152"/>
      <c r="O84" s="152"/>
      <c r="P84" s="152"/>
      <c r="Q84" s="152"/>
      <c r="R84" s="152"/>
      <c r="S84" s="152"/>
      <c r="T84" s="152"/>
      <c r="U84" s="152"/>
      <c r="V84" s="152"/>
      <c r="W84" s="152"/>
      <c r="X84" s="152"/>
      <c r="Y84" s="152"/>
      <c r="Z84" s="152"/>
    </row>
    <row r="85" spans="1:26" x14ac:dyDescent="0.3">
      <c r="A85" s="129"/>
      <c r="B85" s="152"/>
      <c r="C85" s="162"/>
      <c r="D85" s="54"/>
      <c r="E85" s="152"/>
      <c r="F85" s="152"/>
      <c r="G85" s="152"/>
      <c r="H85" s="152"/>
      <c r="I85" s="152"/>
      <c r="J85" s="162"/>
      <c r="K85" s="152"/>
      <c r="L85" s="152"/>
      <c r="M85" s="152"/>
      <c r="N85" s="152"/>
      <c r="O85" s="152"/>
      <c r="P85" s="152"/>
      <c r="Q85" s="152"/>
      <c r="R85" s="152"/>
      <c r="S85" s="152"/>
      <c r="T85" s="152"/>
      <c r="U85" s="152"/>
      <c r="V85" s="152"/>
      <c r="W85" s="152"/>
      <c r="X85" s="152"/>
      <c r="Y85" s="152"/>
      <c r="Z85" s="152"/>
    </row>
    <row r="86" spans="1:26" x14ac:dyDescent="0.3">
      <c r="A86" s="129"/>
      <c r="B86" s="152"/>
      <c r="C86" s="162"/>
      <c r="D86" s="54"/>
      <c r="E86" s="152"/>
      <c r="F86" s="152"/>
      <c r="G86" s="152"/>
      <c r="H86" s="152"/>
      <c r="I86" s="152"/>
      <c r="J86" s="162"/>
      <c r="K86" s="152"/>
      <c r="L86" s="152"/>
      <c r="M86" s="152"/>
      <c r="N86" s="152"/>
      <c r="O86" s="152"/>
      <c r="P86" s="152"/>
      <c r="Q86" s="152"/>
      <c r="R86" s="152"/>
      <c r="S86" s="152"/>
      <c r="T86" s="152"/>
      <c r="U86" s="152"/>
      <c r="V86" s="152"/>
      <c r="W86" s="152"/>
      <c r="X86" s="152"/>
      <c r="Y86" s="152"/>
      <c r="Z86" s="152"/>
    </row>
    <row r="87" spans="1:26" x14ac:dyDescent="0.3">
      <c r="A87" s="129"/>
      <c r="B87" s="152"/>
      <c r="C87" s="162"/>
      <c r="D87" s="54"/>
      <c r="E87" s="152"/>
      <c r="F87" s="152"/>
      <c r="G87" s="152"/>
      <c r="H87" s="152"/>
      <c r="I87" s="152"/>
      <c r="J87" s="162"/>
      <c r="K87" s="152"/>
      <c r="L87" s="152"/>
      <c r="M87" s="152"/>
      <c r="N87" s="152"/>
      <c r="O87" s="152"/>
      <c r="P87" s="152"/>
      <c r="Q87" s="152"/>
      <c r="R87" s="152"/>
      <c r="S87" s="152"/>
      <c r="T87" s="152"/>
      <c r="U87" s="152"/>
      <c r="V87" s="152"/>
      <c r="W87" s="152"/>
      <c r="X87" s="152"/>
      <c r="Y87" s="152"/>
      <c r="Z87" s="152"/>
    </row>
    <row r="88" spans="1:26" x14ac:dyDescent="0.25">
      <c r="A88" s="129"/>
      <c r="B88" s="152"/>
      <c r="C88" s="162"/>
      <c r="D88" s="54"/>
      <c r="E88" s="152"/>
      <c r="F88" s="152"/>
      <c r="G88" s="152"/>
      <c r="H88" s="152"/>
      <c r="I88" s="152"/>
      <c r="J88" s="162"/>
      <c r="K88" s="152"/>
      <c r="L88" s="152"/>
      <c r="M88" s="152"/>
      <c r="N88" s="152"/>
      <c r="O88" s="152"/>
      <c r="P88" s="152"/>
      <c r="Q88" s="152"/>
      <c r="R88" s="168"/>
      <c r="S88" s="152"/>
      <c r="T88" s="152"/>
      <c r="U88" s="152"/>
      <c r="V88" s="152"/>
      <c r="W88" s="152"/>
      <c r="X88" s="152"/>
      <c r="Y88" s="152"/>
      <c r="Z88" s="152"/>
    </row>
    <row r="89" spans="1:26" x14ac:dyDescent="0.3">
      <c r="A89" s="129"/>
      <c r="B89" s="152"/>
      <c r="C89" s="162"/>
      <c r="D89" s="54"/>
      <c r="E89" s="152"/>
      <c r="F89" s="152"/>
      <c r="G89" s="152"/>
      <c r="H89" s="152"/>
      <c r="I89" s="152"/>
      <c r="J89" s="162"/>
      <c r="K89" s="152"/>
      <c r="L89" s="152"/>
      <c r="M89" s="152"/>
      <c r="N89" s="152"/>
      <c r="O89" s="152"/>
      <c r="P89" s="152"/>
      <c r="Q89" s="152"/>
      <c r="R89" s="152"/>
      <c r="S89" s="152"/>
      <c r="T89" s="152"/>
      <c r="U89" s="152"/>
      <c r="V89" s="152"/>
      <c r="W89" s="152"/>
      <c r="X89" s="152"/>
      <c r="Y89" s="152"/>
      <c r="Z89" s="152"/>
    </row>
    <row r="90" spans="1:26" x14ac:dyDescent="0.3">
      <c r="A90" s="129"/>
      <c r="B90" s="152"/>
      <c r="C90" s="162"/>
      <c r="D90" s="54"/>
      <c r="E90" s="152"/>
      <c r="F90" s="152"/>
      <c r="G90" s="152"/>
      <c r="H90" s="152"/>
      <c r="I90" s="152"/>
      <c r="J90" s="162"/>
      <c r="K90" s="152"/>
      <c r="L90" s="152"/>
      <c r="M90" s="152"/>
      <c r="N90" s="152"/>
      <c r="O90" s="152"/>
      <c r="P90" s="152"/>
      <c r="Q90" s="152"/>
      <c r="R90" s="152"/>
      <c r="S90" s="152"/>
      <c r="T90" s="152"/>
      <c r="U90" s="152"/>
      <c r="V90" s="152"/>
      <c r="W90" s="152"/>
      <c r="X90" s="152"/>
      <c r="Y90" s="152"/>
      <c r="Z90" s="152"/>
    </row>
    <row r="91" spans="1:26" x14ac:dyDescent="0.3">
      <c r="A91" s="129"/>
      <c r="B91" s="152"/>
      <c r="C91" s="162"/>
      <c r="D91" s="54"/>
      <c r="E91" s="152"/>
      <c r="F91" s="152"/>
      <c r="G91" s="152"/>
      <c r="H91" s="152"/>
      <c r="I91" s="152"/>
      <c r="J91" s="162"/>
      <c r="K91" s="152"/>
      <c r="L91" s="152"/>
      <c r="M91" s="152"/>
      <c r="N91" s="152"/>
      <c r="O91" s="152"/>
      <c r="P91" s="152"/>
      <c r="Q91" s="152"/>
      <c r="R91" s="152"/>
      <c r="S91" s="152"/>
      <c r="T91" s="152"/>
      <c r="U91" s="152"/>
      <c r="V91" s="152"/>
      <c r="W91" s="152"/>
      <c r="X91" s="152"/>
      <c r="Y91" s="152"/>
      <c r="Z91" s="152"/>
    </row>
    <row r="92" spans="1:26" x14ac:dyDescent="0.3">
      <c r="A92" s="129"/>
      <c r="B92" s="152"/>
      <c r="C92" s="162"/>
      <c r="D92" s="54"/>
      <c r="E92" s="152"/>
      <c r="F92" s="152"/>
      <c r="G92" s="152"/>
      <c r="H92" s="152"/>
      <c r="I92" s="152"/>
      <c r="J92" s="162"/>
      <c r="K92" s="152"/>
      <c r="L92" s="152"/>
      <c r="M92" s="152"/>
      <c r="N92" s="152"/>
      <c r="O92" s="152"/>
      <c r="P92" s="152"/>
      <c r="Q92" s="152"/>
      <c r="R92" s="152"/>
      <c r="S92" s="152"/>
      <c r="T92" s="152"/>
      <c r="U92" s="152"/>
      <c r="V92" s="152"/>
      <c r="W92" s="152"/>
      <c r="X92" s="152"/>
      <c r="Y92" s="152"/>
      <c r="Z92" s="152"/>
    </row>
    <row r="93" spans="1:26" x14ac:dyDescent="0.3">
      <c r="A93" s="129"/>
      <c r="B93" s="152"/>
      <c r="C93" s="162"/>
      <c r="D93" s="54"/>
      <c r="E93" s="152"/>
      <c r="F93" s="152"/>
      <c r="G93" s="152"/>
      <c r="H93" s="152"/>
      <c r="I93" s="152"/>
      <c r="J93" s="162"/>
      <c r="K93" s="152"/>
      <c r="L93" s="152"/>
      <c r="M93" s="152"/>
      <c r="N93" s="152"/>
      <c r="O93" s="152"/>
      <c r="P93" s="152"/>
      <c r="Q93" s="152"/>
      <c r="R93" s="152"/>
      <c r="S93" s="152"/>
      <c r="T93" s="152"/>
      <c r="U93" s="152"/>
      <c r="V93" s="152"/>
      <c r="W93" s="152"/>
      <c r="X93" s="152"/>
      <c r="Y93" s="152"/>
      <c r="Z93" s="152"/>
    </row>
    <row r="94" spans="1:26" x14ac:dyDescent="0.3">
      <c r="A94" s="129"/>
      <c r="B94" s="152"/>
      <c r="C94" s="162"/>
      <c r="D94" s="54"/>
      <c r="E94" s="152"/>
      <c r="F94" s="152"/>
      <c r="G94" s="152"/>
      <c r="H94" s="152"/>
      <c r="I94" s="152"/>
      <c r="J94" s="162"/>
      <c r="K94" s="152"/>
      <c r="L94" s="152"/>
      <c r="M94" s="152"/>
      <c r="N94" s="152"/>
      <c r="O94" s="152"/>
      <c r="P94" s="152"/>
      <c r="Q94" s="152"/>
      <c r="R94" s="152"/>
      <c r="S94" s="152"/>
      <c r="T94" s="152"/>
      <c r="U94" s="152"/>
      <c r="V94" s="152"/>
      <c r="W94" s="152"/>
      <c r="X94" s="152"/>
      <c r="Y94" s="152"/>
      <c r="Z94" s="152"/>
    </row>
    <row r="95" spans="1:26" x14ac:dyDescent="0.3">
      <c r="A95" s="129"/>
      <c r="B95" s="152"/>
      <c r="C95" s="162"/>
      <c r="D95" s="54"/>
      <c r="E95" s="152"/>
      <c r="F95" s="152"/>
      <c r="G95" s="152"/>
      <c r="H95" s="152"/>
      <c r="I95" s="152"/>
      <c r="J95" s="162"/>
      <c r="K95" s="152"/>
      <c r="L95" s="152"/>
      <c r="M95" s="152"/>
      <c r="N95" s="152"/>
      <c r="O95" s="152"/>
      <c r="P95" s="152"/>
      <c r="Q95" s="152"/>
      <c r="R95" s="152"/>
      <c r="S95" s="152"/>
      <c r="T95" s="152"/>
      <c r="U95" s="152"/>
      <c r="V95" s="152"/>
      <c r="W95" s="152"/>
      <c r="X95" s="152"/>
      <c r="Y95" s="152"/>
      <c r="Z95" s="152"/>
    </row>
    <row r="96" spans="1:26" x14ac:dyDescent="0.3">
      <c r="A96" s="129"/>
      <c r="B96" s="152"/>
      <c r="C96" s="162"/>
      <c r="D96" s="54"/>
      <c r="E96" s="152"/>
      <c r="F96" s="152"/>
      <c r="G96" s="152"/>
      <c r="H96" s="152"/>
      <c r="I96" s="152"/>
      <c r="J96" s="162"/>
      <c r="K96" s="152"/>
      <c r="L96" s="152"/>
      <c r="M96" s="152"/>
      <c r="N96" s="152"/>
      <c r="O96" s="152"/>
      <c r="P96" s="152"/>
      <c r="Q96" s="152"/>
      <c r="R96" s="152"/>
      <c r="S96" s="152"/>
      <c r="T96" s="152"/>
      <c r="U96" s="152"/>
      <c r="V96" s="152"/>
      <c r="W96" s="152"/>
      <c r="X96" s="152"/>
      <c r="Y96" s="152"/>
      <c r="Z96" s="152"/>
    </row>
    <row r="97" spans="1:26" x14ac:dyDescent="0.3">
      <c r="A97" s="129"/>
      <c r="B97" s="152"/>
      <c r="C97" s="162"/>
      <c r="D97" s="54"/>
      <c r="E97" s="152"/>
      <c r="F97" s="152"/>
      <c r="G97" s="152"/>
      <c r="H97" s="152"/>
      <c r="I97" s="152"/>
      <c r="J97" s="162"/>
      <c r="K97" s="152"/>
      <c r="L97" s="152"/>
      <c r="M97" s="152"/>
      <c r="N97" s="152"/>
      <c r="O97" s="152"/>
      <c r="P97" s="152"/>
      <c r="Q97" s="152"/>
      <c r="R97" s="152"/>
      <c r="S97" s="152"/>
      <c r="T97" s="152"/>
      <c r="U97" s="152"/>
      <c r="V97" s="152"/>
      <c r="W97" s="152"/>
      <c r="X97" s="152"/>
      <c r="Y97" s="152"/>
      <c r="Z97" s="152"/>
    </row>
    <row r="98" spans="1:26" x14ac:dyDescent="0.3">
      <c r="A98" s="129"/>
      <c r="B98" s="152"/>
      <c r="C98" s="162"/>
      <c r="D98" s="54"/>
      <c r="E98" s="152"/>
      <c r="F98" s="152"/>
      <c r="G98" s="152"/>
      <c r="H98" s="152"/>
      <c r="I98" s="152"/>
      <c r="J98" s="162"/>
      <c r="K98" s="152"/>
      <c r="L98" s="152"/>
      <c r="M98" s="152"/>
      <c r="N98" s="152"/>
      <c r="O98" s="152"/>
      <c r="P98" s="152"/>
      <c r="Q98" s="152"/>
      <c r="R98" s="152"/>
      <c r="S98" s="152"/>
      <c r="T98" s="152"/>
      <c r="U98" s="152"/>
      <c r="V98" s="152"/>
      <c r="W98" s="152"/>
      <c r="X98" s="152"/>
      <c r="Y98" s="152"/>
      <c r="Z98" s="152"/>
    </row>
    <row r="99" spans="1:26" x14ac:dyDescent="0.3">
      <c r="A99" s="129"/>
      <c r="B99" s="152"/>
      <c r="C99" s="162"/>
      <c r="D99" s="152"/>
      <c r="E99" s="152"/>
      <c r="F99" s="152"/>
      <c r="G99" s="152"/>
      <c r="H99" s="152"/>
      <c r="I99" s="167"/>
      <c r="J99" s="162"/>
      <c r="K99" s="152"/>
      <c r="L99" s="152"/>
      <c r="M99" s="152"/>
      <c r="N99" s="152"/>
      <c r="O99" s="152"/>
      <c r="P99" s="152"/>
      <c r="Q99" s="152"/>
      <c r="R99" s="152"/>
      <c r="S99" s="152"/>
      <c r="T99" s="152"/>
      <c r="U99" s="152"/>
      <c r="V99" s="152"/>
      <c r="W99" s="152"/>
      <c r="X99" s="152"/>
      <c r="Y99" s="152"/>
      <c r="Z99" s="152"/>
    </row>
    <row r="100" spans="1:26" x14ac:dyDescent="0.3">
      <c r="A100" s="129"/>
      <c r="B100" s="152"/>
      <c r="C100" s="162"/>
      <c r="D100" s="54"/>
      <c r="E100" s="152"/>
      <c r="F100" s="152"/>
      <c r="G100" s="152"/>
      <c r="H100" s="152"/>
      <c r="I100" s="152"/>
      <c r="J100" s="162"/>
      <c r="K100" s="152"/>
      <c r="L100" s="152"/>
      <c r="M100" s="152"/>
      <c r="N100" s="152"/>
      <c r="O100" s="152"/>
      <c r="P100" s="152"/>
      <c r="Q100" s="152"/>
      <c r="R100" s="152"/>
      <c r="S100" s="152"/>
      <c r="T100" s="152"/>
      <c r="U100" s="152"/>
      <c r="V100" s="152"/>
      <c r="W100" s="152"/>
      <c r="X100" s="152"/>
      <c r="Y100" s="152"/>
      <c r="Z100" s="152"/>
    </row>
    <row r="101" spans="1:26" x14ac:dyDescent="0.3">
      <c r="A101" s="129"/>
      <c r="B101" s="152"/>
      <c r="C101" s="162"/>
      <c r="D101" s="54"/>
      <c r="E101" s="152"/>
      <c r="F101" s="152"/>
      <c r="G101" s="152"/>
      <c r="H101" s="152"/>
      <c r="I101" s="152"/>
      <c r="J101" s="162"/>
      <c r="K101" s="152"/>
      <c r="L101" s="152"/>
      <c r="M101" s="152"/>
      <c r="N101" s="152"/>
      <c r="O101" s="152"/>
      <c r="P101" s="152"/>
      <c r="Q101" s="152"/>
      <c r="R101" s="152"/>
      <c r="S101" s="152"/>
      <c r="T101" s="152"/>
      <c r="U101" s="152"/>
      <c r="V101" s="152"/>
      <c r="W101" s="152"/>
      <c r="X101" s="152"/>
      <c r="Y101" s="152"/>
      <c r="Z101" s="152"/>
    </row>
    <row r="102" spans="1:26" x14ac:dyDescent="0.3">
      <c r="A102" s="129"/>
      <c r="B102" s="152"/>
      <c r="C102" s="162"/>
      <c r="D102" s="54"/>
      <c r="E102" s="152"/>
      <c r="F102" s="152"/>
      <c r="G102" s="152"/>
      <c r="H102" s="152"/>
      <c r="I102" s="152"/>
      <c r="J102" s="162"/>
      <c r="K102" s="152"/>
      <c r="L102" s="152"/>
      <c r="M102" s="152"/>
      <c r="N102" s="152"/>
      <c r="O102" s="152"/>
      <c r="P102" s="152"/>
      <c r="Q102" s="152"/>
      <c r="R102" s="152"/>
      <c r="S102" s="152"/>
      <c r="T102" s="152"/>
      <c r="U102" s="152"/>
      <c r="V102" s="152"/>
      <c r="W102" s="152"/>
      <c r="X102" s="152"/>
      <c r="Y102" s="152"/>
      <c r="Z102" s="152"/>
    </row>
    <row r="103" spans="1:26" x14ac:dyDescent="0.3">
      <c r="A103" s="129"/>
      <c r="B103" s="152"/>
      <c r="C103" s="162"/>
      <c r="D103" s="152"/>
      <c r="E103" s="152"/>
      <c r="F103" s="152"/>
      <c r="G103" s="152"/>
      <c r="H103" s="152"/>
      <c r="I103" s="162"/>
      <c r="J103" s="54"/>
      <c r="K103" s="152"/>
      <c r="L103" s="152"/>
      <c r="M103" s="152"/>
      <c r="N103" s="152"/>
      <c r="O103" s="152"/>
      <c r="P103" s="152"/>
      <c r="Q103" s="152"/>
      <c r="R103" s="152"/>
      <c r="S103" s="152"/>
      <c r="T103" s="152"/>
      <c r="U103" s="152"/>
      <c r="V103" s="152"/>
      <c r="W103" s="152"/>
      <c r="X103" s="152"/>
      <c r="Y103" s="152"/>
      <c r="Z103" s="152"/>
    </row>
    <row r="104" spans="1:26" x14ac:dyDescent="0.3">
      <c r="A104" s="129"/>
      <c r="B104" s="152"/>
      <c r="C104" s="162"/>
      <c r="D104" s="152"/>
      <c r="E104" s="152"/>
      <c r="F104" s="152"/>
      <c r="G104" s="152"/>
      <c r="H104" s="152"/>
      <c r="I104" s="162"/>
      <c r="J104" s="54"/>
      <c r="K104" s="152"/>
      <c r="L104" s="152"/>
      <c r="M104" s="152"/>
      <c r="N104" s="152"/>
      <c r="O104" s="152"/>
      <c r="P104" s="152"/>
      <c r="Q104" s="152"/>
      <c r="R104" s="152"/>
      <c r="S104" s="152"/>
      <c r="T104" s="152"/>
      <c r="U104" s="152"/>
      <c r="V104" s="152"/>
      <c r="W104" s="152"/>
      <c r="X104" s="152"/>
      <c r="Y104" s="152"/>
      <c r="Z104" s="152"/>
    </row>
    <row r="105" spans="1:26" x14ac:dyDescent="0.3">
      <c r="A105" s="129"/>
      <c r="B105" s="152"/>
      <c r="C105" s="162"/>
      <c r="D105" s="152"/>
      <c r="E105" s="152"/>
      <c r="F105" s="152"/>
      <c r="G105" s="152"/>
      <c r="H105" s="152"/>
      <c r="I105" s="162"/>
      <c r="J105" s="54"/>
      <c r="K105" s="152"/>
      <c r="L105" s="152"/>
      <c r="M105" s="152"/>
      <c r="N105" s="152"/>
      <c r="O105" s="152"/>
      <c r="P105" s="152"/>
      <c r="Q105" s="152"/>
      <c r="R105" s="152"/>
      <c r="S105" s="152"/>
      <c r="T105" s="152"/>
      <c r="U105" s="152"/>
      <c r="V105" s="152"/>
      <c r="W105" s="152"/>
      <c r="X105" s="152"/>
      <c r="Y105" s="152"/>
      <c r="Z105" s="152"/>
    </row>
    <row r="106" spans="1:26" x14ac:dyDescent="0.3">
      <c r="A106" s="129"/>
      <c r="B106" s="152"/>
      <c r="C106" s="162"/>
      <c r="D106" s="152"/>
      <c r="E106" s="152"/>
      <c r="F106" s="152"/>
      <c r="G106" s="152"/>
      <c r="H106" s="152"/>
      <c r="I106" s="162"/>
      <c r="J106" s="54"/>
      <c r="K106" s="152"/>
      <c r="L106" s="152"/>
      <c r="M106" s="152"/>
      <c r="N106" s="152"/>
      <c r="O106" s="152"/>
      <c r="P106" s="152"/>
      <c r="Q106" s="152"/>
      <c r="R106" s="152"/>
      <c r="S106" s="152"/>
      <c r="T106" s="152"/>
      <c r="U106" s="152"/>
      <c r="V106" s="152"/>
      <c r="W106" s="152"/>
      <c r="X106" s="152"/>
      <c r="Y106" s="152"/>
      <c r="Z106" s="152"/>
    </row>
    <row r="107" spans="1:26" x14ac:dyDescent="0.3">
      <c r="A107" s="129"/>
      <c r="B107" s="152"/>
      <c r="C107" s="162"/>
      <c r="D107" s="152"/>
      <c r="E107" s="152"/>
      <c r="F107" s="152"/>
      <c r="G107" s="152"/>
      <c r="H107" s="152"/>
      <c r="I107" s="162"/>
      <c r="J107" s="54"/>
      <c r="K107" s="152"/>
      <c r="L107" s="152"/>
      <c r="M107" s="152"/>
      <c r="N107" s="152"/>
      <c r="O107" s="152"/>
      <c r="P107" s="152"/>
      <c r="Q107" s="152"/>
      <c r="R107" s="152"/>
      <c r="S107" s="152"/>
      <c r="T107" s="152"/>
      <c r="U107" s="152"/>
      <c r="V107" s="152"/>
      <c r="W107" s="152"/>
      <c r="X107" s="152"/>
      <c r="Y107" s="152"/>
      <c r="Z107" s="152"/>
    </row>
    <row r="108" spans="1:26" x14ac:dyDescent="0.3">
      <c r="A108" s="129"/>
      <c r="B108" s="152"/>
      <c r="C108" s="162"/>
      <c r="D108" s="152"/>
      <c r="E108" s="152"/>
      <c r="F108" s="152"/>
      <c r="G108" s="152"/>
      <c r="H108" s="152"/>
      <c r="I108" s="162"/>
      <c r="J108" s="54"/>
      <c r="K108" s="152"/>
      <c r="L108" s="152"/>
      <c r="M108" s="152"/>
      <c r="N108" s="152"/>
      <c r="O108" s="152"/>
      <c r="P108" s="152"/>
      <c r="Q108" s="152"/>
      <c r="R108" s="152"/>
      <c r="S108" s="152"/>
      <c r="T108" s="152"/>
      <c r="U108" s="152"/>
      <c r="V108" s="152"/>
      <c r="W108" s="152"/>
      <c r="X108" s="152"/>
      <c r="Y108" s="152"/>
      <c r="Z108" s="152"/>
    </row>
    <row r="109" spans="1:26" x14ac:dyDescent="0.3">
      <c r="A109" s="129"/>
      <c r="B109" s="152"/>
      <c r="C109" s="162"/>
      <c r="D109" s="152"/>
      <c r="E109" s="152"/>
      <c r="F109" s="152"/>
      <c r="G109" s="152"/>
      <c r="H109" s="152"/>
      <c r="I109" s="162"/>
      <c r="J109" s="54"/>
      <c r="K109" s="152"/>
      <c r="L109" s="152"/>
      <c r="M109" s="152"/>
      <c r="N109" s="152"/>
      <c r="O109" s="152"/>
      <c r="P109" s="152"/>
      <c r="Q109" s="152"/>
      <c r="R109" s="152"/>
      <c r="S109" s="152"/>
      <c r="T109" s="152"/>
      <c r="U109" s="152"/>
      <c r="V109" s="152"/>
      <c r="W109" s="152"/>
      <c r="X109" s="152"/>
      <c r="Y109" s="152"/>
      <c r="Z109" s="152"/>
    </row>
    <row r="110" spans="1:26" x14ac:dyDescent="0.3">
      <c r="A110" s="129"/>
      <c r="B110" s="152"/>
      <c r="C110" s="162"/>
      <c r="D110" s="152"/>
      <c r="E110" s="152"/>
      <c r="F110" s="152"/>
      <c r="G110" s="152"/>
      <c r="H110" s="152"/>
      <c r="I110" s="162"/>
      <c r="J110" s="54"/>
      <c r="K110" s="152"/>
      <c r="L110" s="152"/>
      <c r="M110" s="152"/>
      <c r="N110" s="152"/>
      <c r="O110" s="152"/>
      <c r="P110" s="152"/>
      <c r="Q110" s="152"/>
      <c r="R110" s="152"/>
      <c r="S110" s="152"/>
      <c r="T110" s="152"/>
      <c r="U110" s="152"/>
      <c r="V110" s="152"/>
      <c r="W110" s="152"/>
      <c r="X110" s="152"/>
      <c r="Y110" s="152"/>
      <c r="Z110" s="152"/>
    </row>
    <row r="111" spans="1:26" x14ac:dyDescent="0.3">
      <c r="A111" s="129"/>
      <c r="B111" s="152"/>
      <c r="C111" s="162"/>
      <c r="D111" s="152"/>
      <c r="E111" s="152"/>
      <c r="F111" s="152"/>
      <c r="G111" s="152"/>
      <c r="H111" s="152"/>
      <c r="I111" s="162"/>
      <c r="J111" s="54"/>
      <c r="K111" s="152"/>
      <c r="L111" s="152"/>
      <c r="M111" s="152"/>
      <c r="N111" s="152"/>
      <c r="O111" s="152"/>
      <c r="P111" s="152"/>
      <c r="Q111" s="152"/>
      <c r="R111" s="152"/>
      <c r="S111" s="152"/>
      <c r="T111" s="152"/>
      <c r="U111" s="152"/>
      <c r="V111" s="152"/>
      <c r="W111" s="152"/>
      <c r="X111" s="152"/>
      <c r="Y111" s="152"/>
      <c r="Z111" s="152"/>
    </row>
    <row r="112" spans="1:26" x14ac:dyDescent="0.3">
      <c r="A112" s="129"/>
      <c r="B112" s="152"/>
      <c r="C112" s="162"/>
      <c r="D112" s="152"/>
      <c r="E112" s="152"/>
      <c r="F112" s="152"/>
      <c r="G112" s="152"/>
      <c r="H112" s="152"/>
      <c r="I112" s="162"/>
      <c r="J112" s="54"/>
      <c r="K112" s="152"/>
      <c r="L112" s="152"/>
      <c r="M112" s="152"/>
      <c r="N112" s="152"/>
      <c r="O112" s="152"/>
      <c r="P112" s="152"/>
      <c r="Q112" s="152"/>
      <c r="R112" s="152"/>
      <c r="S112" s="152"/>
      <c r="T112" s="152"/>
      <c r="U112" s="152"/>
      <c r="V112" s="152"/>
      <c r="W112" s="152"/>
      <c r="X112" s="152"/>
      <c r="Y112" s="152"/>
      <c r="Z112" s="152"/>
    </row>
    <row r="113" spans="1:26" x14ac:dyDescent="0.3">
      <c r="A113" s="129"/>
      <c r="B113" s="152"/>
      <c r="C113" s="162"/>
      <c r="D113" s="152"/>
      <c r="E113" s="152"/>
      <c r="F113" s="152"/>
      <c r="G113" s="152"/>
      <c r="H113" s="152"/>
      <c r="I113" s="162"/>
      <c r="J113" s="54"/>
      <c r="K113" s="152"/>
      <c r="L113" s="152"/>
      <c r="M113" s="152"/>
      <c r="N113" s="152"/>
      <c r="O113" s="152"/>
      <c r="P113" s="152"/>
      <c r="Q113" s="152"/>
      <c r="R113" s="152"/>
      <c r="S113" s="152"/>
      <c r="T113" s="152"/>
      <c r="U113" s="152"/>
      <c r="V113" s="152"/>
      <c r="W113" s="152"/>
      <c r="X113" s="152"/>
      <c r="Y113" s="152"/>
      <c r="Z113" s="152"/>
    </row>
    <row r="114" spans="1:26" x14ac:dyDescent="0.3">
      <c r="A114" s="129"/>
      <c r="B114" s="152"/>
      <c r="C114" s="162"/>
      <c r="D114" s="152"/>
      <c r="E114" s="152"/>
      <c r="F114" s="152"/>
      <c r="G114" s="152"/>
      <c r="H114" s="152"/>
      <c r="I114" s="162"/>
      <c r="J114" s="54"/>
      <c r="K114" s="152"/>
      <c r="L114" s="152"/>
      <c r="M114" s="152"/>
      <c r="N114" s="152"/>
      <c r="O114" s="152"/>
      <c r="P114" s="152"/>
      <c r="Q114" s="152"/>
      <c r="R114" s="152"/>
      <c r="S114" s="152"/>
      <c r="T114" s="152"/>
      <c r="U114" s="152"/>
      <c r="V114" s="152"/>
      <c r="W114" s="152"/>
      <c r="X114" s="152"/>
      <c r="Y114" s="152"/>
      <c r="Z114" s="152"/>
    </row>
    <row r="115" spans="1:26" x14ac:dyDescent="0.3">
      <c r="A115" s="129"/>
      <c r="B115" s="152"/>
      <c r="C115" s="162"/>
      <c r="D115" s="152"/>
      <c r="E115" s="152"/>
      <c r="F115" s="152"/>
      <c r="G115" s="152"/>
      <c r="H115" s="152"/>
      <c r="I115" s="162"/>
      <c r="J115" s="54"/>
      <c r="K115" s="152"/>
      <c r="L115" s="152"/>
      <c r="M115" s="152"/>
      <c r="N115" s="152"/>
      <c r="O115" s="152"/>
      <c r="P115" s="152"/>
      <c r="Q115" s="152"/>
      <c r="R115" s="152"/>
      <c r="S115" s="152"/>
      <c r="T115" s="152"/>
      <c r="U115" s="152"/>
      <c r="V115" s="152"/>
      <c r="W115" s="152"/>
      <c r="X115" s="152"/>
      <c r="Y115" s="152"/>
      <c r="Z115" s="152"/>
    </row>
    <row r="116" spans="1:26" x14ac:dyDescent="0.3">
      <c r="A116" s="129"/>
      <c r="B116" s="152"/>
      <c r="C116" s="162"/>
      <c r="D116" s="152"/>
      <c r="E116" s="152"/>
      <c r="F116" s="152"/>
      <c r="G116" s="152"/>
      <c r="H116" s="152"/>
      <c r="I116" s="162"/>
      <c r="J116" s="54"/>
      <c r="K116" s="152"/>
      <c r="L116" s="152"/>
      <c r="M116" s="152"/>
      <c r="N116" s="152"/>
      <c r="O116" s="152"/>
      <c r="P116" s="152"/>
      <c r="Q116" s="152"/>
      <c r="R116" s="152"/>
      <c r="S116" s="152"/>
      <c r="T116" s="152"/>
      <c r="U116" s="152"/>
      <c r="V116" s="152"/>
      <c r="W116" s="152"/>
      <c r="X116" s="152"/>
      <c r="Y116" s="152"/>
      <c r="Z116" s="152"/>
    </row>
    <row r="117" spans="1:26" x14ac:dyDescent="0.3">
      <c r="A117" s="129"/>
      <c r="B117" s="152"/>
      <c r="C117" s="162"/>
      <c r="D117" s="152"/>
      <c r="E117" s="152"/>
      <c r="F117" s="152"/>
      <c r="G117" s="152"/>
      <c r="H117" s="152"/>
      <c r="I117" s="162"/>
      <c r="J117" s="54"/>
      <c r="K117" s="152"/>
      <c r="L117" s="152"/>
      <c r="M117" s="152"/>
      <c r="N117" s="152"/>
      <c r="O117" s="152"/>
      <c r="P117" s="152"/>
      <c r="Q117" s="152"/>
      <c r="R117" s="152"/>
      <c r="S117" s="152"/>
      <c r="T117" s="152"/>
      <c r="U117" s="152"/>
      <c r="V117" s="152"/>
      <c r="W117" s="152"/>
      <c r="X117" s="152"/>
      <c r="Y117" s="152"/>
      <c r="Z117" s="152"/>
    </row>
    <row r="118" spans="1:26" x14ac:dyDescent="0.3">
      <c r="A118" s="129"/>
      <c r="B118" s="152"/>
      <c r="C118" s="162"/>
      <c r="D118" s="152"/>
      <c r="E118" s="152"/>
      <c r="F118" s="152"/>
      <c r="G118" s="152"/>
      <c r="H118" s="152"/>
      <c r="I118" s="162"/>
      <c r="J118" s="54"/>
      <c r="K118" s="152"/>
      <c r="L118" s="152"/>
      <c r="M118" s="152"/>
      <c r="N118" s="152"/>
      <c r="O118" s="152"/>
      <c r="P118" s="152"/>
      <c r="Q118" s="152"/>
      <c r="R118" s="152"/>
      <c r="S118" s="152"/>
      <c r="T118" s="152"/>
      <c r="U118" s="152"/>
      <c r="V118" s="152"/>
      <c r="W118" s="152"/>
      <c r="X118" s="152"/>
      <c r="Y118" s="152"/>
      <c r="Z118" s="152"/>
    </row>
    <row r="119" spans="1:26" x14ac:dyDescent="0.3">
      <c r="A119" s="129"/>
      <c r="B119" s="152"/>
      <c r="C119" s="162"/>
      <c r="D119" s="152"/>
      <c r="E119" s="152"/>
      <c r="F119" s="152"/>
      <c r="G119" s="152"/>
      <c r="H119" s="152"/>
      <c r="I119" s="162"/>
      <c r="J119" s="54"/>
      <c r="K119" s="152"/>
      <c r="L119" s="152"/>
      <c r="M119" s="152"/>
      <c r="N119" s="152"/>
      <c r="O119" s="152"/>
      <c r="P119" s="152"/>
      <c r="Q119" s="152"/>
      <c r="R119" s="152"/>
      <c r="S119" s="152"/>
      <c r="T119" s="152"/>
      <c r="U119" s="152"/>
      <c r="V119" s="152"/>
      <c r="W119" s="152"/>
      <c r="X119" s="152"/>
      <c r="Y119" s="152"/>
      <c r="Z119" s="152"/>
    </row>
    <row r="120" spans="1:26" x14ac:dyDescent="0.3">
      <c r="A120" s="129"/>
      <c r="B120" s="152"/>
      <c r="C120" s="162"/>
      <c r="D120" s="152"/>
      <c r="E120" s="152"/>
      <c r="F120" s="152"/>
      <c r="G120" s="152"/>
      <c r="H120" s="152"/>
      <c r="I120" s="162"/>
      <c r="J120" s="54"/>
      <c r="K120" s="152"/>
      <c r="L120" s="152"/>
      <c r="M120" s="152"/>
      <c r="N120" s="152"/>
      <c r="O120" s="152"/>
      <c r="P120" s="152"/>
      <c r="Q120" s="152"/>
      <c r="R120" s="152"/>
      <c r="S120" s="152"/>
      <c r="T120" s="152"/>
      <c r="U120" s="152"/>
      <c r="V120" s="152"/>
      <c r="W120" s="152"/>
      <c r="X120" s="152"/>
      <c r="Y120" s="152"/>
      <c r="Z120" s="152"/>
    </row>
    <row r="121" spans="1:26" x14ac:dyDescent="0.3">
      <c r="A121" s="129"/>
      <c r="B121" s="152"/>
      <c r="C121" s="162"/>
      <c r="D121" s="152"/>
      <c r="E121" s="152"/>
      <c r="F121" s="152"/>
      <c r="G121" s="152"/>
      <c r="H121" s="152"/>
      <c r="I121" s="162"/>
      <c r="J121" s="54"/>
      <c r="K121" s="152"/>
      <c r="L121" s="152"/>
      <c r="M121" s="152"/>
      <c r="N121" s="152"/>
      <c r="O121" s="152"/>
      <c r="P121" s="152"/>
      <c r="Q121" s="152"/>
      <c r="R121" s="152"/>
      <c r="S121" s="152"/>
      <c r="T121" s="152"/>
      <c r="U121" s="152"/>
      <c r="V121" s="152"/>
      <c r="W121" s="152"/>
      <c r="X121" s="152"/>
      <c r="Y121" s="152"/>
      <c r="Z121" s="152"/>
    </row>
    <row r="122" spans="1:26" x14ac:dyDescent="0.3">
      <c r="A122" s="129"/>
      <c r="B122" s="152"/>
      <c r="C122" s="162"/>
      <c r="D122" s="152"/>
      <c r="E122" s="152"/>
      <c r="F122" s="152"/>
      <c r="G122" s="152"/>
      <c r="H122" s="152"/>
      <c r="I122" s="162"/>
      <c r="J122" s="54"/>
      <c r="K122" s="152"/>
      <c r="L122" s="152"/>
      <c r="M122" s="152"/>
      <c r="N122" s="152"/>
      <c r="O122" s="152"/>
      <c r="P122" s="152"/>
      <c r="Q122" s="152"/>
      <c r="R122" s="152"/>
      <c r="S122" s="152"/>
      <c r="T122" s="152"/>
      <c r="U122" s="152"/>
      <c r="V122" s="152"/>
      <c r="W122" s="152"/>
      <c r="X122" s="152"/>
      <c r="Y122" s="152"/>
      <c r="Z122" s="152"/>
    </row>
    <row r="123" spans="1:26" x14ac:dyDescent="0.3">
      <c r="A123" s="129"/>
      <c r="B123" s="152"/>
      <c r="C123" s="162"/>
      <c r="D123" s="152"/>
      <c r="E123" s="152"/>
      <c r="F123" s="152"/>
      <c r="G123" s="152"/>
      <c r="H123" s="152"/>
      <c r="I123" s="162"/>
      <c r="J123" s="54"/>
      <c r="K123" s="152"/>
      <c r="L123" s="152"/>
      <c r="M123" s="152"/>
      <c r="N123" s="152"/>
      <c r="O123" s="152"/>
      <c r="P123" s="152"/>
      <c r="Q123" s="152"/>
      <c r="R123" s="152"/>
      <c r="S123" s="152"/>
      <c r="T123" s="152"/>
      <c r="U123" s="152"/>
      <c r="V123" s="152"/>
      <c r="W123" s="152"/>
      <c r="X123" s="152"/>
      <c r="Y123" s="152"/>
      <c r="Z123" s="152"/>
    </row>
    <row r="124" spans="1:26" x14ac:dyDescent="0.3">
      <c r="A124" s="129"/>
      <c r="B124" s="152"/>
      <c r="C124" s="162"/>
      <c r="D124" s="152"/>
      <c r="E124" s="152"/>
      <c r="F124" s="152"/>
      <c r="G124" s="152"/>
      <c r="H124" s="152"/>
      <c r="I124" s="162"/>
      <c r="J124" s="54"/>
      <c r="K124" s="152"/>
      <c r="L124" s="152"/>
      <c r="M124" s="152"/>
      <c r="N124" s="152"/>
      <c r="O124" s="152"/>
      <c r="P124" s="152"/>
      <c r="Q124" s="152"/>
      <c r="R124" s="152"/>
      <c r="S124" s="152"/>
      <c r="T124" s="152"/>
      <c r="U124" s="152"/>
      <c r="V124" s="152"/>
      <c r="W124" s="152"/>
      <c r="X124" s="152"/>
      <c r="Y124" s="152"/>
      <c r="Z124" s="152"/>
    </row>
    <row r="125" spans="1:26" x14ac:dyDescent="0.3">
      <c r="A125" s="129"/>
      <c r="B125" s="152"/>
      <c r="C125" s="162"/>
      <c r="D125" s="152"/>
      <c r="E125" s="152"/>
      <c r="F125" s="152"/>
      <c r="G125" s="152"/>
      <c r="H125" s="152"/>
      <c r="I125" s="162"/>
      <c r="J125" s="54"/>
      <c r="K125" s="152"/>
      <c r="L125" s="152"/>
      <c r="M125" s="152"/>
      <c r="N125" s="152"/>
      <c r="O125" s="152"/>
      <c r="P125" s="152"/>
      <c r="Q125" s="152"/>
      <c r="R125" s="152"/>
      <c r="S125" s="152"/>
      <c r="T125" s="152"/>
      <c r="U125" s="152"/>
      <c r="V125" s="152"/>
      <c r="W125" s="152"/>
      <c r="X125" s="152"/>
      <c r="Y125" s="152"/>
      <c r="Z125" s="152"/>
    </row>
    <row r="126" spans="1:26" x14ac:dyDescent="0.3">
      <c r="A126" s="129"/>
      <c r="B126" s="152"/>
      <c r="C126" s="162"/>
      <c r="D126" s="152"/>
      <c r="E126" s="152"/>
      <c r="F126" s="152"/>
      <c r="G126" s="152"/>
      <c r="H126" s="152"/>
      <c r="I126" s="162"/>
      <c r="J126" s="54"/>
      <c r="K126" s="152"/>
      <c r="L126" s="152"/>
      <c r="M126" s="152"/>
      <c r="N126" s="152"/>
      <c r="O126" s="152"/>
      <c r="P126" s="152"/>
      <c r="Q126" s="152"/>
      <c r="R126" s="152"/>
      <c r="S126" s="152"/>
      <c r="T126" s="152"/>
      <c r="U126" s="152"/>
      <c r="V126" s="152"/>
      <c r="W126" s="152"/>
      <c r="X126" s="152"/>
      <c r="Y126" s="152"/>
      <c r="Z126" s="152"/>
    </row>
    <row r="127" spans="1:26" x14ac:dyDescent="0.3">
      <c r="A127" s="129"/>
      <c r="B127" s="152"/>
      <c r="C127" s="162"/>
      <c r="D127" s="152"/>
      <c r="E127" s="152"/>
      <c r="F127" s="152"/>
      <c r="G127" s="152"/>
      <c r="H127" s="152"/>
      <c r="I127" s="162"/>
      <c r="J127" s="54"/>
      <c r="K127" s="152"/>
      <c r="L127" s="152"/>
      <c r="M127" s="152"/>
      <c r="N127" s="152"/>
      <c r="O127" s="152"/>
      <c r="P127" s="152"/>
      <c r="Q127" s="152"/>
      <c r="R127" s="152"/>
      <c r="S127" s="152"/>
      <c r="T127" s="152"/>
      <c r="U127" s="152"/>
      <c r="V127" s="152"/>
      <c r="W127" s="152"/>
      <c r="X127" s="152"/>
      <c r="Y127" s="152"/>
      <c r="Z127" s="152"/>
    </row>
    <row r="128" spans="1:26" x14ac:dyDescent="0.3">
      <c r="A128" s="129"/>
      <c r="B128" s="152"/>
      <c r="C128" s="162"/>
      <c r="D128" s="152"/>
      <c r="E128" s="152"/>
      <c r="F128" s="152"/>
      <c r="G128" s="152"/>
      <c r="H128" s="152"/>
      <c r="I128" s="162"/>
      <c r="J128" s="54"/>
      <c r="K128" s="152"/>
      <c r="L128" s="152"/>
      <c r="M128" s="152"/>
      <c r="N128" s="152"/>
      <c r="O128" s="152"/>
      <c r="P128" s="152"/>
      <c r="Q128" s="152"/>
      <c r="R128" s="152"/>
      <c r="S128" s="152"/>
      <c r="T128" s="152"/>
      <c r="U128" s="152"/>
      <c r="V128" s="152"/>
      <c r="W128" s="152"/>
      <c r="X128" s="152"/>
      <c r="Y128" s="152"/>
      <c r="Z128" s="152"/>
    </row>
    <row r="129" spans="1:26" x14ac:dyDescent="0.3">
      <c r="A129" s="129"/>
      <c r="B129" s="152"/>
      <c r="C129" s="162"/>
      <c r="D129" s="152"/>
      <c r="E129" s="152"/>
      <c r="F129" s="152"/>
      <c r="G129" s="152"/>
      <c r="H129" s="152"/>
      <c r="I129" s="162"/>
      <c r="J129" s="54"/>
      <c r="K129" s="152"/>
      <c r="L129" s="152"/>
      <c r="M129" s="152"/>
      <c r="N129" s="152"/>
      <c r="O129" s="152"/>
      <c r="P129" s="152"/>
      <c r="Q129" s="152"/>
      <c r="R129" s="152"/>
      <c r="S129" s="152"/>
      <c r="T129" s="152"/>
      <c r="U129" s="152"/>
      <c r="V129" s="152"/>
      <c r="W129" s="152"/>
      <c r="X129" s="152"/>
      <c r="Y129" s="152"/>
      <c r="Z129" s="152"/>
    </row>
    <row r="130" spans="1:26" x14ac:dyDescent="0.3">
      <c r="A130" s="129"/>
      <c r="B130" s="152"/>
      <c r="C130" s="162"/>
      <c r="D130" s="152"/>
      <c r="E130" s="152"/>
      <c r="F130" s="152"/>
      <c r="G130" s="152"/>
      <c r="H130" s="152"/>
      <c r="I130" s="162"/>
      <c r="J130" s="54"/>
      <c r="K130" s="152"/>
      <c r="L130" s="152"/>
      <c r="M130" s="152"/>
      <c r="N130" s="152"/>
      <c r="O130" s="152"/>
      <c r="P130" s="152"/>
      <c r="Q130" s="152"/>
      <c r="R130" s="152"/>
      <c r="S130" s="152"/>
      <c r="T130" s="152"/>
      <c r="U130" s="152"/>
      <c r="V130" s="152"/>
      <c r="W130" s="152"/>
      <c r="X130" s="152"/>
      <c r="Y130" s="152"/>
      <c r="Z130" s="152"/>
    </row>
    <row r="131" spans="1:26" x14ac:dyDescent="0.3">
      <c r="A131" s="129"/>
      <c r="B131" s="152"/>
      <c r="C131" s="162"/>
      <c r="D131" s="152"/>
      <c r="E131" s="152"/>
      <c r="F131" s="152"/>
      <c r="G131" s="152"/>
      <c r="H131" s="152"/>
      <c r="I131" s="162"/>
      <c r="J131" s="54"/>
      <c r="K131" s="152"/>
      <c r="L131" s="152"/>
      <c r="M131" s="152"/>
      <c r="N131" s="152"/>
      <c r="O131" s="152"/>
      <c r="P131" s="152"/>
      <c r="Q131" s="152"/>
      <c r="R131" s="152"/>
      <c r="S131" s="152"/>
      <c r="T131" s="152"/>
      <c r="U131" s="152"/>
      <c r="V131" s="152"/>
      <c r="W131" s="152"/>
      <c r="X131" s="152"/>
      <c r="Y131" s="152"/>
      <c r="Z131" s="152"/>
    </row>
    <row r="132" spans="1:26" x14ac:dyDescent="0.3">
      <c r="A132" s="129"/>
      <c r="B132" s="152"/>
      <c r="C132" s="162"/>
      <c r="D132" s="152"/>
      <c r="E132" s="152"/>
      <c r="F132" s="152"/>
      <c r="G132" s="152"/>
      <c r="H132" s="152"/>
      <c r="I132" s="162"/>
      <c r="J132" s="54"/>
      <c r="K132" s="152"/>
      <c r="L132" s="152"/>
      <c r="M132" s="152"/>
      <c r="N132" s="152"/>
      <c r="O132" s="152"/>
      <c r="P132" s="152"/>
      <c r="Q132" s="152"/>
      <c r="R132" s="152"/>
      <c r="S132" s="152"/>
      <c r="T132" s="152"/>
      <c r="U132" s="152"/>
      <c r="V132" s="152"/>
      <c r="W132" s="152"/>
      <c r="X132" s="152"/>
      <c r="Y132" s="152"/>
      <c r="Z132" s="152"/>
    </row>
    <row r="133" spans="1:26" x14ac:dyDescent="0.3">
      <c r="A133" s="129"/>
      <c r="B133" s="152"/>
      <c r="C133" s="162"/>
      <c r="D133" s="152"/>
      <c r="E133" s="152"/>
      <c r="F133" s="152"/>
      <c r="G133" s="152"/>
      <c r="H133" s="152"/>
      <c r="I133" s="162"/>
      <c r="J133" s="54"/>
      <c r="K133" s="152"/>
      <c r="L133" s="152"/>
      <c r="M133" s="152"/>
      <c r="N133" s="152"/>
      <c r="O133" s="152"/>
      <c r="P133" s="152"/>
      <c r="Q133" s="152"/>
      <c r="R133" s="152"/>
      <c r="S133" s="152"/>
      <c r="T133" s="152"/>
      <c r="U133" s="152"/>
      <c r="V133" s="152"/>
      <c r="W133" s="152"/>
      <c r="X133" s="152"/>
      <c r="Y133" s="152"/>
      <c r="Z133" s="152"/>
    </row>
    <row r="134" spans="1:26" x14ac:dyDescent="0.3">
      <c r="A134" s="129"/>
      <c r="B134" s="152"/>
      <c r="C134" s="162"/>
      <c r="D134" s="152"/>
      <c r="E134" s="152"/>
      <c r="F134" s="152"/>
      <c r="G134" s="152"/>
      <c r="H134" s="152"/>
      <c r="I134" s="54"/>
      <c r="J134" s="54"/>
      <c r="K134" s="152"/>
      <c r="L134" s="152"/>
      <c r="M134" s="152"/>
      <c r="N134" s="152"/>
      <c r="O134" s="152"/>
      <c r="P134" s="152"/>
      <c r="Q134" s="152"/>
      <c r="R134" s="152"/>
      <c r="S134" s="152"/>
      <c r="T134" s="152"/>
      <c r="U134" s="152"/>
      <c r="V134" s="152"/>
      <c r="W134" s="152"/>
      <c r="X134" s="152"/>
      <c r="Y134" s="152"/>
      <c r="Z134" s="152"/>
    </row>
    <row r="135" spans="1:26" x14ac:dyDescent="0.3">
      <c r="A135" s="129"/>
      <c r="B135" s="152"/>
      <c r="C135" s="162"/>
      <c r="D135" s="152"/>
      <c r="E135" s="152"/>
      <c r="F135" s="152"/>
      <c r="G135" s="152"/>
      <c r="H135" s="152"/>
      <c r="I135" s="54"/>
      <c r="J135" s="54"/>
      <c r="K135" s="152"/>
      <c r="L135" s="152"/>
      <c r="M135" s="152"/>
      <c r="N135" s="152"/>
      <c r="O135" s="152"/>
      <c r="P135" s="152"/>
      <c r="Q135" s="152"/>
      <c r="R135" s="152"/>
      <c r="S135" s="152"/>
      <c r="T135" s="152"/>
      <c r="U135" s="152"/>
      <c r="V135" s="152"/>
      <c r="W135" s="152"/>
      <c r="X135" s="152"/>
      <c r="Y135" s="152"/>
      <c r="Z135" s="152"/>
    </row>
    <row r="136" spans="1:26" x14ac:dyDescent="0.3">
      <c r="A136" s="129"/>
      <c r="B136" s="152"/>
      <c r="C136" s="162"/>
      <c r="D136" s="152"/>
      <c r="E136" s="152"/>
      <c r="F136" s="152"/>
      <c r="G136" s="152"/>
      <c r="H136" s="152"/>
      <c r="I136" s="54"/>
      <c r="J136" s="54"/>
      <c r="K136" s="152"/>
      <c r="L136" s="152"/>
      <c r="M136" s="152"/>
      <c r="N136" s="152"/>
      <c r="O136" s="152"/>
      <c r="P136" s="152"/>
      <c r="Q136" s="152"/>
      <c r="R136" s="152"/>
      <c r="S136" s="152"/>
      <c r="T136" s="152"/>
      <c r="U136" s="152"/>
      <c r="V136" s="152"/>
      <c r="W136" s="152"/>
      <c r="X136" s="152"/>
      <c r="Y136" s="152"/>
      <c r="Z136" s="152"/>
    </row>
    <row r="137" spans="1:26" x14ac:dyDescent="0.3">
      <c r="A137" s="129"/>
      <c r="B137" s="152"/>
      <c r="C137" s="162"/>
      <c r="D137" s="152"/>
      <c r="E137" s="152"/>
      <c r="F137" s="152"/>
      <c r="G137" s="152"/>
      <c r="H137" s="152"/>
      <c r="I137" s="54"/>
      <c r="J137" s="54"/>
      <c r="K137" s="152"/>
      <c r="L137" s="152"/>
      <c r="M137" s="152"/>
      <c r="N137" s="152"/>
      <c r="O137" s="152"/>
      <c r="P137" s="152"/>
      <c r="Q137" s="152"/>
      <c r="R137" s="152"/>
      <c r="S137" s="152"/>
      <c r="T137" s="152"/>
      <c r="U137" s="152"/>
      <c r="V137" s="152"/>
      <c r="W137" s="152"/>
      <c r="X137" s="152"/>
      <c r="Y137" s="152"/>
      <c r="Z137" s="152"/>
    </row>
    <row r="138" spans="1:26" x14ac:dyDescent="0.3">
      <c r="A138" s="129"/>
      <c r="B138" s="152"/>
      <c r="C138" s="162"/>
      <c r="D138" s="152"/>
      <c r="E138" s="152"/>
      <c r="F138" s="152"/>
      <c r="G138" s="152"/>
      <c r="H138" s="152"/>
      <c r="I138" s="54"/>
      <c r="J138" s="54"/>
      <c r="K138" s="152"/>
      <c r="L138" s="152"/>
      <c r="M138" s="152"/>
      <c r="N138" s="152"/>
      <c r="O138" s="152"/>
      <c r="P138" s="152"/>
      <c r="Q138" s="152"/>
      <c r="R138" s="152"/>
      <c r="S138" s="152"/>
      <c r="T138" s="152"/>
      <c r="U138" s="152"/>
      <c r="V138" s="152"/>
      <c r="W138" s="152"/>
      <c r="X138" s="152"/>
      <c r="Y138" s="152"/>
      <c r="Z138" s="152"/>
    </row>
    <row r="139" spans="1:26" x14ac:dyDescent="0.3">
      <c r="A139" s="129"/>
      <c r="B139" s="152"/>
      <c r="C139" s="162"/>
      <c r="D139" s="152"/>
      <c r="E139" s="152"/>
      <c r="F139" s="152"/>
      <c r="G139" s="152"/>
      <c r="H139" s="152"/>
      <c r="I139" s="54"/>
      <c r="J139" s="54"/>
      <c r="K139" s="152"/>
      <c r="L139" s="152"/>
      <c r="M139" s="152"/>
      <c r="N139" s="152"/>
      <c r="O139" s="152"/>
      <c r="P139" s="152"/>
      <c r="Q139" s="152"/>
      <c r="R139" s="152"/>
      <c r="S139" s="152"/>
      <c r="T139" s="152"/>
      <c r="U139" s="152"/>
      <c r="V139" s="152"/>
      <c r="W139" s="152"/>
      <c r="X139" s="152"/>
      <c r="Y139" s="152"/>
      <c r="Z139" s="152"/>
    </row>
    <row r="140" spans="1:26" x14ac:dyDescent="0.3">
      <c r="A140" s="129"/>
      <c r="B140" s="152"/>
      <c r="C140" s="162"/>
      <c r="D140" s="152"/>
      <c r="E140" s="152"/>
      <c r="F140" s="152"/>
      <c r="G140" s="152"/>
      <c r="H140" s="152"/>
      <c r="I140" s="54"/>
      <c r="J140" s="54"/>
      <c r="K140" s="152"/>
      <c r="L140" s="152"/>
      <c r="M140" s="152"/>
      <c r="N140" s="152"/>
      <c r="O140" s="152"/>
      <c r="P140" s="152"/>
      <c r="Q140" s="152"/>
      <c r="R140" s="152"/>
      <c r="S140" s="152"/>
      <c r="T140" s="152"/>
      <c r="U140" s="152"/>
      <c r="V140" s="152"/>
      <c r="W140" s="152"/>
      <c r="X140" s="152"/>
      <c r="Y140" s="152"/>
      <c r="Z140" s="152"/>
    </row>
    <row r="141" spans="1:26" x14ac:dyDescent="0.3">
      <c r="A141" s="129"/>
      <c r="B141" s="152"/>
      <c r="C141" s="162"/>
      <c r="D141" s="54"/>
      <c r="E141" s="152"/>
      <c r="F141" s="152"/>
      <c r="G141" s="152"/>
      <c r="H141" s="152"/>
      <c r="I141" s="152"/>
      <c r="J141" s="54"/>
      <c r="K141" s="152"/>
      <c r="L141" s="152"/>
      <c r="M141" s="152"/>
      <c r="N141" s="152"/>
      <c r="O141" s="152"/>
      <c r="P141" s="152"/>
      <c r="Q141" s="152"/>
      <c r="R141" s="152"/>
      <c r="S141" s="152"/>
      <c r="T141" s="152"/>
      <c r="U141" s="152"/>
      <c r="V141" s="152"/>
      <c r="W141" s="152"/>
      <c r="X141" s="152"/>
      <c r="Y141" s="152"/>
      <c r="Z141" s="152"/>
    </row>
    <row r="142" spans="1:26" x14ac:dyDescent="0.3">
      <c r="A142" s="129"/>
      <c r="B142" s="152"/>
      <c r="C142" s="162"/>
      <c r="D142" s="54"/>
      <c r="E142" s="152"/>
      <c r="F142" s="152"/>
      <c r="G142" s="152"/>
      <c r="H142" s="152"/>
      <c r="I142" s="152"/>
      <c r="J142" s="54"/>
      <c r="K142" s="152"/>
      <c r="L142" s="152"/>
      <c r="M142" s="152"/>
      <c r="N142" s="152"/>
      <c r="O142" s="152"/>
      <c r="P142" s="152"/>
      <c r="Q142" s="152"/>
      <c r="R142" s="152"/>
      <c r="S142" s="152"/>
      <c r="T142" s="152"/>
      <c r="U142" s="152"/>
      <c r="V142" s="152"/>
      <c r="W142" s="163"/>
      <c r="X142" s="152"/>
      <c r="Y142" s="152"/>
      <c r="Z142" s="152"/>
    </row>
    <row r="143" spans="1:26" x14ac:dyDescent="0.3">
      <c r="A143" s="129"/>
      <c r="B143" s="152"/>
      <c r="C143" s="162"/>
      <c r="D143" s="54"/>
      <c r="E143" s="152"/>
      <c r="F143" s="152"/>
      <c r="G143" s="152"/>
      <c r="H143" s="152"/>
      <c r="I143" s="152"/>
      <c r="J143" s="54"/>
      <c r="K143" s="152"/>
      <c r="L143" s="152"/>
      <c r="M143" s="152"/>
      <c r="N143" s="152"/>
      <c r="O143" s="152"/>
      <c r="P143" s="152"/>
      <c r="Q143" s="152"/>
      <c r="R143" s="163"/>
      <c r="S143" s="152"/>
      <c r="T143" s="152"/>
      <c r="U143" s="152"/>
      <c r="V143" s="152"/>
      <c r="W143" s="163"/>
      <c r="X143" s="152"/>
      <c r="Y143" s="152"/>
      <c r="Z143" s="152"/>
    </row>
    <row r="144" spans="1:26" x14ac:dyDescent="0.3">
      <c r="A144" s="129"/>
      <c r="B144" s="152"/>
      <c r="C144" s="162"/>
      <c r="D144" s="54"/>
      <c r="E144" s="152"/>
      <c r="F144" s="152"/>
      <c r="G144" s="152"/>
      <c r="H144" s="152"/>
      <c r="I144" s="152"/>
      <c r="J144" s="54"/>
      <c r="K144" s="152"/>
      <c r="L144" s="152"/>
      <c r="M144" s="152"/>
      <c r="N144" s="152"/>
      <c r="O144" s="152"/>
      <c r="P144" s="152"/>
      <c r="Q144" s="152"/>
      <c r="R144" s="163"/>
      <c r="S144" s="152"/>
      <c r="T144" s="152"/>
      <c r="U144" s="152"/>
      <c r="V144" s="152"/>
      <c r="W144" s="163"/>
      <c r="X144" s="152"/>
      <c r="Y144" s="152"/>
      <c r="Z144" s="152"/>
    </row>
    <row r="145" spans="1:26" x14ac:dyDescent="0.3">
      <c r="A145" s="129"/>
      <c r="B145" s="152"/>
      <c r="C145" s="162"/>
      <c r="D145" s="54"/>
      <c r="E145" s="152"/>
      <c r="F145" s="152"/>
      <c r="G145" s="152"/>
      <c r="H145" s="152"/>
      <c r="I145" s="152"/>
      <c r="J145" s="54"/>
      <c r="K145" s="152"/>
      <c r="L145" s="163"/>
      <c r="M145" s="152"/>
      <c r="N145" s="152"/>
      <c r="O145" s="152"/>
      <c r="P145" s="152"/>
      <c r="Q145" s="152"/>
      <c r="R145" s="152"/>
      <c r="S145" s="152"/>
      <c r="T145" s="152"/>
      <c r="U145" s="152"/>
      <c r="V145" s="152"/>
      <c r="W145" s="152"/>
      <c r="X145" s="152"/>
      <c r="Y145" s="152"/>
      <c r="Z145" s="152"/>
    </row>
    <row r="146" spans="1:26" x14ac:dyDescent="0.3">
      <c r="A146" s="129"/>
      <c r="B146" s="152"/>
      <c r="C146" s="162"/>
      <c r="D146" s="54"/>
      <c r="E146" s="152"/>
      <c r="F146" s="152"/>
      <c r="G146" s="152"/>
      <c r="H146" s="152"/>
      <c r="I146" s="152"/>
      <c r="J146" s="54"/>
      <c r="K146" s="152"/>
      <c r="L146" s="152"/>
      <c r="M146" s="152"/>
      <c r="N146" s="152"/>
      <c r="O146" s="152"/>
      <c r="P146" s="152"/>
      <c r="Q146" s="152"/>
      <c r="R146" s="152"/>
      <c r="S146" s="152"/>
      <c r="T146" s="152"/>
      <c r="U146" s="152"/>
      <c r="V146" s="163"/>
      <c r="W146" s="163"/>
      <c r="X146" s="163"/>
      <c r="Y146" s="152"/>
      <c r="Z146" s="152"/>
    </row>
    <row r="147" spans="1:26" x14ac:dyDescent="0.3">
      <c r="A147" s="129"/>
      <c r="B147" s="152"/>
      <c r="C147" s="162"/>
      <c r="D147" s="54"/>
      <c r="E147" s="152"/>
      <c r="F147" s="152"/>
      <c r="G147" s="152"/>
      <c r="H147" s="152"/>
      <c r="I147" s="165"/>
      <c r="J147" s="54"/>
      <c r="K147" s="152"/>
      <c r="L147" s="163"/>
      <c r="M147" s="152"/>
      <c r="N147" s="163"/>
      <c r="O147" s="152"/>
      <c r="P147" s="152"/>
      <c r="Q147" s="152"/>
      <c r="R147" s="152"/>
      <c r="S147" s="152"/>
      <c r="T147" s="152"/>
      <c r="U147" s="152"/>
      <c r="V147" s="152"/>
      <c r="W147" s="152"/>
      <c r="X147" s="152"/>
      <c r="Y147" s="165"/>
      <c r="Z147" s="165"/>
    </row>
    <row r="148" spans="1:26" x14ac:dyDescent="0.3">
      <c r="A148" s="129"/>
      <c r="B148" s="152"/>
      <c r="C148" s="162"/>
      <c r="D148" s="54"/>
      <c r="E148" s="152"/>
      <c r="F148" s="152"/>
      <c r="G148" s="152"/>
      <c r="H148" s="152"/>
      <c r="I148" s="152"/>
      <c r="J148" s="54"/>
      <c r="K148" s="152"/>
      <c r="L148" s="163"/>
      <c r="M148" s="152"/>
      <c r="N148" s="152"/>
      <c r="O148" s="152"/>
      <c r="P148" s="152"/>
      <c r="Q148" s="152"/>
      <c r="R148" s="152"/>
      <c r="S148" s="152"/>
      <c r="T148" s="152"/>
      <c r="U148" s="152"/>
      <c r="V148" s="152"/>
      <c r="W148" s="152"/>
      <c r="X148" s="152"/>
      <c r="Y148" s="152"/>
      <c r="Z148" s="152"/>
    </row>
    <row r="149" spans="1:26" x14ac:dyDescent="0.3">
      <c r="A149" s="129"/>
      <c r="B149" s="152"/>
      <c r="C149" s="162"/>
      <c r="D149" s="54"/>
      <c r="E149" s="152"/>
      <c r="F149" s="152"/>
      <c r="G149" s="152"/>
      <c r="H149" s="152"/>
      <c r="I149" s="152"/>
      <c r="J149" s="54"/>
      <c r="K149" s="152"/>
      <c r="L149" s="163"/>
      <c r="M149" s="152"/>
      <c r="N149" s="163"/>
      <c r="O149" s="152"/>
      <c r="P149" s="152"/>
      <c r="Q149" s="152"/>
      <c r="R149" s="152"/>
      <c r="S149" s="152"/>
      <c r="T149" s="152"/>
      <c r="U149" s="152"/>
      <c r="V149" s="152"/>
      <c r="W149" s="152"/>
      <c r="X149" s="152"/>
      <c r="Y149" s="152"/>
      <c r="Z149" s="152"/>
    </row>
    <row r="150" spans="1:26" x14ac:dyDescent="0.3">
      <c r="A150" s="129"/>
      <c r="B150" s="152"/>
      <c r="C150" s="162"/>
      <c r="D150" s="54"/>
      <c r="E150" s="152"/>
      <c r="F150" s="152"/>
      <c r="G150" s="152"/>
      <c r="H150" s="152"/>
      <c r="I150" s="152"/>
      <c r="J150" s="54"/>
      <c r="K150" s="152"/>
      <c r="L150" s="163"/>
      <c r="M150" s="152"/>
      <c r="N150" s="152"/>
      <c r="O150" s="152"/>
      <c r="P150" s="152"/>
      <c r="Q150" s="152"/>
      <c r="R150" s="152"/>
      <c r="S150" s="152"/>
      <c r="T150" s="152"/>
      <c r="U150" s="152"/>
      <c r="V150" s="152"/>
      <c r="W150" s="152"/>
      <c r="X150" s="152"/>
      <c r="Y150" s="152"/>
      <c r="Z150" s="152"/>
    </row>
    <row r="151" spans="1:26" x14ac:dyDescent="0.3">
      <c r="A151" s="129"/>
      <c r="B151" s="152"/>
      <c r="C151" s="162"/>
      <c r="D151" s="54"/>
      <c r="E151" s="152"/>
      <c r="F151" s="152"/>
      <c r="G151" s="152"/>
      <c r="H151" s="152"/>
      <c r="I151" s="152"/>
      <c r="J151" s="54"/>
      <c r="K151" s="152"/>
      <c r="L151" s="163"/>
      <c r="M151" s="152"/>
      <c r="N151" s="152"/>
      <c r="O151" s="152"/>
      <c r="P151" s="152"/>
      <c r="Q151" s="152"/>
      <c r="R151" s="152"/>
      <c r="S151" s="152"/>
      <c r="T151" s="152"/>
      <c r="U151" s="152"/>
      <c r="V151" s="152"/>
      <c r="W151" s="152"/>
      <c r="X151" s="152"/>
      <c r="Y151" s="152"/>
      <c r="Z151" s="152"/>
    </row>
    <row r="152" spans="1:26" x14ac:dyDescent="0.3">
      <c r="A152" s="129"/>
      <c r="B152" s="152"/>
      <c r="C152" s="162"/>
      <c r="D152" s="54"/>
      <c r="E152" s="152"/>
      <c r="F152" s="152"/>
      <c r="G152" s="152"/>
      <c r="H152" s="152"/>
      <c r="I152" s="152"/>
      <c r="J152" s="54"/>
      <c r="K152" s="152"/>
      <c r="L152" s="163"/>
      <c r="M152" s="152"/>
      <c r="N152" s="152"/>
      <c r="O152" s="152"/>
      <c r="P152" s="152"/>
      <c r="Q152" s="152"/>
      <c r="R152" s="152"/>
      <c r="S152" s="152"/>
      <c r="T152" s="152"/>
      <c r="U152" s="152"/>
      <c r="V152" s="152"/>
      <c r="W152" s="152"/>
      <c r="X152" s="152"/>
      <c r="Y152" s="152"/>
      <c r="Z152" s="152"/>
    </row>
    <row r="153" spans="1:26" x14ac:dyDescent="0.3">
      <c r="A153" s="129"/>
      <c r="B153" s="152"/>
      <c r="C153" s="162"/>
      <c r="D153" s="54"/>
      <c r="E153" s="152"/>
      <c r="F153" s="152"/>
      <c r="G153" s="152"/>
      <c r="H153" s="152"/>
      <c r="I153" s="165"/>
      <c r="J153" s="54"/>
      <c r="K153" s="152"/>
      <c r="L153" s="163"/>
      <c r="M153" s="152"/>
      <c r="N153" s="152"/>
      <c r="O153" s="152"/>
      <c r="P153" s="152"/>
      <c r="Q153" s="152"/>
      <c r="R153" s="152"/>
      <c r="S153" s="152"/>
      <c r="T153" s="152"/>
      <c r="U153" s="152"/>
      <c r="V153" s="152"/>
      <c r="W153" s="152"/>
      <c r="X153" s="152"/>
      <c r="Y153" s="165"/>
      <c r="Z153" s="165"/>
    </row>
    <row r="154" spans="1:26" x14ac:dyDescent="0.3">
      <c r="A154" s="129"/>
      <c r="B154" s="152"/>
      <c r="C154" s="162"/>
      <c r="D154" s="54"/>
      <c r="E154" s="152"/>
      <c r="F154" s="152"/>
      <c r="G154" s="152"/>
      <c r="H154" s="152"/>
      <c r="I154" s="165"/>
      <c r="J154" s="54"/>
      <c r="K154" s="152"/>
      <c r="L154" s="163"/>
      <c r="M154" s="152"/>
      <c r="N154" s="152"/>
      <c r="O154" s="152"/>
      <c r="P154" s="152"/>
      <c r="Q154" s="152"/>
      <c r="R154" s="152"/>
      <c r="S154" s="152"/>
      <c r="T154" s="152"/>
      <c r="U154" s="152"/>
      <c r="V154" s="152"/>
      <c r="W154" s="152"/>
      <c r="X154" s="152"/>
      <c r="Y154" s="165"/>
      <c r="Z154" s="165"/>
    </row>
    <row r="155" spans="1:26" x14ac:dyDescent="0.3">
      <c r="A155" s="129"/>
      <c r="B155" s="152"/>
      <c r="C155" s="162"/>
      <c r="D155" s="54"/>
      <c r="E155" s="152"/>
      <c r="F155" s="152"/>
      <c r="G155" s="152"/>
      <c r="H155" s="152"/>
      <c r="I155" s="165"/>
      <c r="J155" s="54"/>
      <c r="K155" s="152"/>
      <c r="L155" s="163"/>
      <c r="M155" s="152"/>
      <c r="N155" s="152"/>
      <c r="O155" s="152"/>
      <c r="P155" s="152"/>
      <c r="Q155" s="152"/>
      <c r="R155" s="152"/>
      <c r="S155" s="152"/>
      <c r="T155" s="152"/>
      <c r="U155" s="152"/>
      <c r="V155" s="152"/>
      <c r="W155" s="152"/>
      <c r="X155" s="152"/>
      <c r="Y155" s="165"/>
      <c r="Z155" s="165"/>
    </row>
    <row r="156" spans="1:26" x14ac:dyDescent="0.3">
      <c r="A156" s="129"/>
      <c r="B156" s="152"/>
      <c r="C156" s="162"/>
      <c r="D156" s="54"/>
      <c r="E156" s="152"/>
      <c r="F156" s="152"/>
      <c r="G156" s="152"/>
      <c r="H156" s="152"/>
      <c r="I156" s="165"/>
      <c r="J156" s="54"/>
      <c r="K156" s="152"/>
      <c r="L156" s="152"/>
      <c r="M156" s="152"/>
      <c r="N156" s="152"/>
      <c r="O156" s="152"/>
      <c r="P156" s="152"/>
      <c r="Q156" s="152"/>
      <c r="R156" s="152"/>
      <c r="S156" s="152"/>
      <c r="T156" s="152"/>
      <c r="U156" s="152"/>
      <c r="V156" s="152"/>
      <c r="W156" s="152"/>
      <c r="X156" s="152"/>
      <c r="Y156" s="165"/>
      <c r="Z156" s="165"/>
    </row>
    <row r="157" spans="1:26" x14ac:dyDescent="0.3">
      <c r="A157" s="129"/>
      <c r="B157" s="152"/>
      <c r="C157" s="162"/>
      <c r="D157" s="54"/>
      <c r="E157" s="152"/>
      <c r="F157" s="152"/>
      <c r="G157" s="152"/>
      <c r="H157" s="152"/>
      <c r="I157" s="152"/>
      <c r="J157" s="54"/>
      <c r="K157" s="152"/>
      <c r="L157" s="152"/>
      <c r="M157" s="152"/>
      <c r="N157" s="152"/>
      <c r="O157" s="152"/>
      <c r="P157" s="152"/>
      <c r="Q157" s="152"/>
      <c r="R157" s="152"/>
      <c r="S157" s="152"/>
      <c r="T157" s="152"/>
      <c r="U157" s="152"/>
      <c r="V157" s="152"/>
      <c r="W157" s="152"/>
      <c r="X157" s="152"/>
      <c r="Y157" s="152"/>
      <c r="Z157" s="152"/>
    </row>
    <row r="158" spans="1:26" x14ac:dyDescent="0.3">
      <c r="A158" s="129"/>
      <c r="B158" s="152"/>
      <c r="C158" s="162"/>
      <c r="D158" s="54"/>
      <c r="E158" s="152"/>
      <c r="F158" s="152"/>
      <c r="G158" s="152"/>
      <c r="H158" s="152"/>
      <c r="I158" s="152"/>
      <c r="J158" s="54"/>
      <c r="K158" s="152"/>
      <c r="L158" s="163"/>
      <c r="M158" s="152"/>
      <c r="N158" s="152"/>
      <c r="O158" s="152"/>
      <c r="P158" s="152"/>
      <c r="Q158" s="152"/>
      <c r="R158" s="152"/>
      <c r="S158" s="152"/>
      <c r="T158" s="152"/>
      <c r="U158" s="152"/>
      <c r="V158" s="163"/>
      <c r="W158" s="152"/>
      <c r="X158" s="152"/>
      <c r="Y158" s="152"/>
      <c r="Z158" s="152"/>
    </row>
    <row r="159" spans="1:26" x14ac:dyDescent="0.3">
      <c r="A159" s="129"/>
      <c r="B159" s="152"/>
      <c r="C159" s="162"/>
      <c r="D159" s="54"/>
      <c r="E159" s="152"/>
      <c r="F159" s="152"/>
      <c r="G159" s="152"/>
      <c r="H159" s="152"/>
      <c r="I159" s="152"/>
      <c r="J159" s="54"/>
      <c r="K159" s="152"/>
      <c r="L159" s="163"/>
      <c r="M159" s="152"/>
      <c r="N159" s="163"/>
      <c r="O159" s="152"/>
      <c r="P159" s="152"/>
      <c r="Q159" s="152"/>
      <c r="R159" s="152"/>
      <c r="S159" s="152"/>
      <c r="T159" s="152"/>
      <c r="U159" s="152"/>
      <c r="V159" s="152"/>
      <c r="W159" s="163"/>
      <c r="X159" s="152"/>
      <c r="Y159" s="152"/>
      <c r="Z159" s="152"/>
    </row>
    <row r="160" spans="1:26" x14ac:dyDescent="0.3">
      <c r="A160" s="129"/>
      <c r="B160" s="152"/>
      <c r="C160" s="162"/>
      <c r="D160" s="54"/>
      <c r="E160" s="152"/>
      <c r="F160" s="152"/>
      <c r="G160" s="152"/>
      <c r="H160" s="152"/>
      <c r="I160" s="152"/>
      <c r="J160" s="54"/>
      <c r="K160" s="152"/>
      <c r="L160" s="152"/>
      <c r="M160" s="152"/>
      <c r="N160" s="163"/>
      <c r="O160" s="152"/>
      <c r="P160" s="163"/>
      <c r="Q160" s="152"/>
      <c r="R160" s="163"/>
      <c r="S160" s="152"/>
      <c r="T160" s="152"/>
      <c r="U160" s="152"/>
      <c r="V160" s="163"/>
      <c r="W160" s="163"/>
      <c r="X160" s="152"/>
      <c r="Y160" s="152"/>
      <c r="Z160" s="152"/>
    </row>
    <row r="161" spans="1:26" x14ac:dyDescent="0.3">
      <c r="A161" s="129"/>
      <c r="B161" s="152"/>
      <c r="C161" s="162"/>
      <c r="D161" s="54"/>
      <c r="E161" s="152"/>
      <c r="F161" s="152"/>
      <c r="G161" s="152"/>
      <c r="H161" s="152"/>
      <c r="I161" s="152"/>
      <c r="J161" s="54"/>
      <c r="K161" s="152"/>
      <c r="L161" s="163"/>
      <c r="M161" s="152"/>
      <c r="N161" s="152"/>
      <c r="O161" s="152"/>
      <c r="P161" s="152"/>
      <c r="Q161" s="152"/>
      <c r="R161" s="152"/>
      <c r="S161" s="152"/>
      <c r="T161" s="152"/>
      <c r="U161" s="152"/>
      <c r="V161" s="152"/>
      <c r="W161" s="152"/>
      <c r="X161" s="152"/>
      <c r="Y161" s="152"/>
      <c r="Z161" s="152"/>
    </row>
    <row r="162" spans="1:26" x14ac:dyDescent="0.3">
      <c r="A162" s="129"/>
      <c r="B162" s="152"/>
      <c r="C162" s="162"/>
      <c r="D162" s="54"/>
      <c r="E162" s="152"/>
      <c r="F162" s="152"/>
      <c r="G162" s="152"/>
      <c r="H162" s="152"/>
      <c r="I162" s="152"/>
      <c r="J162" s="54"/>
      <c r="K162" s="152"/>
      <c r="L162" s="163"/>
      <c r="M162" s="152"/>
      <c r="N162" s="152"/>
      <c r="O162" s="152"/>
      <c r="P162" s="152"/>
      <c r="Q162" s="152"/>
      <c r="R162" s="152"/>
      <c r="S162" s="152"/>
      <c r="T162" s="152"/>
      <c r="U162" s="152"/>
      <c r="V162" s="152"/>
      <c r="W162" s="152"/>
      <c r="X162" s="152"/>
      <c r="Y162" s="152"/>
      <c r="Z162" s="152"/>
    </row>
    <row r="163" spans="1:26" x14ac:dyDescent="0.3">
      <c r="A163" s="129"/>
      <c r="B163" s="152"/>
      <c r="C163" s="162"/>
      <c r="D163" s="54"/>
      <c r="E163" s="152"/>
      <c r="F163" s="152"/>
      <c r="G163" s="152"/>
      <c r="H163" s="152"/>
      <c r="I163" s="165"/>
      <c r="J163" s="54"/>
      <c r="K163" s="152"/>
      <c r="L163" s="152"/>
      <c r="M163" s="152"/>
      <c r="N163" s="152"/>
      <c r="O163" s="152"/>
      <c r="P163" s="152"/>
      <c r="Q163" s="152"/>
      <c r="R163" s="152"/>
      <c r="S163" s="152"/>
      <c r="T163" s="152"/>
      <c r="U163" s="152"/>
      <c r="V163" s="152"/>
      <c r="W163" s="152"/>
      <c r="X163" s="152"/>
      <c r="Y163" s="165"/>
      <c r="Z163" s="165"/>
    </row>
    <row r="164" spans="1:26" x14ac:dyDescent="0.3">
      <c r="A164" s="129"/>
      <c r="B164" s="152"/>
      <c r="C164" s="162"/>
      <c r="D164" s="54"/>
      <c r="E164" s="152"/>
      <c r="F164" s="152"/>
      <c r="G164" s="152"/>
      <c r="H164" s="152"/>
      <c r="I164" s="152"/>
      <c r="J164" s="54"/>
      <c r="K164" s="152"/>
      <c r="L164" s="163"/>
      <c r="M164" s="152"/>
      <c r="N164" s="163"/>
      <c r="O164" s="152"/>
      <c r="P164" s="152"/>
      <c r="Q164" s="152"/>
      <c r="R164" s="152"/>
      <c r="S164" s="152"/>
      <c r="T164" s="152"/>
      <c r="U164" s="152"/>
      <c r="V164" s="152"/>
      <c r="W164" s="163"/>
      <c r="X164" s="152"/>
      <c r="Y164" s="152"/>
      <c r="Z164" s="152"/>
    </row>
    <row r="165" spans="1:26" x14ac:dyDescent="0.3">
      <c r="A165" s="129"/>
      <c r="B165" s="152"/>
      <c r="C165" s="162"/>
      <c r="D165" s="54"/>
      <c r="E165" s="152"/>
      <c r="F165" s="152"/>
      <c r="G165" s="152"/>
      <c r="H165" s="152"/>
      <c r="I165" s="152"/>
      <c r="J165" s="54"/>
      <c r="K165" s="152"/>
      <c r="L165" s="163"/>
      <c r="M165" s="152"/>
      <c r="N165" s="152"/>
      <c r="O165" s="152"/>
      <c r="P165" s="152"/>
      <c r="Q165" s="152"/>
      <c r="R165" s="163"/>
      <c r="S165" s="152"/>
      <c r="T165" s="152"/>
      <c r="U165" s="152"/>
      <c r="V165" s="152"/>
      <c r="W165" s="163"/>
      <c r="X165" s="152"/>
      <c r="Y165" s="152"/>
      <c r="Z165" s="152"/>
    </row>
    <row r="166" spans="1:26" x14ac:dyDescent="0.3">
      <c r="A166" s="129"/>
      <c r="B166" s="152"/>
      <c r="C166" s="162"/>
      <c r="D166" s="54"/>
      <c r="E166" s="152"/>
      <c r="F166" s="152"/>
      <c r="G166" s="152"/>
      <c r="H166" s="152"/>
      <c r="I166" s="165"/>
      <c r="J166" s="54"/>
      <c r="K166" s="152"/>
      <c r="L166" s="163"/>
      <c r="M166" s="152"/>
      <c r="N166" s="152"/>
      <c r="O166" s="152"/>
      <c r="P166" s="152"/>
      <c r="Q166" s="152"/>
      <c r="R166" s="152"/>
      <c r="S166" s="152"/>
      <c r="T166" s="152"/>
      <c r="U166" s="152"/>
      <c r="V166" s="152"/>
      <c r="W166" s="152"/>
      <c r="X166" s="152"/>
      <c r="Y166" s="165"/>
      <c r="Z166" s="165"/>
    </row>
    <row r="167" spans="1:26" x14ac:dyDescent="0.3">
      <c r="A167" s="129"/>
      <c r="B167" s="152"/>
      <c r="C167" s="162"/>
      <c r="D167" s="54"/>
      <c r="E167" s="152"/>
      <c r="F167" s="152"/>
      <c r="G167" s="152"/>
      <c r="H167" s="152"/>
      <c r="I167" s="165"/>
      <c r="J167" s="54"/>
      <c r="K167" s="152"/>
      <c r="L167" s="163"/>
      <c r="M167" s="152"/>
      <c r="N167" s="152"/>
      <c r="O167" s="152"/>
      <c r="P167" s="152"/>
      <c r="Q167" s="152"/>
      <c r="R167" s="152"/>
      <c r="S167" s="152"/>
      <c r="T167" s="152"/>
      <c r="U167" s="152"/>
      <c r="V167" s="152"/>
      <c r="W167" s="152"/>
      <c r="X167" s="152"/>
      <c r="Y167" s="165"/>
      <c r="Z167" s="165"/>
    </row>
    <row r="168" spans="1:26" x14ac:dyDescent="0.3">
      <c r="A168" s="129"/>
      <c r="B168" s="152"/>
      <c r="C168" s="162"/>
      <c r="D168" s="54"/>
      <c r="E168" s="152"/>
      <c r="F168" s="152"/>
      <c r="G168" s="152"/>
      <c r="H168" s="152"/>
      <c r="I168" s="152"/>
      <c r="J168" s="54"/>
      <c r="K168" s="152"/>
      <c r="L168" s="152"/>
      <c r="M168" s="152"/>
      <c r="N168" s="152"/>
      <c r="O168" s="152"/>
      <c r="P168" s="152"/>
      <c r="Q168" s="152"/>
      <c r="R168" s="152"/>
      <c r="S168" s="152"/>
      <c r="T168" s="152"/>
      <c r="U168" s="152"/>
      <c r="V168" s="152"/>
      <c r="W168" s="152"/>
      <c r="X168" s="152"/>
      <c r="Y168" s="152"/>
      <c r="Z168" s="152"/>
    </row>
    <row r="169" spans="1:26" x14ac:dyDescent="0.3">
      <c r="A169" s="129"/>
      <c r="B169" s="152"/>
      <c r="C169" s="162"/>
      <c r="D169" s="54"/>
      <c r="E169" s="152"/>
      <c r="F169" s="152"/>
      <c r="G169" s="152"/>
      <c r="H169" s="152"/>
      <c r="I169" s="152"/>
      <c r="J169" s="54"/>
      <c r="K169" s="152"/>
      <c r="L169" s="152"/>
      <c r="M169" s="152"/>
      <c r="N169" s="163"/>
      <c r="O169" s="152"/>
      <c r="P169" s="152"/>
      <c r="Q169" s="152"/>
      <c r="R169" s="152"/>
      <c r="S169" s="152"/>
      <c r="T169" s="152"/>
      <c r="U169" s="152"/>
      <c r="V169" s="163"/>
      <c r="W169" s="152"/>
      <c r="X169" s="163"/>
      <c r="Y169" s="152"/>
      <c r="Z169" s="152"/>
    </row>
    <row r="170" spans="1:26" x14ac:dyDescent="0.3">
      <c r="A170" s="129"/>
      <c r="B170" s="152"/>
      <c r="C170" s="162"/>
      <c r="D170" s="54"/>
      <c r="E170" s="152"/>
      <c r="F170" s="152"/>
      <c r="G170" s="152"/>
      <c r="H170" s="152"/>
      <c r="I170" s="152"/>
      <c r="J170" s="54"/>
      <c r="K170" s="152"/>
      <c r="L170" s="152"/>
      <c r="M170" s="152"/>
      <c r="N170" s="152"/>
      <c r="O170" s="152"/>
      <c r="P170" s="152"/>
      <c r="Q170" s="152"/>
      <c r="R170" s="152"/>
      <c r="S170" s="152"/>
      <c r="T170" s="152"/>
      <c r="U170" s="152"/>
      <c r="V170" s="152"/>
      <c r="W170" s="152"/>
      <c r="X170" s="152"/>
      <c r="Y170" s="152"/>
      <c r="Z170" s="152"/>
    </row>
    <row r="171" spans="1:26" x14ac:dyDescent="0.3">
      <c r="A171" s="129"/>
      <c r="B171" s="152"/>
      <c r="C171" s="162"/>
      <c r="D171" s="54"/>
      <c r="E171" s="152"/>
      <c r="F171" s="152"/>
      <c r="G171" s="152"/>
      <c r="H171" s="152"/>
      <c r="I171" s="152"/>
      <c r="J171" s="54"/>
      <c r="K171" s="152"/>
      <c r="L171" s="152"/>
      <c r="M171" s="152"/>
      <c r="N171" s="152"/>
      <c r="O171" s="152"/>
      <c r="P171" s="152"/>
      <c r="Q171" s="152"/>
      <c r="R171" s="152"/>
      <c r="S171" s="152"/>
      <c r="T171" s="152"/>
      <c r="U171" s="152"/>
      <c r="V171" s="152"/>
      <c r="W171" s="152"/>
      <c r="X171" s="152"/>
      <c r="Y171" s="152"/>
      <c r="Z171" s="152"/>
    </row>
    <row r="172" spans="1:26" x14ac:dyDescent="0.3">
      <c r="A172" s="129"/>
      <c r="B172" s="152"/>
      <c r="C172" s="162"/>
      <c r="D172" s="54"/>
      <c r="E172" s="152"/>
      <c r="F172" s="152"/>
      <c r="G172" s="152"/>
      <c r="H172" s="152"/>
      <c r="I172" s="152"/>
      <c r="J172" s="54"/>
      <c r="K172" s="152"/>
      <c r="L172" s="152"/>
      <c r="M172" s="152"/>
      <c r="N172" s="152"/>
      <c r="O172" s="152"/>
      <c r="P172" s="152"/>
      <c r="Q172" s="152"/>
      <c r="R172" s="152"/>
      <c r="S172" s="152"/>
      <c r="T172" s="152"/>
      <c r="U172" s="152"/>
      <c r="V172" s="152"/>
      <c r="W172" s="152"/>
      <c r="X172" s="152"/>
      <c r="Y172" s="152"/>
      <c r="Z172" s="152"/>
    </row>
    <row r="173" spans="1:26" x14ac:dyDescent="0.3">
      <c r="A173" s="129"/>
      <c r="B173" s="152"/>
      <c r="C173" s="162"/>
      <c r="D173" s="54"/>
      <c r="E173" s="152"/>
      <c r="F173" s="152"/>
      <c r="G173" s="152"/>
      <c r="H173" s="152"/>
      <c r="I173" s="152"/>
      <c r="J173" s="54"/>
      <c r="K173" s="152"/>
      <c r="L173" s="152"/>
      <c r="M173" s="152"/>
      <c r="N173" s="152"/>
      <c r="O173" s="152"/>
      <c r="P173" s="152"/>
      <c r="Q173" s="152"/>
      <c r="R173" s="152"/>
      <c r="S173" s="152"/>
      <c r="T173" s="152"/>
      <c r="U173" s="152"/>
      <c r="V173" s="152"/>
      <c r="W173" s="152"/>
      <c r="X173" s="152"/>
      <c r="Y173" s="152"/>
      <c r="Z173" s="152"/>
    </row>
    <row r="174" spans="1:26" x14ac:dyDescent="0.3">
      <c r="A174" s="129"/>
      <c r="B174" s="152"/>
      <c r="C174" s="162"/>
      <c r="D174" s="54"/>
      <c r="E174" s="152"/>
      <c r="F174" s="152"/>
      <c r="G174" s="152"/>
      <c r="H174" s="152"/>
      <c r="I174" s="152"/>
      <c r="J174" s="54"/>
      <c r="K174" s="152"/>
      <c r="L174" s="152"/>
      <c r="M174" s="152"/>
      <c r="N174" s="152"/>
      <c r="O174" s="152"/>
      <c r="P174" s="152"/>
      <c r="Q174" s="152"/>
      <c r="R174" s="152"/>
      <c r="S174" s="152"/>
      <c r="T174" s="152"/>
      <c r="U174" s="152"/>
      <c r="V174" s="152"/>
      <c r="W174" s="152"/>
      <c r="X174" s="152"/>
      <c r="Y174" s="152"/>
      <c r="Z174" s="152"/>
    </row>
    <row r="175" spans="1:26" x14ac:dyDescent="0.3">
      <c r="A175" s="129"/>
      <c r="B175" s="152"/>
      <c r="C175" s="162"/>
      <c r="D175" s="54"/>
      <c r="E175" s="152"/>
      <c r="F175" s="152"/>
      <c r="G175" s="152"/>
      <c r="H175" s="152"/>
      <c r="I175" s="152"/>
      <c r="J175" s="54"/>
      <c r="K175" s="152"/>
      <c r="L175" s="152"/>
      <c r="M175" s="152"/>
      <c r="N175" s="163"/>
      <c r="O175" s="152"/>
      <c r="P175" s="152"/>
      <c r="Q175" s="152"/>
      <c r="R175" s="152"/>
      <c r="S175" s="152"/>
      <c r="T175" s="152"/>
      <c r="U175" s="152"/>
      <c r="V175" s="152"/>
      <c r="W175" s="152"/>
      <c r="X175" s="152"/>
      <c r="Y175" s="152"/>
      <c r="Z175" s="152"/>
    </row>
    <row r="176" spans="1:26" x14ac:dyDescent="0.3">
      <c r="A176" s="129"/>
      <c r="B176" s="152"/>
      <c r="C176" s="162"/>
      <c r="D176" s="152"/>
      <c r="E176" s="152"/>
      <c r="F176" s="54"/>
      <c r="G176" s="54"/>
      <c r="H176" s="54"/>
      <c r="I176" s="164"/>
      <c r="J176" s="54"/>
      <c r="K176" s="54"/>
      <c r="L176" s="54"/>
      <c r="M176" s="54"/>
      <c r="N176" s="54"/>
      <c r="O176" s="152"/>
      <c r="P176" s="152"/>
      <c r="Q176" s="152"/>
      <c r="R176" s="152"/>
      <c r="S176" s="152"/>
      <c r="T176" s="152"/>
      <c r="U176" s="152"/>
      <c r="V176" s="152"/>
      <c r="W176" s="152"/>
      <c r="X176" s="152"/>
      <c r="Y176" s="165"/>
      <c r="Z176" s="165"/>
    </row>
    <row r="177" spans="1:26" x14ac:dyDescent="0.3">
      <c r="A177" s="129"/>
      <c r="B177" s="152"/>
      <c r="C177" s="162"/>
      <c r="D177" s="152"/>
      <c r="E177" s="152"/>
      <c r="F177" s="54"/>
      <c r="G177" s="54"/>
      <c r="H177" s="54"/>
      <c r="I177" s="164"/>
      <c r="J177" s="54"/>
      <c r="K177" s="54"/>
      <c r="L177" s="54"/>
      <c r="M177" s="54"/>
      <c r="N177" s="54"/>
      <c r="O177" s="152"/>
      <c r="P177" s="152"/>
      <c r="Q177" s="152"/>
      <c r="R177" s="152"/>
      <c r="S177" s="152"/>
      <c r="T177" s="152"/>
      <c r="U177" s="152"/>
      <c r="V177" s="152"/>
      <c r="W177" s="152"/>
      <c r="X177" s="152"/>
      <c r="Y177" s="165"/>
      <c r="Z177" s="165"/>
    </row>
    <row r="178" spans="1:26" x14ac:dyDescent="0.3">
      <c r="A178" s="129"/>
      <c r="B178" s="152"/>
      <c r="C178" s="162"/>
      <c r="D178" s="152"/>
      <c r="E178" s="152"/>
      <c r="F178" s="54"/>
      <c r="G178" s="54"/>
      <c r="H178" s="54"/>
      <c r="I178" s="164"/>
      <c r="J178" s="54"/>
      <c r="K178" s="54"/>
      <c r="L178" s="54"/>
      <c r="M178" s="54"/>
      <c r="N178" s="54"/>
      <c r="O178" s="152"/>
      <c r="P178" s="152"/>
      <c r="Q178" s="152"/>
      <c r="R178" s="152"/>
      <c r="S178" s="152"/>
      <c r="T178" s="152"/>
      <c r="U178" s="152"/>
      <c r="V178" s="152"/>
      <c r="W178" s="152"/>
      <c r="X178" s="152"/>
      <c r="Y178" s="165"/>
      <c r="Z178" s="165"/>
    </row>
    <row r="179" spans="1:26" x14ac:dyDescent="0.3">
      <c r="A179" s="129"/>
      <c r="B179" s="152"/>
      <c r="C179" s="162"/>
      <c r="D179" s="152"/>
      <c r="E179" s="152"/>
      <c r="F179" s="54"/>
      <c r="G179" s="54"/>
      <c r="H179" s="54"/>
      <c r="I179" s="164"/>
      <c r="J179" s="54"/>
      <c r="K179" s="54"/>
      <c r="L179" s="54"/>
      <c r="M179" s="54"/>
      <c r="N179" s="54"/>
      <c r="O179" s="152"/>
      <c r="P179" s="152"/>
      <c r="Q179" s="152"/>
      <c r="R179" s="152"/>
      <c r="S179" s="152"/>
      <c r="T179" s="152"/>
      <c r="U179" s="152"/>
      <c r="V179" s="152"/>
      <c r="W179" s="152"/>
      <c r="X179" s="152"/>
      <c r="Y179" s="165"/>
      <c r="Z179" s="165"/>
    </row>
    <row r="180" spans="1:26" x14ac:dyDescent="0.3">
      <c r="A180" s="129"/>
      <c r="B180" s="152"/>
      <c r="C180" s="162"/>
      <c r="D180" s="152"/>
      <c r="E180" s="152"/>
      <c r="F180" s="54"/>
      <c r="G180" s="54"/>
      <c r="H180" s="54"/>
      <c r="I180" s="164"/>
      <c r="J180" s="54"/>
      <c r="K180" s="54"/>
      <c r="L180" s="54"/>
      <c r="M180" s="54"/>
      <c r="N180" s="54"/>
      <c r="O180" s="152"/>
      <c r="P180" s="152"/>
      <c r="Q180" s="152"/>
      <c r="R180" s="152"/>
      <c r="S180" s="152"/>
      <c r="T180" s="152"/>
      <c r="U180" s="152"/>
      <c r="V180" s="152"/>
      <c r="W180" s="152"/>
      <c r="X180" s="152"/>
      <c r="Y180" s="165"/>
      <c r="Z180" s="165"/>
    </row>
    <row r="181" spans="1:26" x14ac:dyDescent="0.3">
      <c r="A181" s="129"/>
      <c r="B181" s="152"/>
      <c r="C181" s="162"/>
      <c r="D181" s="152"/>
      <c r="E181" s="152"/>
      <c r="F181" s="54"/>
      <c r="G181" s="54"/>
      <c r="H181" s="54"/>
      <c r="I181" s="164"/>
      <c r="J181" s="54"/>
      <c r="K181" s="54"/>
      <c r="L181" s="54"/>
      <c r="M181" s="54"/>
      <c r="N181" s="54"/>
      <c r="O181" s="152"/>
      <c r="P181" s="152"/>
      <c r="Q181" s="152"/>
      <c r="R181" s="152"/>
      <c r="S181" s="152"/>
      <c r="T181" s="152"/>
      <c r="U181" s="152"/>
      <c r="V181" s="152"/>
      <c r="W181" s="152"/>
      <c r="X181" s="152"/>
      <c r="Y181" s="165"/>
      <c r="Z181" s="165"/>
    </row>
    <row r="182" spans="1:26" x14ac:dyDescent="0.3">
      <c r="A182" s="129"/>
      <c r="B182" s="152"/>
      <c r="C182" s="162"/>
      <c r="D182" s="152"/>
      <c r="E182" s="152"/>
      <c r="F182" s="54"/>
      <c r="G182" s="54"/>
      <c r="H182" s="54"/>
      <c r="I182" s="164"/>
      <c r="J182" s="54"/>
      <c r="K182" s="54"/>
      <c r="L182" s="54"/>
      <c r="M182" s="54"/>
      <c r="N182" s="54"/>
      <c r="O182" s="152"/>
      <c r="P182" s="152"/>
      <c r="Q182" s="152"/>
      <c r="R182" s="152"/>
      <c r="S182" s="152"/>
      <c r="T182" s="152"/>
      <c r="U182" s="152"/>
      <c r="V182" s="152"/>
      <c r="W182" s="152"/>
      <c r="X182" s="152"/>
      <c r="Y182" s="165"/>
      <c r="Z182" s="165"/>
    </row>
    <row r="183" spans="1:26" x14ac:dyDescent="0.3">
      <c r="A183" s="129"/>
      <c r="B183" s="152"/>
      <c r="C183" s="162"/>
      <c r="D183" s="152"/>
      <c r="E183" s="152"/>
      <c r="F183" s="54"/>
      <c r="G183" s="54"/>
      <c r="H183" s="54"/>
      <c r="I183" s="164"/>
      <c r="J183" s="54"/>
      <c r="K183" s="54"/>
      <c r="L183" s="54"/>
      <c r="M183" s="54"/>
      <c r="N183" s="54"/>
      <c r="O183" s="152"/>
      <c r="P183" s="152"/>
      <c r="Q183" s="152"/>
      <c r="R183" s="152"/>
      <c r="S183" s="152"/>
      <c r="T183" s="152"/>
      <c r="U183" s="152"/>
      <c r="V183" s="152"/>
      <c r="W183" s="152"/>
      <c r="X183" s="152"/>
      <c r="Y183" s="165"/>
      <c r="Z183" s="165"/>
    </row>
    <row r="184" spans="1:26" x14ac:dyDescent="0.3">
      <c r="A184" s="129"/>
      <c r="B184" s="152"/>
      <c r="C184" s="162"/>
      <c r="D184" s="152"/>
      <c r="E184" s="152"/>
      <c r="F184" s="54"/>
      <c r="G184" s="54"/>
      <c r="H184" s="54"/>
      <c r="I184" s="164"/>
      <c r="J184" s="54"/>
      <c r="K184" s="54"/>
      <c r="L184" s="54"/>
      <c r="M184" s="54"/>
      <c r="N184" s="54"/>
      <c r="O184" s="152"/>
      <c r="P184" s="152"/>
      <c r="Q184" s="152"/>
      <c r="R184" s="152"/>
      <c r="S184" s="152"/>
      <c r="T184" s="152"/>
      <c r="U184" s="152"/>
      <c r="V184" s="152"/>
      <c r="W184" s="152"/>
      <c r="X184" s="152"/>
      <c r="Y184" s="165"/>
      <c r="Z184" s="165"/>
    </row>
    <row r="185" spans="1:26" x14ac:dyDescent="0.3">
      <c r="A185" s="129"/>
      <c r="B185" s="152"/>
      <c r="C185" s="162"/>
      <c r="D185" s="152"/>
      <c r="E185" s="152"/>
      <c r="F185" s="54"/>
      <c r="G185" s="54"/>
      <c r="H185" s="54"/>
      <c r="I185" s="164"/>
      <c r="J185" s="162"/>
      <c r="K185" s="54"/>
      <c r="L185" s="54"/>
      <c r="M185" s="54"/>
      <c r="N185" s="54"/>
      <c r="O185" s="152"/>
      <c r="P185" s="152"/>
      <c r="Q185" s="152"/>
      <c r="R185" s="152"/>
      <c r="S185" s="152"/>
      <c r="T185" s="152"/>
      <c r="U185" s="152"/>
      <c r="V185" s="152"/>
      <c r="W185" s="152"/>
      <c r="X185" s="152"/>
      <c r="Y185" s="165"/>
      <c r="Z185" s="165"/>
    </row>
    <row r="186" spans="1:26" x14ac:dyDescent="0.3">
      <c r="A186" s="129"/>
      <c r="B186" s="152"/>
      <c r="C186" s="162"/>
      <c r="D186" s="152"/>
      <c r="E186" s="152"/>
      <c r="F186" s="54"/>
      <c r="G186" s="54"/>
      <c r="H186" s="54"/>
      <c r="I186" s="164"/>
      <c r="J186" s="54"/>
      <c r="K186" s="54"/>
      <c r="L186" s="54"/>
      <c r="M186" s="54"/>
      <c r="N186" s="54"/>
      <c r="O186" s="152"/>
      <c r="P186" s="152"/>
      <c r="Q186" s="152"/>
      <c r="R186" s="152"/>
      <c r="S186" s="152"/>
      <c r="T186" s="152"/>
      <c r="U186" s="152"/>
      <c r="V186" s="152"/>
      <c r="W186" s="152"/>
      <c r="X186" s="152"/>
      <c r="Y186" s="165"/>
      <c r="Z186" s="165"/>
    </row>
    <row r="187" spans="1:26" x14ac:dyDescent="0.3">
      <c r="A187" s="129"/>
      <c r="B187" s="152"/>
      <c r="C187" s="162"/>
      <c r="D187" s="152"/>
      <c r="E187" s="152"/>
      <c r="F187" s="54"/>
      <c r="G187" s="54"/>
      <c r="H187" s="54"/>
      <c r="I187" s="164"/>
      <c r="J187" s="54"/>
      <c r="K187" s="54"/>
      <c r="L187" s="54"/>
      <c r="M187" s="54"/>
      <c r="N187" s="54"/>
      <c r="O187" s="152"/>
      <c r="P187" s="152"/>
      <c r="Q187" s="152"/>
      <c r="R187" s="152"/>
      <c r="S187" s="152"/>
      <c r="T187" s="152"/>
      <c r="U187" s="152"/>
      <c r="V187" s="152"/>
      <c r="W187" s="152"/>
      <c r="X187" s="152"/>
      <c r="Y187" s="165"/>
      <c r="Z187" s="165"/>
    </row>
    <row r="188" spans="1:26" x14ac:dyDescent="0.3">
      <c r="A188" s="129"/>
      <c r="B188" s="152"/>
      <c r="C188" s="162"/>
      <c r="D188" s="152"/>
      <c r="E188" s="152"/>
      <c r="F188" s="152"/>
      <c r="G188" s="152"/>
      <c r="H188" s="152"/>
      <c r="I188" s="165"/>
      <c r="J188" s="54"/>
      <c r="K188" s="152"/>
      <c r="L188" s="152"/>
      <c r="M188" s="152"/>
      <c r="N188" s="152"/>
      <c r="O188" s="152"/>
      <c r="P188" s="152"/>
      <c r="Q188" s="152"/>
      <c r="R188" s="152"/>
      <c r="S188" s="152"/>
      <c r="T188" s="152"/>
      <c r="U188" s="152"/>
      <c r="V188" s="152"/>
      <c r="W188" s="152"/>
      <c r="X188" s="152"/>
      <c r="Y188" s="165"/>
      <c r="Z188" s="165"/>
    </row>
    <row r="189" spans="1:26" x14ac:dyDescent="0.3">
      <c r="A189" s="129"/>
      <c r="B189" s="152"/>
      <c r="C189" s="162"/>
      <c r="D189" s="152"/>
      <c r="E189" s="152"/>
      <c r="F189" s="54"/>
      <c r="G189" s="54"/>
      <c r="H189" s="54"/>
      <c r="I189" s="164"/>
      <c r="J189" s="54"/>
      <c r="K189" s="54"/>
      <c r="L189" s="54"/>
      <c r="M189" s="54"/>
      <c r="N189" s="54"/>
      <c r="O189" s="152"/>
      <c r="P189" s="152"/>
      <c r="Q189" s="152"/>
      <c r="R189" s="152"/>
      <c r="S189" s="152"/>
      <c r="T189" s="152"/>
      <c r="U189" s="152"/>
      <c r="V189" s="152"/>
      <c r="W189" s="152"/>
      <c r="X189" s="152"/>
      <c r="Y189" s="165"/>
      <c r="Z189" s="165"/>
    </row>
    <row r="190" spans="1:26" x14ac:dyDescent="0.3">
      <c r="A190" s="129"/>
      <c r="B190" s="152"/>
      <c r="C190" s="162"/>
      <c r="D190" s="152"/>
      <c r="E190" s="152"/>
      <c r="F190" s="54"/>
      <c r="G190" s="54"/>
      <c r="H190" s="54"/>
      <c r="I190" s="164"/>
      <c r="J190" s="54"/>
      <c r="K190" s="54"/>
      <c r="L190" s="54"/>
      <c r="M190" s="54"/>
      <c r="N190" s="54"/>
      <c r="O190" s="152"/>
      <c r="P190" s="152"/>
      <c r="Q190" s="152"/>
      <c r="R190" s="152"/>
      <c r="S190" s="152"/>
      <c r="T190" s="152"/>
      <c r="U190" s="152"/>
      <c r="V190" s="152"/>
      <c r="W190" s="152"/>
      <c r="X190" s="152"/>
      <c r="Y190" s="165"/>
      <c r="Z190" s="165"/>
    </row>
    <row r="191" spans="1:26" x14ac:dyDescent="0.3">
      <c r="A191" s="129"/>
      <c r="B191" s="152"/>
      <c r="C191" s="162"/>
      <c r="D191" s="152"/>
      <c r="E191" s="152"/>
      <c r="F191" s="54"/>
      <c r="G191" s="54"/>
      <c r="H191" s="54"/>
      <c r="I191" s="164"/>
      <c r="J191" s="54"/>
      <c r="K191" s="54"/>
      <c r="L191" s="54"/>
      <c r="M191" s="54"/>
      <c r="N191" s="54"/>
      <c r="O191" s="152"/>
      <c r="P191" s="152"/>
      <c r="Q191" s="152"/>
      <c r="R191" s="152"/>
      <c r="S191" s="152"/>
      <c r="T191" s="152"/>
      <c r="U191" s="152"/>
      <c r="V191" s="152"/>
      <c r="W191" s="152"/>
      <c r="X191" s="152"/>
      <c r="Y191" s="165"/>
      <c r="Z191" s="165"/>
    </row>
    <row r="192" spans="1:26" x14ac:dyDescent="0.3">
      <c r="A192" s="129"/>
      <c r="B192" s="152"/>
      <c r="C192" s="162"/>
      <c r="D192" s="152"/>
      <c r="E192" s="152"/>
      <c r="F192" s="54"/>
      <c r="G192" s="54"/>
      <c r="H192" s="54"/>
      <c r="I192" s="164"/>
      <c r="J192" s="54"/>
      <c r="K192" s="54"/>
      <c r="L192" s="54"/>
      <c r="M192" s="54"/>
      <c r="N192" s="54"/>
      <c r="O192" s="152"/>
      <c r="P192" s="152"/>
      <c r="Q192" s="152"/>
      <c r="R192" s="152"/>
      <c r="S192" s="152"/>
      <c r="T192" s="152"/>
      <c r="U192" s="152"/>
      <c r="V192" s="152"/>
      <c r="W192" s="152"/>
      <c r="X192" s="152"/>
      <c r="Y192" s="165"/>
      <c r="Z192" s="165"/>
    </row>
    <row r="193" spans="1:26" x14ac:dyDescent="0.3">
      <c r="A193" s="129"/>
      <c r="B193" s="152"/>
      <c r="C193" s="162"/>
      <c r="D193" s="152"/>
      <c r="E193" s="152"/>
      <c r="F193" s="54"/>
      <c r="G193" s="54"/>
      <c r="H193" s="54"/>
      <c r="I193" s="164"/>
      <c r="J193" s="54"/>
      <c r="K193" s="54"/>
      <c r="L193" s="54"/>
      <c r="M193" s="54"/>
      <c r="N193" s="54"/>
      <c r="O193" s="152"/>
      <c r="P193" s="152"/>
      <c r="Q193" s="152"/>
      <c r="R193" s="152"/>
      <c r="S193" s="152"/>
      <c r="T193" s="152"/>
      <c r="U193" s="152"/>
      <c r="V193" s="152"/>
      <c r="W193" s="152"/>
      <c r="X193" s="152"/>
      <c r="Y193" s="165"/>
      <c r="Z193" s="165"/>
    </row>
    <row r="194" spans="1:26" x14ac:dyDescent="0.3">
      <c r="A194" s="129"/>
      <c r="B194" s="152"/>
      <c r="C194" s="162"/>
      <c r="D194" s="152"/>
      <c r="E194" s="152"/>
      <c r="F194" s="54"/>
      <c r="G194" s="54"/>
      <c r="H194" s="54"/>
      <c r="I194" s="164"/>
      <c r="J194" s="54"/>
      <c r="K194" s="54"/>
      <c r="L194" s="54"/>
      <c r="M194" s="54"/>
      <c r="N194" s="54"/>
      <c r="O194" s="152"/>
      <c r="P194" s="152"/>
      <c r="Q194" s="152"/>
      <c r="R194" s="152"/>
      <c r="S194" s="152"/>
      <c r="T194" s="152"/>
      <c r="U194" s="152"/>
      <c r="V194" s="152"/>
      <c r="W194" s="152"/>
      <c r="X194" s="152"/>
      <c r="Y194" s="165"/>
      <c r="Z194" s="165"/>
    </row>
    <row r="195" spans="1:26" x14ac:dyDescent="0.3">
      <c r="A195" s="129"/>
      <c r="B195" s="152"/>
      <c r="C195" s="162"/>
      <c r="D195" s="152"/>
      <c r="E195" s="152"/>
      <c r="F195" s="54"/>
      <c r="G195" s="54"/>
      <c r="H195" s="54"/>
      <c r="I195" s="164"/>
      <c r="J195" s="54"/>
      <c r="K195" s="54"/>
      <c r="L195" s="54"/>
      <c r="M195" s="54"/>
      <c r="N195" s="54"/>
      <c r="O195" s="152"/>
      <c r="P195" s="152"/>
      <c r="Q195" s="152"/>
      <c r="R195" s="152"/>
      <c r="S195" s="152"/>
      <c r="T195" s="152"/>
      <c r="U195" s="152"/>
      <c r="V195" s="152"/>
      <c r="W195" s="152"/>
      <c r="X195" s="152"/>
      <c r="Y195" s="165"/>
      <c r="Z195" s="165"/>
    </row>
    <row r="196" spans="1:26" x14ac:dyDescent="0.3">
      <c r="A196" s="129"/>
      <c r="B196" s="152"/>
      <c r="C196" s="162"/>
      <c r="D196" s="152"/>
      <c r="E196" s="152"/>
      <c r="F196" s="54"/>
      <c r="G196" s="54"/>
      <c r="H196" s="54"/>
      <c r="I196" s="164"/>
      <c r="J196" s="54"/>
      <c r="K196" s="54"/>
      <c r="L196" s="54"/>
      <c r="M196" s="54"/>
      <c r="N196" s="54"/>
      <c r="O196" s="152"/>
      <c r="P196" s="152"/>
      <c r="Q196" s="152"/>
      <c r="R196" s="152"/>
      <c r="S196" s="152"/>
      <c r="T196" s="152"/>
      <c r="U196" s="152"/>
      <c r="V196" s="152"/>
      <c r="W196" s="152"/>
      <c r="X196" s="152"/>
      <c r="Y196" s="165"/>
      <c r="Z196" s="165"/>
    </row>
    <row r="197" spans="1:26" x14ac:dyDescent="0.3">
      <c r="A197" s="129"/>
      <c r="B197" s="152"/>
      <c r="C197" s="162"/>
      <c r="D197" s="152"/>
      <c r="E197" s="152"/>
      <c r="F197" s="54"/>
      <c r="G197" s="54"/>
      <c r="H197" s="54"/>
      <c r="I197" s="164"/>
      <c r="J197" s="54"/>
      <c r="K197" s="54"/>
      <c r="L197" s="54"/>
      <c r="M197" s="54"/>
      <c r="N197" s="54"/>
      <c r="O197" s="152"/>
      <c r="P197" s="152"/>
      <c r="Q197" s="152"/>
      <c r="R197" s="152"/>
      <c r="S197" s="152"/>
      <c r="T197" s="152"/>
      <c r="U197" s="152"/>
      <c r="V197" s="152"/>
      <c r="W197" s="152"/>
      <c r="X197" s="152"/>
      <c r="Y197" s="165"/>
      <c r="Z197" s="165"/>
    </row>
    <row r="198" spans="1:26" x14ac:dyDescent="0.3">
      <c r="A198" s="129"/>
      <c r="B198" s="152"/>
      <c r="C198" s="162"/>
      <c r="D198" s="152"/>
      <c r="E198" s="152"/>
      <c r="F198" s="54"/>
      <c r="G198" s="54"/>
      <c r="H198" s="54"/>
      <c r="I198" s="164"/>
      <c r="J198" s="54"/>
      <c r="K198" s="54"/>
      <c r="L198" s="54"/>
      <c r="M198" s="54"/>
      <c r="N198" s="54"/>
      <c r="O198" s="152"/>
      <c r="P198" s="152"/>
      <c r="Q198" s="152"/>
      <c r="R198" s="152"/>
      <c r="S198" s="152"/>
      <c r="T198" s="152"/>
      <c r="U198" s="152"/>
      <c r="V198" s="152"/>
      <c r="W198" s="152"/>
      <c r="X198" s="152"/>
      <c r="Y198" s="165"/>
      <c r="Z198" s="165"/>
    </row>
    <row r="199" spans="1:26" x14ac:dyDescent="0.3">
      <c r="A199" s="129"/>
      <c r="B199" s="152"/>
      <c r="C199" s="162"/>
      <c r="D199" s="152"/>
      <c r="E199" s="152"/>
      <c r="F199" s="54"/>
      <c r="G199" s="54"/>
      <c r="H199" s="54"/>
      <c r="I199" s="164"/>
      <c r="J199" s="54"/>
      <c r="K199" s="54"/>
      <c r="L199" s="54"/>
      <c r="M199" s="54"/>
      <c r="N199" s="54"/>
      <c r="O199" s="152"/>
      <c r="P199" s="152"/>
      <c r="Q199" s="152"/>
      <c r="R199" s="152"/>
      <c r="S199" s="152"/>
      <c r="T199" s="152"/>
      <c r="U199" s="152"/>
      <c r="V199" s="152"/>
      <c r="W199" s="152"/>
      <c r="X199" s="152"/>
      <c r="Y199" s="165"/>
      <c r="Z199" s="165"/>
    </row>
    <row r="200" spans="1:26" x14ac:dyDescent="0.3">
      <c r="A200" s="129"/>
      <c r="B200" s="152"/>
      <c r="C200" s="162"/>
      <c r="D200" s="152"/>
      <c r="E200" s="152"/>
      <c r="F200" s="54"/>
      <c r="G200" s="54"/>
      <c r="H200" s="54"/>
      <c r="I200" s="164"/>
      <c r="J200" s="54"/>
      <c r="K200" s="54"/>
      <c r="L200" s="54"/>
      <c r="M200" s="54"/>
      <c r="N200" s="54"/>
      <c r="O200" s="152"/>
      <c r="P200" s="152"/>
      <c r="Q200" s="152"/>
      <c r="R200" s="152"/>
      <c r="S200" s="152"/>
      <c r="T200" s="152"/>
      <c r="U200" s="152"/>
      <c r="V200" s="152"/>
      <c r="W200" s="152"/>
      <c r="X200" s="152"/>
      <c r="Y200" s="165"/>
      <c r="Z200" s="165"/>
    </row>
    <row r="201" spans="1:26" x14ac:dyDescent="0.3">
      <c r="A201" s="129"/>
      <c r="B201" s="152"/>
      <c r="C201" s="162"/>
      <c r="D201" s="152"/>
      <c r="E201" s="152"/>
      <c r="F201" s="54"/>
      <c r="G201" s="54"/>
      <c r="H201" s="54"/>
      <c r="I201" s="164"/>
      <c r="J201" s="54"/>
      <c r="K201" s="54"/>
      <c r="L201" s="54"/>
      <c r="M201" s="54"/>
      <c r="N201" s="54"/>
      <c r="O201" s="152"/>
      <c r="P201" s="152"/>
      <c r="Q201" s="152"/>
      <c r="R201" s="152"/>
      <c r="S201" s="152"/>
      <c r="T201" s="152"/>
      <c r="U201" s="152"/>
      <c r="V201" s="152"/>
      <c r="W201" s="152"/>
      <c r="X201" s="152"/>
      <c r="Y201" s="165"/>
      <c r="Z201" s="165"/>
    </row>
    <row r="202" spans="1:26" x14ac:dyDescent="0.3">
      <c r="A202" s="129"/>
      <c r="B202" s="152"/>
      <c r="C202" s="162"/>
      <c r="D202" s="152"/>
      <c r="E202" s="152"/>
      <c r="F202" s="54"/>
      <c r="G202" s="54"/>
      <c r="H202" s="54"/>
      <c r="I202" s="164"/>
      <c r="J202" s="54"/>
      <c r="K202" s="54"/>
      <c r="L202" s="54"/>
      <c r="M202" s="54"/>
      <c r="N202" s="54"/>
      <c r="O202" s="152"/>
      <c r="P202" s="152"/>
      <c r="Q202" s="152"/>
      <c r="R202" s="152"/>
      <c r="S202" s="152"/>
      <c r="T202" s="152"/>
      <c r="U202" s="152"/>
      <c r="V202" s="152"/>
      <c r="W202" s="152"/>
      <c r="X202" s="152"/>
      <c r="Y202" s="165"/>
      <c r="Z202" s="165"/>
    </row>
    <row r="203" spans="1:26" x14ac:dyDescent="0.3">
      <c r="A203" s="129"/>
      <c r="B203" s="152"/>
      <c r="C203" s="162"/>
      <c r="D203" s="152"/>
      <c r="E203" s="152"/>
      <c r="F203" s="54"/>
      <c r="G203" s="54"/>
      <c r="H203" s="54"/>
      <c r="I203" s="164"/>
      <c r="J203" s="54"/>
      <c r="K203" s="54"/>
      <c r="L203" s="54"/>
      <c r="M203" s="54"/>
      <c r="N203" s="54"/>
      <c r="O203" s="152"/>
      <c r="P203" s="152"/>
      <c r="Q203" s="152"/>
      <c r="R203" s="152"/>
      <c r="S203" s="152"/>
      <c r="T203" s="152"/>
      <c r="U203" s="152"/>
      <c r="V203" s="152"/>
      <c r="W203" s="152"/>
      <c r="X203" s="152"/>
      <c r="Y203" s="165"/>
      <c r="Z203" s="165"/>
    </row>
    <row r="204" spans="1:26" x14ac:dyDescent="0.3">
      <c r="A204" s="129"/>
      <c r="B204" s="152"/>
      <c r="C204" s="162"/>
      <c r="D204" s="152"/>
      <c r="E204" s="152"/>
      <c r="F204" s="54"/>
      <c r="G204" s="54"/>
      <c r="H204" s="54"/>
      <c r="I204" s="164"/>
      <c r="J204" s="54"/>
      <c r="K204" s="54"/>
      <c r="L204" s="54"/>
      <c r="M204" s="54"/>
      <c r="N204" s="54"/>
      <c r="O204" s="152"/>
      <c r="P204" s="152"/>
      <c r="Q204" s="152"/>
      <c r="R204" s="152"/>
      <c r="S204" s="152"/>
      <c r="T204" s="152"/>
      <c r="U204" s="152"/>
      <c r="V204" s="152"/>
      <c r="W204" s="152"/>
      <c r="X204" s="152"/>
      <c r="Y204" s="165"/>
      <c r="Z204" s="165"/>
    </row>
    <row r="205" spans="1:26" x14ac:dyDescent="0.3">
      <c r="A205" s="129"/>
      <c r="B205" s="152"/>
      <c r="C205" s="162"/>
      <c r="D205" s="152"/>
      <c r="E205" s="152"/>
      <c r="F205" s="54"/>
      <c r="G205" s="54"/>
      <c r="H205" s="54"/>
      <c r="I205" s="164"/>
      <c r="J205" s="54"/>
      <c r="K205" s="54"/>
      <c r="L205" s="54"/>
      <c r="M205" s="54"/>
      <c r="N205" s="54"/>
      <c r="O205" s="152"/>
      <c r="P205" s="152"/>
      <c r="Q205" s="152"/>
      <c r="R205" s="152"/>
      <c r="S205" s="152"/>
      <c r="T205" s="152"/>
      <c r="U205" s="152"/>
      <c r="V205" s="152"/>
      <c r="W205" s="152"/>
      <c r="X205" s="152"/>
      <c r="Y205" s="165"/>
      <c r="Z205" s="165"/>
    </row>
    <row r="206" spans="1:26" x14ac:dyDescent="0.3">
      <c r="A206" s="129"/>
      <c r="B206" s="152"/>
      <c r="C206" s="162"/>
      <c r="D206" s="152"/>
      <c r="E206" s="152"/>
      <c r="F206" s="54"/>
      <c r="G206" s="54"/>
      <c r="H206" s="54"/>
      <c r="I206" s="164"/>
      <c r="J206" s="54"/>
      <c r="K206" s="54"/>
      <c r="L206" s="54"/>
      <c r="M206" s="54"/>
      <c r="N206" s="54"/>
      <c r="O206" s="152"/>
      <c r="P206" s="152"/>
      <c r="Q206" s="152"/>
      <c r="R206" s="152"/>
      <c r="S206" s="152"/>
      <c r="T206" s="152"/>
      <c r="U206" s="152"/>
      <c r="V206" s="152"/>
      <c r="W206" s="152"/>
      <c r="X206" s="152"/>
      <c r="Y206" s="165"/>
      <c r="Z206" s="165"/>
    </row>
    <row r="207" spans="1:26" x14ac:dyDescent="0.3">
      <c r="A207" s="129"/>
      <c r="B207" s="152"/>
      <c r="C207" s="162"/>
      <c r="D207" s="152"/>
      <c r="E207" s="152"/>
      <c r="F207" s="54"/>
      <c r="G207" s="54"/>
      <c r="H207" s="54"/>
      <c r="I207" s="164"/>
      <c r="J207" s="54"/>
      <c r="K207" s="54"/>
      <c r="L207" s="54"/>
      <c r="M207" s="54"/>
      <c r="N207" s="54"/>
      <c r="O207" s="152"/>
      <c r="P207" s="152"/>
      <c r="Q207" s="152"/>
      <c r="R207" s="152"/>
      <c r="S207" s="152"/>
      <c r="T207" s="152"/>
      <c r="U207" s="152"/>
      <c r="V207" s="152"/>
      <c r="W207" s="152"/>
      <c r="X207" s="152"/>
      <c r="Y207" s="165"/>
      <c r="Z207" s="165"/>
    </row>
    <row r="208" spans="1:26" x14ac:dyDescent="0.3">
      <c r="A208" s="129"/>
      <c r="B208" s="152"/>
      <c r="C208" s="162"/>
      <c r="D208" s="152"/>
      <c r="E208" s="152"/>
      <c r="F208" s="54"/>
      <c r="G208" s="54"/>
      <c r="H208" s="54"/>
      <c r="I208" s="164"/>
      <c r="J208" s="54"/>
      <c r="K208" s="54"/>
      <c r="L208" s="54"/>
      <c r="M208" s="54"/>
      <c r="N208" s="54"/>
      <c r="O208" s="152"/>
      <c r="P208" s="152"/>
      <c r="Q208" s="152"/>
      <c r="R208" s="152"/>
      <c r="S208" s="152"/>
      <c r="T208" s="152"/>
      <c r="U208" s="152"/>
      <c r="V208" s="152"/>
      <c r="W208" s="152"/>
      <c r="X208" s="152"/>
      <c r="Y208" s="165"/>
      <c r="Z208" s="165"/>
    </row>
    <row r="209" spans="1:26" x14ac:dyDescent="0.3">
      <c r="A209" s="129"/>
      <c r="B209" s="152"/>
      <c r="C209" s="162"/>
      <c r="D209" s="152"/>
      <c r="E209" s="152"/>
      <c r="F209" s="54"/>
      <c r="G209" s="54"/>
      <c r="H209" s="54"/>
      <c r="I209" s="164"/>
      <c r="J209" s="54"/>
      <c r="K209" s="54"/>
      <c r="L209" s="54"/>
      <c r="M209" s="54"/>
      <c r="N209" s="54"/>
      <c r="O209" s="152"/>
      <c r="P209" s="152"/>
      <c r="Q209" s="152"/>
      <c r="R209" s="152"/>
      <c r="S209" s="152"/>
      <c r="T209" s="152"/>
      <c r="U209" s="152"/>
      <c r="V209" s="152"/>
      <c r="W209" s="152"/>
      <c r="X209" s="152"/>
      <c r="Y209" s="165"/>
      <c r="Z209" s="165"/>
    </row>
    <row r="210" spans="1:26" x14ac:dyDescent="0.3">
      <c r="A210" s="129"/>
      <c r="B210" s="152"/>
      <c r="C210" s="162"/>
      <c r="D210" s="152"/>
      <c r="E210" s="152"/>
      <c r="F210" s="54"/>
      <c r="G210" s="54"/>
      <c r="H210" s="54"/>
      <c r="I210" s="164"/>
      <c r="J210" s="54"/>
      <c r="K210" s="54"/>
      <c r="L210" s="54"/>
      <c r="M210" s="54"/>
      <c r="N210" s="54"/>
      <c r="O210" s="152"/>
      <c r="P210" s="152"/>
      <c r="Q210" s="152"/>
      <c r="R210" s="152"/>
      <c r="S210" s="152"/>
      <c r="T210" s="152"/>
      <c r="U210" s="152"/>
      <c r="V210" s="152"/>
      <c r="W210" s="152"/>
      <c r="X210" s="152"/>
      <c r="Y210" s="165"/>
      <c r="Z210" s="165"/>
    </row>
    <row r="211" spans="1:26" x14ac:dyDescent="0.3">
      <c r="A211" s="129"/>
      <c r="B211" s="152"/>
      <c r="C211" s="162"/>
      <c r="D211" s="152"/>
      <c r="E211" s="152"/>
      <c r="F211" s="54"/>
      <c r="G211" s="54"/>
      <c r="H211" s="54"/>
      <c r="I211" s="164"/>
      <c r="J211" s="54"/>
      <c r="K211" s="54"/>
      <c r="L211" s="54"/>
      <c r="M211" s="54"/>
      <c r="N211" s="54"/>
      <c r="O211" s="152"/>
      <c r="P211" s="152"/>
      <c r="Q211" s="152"/>
      <c r="R211" s="152"/>
      <c r="S211" s="152"/>
      <c r="T211" s="152"/>
      <c r="U211" s="152"/>
      <c r="V211" s="152"/>
      <c r="W211" s="152"/>
      <c r="X211" s="152"/>
      <c r="Y211" s="165"/>
      <c r="Z211" s="165"/>
    </row>
    <row r="212" spans="1:26" x14ac:dyDescent="0.3">
      <c r="A212" s="129"/>
      <c r="B212" s="152"/>
      <c r="C212" s="162"/>
      <c r="D212" s="152"/>
      <c r="E212" s="152"/>
      <c r="F212" s="54"/>
      <c r="G212" s="54"/>
      <c r="H212" s="54"/>
      <c r="I212" s="164"/>
      <c r="J212" s="54"/>
      <c r="K212" s="54"/>
      <c r="L212" s="54"/>
      <c r="M212" s="54"/>
      <c r="N212" s="54"/>
      <c r="O212" s="152"/>
      <c r="P212" s="152"/>
      <c r="Q212" s="152"/>
      <c r="R212" s="152"/>
      <c r="S212" s="152"/>
      <c r="T212" s="152"/>
      <c r="U212" s="152"/>
      <c r="V212" s="152"/>
      <c r="W212" s="152"/>
      <c r="X212" s="152"/>
      <c r="Y212" s="165"/>
      <c r="Z212" s="165"/>
    </row>
    <row r="213" spans="1:26" x14ac:dyDescent="0.3">
      <c r="A213" s="129"/>
      <c r="B213" s="152"/>
      <c r="C213" s="162"/>
      <c r="D213" s="152"/>
      <c r="E213" s="152"/>
      <c r="F213" s="54"/>
      <c r="G213" s="54"/>
      <c r="H213" s="54"/>
      <c r="I213" s="164"/>
      <c r="J213" s="54"/>
      <c r="K213" s="54"/>
      <c r="L213" s="54"/>
      <c r="M213" s="54"/>
      <c r="N213" s="54"/>
      <c r="O213" s="152"/>
      <c r="P213" s="152"/>
      <c r="Q213" s="152"/>
      <c r="R213" s="152"/>
      <c r="S213" s="152"/>
      <c r="T213" s="152"/>
      <c r="U213" s="152"/>
      <c r="V213" s="152"/>
      <c r="W213" s="152"/>
      <c r="X213" s="152"/>
      <c r="Y213" s="165"/>
      <c r="Z213" s="165"/>
    </row>
    <row r="214" spans="1:26" x14ac:dyDescent="0.3">
      <c r="A214" s="129"/>
      <c r="B214" s="152"/>
      <c r="C214" s="162"/>
      <c r="D214" s="152"/>
      <c r="E214" s="152"/>
      <c r="F214" s="54"/>
      <c r="G214" s="54"/>
      <c r="H214" s="54"/>
      <c r="I214" s="164"/>
      <c r="J214" s="54"/>
      <c r="K214" s="54"/>
      <c r="L214" s="54"/>
      <c r="M214" s="54"/>
      <c r="N214" s="54"/>
      <c r="O214" s="152"/>
      <c r="P214" s="152"/>
      <c r="Q214" s="152"/>
      <c r="R214" s="152"/>
      <c r="S214" s="152"/>
      <c r="T214" s="152"/>
      <c r="U214" s="152"/>
      <c r="V214" s="152"/>
      <c r="W214" s="152"/>
      <c r="X214" s="152"/>
      <c r="Y214" s="165"/>
      <c r="Z214" s="165"/>
    </row>
    <row r="215" spans="1:26" x14ac:dyDescent="0.3">
      <c r="A215" s="129"/>
      <c r="B215" s="152"/>
      <c r="C215" s="162"/>
      <c r="D215" s="152"/>
      <c r="E215" s="152"/>
      <c r="F215" s="54"/>
      <c r="G215" s="54"/>
      <c r="H215" s="54"/>
      <c r="I215" s="164"/>
      <c r="J215" s="54"/>
      <c r="K215" s="54"/>
      <c r="L215" s="54"/>
      <c r="M215" s="54"/>
      <c r="N215" s="54"/>
      <c r="O215" s="152"/>
      <c r="P215" s="152"/>
      <c r="Q215" s="152"/>
      <c r="R215" s="152"/>
      <c r="S215" s="152"/>
      <c r="T215" s="152"/>
      <c r="U215" s="152"/>
      <c r="V215" s="152"/>
      <c r="W215" s="152"/>
      <c r="X215" s="152"/>
      <c r="Y215" s="165"/>
      <c r="Z215" s="165"/>
    </row>
    <row r="216" spans="1:26" x14ac:dyDescent="0.3">
      <c r="A216" s="129"/>
      <c r="B216" s="152"/>
      <c r="C216" s="162"/>
      <c r="D216" s="152"/>
      <c r="E216" s="152"/>
      <c r="F216" s="54"/>
      <c r="G216" s="54"/>
      <c r="H216" s="54"/>
      <c r="I216" s="164"/>
      <c r="J216" s="54"/>
      <c r="K216" s="54"/>
      <c r="L216" s="54"/>
      <c r="M216" s="54"/>
      <c r="N216" s="54"/>
      <c r="O216" s="152"/>
      <c r="P216" s="152"/>
      <c r="Q216" s="152"/>
      <c r="R216" s="152"/>
      <c r="S216" s="152"/>
      <c r="T216" s="152"/>
      <c r="U216" s="152"/>
      <c r="V216" s="152"/>
      <c r="W216" s="152"/>
      <c r="X216" s="152"/>
      <c r="Y216" s="165"/>
      <c r="Z216" s="165"/>
    </row>
    <row r="217" spans="1:26" x14ac:dyDescent="0.3">
      <c r="A217" s="129"/>
      <c r="B217" s="152"/>
      <c r="C217" s="162"/>
      <c r="D217" s="152"/>
      <c r="E217" s="152"/>
      <c r="F217" s="54"/>
      <c r="G217" s="54"/>
      <c r="H217" s="54"/>
      <c r="I217" s="164"/>
      <c r="J217" s="54"/>
      <c r="K217" s="54"/>
      <c r="L217" s="54"/>
      <c r="M217" s="54"/>
      <c r="N217" s="54"/>
      <c r="O217" s="152"/>
      <c r="P217" s="152"/>
      <c r="Q217" s="152"/>
      <c r="R217" s="152"/>
      <c r="S217" s="152"/>
      <c r="T217" s="152"/>
      <c r="U217" s="152"/>
      <c r="V217" s="152"/>
      <c r="W217" s="152"/>
      <c r="X217" s="152"/>
      <c r="Y217" s="165"/>
      <c r="Z217" s="165"/>
    </row>
    <row r="218" spans="1:26" x14ac:dyDescent="0.3">
      <c r="A218" s="129"/>
      <c r="B218" s="152"/>
      <c r="C218" s="162"/>
      <c r="D218" s="152"/>
      <c r="E218" s="152"/>
      <c r="F218" s="54"/>
      <c r="G218" s="54"/>
      <c r="H218" s="54"/>
      <c r="I218" s="164"/>
      <c r="J218" s="54"/>
      <c r="K218" s="54"/>
      <c r="L218" s="54"/>
      <c r="M218" s="54"/>
      <c r="N218" s="54"/>
      <c r="O218" s="152"/>
      <c r="P218" s="152"/>
      <c r="Q218" s="152"/>
      <c r="R218" s="152"/>
      <c r="S218" s="152"/>
      <c r="T218" s="152"/>
      <c r="U218" s="152"/>
      <c r="V218" s="152"/>
      <c r="W218" s="152"/>
      <c r="X218" s="152"/>
      <c r="Y218" s="165"/>
      <c r="Z218" s="165"/>
    </row>
    <row r="219" spans="1:26" x14ac:dyDescent="0.3">
      <c r="A219" s="129"/>
      <c r="B219" s="152"/>
      <c r="C219" s="162"/>
      <c r="D219" s="152"/>
      <c r="E219" s="152"/>
      <c r="F219" s="54"/>
      <c r="G219" s="54"/>
      <c r="H219" s="54"/>
      <c r="I219" s="164"/>
      <c r="J219" s="54"/>
      <c r="K219" s="54"/>
      <c r="L219" s="54"/>
      <c r="M219" s="54"/>
      <c r="N219" s="54"/>
      <c r="O219" s="152"/>
      <c r="P219" s="152"/>
      <c r="Q219" s="152"/>
      <c r="R219" s="152"/>
      <c r="S219" s="152"/>
      <c r="T219" s="152"/>
      <c r="U219" s="152"/>
      <c r="V219" s="152"/>
      <c r="W219" s="152"/>
      <c r="X219" s="152"/>
      <c r="Y219" s="165"/>
      <c r="Z219" s="165"/>
    </row>
    <row r="220" spans="1:26" x14ac:dyDescent="0.3">
      <c r="A220" s="129"/>
      <c r="B220" s="152"/>
      <c r="C220" s="162"/>
      <c r="D220" s="152"/>
      <c r="E220" s="152"/>
      <c r="F220" s="54"/>
      <c r="G220" s="54"/>
      <c r="H220" s="54"/>
      <c r="I220" s="164"/>
      <c r="J220" s="54"/>
      <c r="K220" s="54"/>
      <c r="L220" s="54"/>
      <c r="M220" s="54"/>
      <c r="N220" s="54"/>
      <c r="O220" s="152"/>
      <c r="P220" s="152"/>
      <c r="Q220" s="152"/>
      <c r="R220" s="152"/>
      <c r="S220" s="152"/>
      <c r="T220" s="152"/>
      <c r="U220" s="152"/>
      <c r="V220" s="152"/>
      <c r="W220" s="152"/>
      <c r="X220" s="152"/>
      <c r="Y220" s="165"/>
      <c r="Z220" s="165"/>
    </row>
    <row r="221" spans="1:26" x14ac:dyDescent="0.3">
      <c r="A221" s="129"/>
      <c r="B221" s="152"/>
      <c r="C221" s="162"/>
      <c r="D221" s="152"/>
      <c r="E221" s="152"/>
      <c r="F221" s="54"/>
      <c r="G221" s="54"/>
      <c r="H221" s="54"/>
      <c r="I221" s="164"/>
      <c r="J221" s="54"/>
      <c r="K221" s="54"/>
      <c r="L221" s="54"/>
      <c r="M221" s="54"/>
      <c r="N221" s="54"/>
      <c r="O221" s="152"/>
      <c r="P221" s="152"/>
      <c r="Q221" s="152"/>
      <c r="R221" s="152"/>
      <c r="S221" s="152"/>
      <c r="T221" s="152"/>
      <c r="U221" s="152"/>
      <c r="V221" s="152"/>
      <c r="W221" s="152"/>
      <c r="X221" s="152"/>
      <c r="Y221" s="165"/>
      <c r="Z221" s="165"/>
    </row>
    <row r="222" spans="1:26" x14ac:dyDescent="0.3">
      <c r="A222" s="129"/>
      <c r="B222" s="152"/>
      <c r="C222" s="162"/>
      <c r="D222" s="152"/>
      <c r="E222" s="152"/>
      <c r="F222" s="54"/>
      <c r="G222" s="54"/>
      <c r="H222" s="54"/>
      <c r="I222" s="164"/>
      <c r="J222" s="54"/>
      <c r="K222" s="54"/>
      <c r="L222" s="54"/>
      <c r="M222" s="54"/>
      <c r="N222" s="54"/>
      <c r="O222" s="152"/>
      <c r="P222" s="152"/>
      <c r="Q222" s="152"/>
      <c r="R222" s="152"/>
      <c r="S222" s="152"/>
      <c r="T222" s="152"/>
      <c r="U222" s="152"/>
      <c r="V222" s="152"/>
      <c r="W222" s="152"/>
      <c r="X222" s="152"/>
      <c r="Y222" s="165"/>
      <c r="Z222" s="165"/>
    </row>
    <row r="223" spans="1:26" x14ac:dyDescent="0.3">
      <c r="A223" s="129"/>
      <c r="B223" s="152"/>
      <c r="C223" s="162"/>
      <c r="D223" s="152"/>
      <c r="E223" s="152"/>
      <c r="F223" s="54"/>
      <c r="G223" s="54"/>
      <c r="H223" s="54"/>
      <c r="I223" s="164"/>
      <c r="J223" s="54"/>
      <c r="K223" s="54"/>
      <c r="L223" s="54"/>
      <c r="M223" s="54"/>
      <c r="N223" s="54"/>
      <c r="O223" s="152"/>
      <c r="P223" s="152"/>
      <c r="Q223" s="152"/>
      <c r="R223" s="152"/>
      <c r="S223" s="152"/>
      <c r="T223" s="152"/>
      <c r="U223" s="152"/>
      <c r="V223" s="152"/>
      <c r="W223" s="152"/>
      <c r="X223" s="152"/>
      <c r="Y223" s="165"/>
      <c r="Z223" s="165"/>
    </row>
    <row r="224" spans="1:26" x14ac:dyDescent="0.3">
      <c r="A224" s="129"/>
      <c r="B224" s="152"/>
      <c r="C224" s="162"/>
      <c r="D224" s="152"/>
      <c r="E224" s="152"/>
      <c r="F224" s="54"/>
      <c r="G224" s="54"/>
      <c r="H224" s="54"/>
      <c r="I224" s="164"/>
      <c r="J224" s="54"/>
      <c r="K224" s="54"/>
      <c r="L224" s="54"/>
      <c r="M224" s="54"/>
      <c r="N224" s="54"/>
      <c r="O224" s="152"/>
      <c r="P224" s="152"/>
      <c r="Q224" s="152"/>
      <c r="R224" s="152"/>
      <c r="S224" s="152"/>
      <c r="T224" s="152"/>
      <c r="U224" s="152"/>
      <c r="V224" s="152"/>
      <c r="W224" s="152"/>
      <c r="X224" s="152"/>
      <c r="Y224" s="165"/>
      <c r="Z224" s="165"/>
    </row>
    <row r="225" spans="1:26" x14ac:dyDescent="0.3">
      <c r="A225" s="129"/>
      <c r="B225" s="152"/>
      <c r="C225" s="162"/>
      <c r="D225" s="152"/>
      <c r="E225" s="152"/>
      <c r="F225" s="54"/>
      <c r="G225" s="54"/>
      <c r="H225" s="54"/>
      <c r="I225" s="164"/>
      <c r="J225" s="54"/>
      <c r="K225" s="54"/>
      <c r="L225" s="54"/>
      <c r="M225" s="54"/>
      <c r="N225" s="54"/>
      <c r="O225" s="152"/>
      <c r="P225" s="152"/>
      <c r="Q225" s="152"/>
      <c r="R225" s="152"/>
      <c r="S225" s="152"/>
      <c r="T225" s="152"/>
      <c r="U225" s="152"/>
      <c r="V225" s="152"/>
      <c r="W225" s="152"/>
      <c r="X225" s="152"/>
      <c r="Y225" s="165"/>
      <c r="Z225" s="165"/>
    </row>
    <row r="226" spans="1:26" x14ac:dyDescent="0.3">
      <c r="A226" s="129"/>
      <c r="B226" s="152"/>
      <c r="C226" s="162"/>
      <c r="D226" s="152"/>
      <c r="E226" s="152"/>
      <c r="F226" s="54"/>
      <c r="G226" s="54"/>
      <c r="H226" s="54"/>
      <c r="I226" s="164"/>
      <c r="J226" s="54"/>
      <c r="K226" s="54"/>
      <c r="L226" s="54"/>
      <c r="M226" s="54"/>
      <c r="N226" s="54"/>
      <c r="O226" s="152"/>
      <c r="P226" s="152"/>
      <c r="Q226" s="152"/>
      <c r="R226" s="152"/>
      <c r="S226" s="152"/>
      <c r="T226" s="152"/>
      <c r="U226" s="152"/>
      <c r="V226" s="152"/>
      <c r="W226" s="152"/>
      <c r="X226" s="152"/>
      <c r="Y226" s="165"/>
      <c r="Z226" s="165"/>
    </row>
    <row r="227" spans="1:26" x14ac:dyDescent="0.3">
      <c r="A227" s="129"/>
      <c r="B227" s="152"/>
      <c r="C227" s="162"/>
      <c r="D227" s="152"/>
      <c r="E227" s="152"/>
      <c r="F227" s="54"/>
      <c r="G227" s="54"/>
      <c r="H227" s="54"/>
      <c r="I227" s="164"/>
      <c r="J227" s="54"/>
      <c r="K227" s="54"/>
      <c r="L227" s="54"/>
      <c r="M227" s="54"/>
      <c r="N227" s="54"/>
      <c r="O227" s="152"/>
      <c r="P227" s="152"/>
      <c r="Q227" s="152"/>
      <c r="R227" s="152"/>
      <c r="S227" s="152"/>
      <c r="T227" s="152"/>
      <c r="U227" s="152"/>
      <c r="V227" s="152"/>
      <c r="W227" s="152"/>
      <c r="X227" s="152"/>
      <c r="Y227" s="165"/>
      <c r="Z227" s="165"/>
    </row>
    <row r="228" spans="1:26" x14ac:dyDescent="0.3">
      <c r="A228" s="129"/>
      <c r="B228" s="152"/>
      <c r="C228" s="162"/>
      <c r="D228" s="152"/>
      <c r="E228" s="152"/>
      <c r="F228" s="54"/>
      <c r="G228" s="54"/>
      <c r="H228" s="54"/>
      <c r="I228" s="164"/>
      <c r="J228" s="54"/>
      <c r="K228" s="54"/>
      <c r="L228" s="54"/>
      <c r="M228" s="54"/>
      <c r="N228" s="54"/>
      <c r="O228" s="152"/>
      <c r="P228" s="152"/>
      <c r="Q228" s="152"/>
      <c r="R228" s="152"/>
      <c r="S228" s="152"/>
      <c r="T228" s="152"/>
      <c r="U228" s="152"/>
      <c r="V228" s="152"/>
      <c r="W228" s="152"/>
      <c r="X228" s="152"/>
      <c r="Y228" s="165"/>
      <c r="Z228" s="165"/>
    </row>
    <row r="229" spans="1:26" x14ac:dyDescent="0.3">
      <c r="A229" s="129"/>
      <c r="B229" s="152"/>
      <c r="C229" s="162"/>
      <c r="D229" s="152"/>
      <c r="E229" s="152"/>
      <c r="F229" s="54"/>
      <c r="G229" s="54"/>
      <c r="H229" s="54"/>
      <c r="I229" s="164"/>
      <c r="J229" s="54"/>
      <c r="K229" s="54"/>
      <c r="L229" s="54"/>
      <c r="M229" s="54"/>
      <c r="N229" s="54"/>
      <c r="O229" s="152"/>
      <c r="P229" s="152"/>
      <c r="Q229" s="152"/>
      <c r="R229" s="152"/>
      <c r="S229" s="152"/>
      <c r="T229" s="152"/>
      <c r="U229" s="152"/>
      <c r="V229" s="152"/>
      <c r="W229" s="152"/>
      <c r="X229" s="152"/>
      <c r="Y229" s="165"/>
      <c r="Z229" s="165"/>
    </row>
    <row r="230" spans="1:26" x14ac:dyDescent="0.3">
      <c r="A230" s="129"/>
      <c r="B230" s="152"/>
      <c r="C230" s="162"/>
      <c r="D230" s="152"/>
      <c r="E230" s="152"/>
      <c r="F230" s="54"/>
      <c r="G230" s="54"/>
      <c r="H230" s="54"/>
      <c r="I230" s="164"/>
      <c r="J230" s="54"/>
      <c r="K230" s="54"/>
      <c r="L230" s="54"/>
      <c r="M230" s="54"/>
      <c r="N230" s="54"/>
      <c r="O230" s="152"/>
      <c r="P230" s="152"/>
      <c r="Q230" s="152"/>
      <c r="R230" s="152"/>
      <c r="S230" s="152"/>
      <c r="T230" s="152"/>
      <c r="U230" s="152"/>
      <c r="V230" s="152"/>
      <c r="W230" s="152"/>
      <c r="X230" s="152"/>
      <c r="Y230" s="165"/>
      <c r="Z230" s="165"/>
    </row>
    <row r="231" spans="1:26" x14ac:dyDescent="0.3">
      <c r="A231" s="129"/>
      <c r="B231" s="152"/>
      <c r="C231" s="162"/>
      <c r="D231" s="152"/>
      <c r="E231" s="152"/>
      <c r="F231" s="54"/>
      <c r="G231" s="54"/>
      <c r="H231" s="54"/>
      <c r="I231" s="164"/>
      <c r="J231" s="54"/>
      <c r="K231" s="54"/>
      <c r="L231" s="54"/>
      <c r="M231" s="54"/>
      <c r="N231" s="54"/>
      <c r="O231" s="152"/>
      <c r="P231" s="152"/>
      <c r="Q231" s="152"/>
      <c r="R231" s="152"/>
      <c r="S231" s="152"/>
      <c r="T231" s="152"/>
      <c r="U231" s="152"/>
      <c r="V231" s="152"/>
      <c r="W231" s="152"/>
      <c r="X231" s="152"/>
      <c r="Y231" s="165"/>
      <c r="Z231" s="165"/>
    </row>
    <row r="232" spans="1:26" x14ac:dyDescent="0.3">
      <c r="A232" s="129"/>
      <c r="B232" s="152"/>
      <c r="C232" s="162"/>
      <c r="D232" s="152"/>
      <c r="E232" s="152"/>
      <c r="F232" s="54"/>
      <c r="G232" s="54"/>
      <c r="H232" s="54"/>
      <c r="I232" s="164"/>
      <c r="J232" s="54"/>
      <c r="K232" s="54"/>
      <c r="L232" s="54"/>
      <c r="M232" s="54"/>
      <c r="N232" s="54"/>
      <c r="O232" s="152"/>
      <c r="P232" s="152"/>
      <c r="Q232" s="152"/>
      <c r="R232" s="152"/>
      <c r="S232" s="152"/>
      <c r="T232" s="152"/>
      <c r="U232" s="152"/>
      <c r="V232" s="152"/>
      <c r="W232" s="152"/>
      <c r="X232" s="152"/>
      <c r="Y232" s="165"/>
      <c r="Z232" s="165"/>
    </row>
    <row r="233" spans="1:26" x14ac:dyDescent="0.3">
      <c r="A233" s="129"/>
      <c r="B233" s="152"/>
      <c r="C233" s="162"/>
      <c r="D233" s="152"/>
      <c r="E233" s="152"/>
      <c r="F233" s="54"/>
      <c r="G233" s="54"/>
      <c r="H233" s="54"/>
      <c r="I233" s="164"/>
      <c r="J233" s="162"/>
      <c r="K233" s="54"/>
      <c r="L233" s="54"/>
      <c r="M233" s="54"/>
      <c r="N233" s="54"/>
      <c r="O233" s="152"/>
      <c r="P233" s="152"/>
      <c r="Q233" s="152"/>
      <c r="R233" s="152"/>
      <c r="S233" s="152"/>
      <c r="T233" s="152"/>
      <c r="U233" s="152"/>
      <c r="V233" s="152"/>
      <c r="W233" s="152"/>
      <c r="X233" s="152"/>
      <c r="Y233" s="165"/>
      <c r="Z233" s="165"/>
    </row>
    <row r="234" spans="1:26" x14ac:dyDescent="0.3">
      <c r="A234" s="129"/>
      <c r="B234" s="152"/>
      <c r="C234" s="162"/>
      <c r="D234" s="152"/>
      <c r="E234" s="152"/>
      <c r="F234" s="54"/>
      <c r="G234" s="54"/>
      <c r="H234" s="54"/>
      <c r="I234" s="164"/>
      <c r="J234" s="162"/>
      <c r="K234" s="54"/>
      <c r="L234" s="54"/>
      <c r="M234" s="54"/>
      <c r="N234" s="54"/>
      <c r="O234" s="152"/>
      <c r="P234" s="152"/>
      <c r="Q234" s="152"/>
      <c r="R234" s="152"/>
      <c r="S234" s="152"/>
      <c r="T234" s="152"/>
      <c r="U234" s="152"/>
      <c r="V234" s="152"/>
      <c r="W234" s="152"/>
      <c r="X234" s="152"/>
      <c r="Y234" s="165"/>
      <c r="Z234" s="165"/>
    </row>
    <row r="235" spans="1:26" x14ac:dyDescent="0.3">
      <c r="A235" s="129"/>
      <c r="B235" s="152"/>
      <c r="C235" s="162"/>
      <c r="D235" s="152"/>
      <c r="E235" s="152"/>
      <c r="F235" s="54"/>
      <c r="G235" s="54"/>
      <c r="H235" s="54"/>
      <c r="I235" s="164"/>
      <c r="J235" s="162"/>
      <c r="K235" s="54"/>
      <c r="L235" s="54"/>
      <c r="M235" s="54"/>
      <c r="N235" s="54"/>
      <c r="O235" s="152"/>
      <c r="P235" s="152"/>
      <c r="Q235" s="152"/>
      <c r="R235" s="152"/>
      <c r="S235" s="152"/>
      <c r="T235" s="152"/>
      <c r="U235" s="152"/>
      <c r="V235" s="152"/>
      <c r="W235" s="152"/>
      <c r="X235" s="152"/>
      <c r="Y235" s="165"/>
      <c r="Z235" s="165"/>
    </row>
    <row r="236" spans="1:26" x14ac:dyDescent="0.3">
      <c r="A236" s="129"/>
      <c r="B236" s="152"/>
      <c r="C236" s="162"/>
      <c r="D236" s="54"/>
      <c r="E236" s="152"/>
      <c r="F236" s="152"/>
      <c r="G236" s="152"/>
      <c r="H236" s="152"/>
      <c r="I236" s="152"/>
      <c r="J236" s="162"/>
      <c r="K236" s="152"/>
      <c r="L236" s="163"/>
      <c r="M236" s="152"/>
      <c r="N236" s="152"/>
      <c r="O236" s="152"/>
      <c r="P236" s="163"/>
      <c r="Q236" s="152"/>
      <c r="R236" s="152"/>
      <c r="S236" s="152"/>
      <c r="T236" s="152"/>
      <c r="U236" s="152"/>
      <c r="V236" s="152"/>
      <c r="W236" s="152"/>
      <c r="X236" s="152"/>
      <c r="Y236" s="152"/>
      <c r="Z236" s="152"/>
    </row>
    <row r="237" spans="1:26" x14ac:dyDescent="0.3">
      <c r="A237" s="129"/>
      <c r="B237" s="152"/>
      <c r="C237" s="162"/>
      <c r="D237" s="54"/>
      <c r="E237" s="152"/>
      <c r="F237" s="152"/>
      <c r="G237" s="152"/>
      <c r="H237" s="152"/>
      <c r="I237" s="152"/>
      <c r="J237" s="162"/>
      <c r="K237" s="152"/>
      <c r="L237" s="152"/>
      <c r="M237" s="152"/>
      <c r="N237" s="163"/>
      <c r="O237" s="152"/>
      <c r="P237" s="152"/>
      <c r="Q237" s="152"/>
      <c r="R237" s="152"/>
      <c r="S237" s="152"/>
      <c r="T237" s="152"/>
      <c r="U237" s="152"/>
      <c r="V237" s="152"/>
      <c r="W237" s="152"/>
      <c r="X237" s="152"/>
      <c r="Y237" s="152"/>
      <c r="Z237" s="152"/>
    </row>
    <row r="238" spans="1:26" x14ac:dyDescent="0.3">
      <c r="A238" s="129"/>
      <c r="B238" s="152"/>
      <c r="C238" s="162"/>
      <c r="D238" s="54"/>
      <c r="E238" s="152"/>
      <c r="F238" s="152"/>
      <c r="G238" s="152"/>
      <c r="H238" s="152"/>
      <c r="I238" s="152"/>
      <c r="J238" s="162"/>
      <c r="K238" s="152"/>
      <c r="L238" s="152"/>
      <c r="M238" s="152"/>
      <c r="N238" s="163"/>
      <c r="O238" s="152"/>
      <c r="P238" s="152"/>
      <c r="Q238" s="152"/>
      <c r="R238" s="152"/>
      <c r="S238" s="152"/>
      <c r="T238" s="152"/>
      <c r="U238" s="152"/>
      <c r="V238" s="152"/>
      <c r="W238" s="152"/>
      <c r="X238" s="152"/>
      <c r="Y238" s="152"/>
      <c r="Z238" s="152"/>
    </row>
    <row r="239" spans="1:26" x14ac:dyDescent="0.3">
      <c r="A239" s="129"/>
      <c r="B239" s="152"/>
      <c r="C239" s="162"/>
      <c r="D239" s="54"/>
      <c r="E239" s="152"/>
      <c r="F239" s="152"/>
      <c r="G239" s="152"/>
      <c r="H239" s="152"/>
      <c r="I239" s="152"/>
      <c r="J239" s="162"/>
      <c r="K239" s="152"/>
      <c r="L239" s="152"/>
      <c r="M239" s="152"/>
      <c r="N239" s="152"/>
      <c r="O239" s="152"/>
      <c r="P239" s="152"/>
      <c r="Q239" s="152"/>
      <c r="R239" s="152"/>
      <c r="S239" s="152"/>
      <c r="T239" s="152"/>
      <c r="U239" s="152"/>
      <c r="V239" s="152"/>
      <c r="W239" s="152"/>
      <c r="X239" s="152"/>
      <c r="Y239" s="152"/>
      <c r="Z239" s="152"/>
    </row>
    <row r="240" spans="1:26" x14ac:dyDescent="0.3">
      <c r="A240" s="129"/>
      <c r="B240" s="152"/>
      <c r="C240" s="162"/>
      <c r="D240" s="54"/>
      <c r="E240" s="152"/>
      <c r="F240" s="152"/>
      <c r="G240" s="152"/>
      <c r="H240" s="152"/>
      <c r="I240" s="152"/>
      <c r="J240" s="162"/>
      <c r="K240" s="152"/>
      <c r="L240" s="152"/>
      <c r="M240" s="152"/>
      <c r="N240" s="152"/>
      <c r="O240" s="152"/>
      <c r="P240" s="152"/>
      <c r="Q240" s="152"/>
      <c r="R240" s="152"/>
      <c r="S240" s="152"/>
      <c r="T240" s="152"/>
      <c r="U240" s="152"/>
      <c r="V240" s="152"/>
      <c r="W240" s="152"/>
      <c r="X240" s="152"/>
      <c r="Y240" s="152"/>
      <c r="Z240" s="152"/>
    </row>
    <row r="241" spans="1:26" x14ac:dyDescent="0.3">
      <c r="A241" s="129"/>
      <c r="B241" s="152"/>
      <c r="C241" s="162"/>
      <c r="D241" s="54"/>
      <c r="E241" s="152"/>
      <c r="F241" s="152"/>
      <c r="G241" s="152"/>
      <c r="H241" s="152"/>
      <c r="I241" s="152"/>
      <c r="J241" s="54"/>
      <c r="K241" s="152"/>
      <c r="L241" s="152"/>
      <c r="M241" s="152"/>
      <c r="N241" s="152"/>
      <c r="O241" s="152"/>
      <c r="P241" s="152"/>
      <c r="Q241" s="152"/>
      <c r="R241" s="152"/>
      <c r="S241" s="152"/>
      <c r="T241" s="152"/>
      <c r="U241" s="152"/>
      <c r="V241" s="152"/>
      <c r="W241" s="152"/>
      <c r="X241" s="152"/>
      <c r="Y241" s="152"/>
      <c r="Z241" s="152"/>
    </row>
    <row r="242" spans="1:26" x14ac:dyDescent="0.3">
      <c r="A242" s="129"/>
      <c r="B242" s="152"/>
      <c r="C242" s="162"/>
      <c r="D242" s="54"/>
      <c r="E242" s="152"/>
      <c r="F242" s="152"/>
      <c r="G242" s="152"/>
      <c r="H242" s="152"/>
      <c r="I242" s="152"/>
      <c r="J242" s="162"/>
      <c r="K242" s="152"/>
      <c r="L242" s="163"/>
      <c r="M242" s="152"/>
      <c r="N242" s="152"/>
      <c r="O242" s="152"/>
      <c r="P242" s="152"/>
      <c r="Q242" s="152"/>
      <c r="R242" s="152"/>
      <c r="S242" s="152"/>
      <c r="T242" s="152"/>
      <c r="U242" s="152"/>
      <c r="V242" s="152"/>
      <c r="W242" s="152"/>
      <c r="X242" s="152"/>
      <c r="Y242" s="152"/>
      <c r="Z242" s="152"/>
    </row>
    <row r="243" spans="1:26" x14ac:dyDescent="0.3">
      <c r="A243" s="129"/>
      <c r="B243" s="152"/>
      <c r="C243" s="162"/>
      <c r="D243" s="54"/>
      <c r="E243" s="152"/>
      <c r="F243" s="152"/>
      <c r="G243" s="152"/>
      <c r="H243" s="152"/>
      <c r="I243" s="152"/>
      <c r="J243" s="162"/>
      <c r="K243" s="152"/>
      <c r="L243" s="152"/>
      <c r="M243" s="152"/>
      <c r="N243" s="163"/>
      <c r="O243" s="152"/>
      <c r="P243" s="152"/>
      <c r="Q243" s="152"/>
      <c r="R243" s="152"/>
      <c r="S243" s="152"/>
      <c r="T243" s="152"/>
      <c r="U243" s="152"/>
      <c r="V243" s="163"/>
      <c r="W243" s="152"/>
      <c r="X243" s="152"/>
      <c r="Y243" s="152"/>
      <c r="Z243" s="152"/>
    </row>
    <row r="244" spans="1:26" x14ac:dyDescent="0.3">
      <c r="A244" s="129"/>
      <c r="B244" s="152"/>
      <c r="C244" s="162"/>
      <c r="D244" s="54"/>
      <c r="E244" s="54"/>
      <c r="F244" s="54"/>
      <c r="G244" s="54"/>
      <c r="H244" s="54"/>
      <c r="I244" s="164"/>
      <c r="J244" s="162"/>
      <c r="K244" s="54"/>
      <c r="L244" s="54"/>
      <c r="M244" s="54"/>
      <c r="N244" s="54"/>
      <c r="O244" s="54"/>
      <c r="P244" s="54"/>
      <c r="Q244" s="54"/>
      <c r="R244" s="54"/>
      <c r="S244" s="54"/>
      <c r="T244" s="54"/>
      <c r="U244" s="152"/>
      <c r="V244" s="54"/>
      <c r="W244" s="54"/>
      <c r="X244" s="54"/>
      <c r="Y244" s="164"/>
      <c r="Z244" s="164"/>
    </row>
    <row r="245" spans="1:26" x14ac:dyDescent="0.3">
      <c r="A245" s="129"/>
      <c r="B245" s="152"/>
      <c r="C245" s="162"/>
      <c r="D245" s="54"/>
      <c r="E245" s="152"/>
      <c r="F245" s="152"/>
      <c r="G245" s="152"/>
      <c r="H245" s="152"/>
      <c r="I245" s="152"/>
      <c r="J245" s="54"/>
      <c r="K245" s="152"/>
      <c r="L245" s="163"/>
      <c r="M245" s="152"/>
      <c r="N245" s="152"/>
      <c r="O245" s="152"/>
      <c r="P245" s="152"/>
      <c r="Q245" s="152"/>
      <c r="R245" s="163"/>
      <c r="S245" s="152"/>
      <c r="T245" s="152"/>
      <c r="U245" s="152"/>
      <c r="V245" s="152"/>
      <c r="W245" s="163"/>
      <c r="X245" s="163"/>
      <c r="Y245" s="152"/>
      <c r="Z245" s="152"/>
    </row>
    <row r="246" spans="1:26" x14ac:dyDescent="0.3">
      <c r="A246" s="129"/>
      <c r="B246" s="152"/>
      <c r="C246" s="162"/>
      <c r="D246" s="54"/>
      <c r="E246" s="152"/>
      <c r="F246" s="152"/>
      <c r="G246" s="152"/>
      <c r="H246" s="152"/>
      <c r="I246" s="152"/>
      <c r="J246" s="54"/>
      <c r="K246" s="152"/>
      <c r="L246" s="152"/>
      <c r="M246" s="152"/>
      <c r="N246" s="152"/>
      <c r="O246" s="152"/>
      <c r="P246" s="152"/>
      <c r="Q246" s="152"/>
      <c r="R246" s="152"/>
      <c r="S246" s="152"/>
      <c r="T246" s="152"/>
      <c r="U246" s="152"/>
      <c r="V246" s="152"/>
      <c r="W246" s="152"/>
      <c r="X246" s="152"/>
      <c r="Y246" s="152"/>
      <c r="Z246" s="152"/>
    </row>
    <row r="247" spans="1:26" x14ac:dyDescent="0.3">
      <c r="A247" s="129"/>
      <c r="B247" s="152"/>
      <c r="C247" s="162"/>
      <c r="D247" s="54"/>
      <c r="E247" s="152"/>
      <c r="F247" s="152"/>
      <c r="G247" s="152"/>
      <c r="H247" s="152"/>
      <c r="I247" s="152"/>
      <c r="J247" s="54"/>
      <c r="K247" s="152"/>
      <c r="L247" s="152"/>
      <c r="M247" s="152"/>
      <c r="N247" s="163"/>
      <c r="O247" s="152"/>
      <c r="P247" s="152"/>
      <c r="Q247" s="152"/>
      <c r="R247" s="163"/>
      <c r="S247" s="152"/>
      <c r="T247" s="152"/>
      <c r="U247" s="152"/>
      <c r="V247" s="152"/>
      <c r="W247" s="152"/>
      <c r="X247" s="152"/>
      <c r="Y247" s="163"/>
      <c r="Z247" s="152"/>
    </row>
    <row r="248" spans="1:26" x14ac:dyDescent="0.3">
      <c r="A248" s="129"/>
      <c r="B248" s="152"/>
      <c r="C248" s="162"/>
      <c r="D248" s="152"/>
      <c r="E248" s="152"/>
      <c r="F248" s="54"/>
      <c r="G248" s="54"/>
      <c r="H248" s="54"/>
      <c r="I248" s="164"/>
      <c r="J248" s="162"/>
      <c r="K248" s="54"/>
      <c r="L248" s="54"/>
      <c r="M248" s="54"/>
      <c r="N248" s="54"/>
      <c r="O248" s="152"/>
      <c r="P248" s="152"/>
      <c r="Q248" s="152"/>
      <c r="R248" s="152"/>
      <c r="S248" s="152"/>
      <c r="T248" s="152"/>
      <c r="U248" s="152"/>
      <c r="V248" s="152"/>
      <c r="W248" s="152"/>
      <c r="X248" s="152"/>
      <c r="Y248" s="152"/>
      <c r="Z248" s="152"/>
    </row>
    <row r="249" spans="1:26" x14ac:dyDescent="0.3">
      <c r="A249" s="129"/>
      <c r="B249" s="152"/>
      <c r="C249" s="162"/>
      <c r="D249" s="152"/>
      <c r="E249" s="152"/>
      <c r="F249" s="54"/>
      <c r="G249" s="54"/>
      <c r="H249" s="54"/>
      <c r="I249" s="164"/>
      <c r="J249" s="54"/>
      <c r="K249" s="54"/>
      <c r="L249" s="54"/>
      <c r="M249" s="54"/>
      <c r="N249" s="54"/>
      <c r="O249" s="152"/>
      <c r="P249" s="152"/>
      <c r="Q249" s="152"/>
      <c r="R249" s="152"/>
      <c r="S249" s="152"/>
      <c r="T249" s="152"/>
      <c r="U249" s="152"/>
      <c r="V249" s="152"/>
      <c r="W249" s="152"/>
      <c r="X249" s="152"/>
      <c r="Y249" s="152"/>
      <c r="Z249" s="152"/>
    </row>
    <row r="250" spans="1:26" x14ac:dyDescent="0.3">
      <c r="A250" s="129"/>
      <c r="B250" s="152"/>
      <c r="C250" s="162"/>
      <c r="D250" s="152"/>
      <c r="E250" s="152"/>
      <c r="F250" s="54"/>
      <c r="G250" s="54"/>
      <c r="H250" s="54"/>
      <c r="I250" s="164"/>
      <c r="J250" s="54"/>
      <c r="K250" s="54"/>
      <c r="L250" s="54"/>
      <c r="M250" s="54"/>
      <c r="N250" s="54"/>
      <c r="O250" s="152"/>
      <c r="P250" s="152"/>
      <c r="Q250" s="152"/>
      <c r="R250" s="152"/>
      <c r="S250" s="152"/>
      <c r="T250" s="152"/>
      <c r="U250" s="152"/>
      <c r="V250" s="152"/>
      <c r="W250" s="152"/>
      <c r="X250" s="152"/>
      <c r="Y250" s="152"/>
      <c r="Z250" s="152"/>
    </row>
    <row r="251" spans="1:26" x14ac:dyDescent="0.3">
      <c r="A251" s="129"/>
      <c r="B251" s="152"/>
      <c r="C251" s="162"/>
      <c r="D251" s="152"/>
      <c r="E251" s="152"/>
      <c r="F251" s="152"/>
      <c r="G251" s="152"/>
      <c r="H251" s="152"/>
      <c r="I251" s="152"/>
      <c r="J251" s="54"/>
      <c r="K251" s="152"/>
      <c r="L251" s="152"/>
      <c r="M251" s="152"/>
      <c r="N251" s="152"/>
      <c r="O251" s="152"/>
      <c r="P251" s="152"/>
      <c r="Q251" s="152"/>
      <c r="R251" s="152"/>
      <c r="S251" s="152"/>
      <c r="T251" s="152"/>
      <c r="U251" s="152"/>
      <c r="V251" s="152"/>
      <c r="W251" s="152"/>
      <c r="X251" s="152"/>
      <c r="Y251" s="152"/>
      <c r="Z251" s="152"/>
    </row>
    <row r="252" spans="1:26" x14ac:dyDescent="0.3">
      <c r="A252" s="129"/>
      <c r="B252" s="152"/>
      <c r="C252" s="162"/>
      <c r="D252" s="152"/>
      <c r="E252" s="152"/>
      <c r="F252" s="54"/>
      <c r="G252" s="54"/>
      <c r="H252" s="54"/>
      <c r="I252" s="164"/>
      <c r="J252" s="54"/>
      <c r="K252" s="54"/>
      <c r="L252" s="54"/>
      <c r="M252" s="54"/>
      <c r="N252" s="54"/>
      <c r="O252" s="152"/>
      <c r="P252" s="152"/>
      <c r="Q252" s="152"/>
      <c r="R252" s="152"/>
      <c r="S252" s="152"/>
      <c r="T252" s="152"/>
      <c r="U252" s="152"/>
      <c r="V252" s="152"/>
      <c r="W252" s="152"/>
      <c r="X252" s="152"/>
      <c r="Y252" s="152"/>
      <c r="Z252" s="152"/>
    </row>
    <row r="253" spans="1:26" x14ac:dyDescent="0.3">
      <c r="A253" s="129"/>
      <c r="B253" s="152"/>
      <c r="C253" s="162"/>
      <c r="D253" s="152"/>
      <c r="E253" s="152"/>
      <c r="F253" s="54"/>
      <c r="G253" s="54"/>
      <c r="H253" s="54"/>
      <c r="I253" s="164"/>
      <c r="J253" s="54"/>
      <c r="K253" s="54"/>
      <c r="L253" s="54"/>
      <c r="M253" s="54"/>
      <c r="N253" s="54"/>
      <c r="O253" s="152"/>
      <c r="P253" s="152"/>
      <c r="Q253" s="152"/>
      <c r="R253" s="152"/>
      <c r="S253" s="152"/>
      <c r="T253" s="152"/>
      <c r="U253" s="152"/>
      <c r="V253" s="152"/>
      <c r="W253" s="152"/>
      <c r="X253" s="152"/>
      <c r="Y253" s="152"/>
      <c r="Z253" s="152"/>
    </row>
    <row r="254" spans="1:26" x14ac:dyDescent="0.3">
      <c r="A254" s="129"/>
      <c r="B254" s="152"/>
      <c r="C254" s="162"/>
      <c r="D254" s="152"/>
      <c r="E254" s="152"/>
      <c r="F254" s="54"/>
      <c r="G254" s="54"/>
      <c r="H254" s="54"/>
      <c r="I254" s="164"/>
      <c r="J254" s="54"/>
      <c r="K254" s="54"/>
      <c r="L254" s="54"/>
      <c r="M254" s="54"/>
      <c r="N254" s="54"/>
      <c r="O254" s="152"/>
      <c r="P254" s="152"/>
      <c r="Q254" s="152"/>
      <c r="R254" s="152"/>
      <c r="S254" s="152"/>
      <c r="T254" s="152"/>
      <c r="U254" s="152"/>
      <c r="V254" s="152"/>
      <c r="W254" s="152"/>
      <c r="X254" s="152"/>
      <c r="Y254" s="152"/>
      <c r="Z254" s="152"/>
    </row>
    <row r="255" spans="1:26" x14ac:dyDescent="0.3">
      <c r="A255" s="129"/>
      <c r="B255" s="152"/>
      <c r="C255" s="162"/>
      <c r="D255" s="152"/>
      <c r="E255" s="152"/>
      <c r="F255" s="54"/>
      <c r="G255" s="54"/>
      <c r="H255" s="54"/>
      <c r="I255" s="164"/>
      <c r="J255" s="54"/>
      <c r="K255" s="54"/>
      <c r="L255" s="54"/>
      <c r="M255" s="54"/>
      <c r="N255" s="54"/>
      <c r="O255" s="152"/>
      <c r="P255" s="152"/>
      <c r="Q255" s="152"/>
      <c r="R255" s="152"/>
      <c r="S255" s="152"/>
      <c r="T255" s="152"/>
      <c r="U255" s="152"/>
      <c r="V255" s="152"/>
      <c r="W255" s="152"/>
      <c r="X255" s="152"/>
      <c r="Y255" s="152"/>
      <c r="Z255" s="152"/>
    </row>
    <row r="256" spans="1:26" x14ac:dyDescent="0.3">
      <c r="A256" s="129"/>
      <c r="B256" s="152"/>
      <c r="C256" s="162"/>
      <c r="D256" s="152"/>
      <c r="E256" s="152"/>
      <c r="F256" s="54"/>
      <c r="G256" s="54"/>
      <c r="H256" s="54"/>
      <c r="I256" s="164"/>
      <c r="J256" s="54"/>
      <c r="K256" s="54"/>
      <c r="L256" s="54"/>
      <c r="M256" s="54"/>
      <c r="N256" s="54"/>
      <c r="O256" s="152"/>
      <c r="P256" s="152"/>
      <c r="Q256" s="152"/>
      <c r="R256" s="152"/>
      <c r="S256" s="152"/>
      <c r="T256" s="152"/>
      <c r="U256" s="152"/>
      <c r="V256" s="152"/>
      <c r="W256" s="152"/>
      <c r="X256" s="152"/>
      <c r="Y256" s="152"/>
      <c r="Z256" s="152"/>
    </row>
    <row r="257" spans="1:26" x14ac:dyDescent="0.3">
      <c r="A257" s="129"/>
      <c r="B257" s="152"/>
      <c r="C257" s="162"/>
      <c r="D257" s="152"/>
      <c r="E257" s="152"/>
      <c r="F257" s="54"/>
      <c r="G257" s="54"/>
      <c r="H257" s="54"/>
      <c r="I257" s="164"/>
      <c r="J257" s="162"/>
      <c r="K257" s="54"/>
      <c r="L257" s="54"/>
      <c r="M257" s="54"/>
      <c r="N257" s="54"/>
      <c r="O257" s="152"/>
      <c r="P257" s="152"/>
      <c r="Q257" s="152"/>
      <c r="R257" s="152"/>
      <c r="S257" s="152"/>
      <c r="T257" s="152"/>
      <c r="U257" s="152"/>
      <c r="V257" s="152"/>
      <c r="W257" s="152"/>
      <c r="X257" s="152"/>
      <c r="Y257" s="152"/>
      <c r="Z257" s="152"/>
    </row>
    <row r="258" spans="1:26" x14ac:dyDescent="0.3">
      <c r="A258" s="129"/>
      <c r="B258" s="152"/>
      <c r="C258" s="162"/>
      <c r="D258" s="152"/>
      <c r="E258" s="152"/>
      <c r="F258" s="54"/>
      <c r="G258" s="54"/>
      <c r="H258" s="54"/>
      <c r="I258" s="164"/>
      <c r="J258" s="162"/>
      <c r="K258" s="54"/>
      <c r="L258" s="54"/>
      <c r="M258" s="54"/>
      <c r="N258" s="54"/>
      <c r="O258" s="152"/>
      <c r="P258" s="152"/>
      <c r="Q258" s="152"/>
      <c r="R258" s="152"/>
      <c r="S258" s="152"/>
      <c r="T258" s="152"/>
      <c r="U258" s="152"/>
      <c r="V258" s="152"/>
      <c r="W258" s="152"/>
      <c r="X258" s="152"/>
      <c r="Y258" s="152"/>
      <c r="Z258" s="152"/>
    </row>
    <row r="259" spans="1:26" x14ac:dyDescent="0.3">
      <c r="A259" s="129"/>
      <c r="B259" s="152"/>
      <c r="C259" s="162"/>
      <c r="D259" s="152"/>
      <c r="E259" s="152"/>
      <c r="F259" s="54"/>
      <c r="G259" s="54"/>
      <c r="H259" s="54"/>
      <c r="I259" s="164"/>
      <c r="J259" s="162"/>
      <c r="K259" s="54"/>
      <c r="L259" s="54"/>
      <c r="M259" s="54"/>
      <c r="N259" s="54"/>
      <c r="O259" s="152"/>
      <c r="P259" s="152"/>
      <c r="Q259" s="152"/>
      <c r="R259" s="152"/>
      <c r="S259" s="152"/>
      <c r="T259" s="152"/>
      <c r="U259" s="152"/>
      <c r="V259" s="152"/>
      <c r="W259" s="152"/>
      <c r="X259" s="152"/>
      <c r="Y259" s="152"/>
      <c r="Z259" s="152"/>
    </row>
    <row r="260" spans="1:26" x14ac:dyDescent="0.3">
      <c r="A260" s="129"/>
      <c r="B260" s="152"/>
      <c r="C260" s="162"/>
      <c r="D260" s="54"/>
      <c r="E260" s="152"/>
      <c r="F260" s="152"/>
      <c r="G260" s="152"/>
      <c r="H260" s="152"/>
      <c r="I260" s="152"/>
      <c r="J260" s="162"/>
      <c r="K260" s="152"/>
      <c r="L260" s="152"/>
      <c r="M260" s="152"/>
      <c r="N260" s="152"/>
      <c r="O260" s="152"/>
      <c r="P260" s="163"/>
      <c r="Q260" s="152"/>
      <c r="R260" s="152"/>
      <c r="S260" s="152"/>
      <c r="T260" s="152"/>
      <c r="U260" s="152"/>
      <c r="V260" s="163"/>
      <c r="W260" s="152"/>
      <c r="X260" s="152"/>
      <c r="Y260" s="163"/>
      <c r="Z260" s="163"/>
    </row>
    <row r="261" spans="1:26" x14ac:dyDescent="0.3">
      <c r="A261" s="129"/>
      <c r="B261" s="152"/>
      <c r="C261" s="162"/>
      <c r="D261" s="54"/>
      <c r="E261" s="152"/>
      <c r="F261" s="152"/>
      <c r="G261" s="152"/>
      <c r="H261" s="152"/>
      <c r="I261" s="152"/>
      <c r="J261" s="162"/>
      <c r="K261" s="152"/>
      <c r="L261" s="152"/>
      <c r="M261" s="152"/>
      <c r="N261" s="163"/>
      <c r="O261" s="163"/>
      <c r="P261" s="163"/>
      <c r="Q261" s="152"/>
      <c r="R261" s="152"/>
      <c r="S261" s="152"/>
      <c r="T261" s="152"/>
      <c r="U261" s="152"/>
      <c r="V261" s="152"/>
      <c r="W261" s="163"/>
      <c r="X261" s="163"/>
      <c r="Y261" s="152"/>
      <c r="Z261" s="152"/>
    </row>
    <row r="262" spans="1:26" x14ac:dyDescent="0.3">
      <c r="A262" s="129"/>
      <c r="B262" s="152"/>
      <c r="C262" s="162"/>
      <c r="D262" s="54"/>
      <c r="E262" s="152"/>
      <c r="F262" s="152"/>
      <c r="G262" s="152"/>
      <c r="H262" s="152"/>
      <c r="I262" s="165"/>
      <c r="J262" s="162"/>
      <c r="K262" s="152"/>
      <c r="L262" s="152"/>
      <c r="M262" s="152"/>
      <c r="N262" s="152"/>
      <c r="O262" s="152"/>
      <c r="P262" s="152"/>
      <c r="Q262" s="152"/>
      <c r="R262" s="152"/>
      <c r="S262" s="152"/>
      <c r="T262" s="152"/>
      <c r="U262" s="152"/>
      <c r="V262" s="152"/>
      <c r="W262" s="152"/>
      <c r="X262" s="152"/>
      <c r="Y262" s="165"/>
      <c r="Z262" s="165"/>
    </row>
    <row r="263" spans="1:26" x14ac:dyDescent="0.3">
      <c r="A263" s="129"/>
      <c r="B263" s="152"/>
      <c r="C263" s="162"/>
      <c r="D263" s="54"/>
      <c r="E263" s="152"/>
      <c r="F263" s="152"/>
      <c r="G263" s="152"/>
      <c r="H263" s="152"/>
      <c r="I263" s="165"/>
      <c r="J263" s="162"/>
      <c r="K263" s="152"/>
      <c r="L263" s="152"/>
      <c r="M263" s="152"/>
      <c r="N263" s="152"/>
      <c r="O263" s="152"/>
      <c r="P263" s="152"/>
      <c r="Q263" s="152"/>
      <c r="R263" s="152"/>
      <c r="S263" s="152"/>
      <c r="T263" s="152"/>
      <c r="U263" s="152"/>
      <c r="V263" s="152"/>
      <c r="W263" s="152"/>
      <c r="X263" s="152"/>
      <c r="Y263" s="165"/>
      <c r="Z263" s="165"/>
    </row>
    <row r="264" spans="1:26" x14ac:dyDescent="0.3">
      <c r="A264" s="129"/>
      <c r="B264" s="152"/>
      <c r="C264" s="162"/>
      <c r="D264" s="54"/>
      <c r="E264" s="152"/>
      <c r="F264" s="152"/>
      <c r="G264" s="152"/>
      <c r="H264" s="152"/>
      <c r="I264" s="165"/>
      <c r="J264" s="162"/>
      <c r="K264" s="152"/>
      <c r="L264" s="152"/>
      <c r="M264" s="152"/>
      <c r="N264" s="152"/>
      <c r="O264" s="152"/>
      <c r="P264" s="152"/>
      <c r="Q264" s="152"/>
      <c r="R264" s="152"/>
      <c r="S264" s="152"/>
      <c r="T264" s="152"/>
      <c r="U264" s="152"/>
      <c r="V264" s="152"/>
      <c r="W264" s="152"/>
      <c r="X264" s="152"/>
      <c r="Y264" s="165"/>
      <c r="Z264" s="165"/>
    </row>
    <row r="265" spans="1:26" x14ac:dyDescent="0.3">
      <c r="A265" s="129"/>
      <c r="B265" s="152"/>
      <c r="C265" s="162"/>
      <c r="D265" s="54"/>
      <c r="E265" s="152"/>
      <c r="F265" s="152"/>
      <c r="G265" s="152"/>
      <c r="H265" s="152"/>
      <c r="I265" s="152"/>
      <c r="J265" s="162"/>
      <c r="K265" s="152"/>
      <c r="L265" s="163"/>
      <c r="M265" s="152"/>
      <c r="N265" s="152"/>
      <c r="O265" s="152"/>
      <c r="P265" s="152"/>
      <c r="Q265" s="152"/>
      <c r="R265" s="152"/>
      <c r="S265" s="152"/>
      <c r="T265" s="152"/>
      <c r="U265" s="152"/>
      <c r="V265" s="152"/>
      <c r="W265" s="152"/>
      <c r="X265" s="152"/>
      <c r="Y265" s="152"/>
      <c r="Z265" s="152"/>
    </row>
    <row r="266" spans="1:26" x14ac:dyDescent="0.3">
      <c r="A266" s="129"/>
      <c r="B266" s="152"/>
      <c r="C266" s="162"/>
      <c r="D266" s="54"/>
      <c r="E266" s="152"/>
      <c r="F266" s="152"/>
      <c r="G266" s="152"/>
      <c r="H266" s="152"/>
      <c r="I266" s="152"/>
      <c r="J266" s="162"/>
      <c r="K266" s="152"/>
      <c r="L266" s="163"/>
      <c r="M266" s="152"/>
      <c r="N266" s="163"/>
      <c r="O266" s="152"/>
      <c r="P266" s="152"/>
      <c r="Q266" s="152"/>
      <c r="R266" s="152"/>
      <c r="S266" s="152"/>
      <c r="T266" s="152"/>
      <c r="U266" s="152"/>
      <c r="V266" s="152"/>
      <c r="W266" s="152"/>
      <c r="X266" s="152"/>
      <c r="Y266" s="152"/>
      <c r="Z266" s="152"/>
    </row>
    <row r="267" spans="1:26" x14ac:dyDescent="0.3">
      <c r="A267" s="129"/>
      <c r="B267" s="152"/>
      <c r="C267" s="162"/>
      <c r="D267" s="54"/>
      <c r="E267" s="152"/>
      <c r="F267" s="152"/>
      <c r="G267" s="152"/>
      <c r="H267" s="152"/>
      <c r="I267" s="165"/>
      <c r="J267" s="162"/>
      <c r="K267" s="152"/>
      <c r="L267" s="152"/>
      <c r="M267" s="152"/>
      <c r="N267" s="152"/>
      <c r="O267" s="152"/>
      <c r="P267" s="152"/>
      <c r="Q267" s="152"/>
      <c r="R267" s="152"/>
      <c r="S267" s="152"/>
      <c r="T267" s="152"/>
      <c r="U267" s="152"/>
      <c r="V267" s="152"/>
      <c r="W267" s="152"/>
      <c r="X267" s="152"/>
      <c r="Y267" s="165"/>
      <c r="Z267" s="165"/>
    </row>
    <row r="268" spans="1:26" x14ac:dyDescent="0.3">
      <c r="A268" s="129"/>
      <c r="B268" s="152"/>
      <c r="C268" s="162"/>
      <c r="D268" s="54"/>
      <c r="E268" s="152"/>
      <c r="F268" s="152"/>
      <c r="G268" s="152"/>
      <c r="H268" s="152"/>
      <c r="I268" s="152"/>
      <c r="J268" s="162"/>
      <c r="K268" s="152"/>
      <c r="L268" s="152"/>
      <c r="M268" s="152"/>
      <c r="N268" s="152"/>
      <c r="O268" s="152"/>
      <c r="P268" s="152"/>
      <c r="Q268" s="152"/>
      <c r="R268" s="152"/>
      <c r="S268" s="152"/>
      <c r="T268" s="152"/>
      <c r="U268" s="152"/>
      <c r="V268" s="152"/>
      <c r="W268" s="152"/>
      <c r="X268" s="152"/>
      <c r="Y268" s="152"/>
      <c r="Z268" s="152"/>
    </row>
    <row r="269" spans="1:26" x14ac:dyDescent="0.3">
      <c r="A269" s="129"/>
      <c r="B269" s="152"/>
      <c r="C269" s="162"/>
      <c r="D269" s="54"/>
      <c r="E269" s="152"/>
      <c r="F269" s="152"/>
      <c r="G269" s="152"/>
      <c r="H269" s="152"/>
      <c r="I269" s="152"/>
      <c r="J269" s="162"/>
      <c r="K269" s="152"/>
      <c r="L269" s="152"/>
      <c r="M269" s="152"/>
      <c r="N269" s="152"/>
      <c r="O269" s="152"/>
      <c r="P269" s="152"/>
      <c r="Q269" s="152"/>
      <c r="R269" s="152"/>
      <c r="S269" s="152"/>
      <c r="T269" s="152"/>
      <c r="U269" s="152"/>
      <c r="V269" s="152"/>
      <c r="W269" s="152"/>
      <c r="X269" s="152"/>
      <c r="Y269" s="152"/>
      <c r="Z269" s="152"/>
    </row>
    <row r="270" spans="1:26" x14ac:dyDescent="0.3">
      <c r="A270" s="129"/>
      <c r="B270" s="152"/>
      <c r="C270" s="162"/>
      <c r="D270" s="54"/>
      <c r="E270" s="152"/>
      <c r="F270" s="152"/>
      <c r="G270" s="152"/>
      <c r="H270" s="152"/>
      <c r="I270" s="152"/>
      <c r="J270" s="162"/>
      <c r="K270" s="152"/>
      <c r="L270" s="152"/>
      <c r="M270" s="152"/>
      <c r="N270" s="152"/>
      <c r="O270" s="152"/>
      <c r="P270" s="152"/>
      <c r="Q270" s="152"/>
      <c r="R270" s="152"/>
      <c r="S270" s="152"/>
      <c r="T270" s="152"/>
      <c r="U270" s="152"/>
      <c r="V270" s="152"/>
      <c r="W270" s="152"/>
      <c r="X270" s="152"/>
      <c r="Y270" s="152"/>
      <c r="Z270" s="152"/>
    </row>
    <row r="271" spans="1:26" x14ac:dyDescent="0.3">
      <c r="A271" s="129"/>
      <c r="B271" s="152"/>
      <c r="C271" s="162"/>
      <c r="D271" s="54"/>
      <c r="E271" s="152"/>
      <c r="F271" s="152"/>
      <c r="G271" s="152"/>
      <c r="H271" s="152"/>
      <c r="I271" s="152"/>
      <c r="J271" s="162"/>
      <c r="K271" s="152"/>
      <c r="L271" s="152"/>
      <c r="M271" s="152"/>
      <c r="N271" s="152"/>
      <c r="O271" s="152"/>
      <c r="P271" s="152"/>
      <c r="Q271" s="152"/>
      <c r="R271" s="152"/>
      <c r="S271" s="152"/>
      <c r="T271" s="152"/>
      <c r="U271" s="152"/>
      <c r="V271" s="152"/>
      <c r="W271" s="152"/>
      <c r="X271" s="152"/>
      <c r="Y271" s="152"/>
      <c r="Z271" s="152"/>
    </row>
    <row r="272" spans="1:26" x14ac:dyDescent="0.3">
      <c r="A272" s="129"/>
      <c r="B272" s="152"/>
      <c r="C272" s="162"/>
      <c r="D272" s="54"/>
      <c r="E272" s="152"/>
      <c r="F272" s="152"/>
      <c r="G272" s="152"/>
      <c r="H272" s="152"/>
      <c r="I272" s="152"/>
      <c r="J272" s="162"/>
      <c r="K272" s="152"/>
      <c r="L272" s="152"/>
      <c r="M272" s="152"/>
      <c r="N272" s="152"/>
      <c r="O272" s="152"/>
      <c r="P272" s="152"/>
      <c r="Q272" s="152"/>
      <c r="R272" s="152"/>
      <c r="S272" s="152"/>
      <c r="T272" s="152"/>
      <c r="U272" s="152"/>
      <c r="V272" s="152"/>
      <c r="W272" s="152"/>
      <c r="X272" s="152"/>
      <c r="Y272" s="152"/>
      <c r="Z272" s="152"/>
    </row>
    <row r="273" spans="1:26" x14ac:dyDescent="0.3">
      <c r="A273" s="129"/>
      <c r="B273" s="152"/>
      <c r="C273" s="162"/>
      <c r="D273" s="54"/>
      <c r="E273" s="152"/>
      <c r="F273" s="152"/>
      <c r="G273" s="152"/>
      <c r="H273" s="152"/>
      <c r="I273" s="152"/>
      <c r="J273" s="162"/>
      <c r="K273" s="152"/>
      <c r="L273" s="152"/>
      <c r="M273" s="152"/>
      <c r="N273" s="152"/>
      <c r="O273" s="152"/>
      <c r="P273" s="152"/>
      <c r="Q273" s="152"/>
      <c r="R273" s="152"/>
      <c r="S273" s="152"/>
      <c r="T273" s="152"/>
      <c r="U273" s="152"/>
      <c r="V273" s="152"/>
      <c r="W273" s="152"/>
      <c r="X273" s="152"/>
      <c r="Y273" s="152"/>
      <c r="Z273" s="152"/>
    </row>
    <row r="274" spans="1:26" x14ac:dyDescent="0.3">
      <c r="A274" s="129"/>
      <c r="B274" s="152"/>
      <c r="C274" s="162"/>
      <c r="D274" s="54"/>
      <c r="E274" s="152"/>
      <c r="F274" s="152"/>
      <c r="G274" s="152"/>
      <c r="H274" s="152"/>
      <c r="I274" s="152"/>
      <c r="J274" s="162"/>
      <c r="K274" s="152"/>
      <c r="L274" s="152"/>
      <c r="M274" s="152"/>
      <c r="N274" s="152"/>
      <c r="O274" s="152"/>
      <c r="P274" s="152"/>
      <c r="Q274" s="152"/>
      <c r="R274" s="152"/>
      <c r="S274" s="152"/>
      <c r="T274" s="152"/>
      <c r="U274" s="152"/>
      <c r="V274" s="152"/>
      <c r="W274" s="152"/>
      <c r="X274" s="152"/>
      <c r="Y274" s="152"/>
      <c r="Z274" s="152"/>
    </row>
    <row r="275" spans="1:26" x14ac:dyDescent="0.3">
      <c r="A275" s="129"/>
      <c r="B275" s="152"/>
      <c r="C275" s="162"/>
      <c r="D275" s="54"/>
      <c r="E275" s="152"/>
      <c r="F275" s="152"/>
      <c r="G275" s="152"/>
      <c r="H275" s="152"/>
      <c r="I275" s="152"/>
      <c r="J275" s="162"/>
      <c r="K275" s="152"/>
      <c r="L275" s="152"/>
      <c r="M275" s="152"/>
      <c r="N275" s="152"/>
      <c r="O275" s="152"/>
      <c r="P275" s="152"/>
      <c r="Q275" s="152"/>
      <c r="R275" s="152"/>
      <c r="S275" s="152"/>
      <c r="T275" s="152"/>
      <c r="U275" s="152"/>
      <c r="V275" s="152"/>
      <c r="W275" s="152"/>
      <c r="X275" s="152"/>
      <c r="Y275" s="152"/>
      <c r="Z275" s="152"/>
    </row>
    <row r="276" spans="1:26" x14ac:dyDescent="0.3">
      <c r="A276" s="129"/>
      <c r="B276" s="152"/>
      <c r="C276" s="162"/>
      <c r="D276" s="54"/>
      <c r="E276" s="152"/>
      <c r="F276" s="152"/>
      <c r="G276" s="152"/>
      <c r="H276" s="152"/>
      <c r="I276" s="152"/>
      <c r="J276" s="162"/>
      <c r="K276" s="152"/>
      <c r="L276" s="152"/>
      <c r="M276" s="152"/>
      <c r="N276" s="152"/>
      <c r="O276" s="152"/>
      <c r="P276" s="152"/>
      <c r="Q276" s="152"/>
      <c r="R276" s="152"/>
      <c r="S276" s="152"/>
      <c r="T276" s="152"/>
      <c r="U276" s="152"/>
      <c r="V276" s="152"/>
      <c r="W276" s="152"/>
      <c r="X276" s="152"/>
      <c r="Y276" s="152"/>
      <c r="Z276" s="152"/>
    </row>
    <row r="277" spans="1:26" x14ac:dyDescent="0.3">
      <c r="A277" s="129"/>
      <c r="B277" s="152"/>
      <c r="C277" s="162"/>
      <c r="D277" s="54"/>
      <c r="E277" s="152"/>
      <c r="F277" s="152"/>
      <c r="G277" s="152"/>
      <c r="H277" s="152"/>
      <c r="I277" s="152"/>
      <c r="J277" s="162"/>
      <c r="K277" s="152"/>
      <c r="L277" s="152"/>
      <c r="M277" s="152"/>
      <c r="N277" s="152"/>
      <c r="O277" s="152"/>
      <c r="P277" s="152"/>
      <c r="Q277" s="152"/>
      <c r="R277" s="152"/>
      <c r="S277" s="152"/>
      <c r="T277" s="152"/>
      <c r="U277" s="152"/>
      <c r="V277" s="152"/>
      <c r="W277" s="152"/>
      <c r="X277" s="152"/>
      <c r="Y277" s="152"/>
      <c r="Z277" s="152"/>
    </row>
    <row r="278" spans="1:26" x14ac:dyDescent="0.3">
      <c r="A278" s="129"/>
      <c r="B278" s="152"/>
      <c r="C278" s="162"/>
      <c r="D278" s="54"/>
      <c r="E278" s="152"/>
      <c r="F278" s="152"/>
      <c r="G278" s="152"/>
      <c r="H278" s="152"/>
      <c r="I278" s="152"/>
      <c r="J278" s="162"/>
      <c r="K278" s="152"/>
      <c r="L278" s="152"/>
      <c r="M278" s="152"/>
      <c r="N278" s="152"/>
      <c r="O278" s="152"/>
      <c r="P278" s="152"/>
      <c r="Q278" s="152"/>
      <c r="R278" s="152"/>
      <c r="S278" s="152"/>
      <c r="T278" s="152"/>
      <c r="U278" s="152"/>
      <c r="V278" s="152"/>
      <c r="W278" s="152"/>
      <c r="X278" s="152"/>
      <c r="Y278" s="152"/>
      <c r="Z278" s="152"/>
    </row>
    <row r="279" spans="1:26" x14ac:dyDescent="0.3">
      <c r="A279" s="129"/>
      <c r="B279" s="152"/>
      <c r="C279" s="162"/>
      <c r="D279" s="54"/>
      <c r="E279" s="152"/>
      <c r="F279" s="152"/>
      <c r="G279" s="152"/>
      <c r="H279" s="152"/>
      <c r="I279" s="152"/>
      <c r="J279" s="162"/>
      <c r="K279" s="152"/>
      <c r="L279" s="152"/>
      <c r="M279" s="152"/>
      <c r="N279" s="152"/>
      <c r="O279" s="152"/>
      <c r="P279" s="152"/>
      <c r="Q279" s="152"/>
      <c r="R279" s="152"/>
      <c r="S279" s="152"/>
      <c r="T279" s="152"/>
      <c r="U279" s="152"/>
      <c r="V279" s="152"/>
      <c r="W279" s="152"/>
      <c r="X279" s="152"/>
      <c r="Y279" s="152"/>
      <c r="Z279" s="152"/>
    </row>
    <row r="280" spans="1:26" x14ac:dyDescent="0.3">
      <c r="A280" s="129"/>
      <c r="B280" s="152"/>
      <c r="C280" s="162"/>
      <c r="D280" s="54"/>
      <c r="E280" s="152"/>
      <c r="F280" s="152"/>
      <c r="G280" s="152"/>
      <c r="H280" s="152"/>
      <c r="I280" s="152"/>
      <c r="J280" s="162"/>
      <c r="K280" s="152"/>
      <c r="L280" s="152"/>
      <c r="M280" s="152"/>
      <c r="N280" s="152"/>
      <c r="O280" s="152"/>
      <c r="P280" s="152"/>
      <c r="Q280" s="152"/>
      <c r="R280" s="152"/>
      <c r="S280" s="152"/>
      <c r="T280" s="152"/>
      <c r="U280" s="152"/>
      <c r="V280" s="152"/>
      <c r="W280" s="152"/>
      <c r="X280" s="152"/>
      <c r="Y280" s="152"/>
      <c r="Z280" s="152"/>
    </row>
    <row r="281" spans="1:26" x14ac:dyDescent="0.3">
      <c r="A281" s="129"/>
      <c r="B281" s="152"/>
      <c r="C281" s="162"/>
      <c r="D281" s="54"/>
      <c r="E281" s="152"/>
      <c r="F281" s="152"/>
      <c r="G281" s="152"/>
      <c r="H281" s="152"/>
      <c r="I281" s="152"/>
      <c r="J281" s="162"/>
      <c r="K281" s="152"/>
      <c r="L281" s="152"/>
      <c r="M281" s="152"/>
      <c r="N281" s="152"/>
      <c r="O281" s="152"/>
      <c r="P281" s="152"/>
      <c r="Q281" s="152"/>
      <c r="R281" s="152"/>
      <c r="S281" s="152"/>
      <c r="T281" s="152"/>
      <c r="U281" s="152"/>
      <c r="V281" s="152"/>
      <c r="W281" s="152"/>
      <c r="X281" s="152"/>
      <c r="Y281" s="152"/>
      <c r="Z281" s="152"/>
    </row>
    <row r="282" spans="1:26" x14ac:dyDescent="0.3">
      <c r="A282" s="129"/>
      <c r="B282" s="152"/>
      <c r="C282" s="162"/>
      <c r="D282" s="54"/>
      <c r="E282" s="152"/>
      <c r="F282" s="152"/>
      <c r="G282" s="152"/>
      <c r="H282" s="152"/>
      <c r="I282" s="152"/>
      <c r="J282" s="162"/>
      <c r="K282" s="152"/>
      <c r="L282" s="152"/>
      <c r="M282" s="152"/>
      <c r="N282" s="152"/>
      <c r="O282" s="152"/>
      <c r="P282" s="152"/>
      <c r="Q282" s="152"/>
      <c r="R282" s="152"/>
      <c r="S282" s="152"/>
      <c r="T282" s="152"/>
      <c r="U282" s="152"/>
      <c r="V282" s="152"/>
      <c r="W282" s="152"/>
      <c r="X282" s="152"/>
      <c r="Y282" s="152"/>
      <c r="Z282" s="152"/>
    </row>
    <row r="283" spans="1:26" x14ac:dyDescent="0.3">
      <c r="A283" s="129"/>
      <c r="B283" s="152"/>
      <c r="C283" s="162"/>
      <c r="D283" s="54"/>
      <c r="E283" s="152"/>
      <c r="F283" s="152"/>
      <c r="G283" s="152"/>
      <c r="H283" s="152"/>
      <c r="I283" s="152"/>
      <c r="J283" s="162"/>
      <c r="K283" s="152"/>
      <c r="L283" s="152"/>
      <c r="M283" s="152"/>
      <c r="N283" s="152"/>
      <c r="O283" s="152"/>
      <c r="P283" s="152"/>
      <c r="Q283" s="152"/>
      <c r="R283" s="152"/>
      <c r="S283" s="152"/>
      <c r="T283" s="152"/>
      <c r="U283" s="152"/>
      <c r="V283" s="152"/>
      <c r="W283" s="152"/>
      <c r="X283" s="152"/>
      <c r="Y283" s="152"/>
      <c r="Z283" s="152"/>
    </row>
    <row r="284" spans="1:26" x14ac:dyDescent="0.3">
      <c r="A284" s="129"/>
      <c r="B284" s="152"/>
      <c r="C284" s="162"/>
      <c r="D284" s="54"/>
      <c r="E284" s="152"/>
      <c r="F284" s="152"/>
      <c r="G284" s="152"/>
      <c r="H284" s="152"/>
      <c r="I284" s="152"/>
      <c r="J284" s="162"/>
      <c r="K284" s="152"/>
      <c r="L284" s="152"/>
      <c r="M284" s="152"/>
      <c r="N284" s="152"/>
      <c r="O284" s="152"/>
      <c r="P284" s="152"/>
      <c r="Q284" s="152"/>
      <c r="R284" s="152"/>
      <c r="S284" s="152"/>
      <c r="T284" s="152"/>
      <c r="U284" s="152"/>
      <c r="V284" s="152"/>
      <c r="W284" s="152"/>
      <c r="X284" s="152"/>
      <c r="Y284" s="152"/>
      <c r="Z284" s="152"/>
    </row>
    <row r="285" spans="1:26" x14ac:dyDescent="0.3">
      <c r="A285" s="129"/>
      <c r="B285" s="152"/>
      <c r="C285" s="162"/>
      <c r="D285" s="54"/>
      <c r="E285" s="152"/>
      <c r="F285" s="152"/>
      <c r="G285" s="152"/>
      <c r="H285" s="152"/>
      <c r="I285" s="152"/>
      <c r="J285" s="162"/>
      <c r="K285" s="152"/>
      <c r="L285" s="152"/>
      <c r="M285" s="152"/>
      <c r="N285" s="152"/>
      <c r="O285" s="152"/>
      <c r="P285" s="152"/>
      <c r="Q285" s="152"/>
      <c r="R285" s="152"/>
      <c r="S285" s="152"/>
      <c r="T285" s="152"/>
      <c r="U285" s="152"/>
      <c r="V285" s="152"/>
      <c r="W285" s="152"/>
      <c r="X285" s="152"/>
      <c r="Y285" s="152"/>
      <c r="Z285" s="152"/>
    </row>
    <row r="286" spans="1:26" x14ac:dyDescent="0.3">
      <c r="A286" s="129"/>
      <c r="B286" s="152"/>
      <c r="C286" s="162"/>
      <c r="D286" s="54"/>
      <c r="E286" s="152"/>
      <c r="F286" s="152"/>
      <c r="G286" s="152"/>
      <c r="H286" s="152"/>
      <c r="I286" s="152"/>
      <c r="J286" s="162"/>
      <c r="K286" s="152"/>
      <c r="L286" s="152"/>
      <c r="M286" s="152"/>
      <c r="N286" s="152"/>
      <c r="O286" s="152"/>
      <c r="P286" s="152"/>
      <c r="Q286" s="152"/>
      <c r="R286" s="152"/>
      <c r="S286" s="152"/>
      <c r="T286" s="152"/>
      <c r="U286" s="152"/>
      <c r="V286" s="152"/>
      <c r="W286" s="152"/>
      <c r="X286" s="152"/>
      <c r="Y286" s="152"/>
      <c r="Z286" s="152"/>
    </row>
    <row r="287" spans="1:26" x14ac:dyDescent="0.3">
      <c r="A287" s="129"/>
      <c r="B287" s="152"/>
      <c r="C287" s="162"/>
      <c r="D287" s="54"/>
      <c r="E287" s="152"/>
      <c r="F287" s="152"/>
      <c r="G287" s="152"/>
      <c r="H287" s="152"/>
      <c r="I287" s="152"/>
      <c r="J287" s="162"/>
      <c r="K287" s="152"/>
      <c r="L287" s="152"/>
      <c r="M287" s="152"/>
      <c r="N287" s="152"/>
      <c r="O287" s="152"/>
      <c r="P287" s="152"/>
      <c r="Q287" s="152"/>
      <c r="R287" s="152"/>
      <c r="S287" s="152"/>
      <c r="T287" s="152"/>
      <c r="U287" s="152"/>
      <c r="V287" s="152"/>
      <c r="W287" s="152"/>
      <c r="X287" s="152"/>
      <c r="Y287" s="152"/>
      <c r="Z287" s="152"/>
    </row>
    <row r="288" spans="1:26" x14ac:dyDescent="0.3">
      <c r="A288" s="129"/>
      <c r="B288" s="152"/>
      <c r="C288" s="162"/>
      <c r="D288" s="54"/>
      <c r="E288" s="152"/>
      <c r="F288" s="152"/>
      <c r="G288" s="152"/>
      <c r="H288" s="152"/>
      <c r="I288" s="165"/>
      <c r="J288" s="162"/>
      <c r="K288" s="152"/>
      <c r="L288" s="163"/>
      <c r="M288" s="152"/>
      <c r="N288" s="152"/>
      <c r="O288" s="152"/>
      <c r="P288" s="152"/>
      <c r="Q288" s="152"/>
      <c r="R288" s="152"/>
      <c r="S288" s="152"/>
      <c r="T288" s="152"/>
      <c r="U288" s="152"/>
      <c r="V288" s="152"/>
      <c r="W288" s="152"/>
      <c r="X288" s="152"/>
      <c r="Y288" s="165"/>
      <c r="Z288" s="165"/>
    </row>
    <row r="289" spans="1:26" x14ac:dyDescent="0.3">
      <c r="A289" s="129"/>
      <c r="B289" s="152"/>
      <c r="C289" s="162"/>
      <c r="D289" s="54"/>
      <c r="E289" s="152"/>
      <c r="F289" s="152"/>
      <c r="G289" s="152"/>
      <c r="H289" s="152"/>
      <c r="I289" s="152"/>
      <c r="J289" s="162"/>
      <c r="K289" s="152"/>
      <c r="L289" s="163"/>
      <c r="M289" s="152"/>
      <c r="N289" s="152"/>
      <c r="O289" s="152"/>
      <c r="P289" s="152"/>
      <c r="Q289" s="152"/>
      <c r="R289" s="152"/>
      <c r="S289" s="152"/>
      <c r="T289" s="152"/>
      <c r="U289" s="152"/>
      <c r="V289" s="152"/>
      <c r="W289" s="152"/>
      <c r="X289" s="152"/>
      <c r="Y289" s="152"/>
      <c r="Z289" s="152"/>
    </row>
    <row r="290" spans="1:26" x14ac:dyDescent="0.3">
      <c r="A290" s="129"/>
      <c r="B290" s="152"/>
      <c r="C290" s="162"/>
      <c r="D290" s="54"/>
      <c r="E290" s="152"/>
      <c r="F290" s="152"/>
      <c r="G290" s="152"/>
      <c r="H290" s="152"/>
      <c r="I290" s="152"/>
      <c r="J290" s="162"/>
      <c r="K290" s="152"/>
      <c r="L290" s="163"/>
      <c r="M290" s="152"/>
      <c r="N290" s="152"/>
      <c r="O290" s="152"/>
      <c r="P290" s="152"/>
      <c r="Q290" s="152"/>
      <c r="R290" s="152"/>
      <c r="S290" s="152"/>
      <c r="T290" s="152"/>
      <c r="U290" s="152"/>
      <c r="V290" s="152"/>
      <c r="W290" s="152"/>
      <c r="X290" s="152"/>
      <c r="Y290" s="152"/>
      <c r="Z290" s="152"/>
    </row>
    <row r="291" spans="1:26" x14ac:dyDescent="0.3">
      <c r="A291" s="129"/>
      <c r="B291" s="152"/>
      <c r="C291" s="162"/>
      <c r="D291" s="54"/>
      <c r="E291" s="152"/>
      <c r="F291" s="152"/>
      <c r="G291" s="152"/>
      <c r="H291" s="152"/>
      <c r="I291" s="152"/>
      <c r="J291" s="162"/>
      <c r="K291" s="152"/>
      <c r="L291" s="163"/>
      <c r="M291" s="152"/>
      <c r="N291" s="152"/>
      <c r="O291" s="152"/>
      <c r="P291" s="152"/>
      <c r="Q291" s="152"/>
      <c r="R291" s="152"/>
      <c r="S291" s="152"/>
      <c r="T291" s="152"/>
      <c r="U291" s="152"/>
      <c r="V291" s="152"/>
      <c r="W291" s="152"/>
      <c r="X291" s="152"/>
      <c r="Y291" s="152"/>
      <c r="Z291" s="152"/>
    </row>
    <row r="292" spans="1:26" x14ac:dyDescent="0.3">
      <c r="A292" s="129"/>
      <c r="B292" s="152"/>
      <c r="C292" s="162"/>
      <c r="D292" s="54"/>
      <c r="E292" s="152"/>
      <c r="F292" s="152"/>
      <c r="G292" s="152"/>
      <c r="H292" s="152"/>
      <c r="I292" s="165"/>
      <c r="J292" s="162"/>
      <c r="K292" s="152"/>
      <c r="L292" s="163"/>
      <c r="M292" s="152"/>
      <c r="N292" s="163"/>
      <c r="O292" s="152"/>
      <c r="P292" s="152"/>
      <c r="Q292" s="152"/>
      <c r="R292" s="152"/>
      <c r="S292" s="152"/>
      <c r="T292" s="152"/>
      <c r="U292" s="152"/>
      <c r="V292" s="152"/>
      <c r="W292" s="152"/>
      <c r="X292" s="152"/>
      <c r="Y292" s="165"/>
      <c r="Z292" s="165"/>
    </row>
    <row r="293" spans="1:26" x14ac:dyDescent="0.3">
      <c r="A293" s="129"/>
      <c r="B293" s="152"/>
      <c r="C293" s="162"/>
      <c r="D293" s="54"/>
      <c r="E293" s="152"/>
      <c r="F293" s="152"/>
      <c r="G293" s="152"/>
      <c r="H293" s="152"/>
      <c r="I293" s="152"/>
      <c r="J293" s="162"/>
      <c r="K293" s="152"/>
      <c r="L293" s="163"/>
      <c r="M293" s="152"/>
      <c r="N293" s="152"/>
      <c r="O293" s="152"/>
      <c r="P293" s="152"/>
      <c r="Q293" s="152"/>
      <c r="R293" s="152"/>
      <c r="S293" s="152"/>
      <c r="T293" s="152"/>
      <c r="U293" s="152"/>
      <c r="V293" s="152"/>
      <c r="W293" s="152"/>
      <c r="X293" s="152"/>
      <c r="Y293" s="163"/>
      <c r="Z293" s="152"/>
    </row>
    <row r="294" spans="1:26" x14ac:dyDescent="0.3">
      <c r="A294" s="129"/>
      <c r="B294" s="152"/>
      <c r="C294" s="162"/>
      <c r="D294" s="54"/>
      <c r="E294" s="152"/>
      <c r="F294" s="152"/>
      <c r="G294" s="152"/>
      <c r="H294" s="152"/>
      <c r="I294" s="152"/>
      <c r="J294" s="162"/>
      <c r="K294" s="152"/>
      <c r="L294" s="163"/>
      <c r="M294" s="152"/>
      <c r="N294" s="152"/>
      <c r="O294" s="152"/>
      <c r="P294" s="152"/>
      <c r="Q294" s="152"/>
      <c r="R294" s="163"/>
      <c r="S294" s="152"/>
      <c r="T294" s="152"/>
      <c r="U294" s="152"/>
      <c r="V294" s="152"/>
      <c r="W294" s="163"/>
      <c r="X294" s="163"/>
      <c r="Y294" s="152"/>
      <c r="Z294" s="152"/>
    </row>
    <row r="295" spans="1:26" x14ac:dyDescent="0.3">
      <c r="A295" s="129"/>
      <c r="B295" s="152"/>
      <c r="C295" s="162"/>
      <c r="D295" s="54"/>
      <c r="E295" s="152"/>
      <c r="F295" s="152"/>
      <c r="G295" s="152"/>
      <c r="H295" s="152"/>
      <c r="I295" s="152"/>
      <c r="J295" s="162"/>
      <c r="K295" s="152"/>
      <c r="L295" s="163"/>
      <c r="M295" s="152"/>
      <c r="N295" s="152"/>
      <c r="O295" s="152"/>
      <c r="P295" s="152"/>
      <c r="Q295" s="152"/>
      <c r="R295" s="163"/>
      <c r="S295" s="152"/>
      <c r="T295" s="152"/>
      <c r="U295" s="152"/>
      <c r="V295" s="152"/>
      <c r="W295" s="163"/>
      <c r="X295" s="163"/>
      <c r="Y295" s="152"/>
      <c r="Z295" s="152"/>
    </row>
    <row r="296" spans="1:26" x14ac:dyDescent="0.3">
      <c r="A296" s="129"/>
      <c r="B296" s="152"/>
      <c r="C296" s="162"/>
      <c r="D296" s="54"/>
      <c r="E296" s="152"/>
      <c r="F296" s="152"/>
      <c r="G296" s="152"/>
      <c r="H296" s="152"/>
      <c r="I296" s="152"/>
      <c r="J296" s="162"/>
      <c r="K296" s="152"/>
      <c r="L296" s="163"/>
      <c r="M296" s="152"/>
      <c r="N296" s="152"/>
      <c r="O296" s="152"/>
      <c r="P296" s="163"/>
      <c r="Q296" s="152"/>
      <c r="R296" s="152"/>
      <c r="S296" s="152"/>
      <c r="T296" s="152"/>
      <c r="U296" s="152"/>
      <c r="V296" s="152"/>
      <c r="W296" s="152"/>
      <c r="X296" s="152"/>
      <c r="Y296" s="152"/>
      <c r="Z296" s="152"/>
    </row>
    <row r="297" spans="1:26" x14ac:dyDescent="0.3">
      <c r="A297" s="129"/>
      <c r="B297" s="152"/>
      <c r="C297" s="162"/>
      <c r="D297" s="54"/>
      <c r="E297" s="152"/>
      <c r="F297" s="152"/>
      <c r="G297" s="152"/>
      <c r="H297" s="152"/>
      <c r="I297" s="165"/>
      <c r="J297" s="162"/>
      <c r="K297" s="152"/>
      <c r="L297" s="152"/>
      <c r="M297" s="152"/>
      <c r="N297" s="152"/>
      <c r="O297" s="152"/>
      <c r="P297" s="152"/>
      <c r="Q297" s="152"/>
      <c r="R297" s="152"/>
      <c r="S297" s="152"/>
      <c r="T297" s="152"/>
      <c r="U297" s="152"/>
      <c r="V297" s="152"/>
      <c r="W297" s="152"/>
      <c r="X297" s="152"/>
      <c r="Y297" s="165"/>
      <c r="Z297" s="165"/>
    </row>
    <row r="298" spans="1:26" x14ac:dyDescent="0.3">
      <c r="A298" s="129"/>
      <c r="B298" s="152"/>
      <c r="C298" s="162"/>
      <c r="D298" s="54"/>
      <c r="E298" s="152"/>
      <c r="F298" s="152"/>
      <c r="G298" s="152"/>
      <c r="H298" s="152"/>
      <c r="I298" s="165"/>
      <c r="J298" s="162"/>
      <c r="K298" s="152"/>
      <c r="L298" s="152"/>
      <c r="M298" s="152"/>
      <c r="N298" s="152"/>
      <c r="O298" s="152"/>
      <c r="P298" s="152"/>
      <c r="Q298" s="152"/>
      <c r="R298" s="152"/>
      <c r="S298" s="152"/>
      <c r="T298" s="152"/>
      <c r="U298" s="152"/>
      <c r="V298" s="152"/>
      <c r="W298" s="152"/>
      <c r="X298" s="152"/>
      <c r="Y298" s="165"/>
      <c r="Z298" s="165"/>
    </row>
    <row r="299" spans="1:26" x14ac:dyDescent="0.3">
      <c r="A299" s="129"/>
      <c r="B299" s="152"/>
      <c r="C299" s="162"/>
      <c r="D299" s="54"/>
      <c r="E299" s="152"/>
      <c r="F299" s="152"/>
      <c r="G299" s="152"/>
      <c r="H299" s="152"/>
      <c r="I299" s="165"/>
      <c r="J299" s="162"/>
      <c r="K299" s="152"/>
      <c r="L299" s="163"/>
      <c r="M299" s="152"/>
      <c r="N299" s="152"/>
      <c r="O299" s="152"/>
      <c r="P299" s="152"/>
      <c r="Q299" s="152"/>
      <c r="R299" s="152"/>
      <c r="S299" s="152"/>
      <c r="T299" s="152"/>
      <c r="U299" s="152"/>
      <c r="V299" s="152"/>
      <c r="W299" s="152"/>
      <c r="X299" s="152"/>
      <c r="Y299" s="165"/>
      <c r="Z299" s="165"/>
    </row>
    <row r="300" spans="1:26" x14ac:dyDescent="0.3">
      <c r="A300" s="129"/>
      <c r="B300" s="152"/>
      <c r="C300" s="162"/>
      <c r="D300" s="54"/>
      <c r="E300" s="152"/>
      <c r="F300" s="152"/>
      <c r="G300" s="152"/>
      <c r="H300" s="152"/>
      <c r="I300" s="165"/>
      <c r="J300" s="162"/>
      <c r="K300" s="152"/>
      <c r="L300" s="163"/>
      <c r="M300" s="152"/>
      <c r="N300" s="152"/>
      <c r="O300" s="152"/>
      <c r="P300" s="152"/>
      <c r="Q300" s="152"/>
      <c r="R300" s="152"/>
      <c r="S300" s="152"/>
      <c r="T300" s="152"/>
      <c r="U300" s="152"/>
      <c r="V300" s="152"/>
      <c r="W300" s="152"/>
      <c r="X300" s="152"/>
      <c r="Y300" s="165"/>
      <c r="Z300" s="165"/>
    </row>
    <row r="301" spans="1:26" x14ac:dyDescent="0.3">
      <c r="A301" s="129"/>
      <c r="B301" s="152"/>
      <c r="C301" s="162"/>
      <c r="D301" s="54"/>
      <c r="E301" s="152"/>
      <c r="F301" s="152"/>
      <c r="G301" s="152"/>
      <c r="H301" s="152"/>
      <c r="I301" s="165"/>
      <c r="J301" s="162"/>
      <c r="K301" s="152"/>
      <c r="L301" s="163"/>
      <c r="M301" s="152"/>
      <c r="N301" s="152"/>
      <c r="O301" s="152"/>
      <c r="P301" s="152"/>
      <c r="Q301" s="152"/>
      <c r="R301" s="152"/>
      <c r="S301" s="152"/>
      <c r="T301" s="152"/>
      <c r="U301" s="152"/>
      <c r="V301" s="152"/>
      <c r="W301" s="152"/>
      <c r="X301" s="152"/>
      <c r="Y301" s="165"/>
      <c r="Z301" s="165"/>
    </row>
    <row r="302" spans="1:26" x14ac:dyDescent="0.3">
      <c r="A302" s="129"/>
      <c r="B302" s="152"/>
      <c r="C302" s="162"/>
      <c r="D302" s="54"/>
      <c r="E302" s="152"/>
      <c r="F302" s="152"/>
      <c r="G302" s="152"/>
      <c r="H302" s="152"/>
      <c r="I302" s="165"/>
      <c r="J302" s="162"/>
      <c r="K302" s="152"/>
      <c r="L302" s="163"/>
      <c r="M302" s="152"/>
      <c r="N302" s="152"/>
      <c r="O302" s="152"/>
      <c r="P302" s="152"/>
      <c r="Q302" s="152"/>
      <c r="R302" s="152"/>
      <c r="S302" s="152"/>
      <c r="T302" s="152"/>
      <c r="U302" s="152"/>
      <c r="V302" s="152"/>
      <c r="W302" s="152"/>
      <c r="X302" s="152"/>
      <c r="Y302" s="165"/>
      <c r="Z302" s="165"/>
    </row>
    <row r="303" spans="1:26" x14ac:dyDescent="0.3">
      <c r="A303" s="129"/>
      <c r="B303" s="152"/>
      <c r="C303" s="162"/>
      <c r="D303" s="54"/>
      <c r="E303" s="152"/>
      <c r="F303" s="152"/>
      <c r="G303" s="152"/>
      <c r="H303" s="152"/>
      <c r="I303" s="152"/>
      <c r="J303" s="162"/>
      <c r="K303" s="152"/>
      <c r="L303" s="163"/>
      <c r="M303" s="152"/>
      <c r="N303" s="152"/>
      <c r="O303" s="152"/>
      <c r="P303" s="152"/>
      <c r="Q303" s="152"/>
      <c r="R303" s="152"/>
      <c r="S303" s="152"/>
      <c r="T303" s="152"/>
      <c r="U303" s="152"/>
      <c r="V303" s="152"/>
      <c r="W303" s="152"/>
      <c r="X303" s="152"/>
      <c r="Y303" s="152"/>
      <c r="Z303" s="152"/>
    </row>
    <row r="304" spans="1:26" x14ac:dyDescent="0.3">
      <c r="A304" s="129"/>
      <c r="B304" s="152"/>
      <c r="C304" s="162"/>
      <c r="D304" s="54"/>
      <c r="E304" s="152"/>
      <c r="F304" s="152"/>
      <c r="G304" s="152"/>
      <c r="H304" s="152"/>
      <c r="I304" s="152"/>
      <c r="J304" s="162"/>
      <c r="K304" s="152"/>
      <c r="L304" s="163"/>
      <c r="M304" s="152"/>
      <c r="N304" s="152"/>
      <c r="O304" s="152"/>
      <c r="P304" s="152"/>
      <c r="Q304" s="152"/>
      <c r="R304" s="152"/>
      <c r="S304" s="152"/>
      <c r="T304" s="152"/>
      <c r="U304" s="152"/>
      <c r="V304" s="152"/>
      <c r="W304" s="152"/>
      <c r="X304" s="152"/>
      <c r="Y304" s="152"/>
      <c r="Z304" s="152"/>
    </row>
    <row r="305" spans="1:26" x14ac:dyDescent="0.3">
      <c r="A305" s="129"/>
      <c r="B305" s="152"/>
      <c r="C305" s="162"/>
      <c r="D305" s="54"/>
      <c r="E305" s="152"/>
      <c r="F305" s="152"/>
      <c r="G305" s="152"/>
      <c r="H305" s="152"/>
      <c r="I305" s="152"/>
      <c r="J305" s="162"/>
      <c r="K305" s="152"/>
      <c r="L305" s="163"/>
      <c r="M305" s="152"/>
      <c r="N305" s="152"/>
      <c r="O305" s="152"/>
      <c r="P305" s="152"/>
      <c r="Q305" s="152"/>
      <c r="R305" s="152"/>
      <c r="S305" s="152"/>
      <c r="T305" s="152"/>
      <c r="U305" s="152"/>
      <c r="V305" s="152"/>
      <c r="W305" s="152"/>
      <c r="X305" s="152"/>
      <c r="Y305" s="152"/>
      <c r="Z305" s="152"/>
    </row>
    <row r="306" spans="1:26" x14ac:dyDescent="0.3">
      <c r="A306" s="129"/>
      <c r="B306" s="152"/>
      <c r="C306" s="162"/>
      <c r="D306" s="54"/>
      <c r="E306" s="152"/>
      <c r="F306" s="152"/>
      <c r="G306" s="152"/>
      <c r="H306" s="152"/>
      <c r="I306" s="152"/>
      <c r="J306" s="162"/>
      <c r="K306" s="152"/>
      <c r="L306" s="163"/>
      <c r="M306" s="152"/>
      <c r="N306" s="152"/>
      <c r="O306" s="152"/>
      <c r="P306" s="152"/>
      <c r="Q306" s="152"/>
      <c r="R306" s="152"/>
      <c r="S306" s="152"/>
      <c r="T306" s="152"/>
      <c r="U306" s="152"/>
      <c r="V306" s="152"/>
      <c r="W306" s="152"/>
      <c r="X306" s="152"/>
      <c r="Y306" s="152"/>
      <c r="Z306" s="152"/>
    </row>
    <row r="307" spans="1:26" x14ac:dyDescent="0.3">
      <c r="A307" s="129"/>
      <c r="B307" s="152"/>
      <c r="C307" s="162"/>
      <c r="D307" s="54"/>
      <c r="E307" s="152"/>
      <c r="F307" s="152"/>
      <c r="G307" s="152"/>
      <c r="H307" s="152"/>
      <c r="I307" s="152"/>
      <c r="J307" s="162"/>
      <c r="K307" s="152"/>
      <c r="L307" s="163"/>
      <c r="M307" s="152"/>
      <c r="N307" s="152"/>
      <c r="O307" s="152"/>
      <c r="P307" s="152"/>
      <c r="Q307" s="152"/>
      <c r="R307" s="152"/>
      <c r="S307" s="152"/>
      <c r="T307" s="152"/>
      <c r="U307" s="152"/>
      <c r="V307" s="152"/>
      <c r="W307" s="152"/>
      <c r="X307" s="152"/>
      <c r="Y307" s="152"/>
      <c r="Z307" s="152"/>
    </row>
    <row r="308" spans="1:26" x14ac:dyDescent="0.3">
      <c r="A308" s="129"/>
      <c r="B308" s="152"/>
      <c r="C308" s="162"/>
      <c r="D308" s="54"/>
      <c r="E308" s="152"/>
      <c r="F308" s="152"/>
      <c r="G308" s="152"/>
      <c r="H308" s="152"/>
      <c r="I308" s="152"/>
      <c r="J308" s="162"/>
      <c r="K308" s="152"/>
      <c r="L308" s="163"/>
      <c r="M308" s="152"/>
      <c r="N308" s="152"/>
      <c r="O308" s="152"/>
      <c r="P308" s="152"/>
      <c r="Q308" s="152"/>
      <c r="R308" s="152"/>
      <c r="S308" s="152"/>
      <c r="T308" s="152"/>
      <c r="U308" s="152"/>
      <c r="V308" s="152"/>
      <c r="W308" s="152"/>
      <c r="X308" s="152"/>
      <c r="Y308" s="152"/>
      <c r="Z308" s="152"/>
    </row>
    <row r="309" spans="1:26" x14ac:dyDescent="0.3">
      <c r="A309" s="129"/>
      <c r="B309" s="152"/>
      <c r="C309" s="162"/>
      <c r="D309" s="54"/>
      <c r="E309" s="152"/>
      <c r="F309" s="152"/>
      <c r="G309" s="152"/>
      <c r="H309" s="152"/>
      <c r="I309" s="152"/>
      <c r="J309" s="162"/>
      <c r="K309" s="152"/>
      <c r="L309" s="163"/>
      <c r="M309" s="152"/>
      <c r="N309" s="152"/>
      <c r="O309" s="152"/>
      <c r="P309" s="152"/>
      <c r="Q309" s="152"/>
      <c r="R309" s="152"/>
      <c r="S309" s="152"/>
      <c r="T309" s="152"/>
      <c r="U309" s="152"/>
      <c r="V309" s="152"/>
      <c r="W309" s="152"/>
      <c r="X309" s="152"/>
      <c r="Y309" s="152"/>
      <c r="Z309" s="152"/>
    </row>
    <row r="310" spans="1:26" x14ac:dyDescent="0.3">
      <c r="A310" s="129"/>
      <c r="B310" s="152"/>
      <c r="C310" s="162"/>
      <c r="D310" s="54"/>
      <c r="E310" s="152"/>
      <c r="F310" s="152"/>
      <c r="G310" s="152"/>
      <c r="H310" s="152"/>
      <c r="I310" s="152"/>
      <c r="J310" s="162"/>
      <c r="K310" s="152"/>
      <c r="L310" s="163"/>
      <c r="M310" s="152"/>
      <c r="N310" s="152"/>
      <c r="O310" s="152"/>
      <c r="P310" s="152"/>
      <c r="Q310" s="152"/>
      <c r="R310" s="152"/>
      <c r="S310" s="152"/>
      <c r="T310" s="152"/>
      <c r="U310" s="152"/>
      <c r="V310" s="152"/>
      <c r="W310" s="152"/>
      <c r="X310" s="152"/>
      <c r="Y310" s="152"/>
      <c r="Z310" s="152"/>
    </row>
    <row r="311" spans="1:26" x14ac:dyDescent="0.3">
      <c r="A311" s="129"/>
      <c r="B311" s="152"/>
      <c r="C311" s="162"/>
      <c r="D311" s="54"/>
      <c r="E311" s="152"/>
      <c r="F311" s="152"/>
      <c r="G311" s="152"/>
      <c r="H311" s="152"/>
      <c r="I311" s="152"/>
      <c r="J311" s="162"/>
      <c r="K311" s="152"/>
      <c r="L311" s="163"/>
      <c r="M311" s="152"/>
      <c r="N311" s="152"/>
      <c r="O311" s="152"/>
      <c r="P311" s="152"/>
      <c r="Q311" s="152"/>
      <c r="R311" s="152"/>
      <c r="S311" s="152"/>
      <c r="T311" s="152"/>
      <c r="U311" s="152"/>
      <c r="V311" s="152"/>
      <c r="W311" s="152"/>
      <c r="X311" s="152"/>
      <c r="Y311" s="152"/>
      <c r="Z311" s="152"/>
    </row>
    <row r="312" spans="1:26" x14ac:dyDescent="0.3">
      <c r="A312" s="129"/>
      <c r="B312" s="152"/>
      <c r="C312" s="162"/>
      <c r="D312" s="54"/>
      <c r="E312" s="152"/>
      <c r="F312" s="152"/>
      <c r="G312" s="152"/>
      <c r="H312" s="152"/>
      <c r="I312" s="152"/>
      <c r="J312" s="162"/>
      <c r="K312" s="152"/>
      <c r="L312" s="163"/>
      <c r="M312" s="152"/>
      <c r="N312" s="152"/>
      <c r="O312" s="152"/>
      <c r="P312" s="152"/>
      <c r="Q312" s="152"/>
      <c r="R312" s="152"/>
      <c r="S312" s="152"/>
      <c r="T312" s="152"/>
      <c r="U312" s="152"/>
      <c r="V312" s="152"/>
      <c r="W312" s="152"/>
      <c r="X312" s="152"/>
      <c r="Y312" s="152"/>
      <c r="Z312" s="152"/>
    </row>
    <row r="313" spans="1:26" x14ac:dyDescent="0.3">
      <c r="B313" s="152"/>
      <c r="C313" s="162"/>
      <c r="D313" s="54"/>
      <c r="E313" s="152"/>
      <c r="F313" s="152"/>
      <c r="G313" s="152"/>
      <c r="H313" s="152"/>
      <c r="I313" s="152"/>
      <c r="J313" s="162"/>
      <c r="K313" s="152"/>
      <c r="L313" s="163"/>
      <c r="M313" s="152"/>
      <c r="N313" s="152"/>
      <c r="O313" s="152"/>
      <c r="P313" s="152"/>
      <c r="Q313" s="152"/>
      <c r="R313" s="152"/>
      <c r="S313" s="152"/>
      <c r="T313" s="152"/>
      <c r="U313" s="152"/>
      <c r="V313" s="152"/>
      <c r="W313" s="152"/>
      <c r="X313" s="152"/>
      <c r="Y313" s="152"/>
      <c r="Z313" s="152"/>
    </row>
    <row r="314" spans="1:26" x14ac:dyDescent="0.3">
      <c r="B314" s="152"/>
      <c r="C314" s="162"/>
      <c r="D314" s="54"/>
      <c r="E314" s="152"/>
      <c r="F314" s="152"/>
      <c r="G314" s="152"/>
      <c r="H314" s="152"/>
      <c r="I314" s="152"/>
      <c r="J314" s="162"/>
      <c r="K314" s="152"/>
      <c r="L314" s="163"/>
      <c r="M314" s="152"/>
      <c r="N314" s="152"/>
      <c r="O314" s="152"/>
      <c r="P314" s="152"/>
      <c r="Q314" s="152"/>
      <c r="R314" s="152"/>
      <c r="S314" s="152"/>
      <c r="T314" s="152"/>
      <c r="U314" s="152"/>
      <c r="V314" s="152"/>
      <c r="W314" s="152"/>
      <c r="X314" s="152"/>
      <c r="Y314" s="152"/>
      <c r="Z314" s="152"/>
    </row>
    <row r="315" spans="1:26" x14ac:dyDescent="0.3">
      <c r="B315" s="152"/>
      <c r="C315" s="162"/>
      <c r="D315" s="54"/>
      <c r="E315" s="152"/>
      <c r="F315" s="152"/>
      <c r="G315" s="152"/>
      <c r="H315" s="152"/>
      <c r="I315" s="152"/>
      <c r="J315" s="162"/>
      <c r="K315" s="152"/>
      <c r="L315" s="163"/>
      <c r="M315" s="152"/>
      <c r="N315" s="152"/>
      <c r="O315" s="152"/>
      <c r="P315" s="152"/>
      <c r="Q315" s="152"/>
      <c r="R315" s="152"/>
      <c r="S315" s="152"/>
      <c r="T315" s="152"/>
      <c r="U315" s="152"/>
      <c r="V315" s="152"/>
      <c r="W315" s="152"/>
      <c r="X315" s="152"/>
      <c r="Y315" s="152"/>
      <c r="Z315" s="152"/>
    </row>
    <row r="316" spans="1:26" x14ac:dyDescent="0.3">
      <c r="B316" s="152"/>
      <c r="C316" s="162"/>
      <c r="D316" s="54"/>
      <c r="E316" s="152"/>
      <c r="F316" s="152"/>
      <c r="G316" s="152"/>
      <c r="H316" s="152"/>
      <c r="I316" s="152"/>
      <c r="J316" s="162"/>
      <c r="K316" s="152"/>
      <c r="L316" s="163"/>
      <c r="M316" s="152"/>
      <c r="N316" s="152"/>
      <c r="O316" s="152"/>
      <c r="P316" s="152"/>
      <c r="Q316" s="152"/>
      <c r="R316" s="152"/>
      <c r="S316" s="152"/>
      <c r="T316" s="152"/>
      <c r="U316" s="152"/>
      <c r="V316" s="152"/>
      <c r="W316" s="152"/>
      <c r="X316" s="152"/>
      <c r="Y316" s="152"/>
      <c r="Z316" s="152"/>
    </row>
    <row r="317" spans="1:26" x14ac:dyDescent="0.3">
      <c r="B317" s="152"/>
      <c r="C317" s="162"/>
      <c r="D317" s="54"/>
      <c r="E317" s="152"/>
      <c r="F317" s="152"/>
      <c r="G317" s="152"/>
      <c r="H317" s="152"/>
      <c r="I317" s="152"/>
      <c r="J317" s="162"/>
      <c r="K317" s="152"/>
      <c r="L317" s="163"/>
      <c r="M317" s="152"/>
      <c r="N317" s="152"/>
      <c r="O317" s="152"/>
      <c r="P317" s="152"/>
      <c r="Q317" s="152"/>
      <c r="R317" s="152"/>
      <c r="S317" s="152"/>
      <c r="T317" s="152"/>
      <c r="U317" s="152"/>
      <c r="V317" s="152"/>
      <c r="W317" s="152"/>
      <c r="X317" s="152"/>
      <c r="Y317" s="152"/>
      <c r="Z317" s="152"/>
    </row>
    <row r="318" spans="1:26" x14ac:dyDescent="0.3">
      <c r="B318" s="152"/>
      <c r="C318" s="162"/>
      <c r="D318" s="54"/>
      <c r="E318" s="152"/>
      <c r="F318" s="152"/>
      <c r="G318" s="152"/>
      <c r="H318" s="152"/>
      <c r="I318" s="152"/>
      <c r="J318" s="162"/>
      <c r="K318" s="152"/>
      <c r="L318" s="163"/>
      <c r="M318" s="152"/>
      <c r="N318" s="152"/>
      <c r="O318" s="152"/>
      <c r="P318" s="152"/>
      <c r="Q318" s="152"/>
      <c r="R318" s="152"/>
      <c r="S318" s="152"/>
      <c r="T318" s="152"/>
      <c r="U318" s="152"/>
      <c r="V318" s="152"/>
      <c r="W318" s="152"/>
      <c r="X318" s="152"/>
      <c r="Y318" s="152"/>
      <c r="Z318" s="152"/>
    </row>
    <row r="319" spans="1:26" x14ac:dyDescent="0.3">
      <c r="B319" s="152"/>
      <c r="C319" s="162"/>
      <c r="D319" s="54"/>
      <c r="E319" s="152"/>
      <c r="F319" s="152"/>
      <c r="G319" s="152"/>
      <c r="H319" s="152"/>
      <c r="I319" s="152"/>
      <c r="J319" s="162"/>
      <c r="K319" s="152"/>
      <c r="L319" s="163"/>
      <c r="M319" s="152"/>
      <c r="N319" s="152"/>
      <c r="O319" s="152"/>
      <c r="P319" s="152"/>
      <c r="Q319" s="152"/>
      <c r="R319" s="152"/>
      <c r="S319" s="152"/>
      <c r="T319" s="152"/>
      <c r="U319" s="152"/>
      <c r="V319" s="152"/>
      <c r="W319" s="152"/>
      <c r="X319" s="152"/>
      <c r="Y319" s="152"/>
      <c r="Z319" s="152"/>
    </row>
    <row r="320" spans="1:26" x14ac:dyDescent="0.3">
      <c r="B320" s="152"/>
      <c r="C320" s="162"/>
      <c r="D320" s="54"/>
      <c r="E320" s="152"/>
      <c r="F320" s="152"/>
      <c r="G320" s="152"/>
      <c r="H320" s="152"/>
      <c r="I320" s="152"/>
      <c r="J320" s="162"/>
      <c r="K320" s="152"/>
      <c r="L320" s="163"/>
      <c r="M320" s="152"/>
      <c r="N320" s="152"/>
      <c r="O320" s="152"/>
      <c r="P320" s="152"/>
      <c r="Q320" s="152"/>
      <c r="R320" s="152"/>
      <c r="S320" s="152"/>
      <c r="T320" s="152"/>
      <c r="U320" s="152"/>
      <c r="V320" s="152"/>
      <c r="W320" s="152"/>
      <c r="X320" s="152"/>
      <c r="Y320" s="152"/>
      <c r="Z320" s="152"/>
    </row>
    <row r="321" spans="2:26" x14ac:dyDescent="0.3">
      <c r="B321" s="152"/>
      <c r="C321" s="162"/>
      <c r="D321" s="54"/>
      <c r="E321" s="152"/>
      <c r="F321" s="152"/>
      <c r="G321" s="152"/>
      <c r="H321" s="152"/>
      <c r="I321" s="152"/>
      <c r="J321" s="162"/>
      <c r="K321" s="152"/>
      <c r="L321" s="163"/>
      <c r="M321" s="152"/>
      <c r="N321" s="152"/>
      <c r="O321" s="152"/>
      <c r="P321" s="152"/>
      <c r="Q321" s="152"/>
      <c r="R321" s="152"/>
      <c r="S321" s="152"/>
      <c r="T321" s="152"/>
      <c r="U321" s="152"/>
      <c r="V321" s="152"/>
      <c r="W321" s="152"/>
      <c r="X321" s="152"/>
      <c r="Y321" s="152"/>
      <c r="Z321" s="152"/>
    </row>
    <row r="322" spans="2:26" x14ac:dyDescent="0.3">
      <c r="B322" s="152"/>
      <c r="C322" s="162"/>
      <c r="D322" s="54"/>
      <c r="E322" s="152"/>
      <c r="F322" s="152"/>
      <c r="G322" s="152"/>
      <c r="H322" s="152"/>
      <c r="I322" s="152"/>
      <c r="J322" s="162"/>
      <c r="K322" s="152"/>
      <c r="L322" s="163"/>
      <c r="M322" s="152"/>
      <c r="N322" s="152"/>
      <c r="O322" s="152"/>
      <c r="P322" s="152"/>
      <c r="Q322" s="152"/>
      <c r="R322" s="152"/>
      <c r="S322" s="152"/>
      <c r="T322" s="152"/>
      <c r="U322" s="152"/>
      <c r="V322" s="152"/>
      <c r="W322" s="163"/>
      <c r="X322" s="152"/>
      <c r="Y322" s="152"/>
      <c r="Z322" s="152"/>
    </row>
    <row r="323" spans="2:26" x14ac:dyDescent="0.3">
      <c r="B323" s="152"/>
      <c r="C323" s="162"/>
      <c r="D323" s="54"/>
      <c r="E323" s="152"/>
      <c r="F323" s="152"/>
      <c r="G323" s="152"/>
      <c r="H323" s="152"/>
      <c r="I323" s="165"/>
      <c r="J323" s="162"/>
      <c r="K323" s="152"/>
      <c r="L323" s="163"/>
      <c r="M323" s="152"/>
      <c r="N323" s="163"/>
      <c r="O323" s="152"/>
      <c r="P323" s="152"/>
      <c r="Q323" s="152"/>
      <c r="R323" s="152"/>
      <c r="S323" s="152"/>
      <c r="T323" s="152"/>
      <c r="U323" s="152"/>
      <c r="V323" s="163"/>
      <c r="W323" s="152"/>
      <c r="X323" s="152"/>
      <c r="Y323" s="165"/>
      <c r="Z323" s="165"/>
    </row>
    <row r="324" spans="2:26" x14ac:dyDescent="0.3">
      <c r="B324" s="152"/>
      <c r="C324" s="162"/>
      <c r="D324" s="54"/>
      <c r="E324" s="152"/>
      <c r="F324" s="152"/>
      <c r="G324" s="152"/>
      <c r="H324" s="152"/>
      <c r="I324" s="152"/>
      <c r="J324" s="162"/>
      <c r="K324" s="152"/>
      <c r="L324" s="163"/>
      <c r="M324" s="152"/>
      <c r="N324" s="163"/>
      <c r="O324" s="152"/>
      <c r="P324" s="152"/>
      <c r="Q324" s="152"/>
      <c r="R324" s="163"/>
      <c r="S324" s="152"/>
      <c r="T324" s="152"/>
      <c r="U324" s="152"/>
      <c r="V324" s="152"/>
      <c r="W324" s="163"/>
      <c r="X324" s="163"/>
      <c r="Y324" s="152"/>
      <c r="Z324" s="152"/>
    </row>
    <row r="325" spans="2:26" x14ac:dyDescent="0.3">
      <c r="B325" s="152"/>
      <c r="C325" s="162"/>
      <c r="D325" s="54"/>
      <c r="E325" s="152"/>
      <c r="F325" s="152"/>
      <c r="G325" s="152"/>
      <c r="H325" s="152"/>
      <c r="I325" s="152"/>
      <c r="J325" s="162"/>
      <c r="K325" s="152"/>
      <c r="L325" s="152"/>
      <c r="M325" s="152"/>
      <c r="N325" s="152"/>
      <c r="O325" s="152"/>
      <c r="P325" s="152"/>
      <c r="Q325" s="152"/>
      <c r="R325" s="152"/>
      <c r="S325" s="152"/>
      <c r="T325" s="152"/>
      <c r="U325" s="152"/>
      <c r="V325" s="152"/>
      <c r="W325" s="152"/>
      <c r="X325" s="152"/>
      <c r="Y325" s="152"/>
      <c r="Z325" s="152"/>
    </row>
    <row r="326" spans="2:26" x14ac:dyDescent="0.3">
      <c r="B326" s="152"/>
      <c r="C326" s="162"/>
      <c r="D326" s="54"/>
      <c r="E326" s="152"/>
      <c r="F326" s="152"/>
      <c r="G326" s="152"/>
      <c r="H326" s="152"/>
      <c r="I326" s="152"/>
      <c r="J326" s="162"/>
      <c r="K326" s="152"/>
      <c r="L326" s="163"/>
      <c r="M326" s="152"/>
      <c r="N326" s="152"/>
      <c r="O326" s="152"/>
      <c r="P326" s="152"/>
      <c r="Q326" s="152"/>
      <c r="R326" s="152"/>
      <c r="S326" s="152"/>
      <c r="T326" s="152"/>
      <c r="U326" s="152"/>
      <c r="V326" s="152"/>
      <c r="W326" s="163"/>
      <c r="X326" s="152"/>
      <c r="Y326" s="152"/>
      <c r="Z326" s="152"/>
    </row>
    <row r="327" spans="2:26" x14ac:dyDescent="0.3">
      <c r="B327" s="152"/>
      <c r="C327" s="162"/>
      <c r="D327" s="54"/>
      <c r="E327" s="152"/>
      <c r="F327" s="152"/>
      <c r="G327" s="152"/>
      <c r="H327" s="152"/>
      <c r="I327" s="152"/>
      <c r="J327" s="162"/>
      <c r="K327" s="152"/>
      <c r="L327" s="163"/>
      <c r="M327" s="152"/>
      <c r="N327" s="163"/>
      <c r="O327" s="152"/>
      <c r="P327" s="152"/>
      <c r="Q327" s="152"/>
      <c r="R327" s="152"/>
      <c r="S327" s="152"/>
      <c r="T327" s="152"/>
      <c r="U327" s="152"/>
      <c r="V327" s="152"/>
      <c r="W327" s="152"/>
      <c r="X327" s="152"/>
      <c r="Y327" s="152"/>
      <c r="Z327" s="152"/>
    </row>
    <row r="328" spans="2:26" x14ac:dyDescent="0.3">
      <c r="B328" s="152"/>
      <c r="C328" s="162"/>
      <c r="D328" s="54"/>
      <c r="E328" s="152"/>
      <c r="F328" s="152"/>
      <c r="G328" s="152"/>
      <c r="H328" s="152"/>
      <c r="I328" s="152"/>
      <c r="J328" s="162"/>
      <c r="K328" s="152"/>
      <c r="L328" s="152"/>
      <c r="M328" s="152"/>
      <c r="N328" s="163"/>
      <c r="O328" s="152"/>
      <c r="P328" s="152"/>
      <c r="Q328" s="152"/>
      <c r="R328" s="152"/>
      <c r="S328" s="152"/>
      <c r="T328" s="152"/>
      <c r="U328" s="152"/>
      <c r="V328" s="163"/>
      <c r="W328" s="152"/>
      <c r="X328" s="152"/>
      <c r="Y328" s="152"/>
      <c r="Z328" s="152"/>
    </row>
    <row r="329" spans="2:26" x14ac:dyDescent="0.3">
      <c r="B329" s="152"/>
      <c r="C329" s="162"/>
      <c r="D329" s="54"/>
      <c r="E329" s="152"/>
      <c r="F329" s="152"/>
      <c r="G329" s="152"/>
      <c r="H329" s="152"/>
      <c r="I329" s="165"/>
      <c r="J329" s="162"/>
      <c r="K329" s="152"/>
      <c r="L329" s="152"/>
      <c r="M329" s="152"/>
      <c r="N329" s="152"/>
      <c r="O329" s="152"/>
      <c r="P329" s="152"/>
      <c r="Q329" s="152"/>
      <c r="R329" s="152"/>
      <c r="S329" s="152"/>
      <c r="T329" s="152"/>
      <c r="U329" s="152"/>
      <c r="V329" s="152"/>
      <c r="W329" s="152"/>
      <c r="X329" s="152"/>
      <c r="Y329" s="165"/>
      <c r="Z329" s="165"/>
    </row>
    <row r="330" spans="2:26" x14ac:dyDescent="0.3">
      <c r="B330" s="152"/>
      <c r="C330" s="162"/>
      <c r="D330" s="54"/>
      <c r="E330" s="152"/>
      <c r="F330" s="152"/>
      <c r="G330" s="152"/>
      <c r="H330" s="152"/>
      <c r="I330" s="152"/>
      <c r="J330" s="162"/>
      <c r="K330" s="152"/>
      <c r="L330" s="152"/>
      <c r="M330" s="152"/>
      <c r="N330" s="152"/>
      <c r="O330" s="152"/>
      <c r="P330" s="152"/>
      <c r="Q330" s="152"/>
      <c r="R330" s="152"/>
      <c r="S330" s="152"/>
      <c r="T330" s="152"/>
      <c r="U330" s="152"/>
      <c r="V330" s="152"/>
      <c r="W330" s="152"/>
      <c r="X330" s="152"/>
      <c r="Y330" s="152"/>
      <c r="Z330" s="152"/>
    </row>
    <row r="331" spans="2:26" x14ac:dyDescent="0.3">
      <c r="B331" s="152"/>
      <c r="C331" s="162"/>
      <c r="D331" s="54"/>
      <c r="E331" s="152"/>
      <c r="F331" s="152"/>
      <c r="G331" s="152"/>
      <c r="H331" s="152"/>
      <c r="I331" s="152"/>
      <c r="J331" s="162"/>
      <c r="K331" s="152"/>
      <c r="L331" s="163"/>
      <c r="M331" s="152"/>
      <c r="N331" s="152"/>
      <c r="O331" s="152"/>
      <c r="P331" s="152"/>
      <c r="Q331" s="152"/>
      <c r="R331" s="152"/>
      <c r="S331" s="152"/>
      <c r="T331" s="152"/>
      <c r="U331" s="152"/>
      <c r="V331" s="152"/>
      <c r="W331" s="163"/>
      <c r="X331" s="152"/>
      <c r="Y331" s="152"/>
      <c r="Z331" s="152"/>
    </row>
    <row r="332" spans="2:26" x14ac:dyDescent="0.3">
      <c r="B332" s="152"/>
      <c r="C332" s="162"/>
      <c r="D332" s="54"/>
      <c r="E332" s="152"/>
      <c r="F332" s="152"/>
      <c r="G332" s="152"/>
      <c r="H332" s="152"/>
      <c r="I332" s="152"/>
      <c r="J332" s="162"/>
      <c r="K332" s="152"/>
      <c r="L332" s="163"/>
      <c r="M332" s="152"/>
      <c r="N332" s="152"/>
      <c r="O332" s="152"/>
      <c r="P332" s="152"/>
      <c r="Q332" s="152"/>
      <c r="R332" s="152"/>
      <c r="S332" s="152"/>
      <c r="T332" s="152"/>
      <c r="U332" s="152"/>
      <c r="V332" s="152"/>
      <c r="W332" s="152"/>
      <c r="X332" s="152"/>
      <c r="Y332" s="152"/>
      <c r="Z332" s="152"/>
    </row>
    <row r="333" spans="2:26" x14ac:dyDescent="0.3">
      <c r="B333" s="152"/>
      <c r="C333" s="162"/>
      <c r="D333" s="54"/>
      <c r="E333" s="152"/>
      <c r="F333" s="152"/>
      <c r="G333" s="152"/>
      <c r="H333" s="152"/>
      <c r="I333" s="152"/>
      <c r="J333" s="162"/>
      <c r="K333" s="152"/>
      <c r="L333" s="163"/>
      <c r="M333" s="152"/>
      <c r="N333" s="152"/>
      <c r="O333" s="152"/>
      <c r="P333" s="152"/>
      <c r="Q333" s="152"/>
      <c r="R333" s="152"/>
      <c r="S333" s="152"/>
      <c r="T333" s="152"/>
      <c r="U333" s="152"/>
      <c r="V333" s="152"/>
      <c r="W333" s="152"/>
      <c r="X333" s="152"/>
      <c r="Y333" s="152"/>
      <c r="Z333" s="152"/>
    </row>
    <row r="334" spans="2:26" x14ac:dyDescent="0.3">
      <c r="B334" s="152"/>
      <c r="C334" s="162"/>
      <c r="D334" s="54"/>
      <c r="E334" s="152"/>
      <c r="F334" s="152"/>
      <c r="G334" s="152"/>
      <c r="H334" s="152"/>
      <c r="I334" s="165"/>
      <c r="J334" s="162"/>
      <c r="K334" s="152"/>
      <c r="L334" s="163"/>
      <c r="M334" s="152"/>
      <c r="N334" s="152"/>
      <c r="O334" s="152"/>
      <c r="P334" s="152"/>
      <c r="Q334" s="152"/>
      <c r="R334" s="152"/>
      <c r="S334" s="152"/>
      <c r="T334" s="152"/>
      <c r="U334" s="152"/>
      <c r="V334" s="152"/>
      <c r="W334" s="152"/>
      <c r="X334" s="152"/>
      <c r="Y334" s="165"/>
      <c r="Z334" s="165"/>
    </row>
    <row r="335" spans="2:26" x14ac:dyDescent="0.3">
      <c r="B335" s="152"/>
      <c r="C335" s="162"/>
      <c r="D335" s="54"/>
      <c r="E335" s="152"/>
      <c r="F335" s="152"/>
      <c r="G335" s="152"/>
      <c r="H335" s="152"/>
      <c r="I335" s="152"/>
      <c r="J335" s="162"/>
      <c r="K335" s="152"/>
      <c r="L335" s="163"/>
      <c r="M335" s="152"/>
      <c r="N335" s="152"/>
      <c r="O335" s="152"/>
      <c r="P335" s="152"/>
      <c r="Q335" s="152"/>
      <c r="R335" s="152"/>
      <c r="S335" s="152"/>
      <c r="T335" s="152"/>
      <c r="U335" s="152"/>
      <c r="V335" s="163"/>
      <c r="W335" s="152"/>
      <c r="X335" s="152"/>
      <c r="Y335" s="152"/>
      <c r="Z335" s="152"/>
    </row>
    <row r="336" spans="2:26" x14ac:dyDescent="0.3">
      <c r="B336" s="152"/>
      <c r="C336" s="162"/>
      <c r="D336" s="54"/>
      <c r="E336" s="152"/>
      <c r="F336" s="152"/>
      <c r="G336" s="152"/>
      <c r="H336" s="152"/>
      <c r="I336" s="152"/>
      <c r="J336" s="162"/>
      <c r="K336" s="152"/>
      <c r="L336" s="163"/>
      <c r="M336" s="152"/>
      <c r="N336" s="152"/>
      <c r="O336" s="152"/>
      <c r="P336" s="152"/>
      <c r="Q336" s="152"/>
      <c r="R336" s="152"/>
      <c r="S336" s="152"/>
      <c r="T336" s="152"/>
      <c r="U336" s="152"/>
      <c r="V336" s="163"/>
      <c r="W336" s="152"/>
      <c r="X336" s="152"/>
      <c r="Y336" s="152"/>
      <c r="Z336" s="152"/>
    </row>
    <row r="337" spans="2:26" x14ac:dyDescent="0.3">
      <c r="B337" s="152"/>
      <c r="C337" s="162"/>
      <c r="D337" s="54"/>
      <c r="E337" s="152"/>
      <c r="F337" s="152"/>
      <c r="G337" s="152"/>
      <c r="H337" s="152"/>
      <c r="I337" s="152"/>
      <c r="J337" s="162"/>
      <c r="K337" s="152"/>
      <c r="L337" s="163"/>
      <c r="M337" s="152"/>
      <c r="N337" s="152"/>
      <c r="O337" s="152"/>
      <c r="P337" s="152"/>
      <c r="Q337" s="152"/>
      <c r="R337" s="152"/>
      <c r="S337" s="152"/>
      <c r="T337" s="152"/>
      <c r="U337" s="152"/>
      <c r="V337" s="152"/>
      <c r="W337" s="163"/>
      <c r="X337" s="152"/>
      <c r="Y337" s="152"/>
      <c r="Z337" s="152"/>
    </row>
    <row r="338" spans="2:26" x14ac:dyDescent="0.3">
      <c r="B338" s="152"/>
      <c r="C338" s="162"/>
      <c r="D338" s="54"/>
      <c r="E338" s="152"/>
      <c r="F338" s="152"/>
      <c r="G338" s="152"/>
      <c r="H338" s="152"/>
      <c r="I338" s="152"/>
      <c r="J338" s="162"/>
      <c r="K338" s="152"/>
      <c r="L338" s="152"/>
      <c r="M338" s="152"/>
      <c r="N338" s="152"/>
      <c r="O338" s="152"/>
      <c r="P338" s="152"/>
      <c r="Q338" s="152"/>
      <c r="R338" s="152"/>
      <c r="S338" s="152"/>
      <c r="T338" s="152"/>
      <c r="U338" s="152"/>
      <c r="V338" s="152"/>
      <c r="W338" s="152"/>
      <c r="X338" s="152"/>
      <c r="Y338" s="152"/>
      <c r="Z338" s="152"/>
    </row>
    <row r="339" spans="2:26" x14ac:dyDescent="0.3">
      <c r="B339" s="152"/>
      <c r="C339" s="162"/>
      <c r="D339" s="54"/>
      <c r="E339" s="152"/>
      <c r="F339" s="152"/>
      <c r="G339" s="152"/>
      <c r="H339" s="152"/>
      <c r="I339" s="152"/>
      <c r="J339" s="162"/>
      <c r="K339" s="152"/>
      <c r="L339" s="163"/>
      <c r="M339" s="152"/>
      <c r="N339" s="152"/>
      <c r="O339" s="152"/>
      <c r="P339" s="152"/>
      <c r="Q339" s="152"/>
      <c r="R339" s="152"/>
      <c r="S339" s="152"/>
      <c r="T339" s="152"/>
      <c r="U339" s="152"/>
      <c r="V339" s="152"/>
      <c r="W339" s="163"/>
      <c r="X339" s="152"/>
      <c r="Y339" s="152"/>
      <c r="Z339" s="152"/>
    </row>
    <row r="340" spans="2:26" x14ac:dyDescent="0.3">
      <c r="B340" s="152"/>
      <c r="C340" s="162"/>
      <c r="D340" s="54"/>
      <c r="E340" s="152"/>
      <c r="F340" s="152"/>
      <c r="G340" s="152"/>
      <c r="H340" s="152"/>
      <c r="I340" s="152"/>
      <c r="J340" s="162"/>
      <c r="K340" s="152"/>
      <c r="L340" s="163"/>
      <c r="M340" s="152"/>
      <c r="N340" s="163"/>
      <c r="O340" s="152"/>
      <c r="P340" s="152"/>
      <c r="Q340" s="152"/>
      <c r="R340" s="152"/>
      <c r="S340" s="152"/>
      <c r="T340" s="152"/>
      <c r="U340" s="152"/>
      <c r="V340" s="152"/>
      <c r="W340" s="163"/>
      <c r="X340" s="152"/>
      <c r="Y340" s="152"/>
      <c r="Z340" s="152"/>
    </row>
    <row r="341" spans="2:26" x14ac:dyDescent="0.3">
      <c r="B341" s="152"/>
      <c r="C341" s="162"/>
      <c r="D341" s="54"/>
      <c r="E341" s="152"/>
      <c r="F341" s="152"/>
      <c r="G341" s="152"/>
      <c r="H341" s="152"/>
      <c r="I341" s="152"/>
      <c r="J341" s="162"/>
      <c r="K341" s="152"/>
      <c r="L341" s="152"/>
      <c r="M341" s="152"/>
      <c r="N341" s="152"/>
      <c r="O341" s="152"/>
      <c r="P341" s="152"/>
      <c r="Q341" s="152"/>
      <c r="R341" s="152"/>
      <c r="S341" s="152"/>
      <c r="T341" s="152"/>
      <c r="U341" s="152"/>
      <c r="V341" s="152"/>
      <c r="W341" s="152"/>
      <c r="X341" s="152"/>
      <c r="Y341" s="152"/>
      <c r="Z341" s="152"/>
    </row>
    <row r="342" spans="2:26" x14ac:dyDescent="0.3">
      <c r="B342" s="152"/>
      <c r="C342" s="162"/>
      <c r="D342" s="54"/>
      <c r="E342" s="152"/>
      <c r="F342" s="152"/>
      <c r="G342" s="152"/>
      <c r="H342" s="152"/>
      <c r="I342" s="165"/>
      <c r="J342" s="162"/>
      <c r="K342" s="152"/>
      <c r="L342" s="152"/>
      <c r="M342" s="152"/>
      <c r="N342" s="152"/>
      <c r="O342" s="152"/>
      <c r="P342" s="152"/>
      <c r="Q342" s="152"/>
      <c r="R342" s="152"/>
      <c r="S342" s="152"/>
      <c r="T342" s="152"/>
      <c r="U342" s="152"/>
      <c r="V342" s="152"/>
      <c r="W342" s="152"/>
      <c r="X342" s="152"/>
      <c r="Y342" s="165"/>
      <c r="Z342" s="165"/>
    </row>
    <row r="343" spans="2:26" x14ac:dyDescent="0.3">
      <c r="B343" s="152"/>
      <c r="C343" s="162"/>
      <c r="D343" s="54"/>
      <c r="E343" s="152"/>
      <c r="F343" s="152"/>
      <c r="G343" s="152"/>
      <c r="H343" s="152"/>
      <c r="I343" s="165"/>
      <c r="J343" s="162"/>
      <c r="K343" s="152"/>
      <c r="L343" s="152"/>
      <c r="M343" s="152"/>
      <c r="N343" s="152"/>
      <c r="O343" s="152"/>
      <c r="P343" s="152"/>
      <c r="Q343" s="152"/>
      <c r="R343" s="152"/>
      <c r="S343" s="152"/>
      <c r="T343" s="152"/>
      <c r="U343" s="152"/>
      <c r="V343" s="152"/>
      <c r="W343" s="152"/>
      <c r="X343" s="152"/>
      <c r="Y343" s="165"/>
      <c r="Z343" s="165"/>
    </row>
    <row r="344" spans="2:26" x14ac:dyDescent="0.3">
      <c r="B344" s="152"/>
      <c r="C344" s="162"/>
      <c r="D344" s="54"/>
      <c r="E344" s="152"/>
      <c r="F344" s="152"/>
      <c r="G344" s="152"/>
      <c r="H344" s="152"/>
      <c r="I344" s="165"/>
      <c r="J344" s="162"/>
      <c r="K344" s="152"/>
      <c r="L344" s="152"/>
      <c r="M344" s="152"/>
      <c r="N344" s="152"/>
      <c r="O344" s="152"/>
      <c r="P344" s="152"/>
      <c r="Q344" s="152"/>
      <c r="R344" s="152"/>
      <c r="S344" s="152"/>
      <c r="T344" s="152"/>
      <c r="U344" s="152"/>
      <c r="V344" s="152"/>
      <c r="W344" s="152"/>
      <c r="X344" s="152"/>
      <c r="Y344" s="165"/>
      <c r="Z344" s="165"/>
    </row>
    <row r="345" spans="2:26" x14ac:dyDescent="0.3">
      <c r="B345" s="152"/>
      <c r="C345" s="162"/>
      <c r="D345" s="54"/>
      <c r="E345" s="152"/>
      <c r="F345" s="152"/>
      <c r="G345" s="152"/>
      <c r="H345" s="152"/>
      <c r="I345" s="152"/>
      <c r="J345" s="162"/>
      <c r="K345" s="152"/>
      <c r="L345" s="152"/>
      <c r="M345" s="152"/>
      <c r="N345" s="152"/>
      <c r="O345" s="152"/>
      <c r="P345" s="152"/>
      <c r="Q345" s="152"/>
      <c r="R345" s="152"/>
      <c r="S345" s="152"/>
      <c r="T345" s="152"/>
      <c r="U345" s="152"/>
      <c r="V345" s="152"/>
      <c r="W345" s="152"/>
      <c r="X345" s="152"/>
      <c r="Y345" s="152"/>
      <c r="Z345" s="152"/>
    </row>
    <row r="346" spans="2:26" x14ac:dyDescent="0.3">
      <c r="B346" s="152"/>
      <c r="C346" s="162"/>
      <c r="D346" s="54"/>
      <c r="E346" s="152"/>
      <c r="F346" s="152"/>
      <c r="G346" s="152"/>
      <c r="H346" s="152"/>
      <c r="I346" s="152"/>
      <c r="J346" s="162"/>
      <c r="K346" s="152"/>
      <c r="L346" s="152"/>
      <c r="M346" s="152"/>
      <c r="N346" s="152"/>
      <c r="O346" s="152"/>
      <c r="P346" s="152"/>
      <c r="Q346" s="152"/>
      <c r="R346" s="152"/>
      <c r="S346" s="152"/>
      <c r="T346" s="152"/>
      <c r="U346" s="152"/>
      <c r="V346" s="152"/>
      <c r="W346" s="152"/>
      <c r="X346" s="152"/>
      <c r="Y346" s="152"/>
      <c r="Z346" s="152"/>
    </row>
    <row r="347" spans="2:26" x14ac:dyDescent="0.3">
      <c r="B347" s="152"/>
      <c r="C347" s="162"/>
      <c r="D347" s="54"/>
      <c r="E347" s="152"/>
      <c r="F347" s="152"/>
      <c r="G347" s="152"/>
      <c r="H347" s="152"/>
      <c r="I347" s="152"/>
      <c r="J347" s="162"/>
      <c r="K347" s="152"/>
      <c r="L347" s="152"/>
      <c r="M347" s="152"/>
      <c r="N347" s="152"/>
      <c r="O347" s="152"/>
      <c r="P347" s="152"/>
      <c r="Q347" s="152"/>
      <c r="R347" s="152"/>
      <c r="S347" s="152"/>
      <c r="T347" s="152"/>
      <c r="U347" s="152"/>
      <c r="V347" s="152"/>
      <c r="W347" s="152"/>
      <c r="X347" s="152"/>
      <c r="Y347" s="152"/>
      <c r="Z347" s="152"/>
    </row>
    <row r="348" spans="2:26" x14ac:dyDescent="0.3">
      <c r="B348" s="152"/>
      <c r="C348" s="162"/>
      <c r="D348" s="54"/>
      <c r="E348" s="152"/>
      <c r="F348" s="152"/>
      <c r="G348" s="152"/>
      <c r="H348" s="152"/>
      <c r="I348" s="152"/>
      <c r="J348" s="162"/>
      <c r="K348" s="152"/>
      <c r="L348" s="152"/>
      <c r="M348" s="152"/>
      <c r="N348" s="152"/>
      <c r="O348" s="152"/>
      <c r="P348" s="152"/>
      <c r="Q348" s="152"/>
      <c r="R348" s="152"/>
      <c r="S348" s="152"/>
      <c r="T348" s="152"/>
      <c r="U348" s="152"/>
      <c r="V348" s="152"/>
      <c r="W348" s="152"/>
      <c r="X348" s="152"/>
      <c r="Y348" s="152"/>
      <c r="Z348" s="152"/>
    </row>
    <row r="349" spans="2:26" x14ac:dyDescent="0.3">
      <c r="B349" s="152"/>
      <c r="C349" s="162"/>
      <c r="D349" s="54"/>
      <c r="E349" s="152"/>
      <c r="F349" s="152"/>
      <c r="G349" s="152"/>
      <c r="H349" s="152"/>
      <c r="I349" s="152"/>
      <c r="J349" s="54"/>
      <c r="K349" s="152"/>
      <c r="L349" s="163"/>
      <c r="M349" s="152"/>
      <c r="N349" s="152"/>
      <c r="O349" s="152"/>
      <c r="P349" s="152"/>
      <c r="Q349" s="152"/>
      <c r="R349" s="152"/>
      <c r="S349" s="152"/>
      <c r="T349" s="152"/>
      <c r="U349" s="152"/>
      <c r="V349" s="152"/>
      <c r="W349" s="152"/>
      <c r="X349" s="152"/>
      <c r="Y349" s="152"/>
      <c r="Z349" s="152"/>
    </row>
    <row r="350" spans="2:26" x14ac:dyDescent="0.3">
      <c r="B350" s="152"/>
      <c r="C350" s="162"/>
      <c r="D350" s="54"/>
      <c r="E350" s="152"/>
      <c r="F350" s="152"/>
      <c r="G350" s="152"/>
      <c r="H350" s="152"/>
      <c r="I350" s="152"/>
      <c r="J350" s="162"/>
      <c r="K350" s="152"/>
      <c r="L350" s="163"/>
      <c r="M350" s="152"/>
      <c r="N350" s="152"/>
      <c r="O350" s="152"/>
      <c r="P350" s="152"/>
      <c r="Q350" s="152"/>
      <c r="R350" s="152"/>
      <c r="S350" s="152"/>
      <c r="T350" s="152"/>
      <c r="U350" s="152"/>
      <c r="V350" s="152"/>
      <c r="W350" s="152"/>
      <c r="X350" s="152"/>
      <c r="Y350" s="152"/>
      <c r="Z350" s="152"/>
    </row>
    <row r="351" spans="2:26" x14ac:dyDescent="0.3">
      <c r="B351" s="152"/>
      <c r="C351" s="162"/>
      <c r="D351" s="54"/>
      <c r="E351" s="152"/>
      <c r="F351" s="152"/>
      <c r="G351" s="152"/>
      <c r="H351" s="152"/>
      <c r="I351" s="152"/>
      <c r="J351" s="162"/>
      <c r="K351" s="152"/>
      <c r="L351" s="163"/>
      <c r="M351" s="152"/>
      <c r="N351" s="152"/>
      <c r="O351" s="152"/>
      <c r="P351" s="152"/>
      <c r="Q351" s="152"/>
      <c r="R351" s="152"/>
      <c r="S351" s="152"/>
      <c r="T351" s="152"/>
      <c r="U351" s="152"/>
      <c r="V351" s="152"/>
      <c r="W351" s="152"/>
      <c r="X351" s="152"/>
      <c r="Y351" s="152"/>
      <c r="Z351" s="152"/>
    </row>
    <row r="352" spans="2:26" x14ac:dyDescent="0.3">
      <c r="B352" s="152"/>
      <c r="C352" s="162"/>
      <c r="D352" s="54"/>
      <c r="E352" s="54"/>
      <c r="F352" s="54"/>
      <c r="G352" s="54"/>
      <c r="H352" s="54"/>
      <c r="I352" s="164"/>
      <c r="J352" s="162"/>
      <c r="K352" s="54"/>
      <c r="L352" s="54"/>
      <c r="M352" s="54"/>
      <c r="N352" s="54"/>
      <c r="O352" s="54"/>
      <c r="P352" s="54"/>
      <c r="Q352" s="54"/>
      <c r="R352" s="54"/>
      <c r="S352" s="54"/>
      <c r="T352" s="54"/>
      <c r="U352" s="152"/>
      <c r="V352" s="54"/>
      <c r="W352" s="152"/>
      <c r="X352" s="54"/>
      <c r="Y352" s="164"/>
      <c r="Z352" s="164"/>
    </row>
    <row r="353" spans="2:26" x14ac:dyDescent="0.3">
      <c r="B353" s="152"/>
      <c r="C353" s="162"/>
      <c r="D353" s="54"/>
      <c r="E353" s="152"/>
      <c r="F353" s="152"/>
      <c r="G353" s="152"/>
      <c r="H353" s="152"/>
      <c r="I353" s="152"/>
      <c r="J353" s="162"/>
      <c r="K353" s="152"/>
      <c r="L353" s="152"/>
      <c r="M353" s="152"/>
      <c r="N353" s="163"/>
      <c r="O353" s="152"/>
      <c r="P353" s="152"/>
      <c r="Q353" s="152"/>
      <c r="R353" s="152"/>
      <c r="S353" s="152"/>
      <c r="T353" s="152"/>
      <c r="U353" s="152"/>
      <c r="V353" s="152"/>
      <c r="W353" s="163"/>
      <c r="X353" s="152"/>
      <c r="Y353" s="152"/>
      <c r="Z353" s="152"/>
    </row>
    <row r="354" spans="2:26" x14ac:dyDescent="0.3">
      <c r="B354" s="152"/>
      <c r="C354" s="162"/>
      <c r="D354" s="54"/>
      <c r="E354" s="152"/>
      <c r="F354" s="152"/>
      <c r="G354" s="152"/>
      <c r="H354" s="152"/>
      <c r="I354" s="152"/>
      <c r="J354" s="162"/>
      <c r="K354" s="152"/>
      <c r="L354" s="152"/>
      <c r="M354" s="152"/>
      <c r="N354" s="163"/>
      <c r="O354" s="152"/>
      <c r="P354" s="152"/>
      <c r="Q354" s="152"/>
      <c r="R354" s="152"/>
      <c r="S354" s="152"/>
      <c r="T354" s="152"/>
      <c r="U354" s="152"/>
      <c r="V354" s="152"/>
      <c r="W354" s="163"/>
      <c r="X354" s="152"/>
      <c r="Y354" s="152"/>
      <c r="Z354" s="152"/>
    </row>
    <row r="355" spans="2:26" x14ac:dyDescent="0.3">
      <c r="B355" s="152"/>
      <c r="C355" s="162"/>
      <c r="D355" s="54"/>
      <c r="E355" s="152"/>
      <c r="F355" s="152"/>
      <c r="G355" s="152"/>
      <c r="H355" s="152"/>
      <c r="I355" s="152"/>
      <c r="J355" s="162"/>
      <c r="K355" s="152"/>
      <c r="L355" s="152"/>
      <c r="M355" s="152"/>
      <c r="N355" s="152"/>
      <c r="O355" s="152"/>
      <c r="P355" s="152"/>
      <c r="Q355" s="152"/>
      <c r="R355" s="152"/>
      <c r="S355" s="152"/>
      <c r="T355" s="152"/>
      <c r="U355" s="152"/>
      <c r="V355" s="152"/>
      <c r="W355" s="163"/>
      <c r="X355" s="163"/>
      <c r="Y355" s="152"/>
      <c r="Z355" s="152"/>
    </row>
    <row r="356" spans="2:26" x14ac:dyDescent="0.3">
      <c r="B356" s="152"/>
      <c r="C356" s="162"/>
      <c r="D356" s="54"/>
      <c r="E356" s="152"/>
      <c r="F356" s="152"/>
      <c r="G356" s="152"/>
      <c r="H356" s="152"/>
      <c r="I356" s="152"/>
      <c r="J356" s="162"/>
      <c r="K356" s="152"/>
      <c r="L356" s="163"/>
      <c r="M356" s="152"/>
      <c r="N356" s="163"/>
      <c r="O356" s="152"/>
      <c r="P356" s="152"/>
      <c r="Q356" s="152"/>
      <c r="R356" s="152"/>
      <c r="S356" s="152"/>
      <c r="T356" s="152"/>
      <c r="U356" s="152"/>
      <c r="V356" s="152"/>
      <c r="W356" s="152"/>
      <c r="X356" s="163"/>
      <c r="Y356" s="152"/>
      <c r="Z356" s="163"/>
    </row>
    <row r="357" spans="2:26" x14ac:dyDescent="0.3">
      <c r="B357" s="152"/>
      <c r="C357" s="162"/>
      <c r="D357" s="54"/>
      <c r="E357" s="152"/>
      <c r="F357" s="152"/>
      <c r="G357" s="152"/>
      <c r="H357" s="152"/>
      <c r="I357" s="152"/>
      <c r="J357" s="162"/>
      <c r="K357" s="152"/>
      <c r="L357" s="163"/>
      <c r="M357" s="152"/>
      <c r="N357" s="152"/>
      <c r="O357" s="152"/>
      <c r="P357" s="152"/>
      <c r="Q357" s="152"/>
      <c r="R357" s="152"/>
      <c r="S357" s="152"/>
      <c r="T357" s="152"/>
      <c r="U357" s="152"/>
      <c r="V357" s="163"/>
      <c r="W357" s="152"/>
      <c r="X357" s="152"/>
      <c r="Y357" s="152"/>
      <c r="Z357" s="152"/>
    </row>
    <row r="358" spans="2:26" x14ac:dyDescent="0.3">
      <c r="B358" s="152"/>
      <c r="C358" s="162"/>
      <c r="D358" s="54"/>
      <c r="E358" s="152"/>
      <c r="F358" s="152"/>
      <c r="G358" s="152"/>
      <c r="H358" s="152"/>
      <c r="I358" s="152"/>
      <c r="J358" s="162"/>
      <c r="K358" s="152"/>
      <c r="L358" s="152"/>
      <c r="M358" s="152"/>
      <c r="N358" s="163"/>
      <c r="O358" s="152"/>
      <c r="P358" s="152"/>
      <c r="Q358" s="152"/>
      <c r="R358" s="152"/>
      <c r="S358" s="152"/>
      <c r="T358" s="152"/>
      <c r="U358" s="152"/>
      <c r="V358" s="152"/>
      <c r="W358" s="152"/>
      <c r="X358" s="152"/>
      <c r="Y358" s="152"/>
      <c r="Z358" s="152"/>
    </row>
    <row r="359" spans="2:26" x14ac:dyDescent="0.3">
      <c r="B359" s="152"/>
      <c r="C359" s="162"/>
      <c r="D359" s="54"/>
      <c r="E359" s="152"/>
      <c r="F359" s="152"/>
      <c r="G359" s="152"/>
      <c r="H359" s="152"/>
      <c r="I359" s="152"/>
      <c r="J359" s="162"/>
      <c r="K359" s="152"/>
      <c r="L359" s="152"/>
      <c r="M359" s="152"/>
      <c r="N359" s="152"/>
      <c r="O359" s="152"/>
      <c r="P359" s="152"/>
      <c r="Q359" s="152"/>
      <c r="R359" s="152"/>
      <c r="S359" s="152"/>
      <c r="T359" s="152"/>
      <c r="U359" s="152"/>
      <c r="V359" s="152"/>
      <c r="W359" s="163"/>
      <c r="X359" s="163"/>
      <c r="Y359" s="152"/>
      <c r="Z359" s="152"/>
    </row>
    <row r="360" spans="2:26" x14ac:dyDescent="0.3">
      <c r="B360" s="152"/>
      <c r="C360" s="162"/>
      <c r="D360" s="54"/>
      <c r="E360" s="152"/>
      <c r="F360" s="152"/>
      <c r="G360" s="152"/>
      <c r="H360" s="152"/>
      <c r="I360" s="152"/>
      <c r="J360" s="162"/>
      <c r="K360" s="152"/>
      <c r="L360" s="152"/>
      <c r="M360" s="152"/>
      <c r="N360" s="152"/>
      <c r="O360" s="152"/>
      <c r="P360" s="152"/>
      <c r="Q360" s="152"/>
      <c r="R360" s="152"/>
      <c r="S360" s="152"/>
      <c r="T360" s="152"/>
      <c r="U360" s="152"/>
      <c r="V360" s="152"/>
      <c r="W360" s="163"/>
      <c r="X360" s="152"/>
      <c r="Y360" s="152"/>
      <c r="Z360" s="152"/>
    </row>
    <row r="361" spans="2:26" x14ac:dyDescent="0.3">
      <c r="B361" s="152"/>
      <c r="C361" s="162"/>
      <c r="D361" s="54"/>
      <c r="E361" s="152"/>
      <c r="F361" s="152"/>
      <c r="G361" s="152"/>
      <c r="H361" s="152"/>
      <c r="I361" s="152"/>
      <c r="J361" s="162"/>
      <c r="K361" s="152"/>
      <c r="L361" s="152"/>
      <c r="M361" s="152"/>
      <c r="N361" s="152"/>
      <c r="O361" s="152"/>
      <c r="P361" s="152"/>
      <c r="Q361" s="152"/>
      <c r="R361" s="152"/>
      <c r="S361" s="152"/>
      <c r="T361" s="152"/>
      <c r="U361" s="152"/>
      <c r="V361" s="152"/>
      <c r="W361" s="163"/>
      <c r="X361" s="163"/>
      <c r="Y361" s="152"/>
      <c r="Z361" s="163"/>
    </row>
    <row r="362" spans="2:26" x14ac:dyDescent="0.3">
      <c r="B362" s="152"/>
      <c r="C362" s="162"/>
      <c r="D362" s="54"/>
      <c r="E362" s="152"/>
      <c r="F362" s="152"/>
      <c r="G362" s="152"/>
      <c r="H362" s="152"/>
      <c r="I362" s="152"/>
      <c r="J362" s="162"/>
      <c r="K362" s="152"/>
      <c r="L362" s="152"/>
      <c r="M362" s="152"/>
      <c r="N362" s="163"/>
      <c r="O362" s="152"/>
      <c r="P362" s="152"/>
      <c r="Q362" s="152"/>
      <c r="R362" s="152"/>
      <c r="S362" s="152"/>
      <c r="T362" s="152"/>
      <c r="U362" s="152"/>
      <c r="V362" s="152"/>
      <c r="W362" s="152"/>
      <c r="X362" s="152"/>
      <c r="Y362" s="152"/>
      <c r="Z362" s="152"/>
    </row>
    <row r="363" spans="2:26" x14ac:dyDescent="0.3">
      <c r="B363" s="152"/>
      <c r="C363" s="162"/>
      <c r="D363" s="54"/>
      <c r="E363" s="152"/>
      <c r="F363" s="152"/>
      <c r="G363" s="152"/>
      <c r="H363" s="152"/>
      <c r="I363" s="165"/>
      <c r="J363" s="162"/>
      <c r="K363" s="152"/>
      <c r="L363" s="152"/>
      <c r="M363" s="152"/>
      <c r="N363" s="163"/>
      <c r="O363" s="152"/>
      <c r="P363" s="152"/>
      <c r="Q363" s="152"/>
      <c r="R363" s="163"/>
      <c r="S363" s="152"/>
      <c r="T363" s="152"/>
      <c r="U363" s="152"/>
      <c r="V363" s="152"/>
      <c r="W363" s="152"/>
      <c r="X363" s="163"/>
      <c r="Y363" s="165"/>
      <c r="Z363" s="165"/>
    </row>
    <row r="364" spans="2:26" x14ac:dyDescent="0.3">
      <c r="B364" s="152"/>
      <c r="C364" s="162"/>
      <c r="D364" s="54"/>
      <c r="E364" s="152"/>
      <c r="F364" s="152"/>
      <c r="G364" s="152"/>
      <c r="H364" s="152"/>
      <c r="I364" s="152"/>
      <c r="J364" s="162"/>
      <c r="K364" s="152"/>
      <c r="L364" s="152"/>
      <c r="M364" s="152"/>
      <c r="N364" s="163"/>
      <c r="O364" s="152"/>
      <c r="P364" s="152"/>
      <c r="Q364" s="152"/>
      <c r="R364" s="163"/>
      <c r="S364" s="152"/>
      <c r="T364" s="152"/>
      <c r="U364" s="152"/>
      <c r="V364" s="152"/>
      <c r="W364" s="152"/>
      <c r="X364" s="152"/>
      <c r="Y364" s="152"/>
      <c r="Z364" s="152"/>
    </row>
    <row r="365" spans="2:26" x14ac:dyDescent="0.3">
      <c r="B365" s="152"/>
      <c r="C365" s="162"/>
      <c r="D365" s="54"/>
      <c r="E365" s="152"/>
      <c r="F365" s="152"/>
      <c r="G365" s="152"/>
      <c r="H365" s="152"/>
      <c r="I365" s="152"/>
      <c r="J365" s="162"/>
      <c r="K365" s="152"/>
      <c r="L365" s="152"/>
      <c r="M365" s="152"/>
      <c r="N365" s="163"/>
      <c r="O365" s="152"/>
      <c r="P365" s="152"/>
      <c r="Q365" s="152"/>
      <c r="R365" s="163"/>
      <c r="S365" s="152"/>
      <c r="T365" s="152"/>
      <c r="U365" s="152"/>
      <c r="V365" s="152"/>
      <c r="W365" s="152"/>
      <c r="X365" s="152"/>
      <c r="Y365" s="152"/>
      <c r="Z365" s="152"/>
    </row>
    <row r="366" spans="2:26" x14ac:dyDescent="0.3">
      <c r="B366" s="152"/>
      <c r="C366" s="162"/>
      <c r="D366" s="54"/>
      <c r="E366" s="152"/>
      <c r="F366" s="152"/>
      <c r="G366" s="152"/>
      <c r="H366" s="152"/>
      <c r="I366" s="152"/>
      <c r="J366" s="162"/>
      <c r="K366" s="152"/>
      <c r="L366" s="152"/>
      <c r="M366" s="152"/>
      <c r="N366" s="163"/>
      <c r="O366" s="152"/>
      <c r="P366" s="152"/>
      <c r="Q366" s="152"/>
      <c r="R366" s="163"/>
      <c r="S366" s="152"/>
      <c r="T366" s="152"/>
      <c r="U366" s="152"/>
      <c r="V366" s="152"/>
      <c r="W366" s="152"/>
      <c r="X366" s="152"/>
      <c r="Y366" s="152"/>
      <c r="Z366" s="152"/>
    </row>
    <row r="367" spans="2:26" x14ac:dyDescent="0.3">
      <c r="B367" s="152"/>
      <c r="C367" s="162"/>
      <c r="D367" s="54"/>
      <c r="E367" s="152"/>
      <c r="F367" s="152"/>
      <c r="G367" s="152"/>
      <c r="H367" s="152"/>
      <c r="I367" s="152"/>
      <c r="J367" s="162"/>
      <c r="K367" s="152"/>
      <c r="L367" s="152"/>
      <c r="M367" s="152"/>
      <c r="N367" s="163"/>
      <c r="O367" s="152"/>
      <c r="P367" s="152"/>
      <c r="Q367" s="152"/>
      <c r="R367" s="163"/>
      <c r="S367" s="152"/>
      <c r="T367" s="152"/>
      <c r="U367" s="152"/>
      <c r="V367" s="152"/>
      <c r="W367" s="152"/>
      <c r="X367" s="152"/>
      <c r="Y367" s="152"/>
      <c r="Z367" s="152"/>
    </row>
    <row r="368" spans="2:26" x14ac:dyDescent="0.3">
      <c r="B368" s="152"/>
      <c r="C368" s="162"/>
      <c r="D368" s="54"/>
      <c r="E368" s="152"/>
      <c r="F368" s="152"/>
      <c r="G368" s="152"/>
      <c r="H368" s="152"/>
      <c r="I368" s="152"/>
      <c r="J368" s="162"/>
      <c r="K368" s="152"/>
      <c r="L368" s="152"/>
      <c r="M368" s="152"/>
      <c r="N368" s="163"/>
      <c r="O368" s="152"/>
      <c r="P368" s="152"/>
      <c r="Q368" s="152"/>
      <c r="R368" s="163"/>
      <c r="S368" s="152"/>
      <c r="T368" s="152"/>
      <c r="U368" s="152"/>
      <c r="V368" s="152"/>
      <c r="W368" s="152"/>
      <c r="X368" s="152"/>
      <c r="Y368" s="152"/>
      <c r="Z368" s="152"/>
    </row>
    <row r="369" spans="1:26" x14ac:dyDescent="0.3">
      <c r="B369" s="152"/>
      <c r="C369" s="162"/>
      <c r="D369" s="54"/>
      <c r="E369" s="152"/>
      <c r="F369" s="152"/>
      <c r="G369" s="152"/>
      <c r="H369" s="152"/>
      <c r="I369" s="152"/>
      <c r="J369" s="162"/>
      <c r="K369" s="152"/>
      <c r="L369" s="152"/>
      <c r="M369" s="152"/>
      <c r="N369" s="163"/>
      <c r="O369" s="152"/>
      <c r="P369" s="152"/>
      <c r="Q369" s="152"/>
      <c r="R369" s="163"/>
      <c r="S369" s="152"/>
      <c r="T369" s="152"/>
      <c r="U369" s="152"/>
      <c r="V369" s="152"/>
      <c r="W369" s="152"/>
      <c r="X369" s="152"/>
      <c r="Y369" s="152"/>
      <c r="Z369" s="152"/>
    </row>
    <row r="370" spans="1:26" x14ac:dyDescent="0.3">
      <c r="B370" s="152"/>
      <c r="C370" s="162"/>
      <c r="D370" s="54"/>
      <c r="E370" s="152"/>
      <c r="F370" s="152"/>
      <c r="G370" s="152"/>
      <c r="H370" s="152"/>
      <c r="I370" s="152"/>
      <c r="J370" s="162"/>
      <c r="K370" s="152"/>
      <c r="L370" s="152"/>
      <c r="M370" s="152"/>
      <c r="N370" s="163"/>
      <c r="O370" s="152"/>
      <c r="P370" s="152"/>
      <c r="Q370" s="152"/>
      <c r="R370" s="163"/>
      <c r="S370" s="152"/>
      <c r="T370" s="152"/>
      <c r="U370" s="152"/>
      <c r="V370" s="152"/>
      <c r="W370" s="152"/>
      <c r="X370" s="152"/>
      <c r="Y370" s="152"/>
      <c r="Z370" s="152"/>
    </row>
    <row r="371" spans="1:26" x14ac:dyDescent="0.3">
      <c r="B371" s="152"/>
      <c r="C371" s="162"/>
      <c r="D371" s="54"/>
      <c r="E371" s="152"/>
      <c r="F371" s="152"/>
      <c r="G371" s="152"/>
      <c r="H371" s="152"/>
      <c r="I371" s="152"/>
      <c r="J371" s="162"/>
      <c r="K371" s="152"/>
      <c r="L371" s="163"/>
      <c r="M371" s="152"/>
      <c r="N371" s="152"/>
      <c r="O371" s="152"/>
      <c r="P371" s="152"/>
      <c r="Q371" s="152"/>
      <c r="R371" s="163"/>
      <c r="S371" s="152"/>
      <c r="T371" s="152"/>
      <c r="U371" s="152"/>
      <c r="V371" s="152"/>
      <c r="W371" s="163"/>
      <c r="X371" s="163"/>
      <c r="Y371" s="152"/>
      <c r="Z371" s="152"/>
    </row>
    <row r="372" spans="1:26" x14ac:dyDescent="0.3">
      <c r="A372" s="54"/>
      <c r="B372" s="152"/>
      <c r="C372" s="162"/>
      <c r="D372" s="54"/>
      <c r="E372" s="152"/>
      <c r="F372" s="152"/>
      <c r="G372" s="152"/>
      <c r="H372" s="152"/>
      <c r="I372" s="152"/>
      <c r="J372" s="162"/>
      <c r="K372" s="152"/>
      <c r="L372" s="163"/>
      <c r="M372" s="152"/>
      <c r="N372" s="152"/>
      <c r="O372" s="152"/>
      <c r="P372" s="152"/>
      <c r="Q372" s="152"/>
      <c r="R372" s="152"/>
      <c r="S372" s="152"/>
      <c r="T372" s="152"/>
      <c r="U372" s="152"/>
      <c r="V372" s="152"/>
      <c r="W372" s="152"/>
      <c r="X372" s="152"/>
      <c r="Y372" s="152"/>
      <c r="Z372" s="152"/>
    </row>
    <row r="373" spans="1:26" x14ac:dyDescent="0.3">
      <c r="B373" s="152"/>
      <c r="C373" s="162"/>
      <c r="D373" s="54"/>
      <c r="E373" s="152"/>
      <c r="F373" s="152"/>
      <c r="G373" s="152"/>
      <c r="H373" s="152"/>
      <c r="I373" s="152"/>
      <c r="J373" s="162"/>
      <c r="K373" s="152"/>
      <c r="L373" s="163"/>
      <c r="M373" s="152"/>
      <c r="N373" s="163"/>
      <c r="O373" s="152"/>
      <c r="P373" s="152"/>
      <c r="Q373" s="152"/>
      <c r="R373" s="152"/>
      <c r="S373" s="152"/>
      <c r="T373" s="152"/>
      <c r="U373" s="152"/>
      <c r="V373" s="152"/>
      <c r="W373" s="152"/>
      <c r="X373" s="152"/>
      <c r="Y373" s="152"/>
      <c r="Z373" s="152"/>
    </row>
    <row r="374" spans="1:26" x14ac:dyDescent="0.3">
      <c r="B374" s="152"/>
      <c r="C374" s="162"/>
      <c r="D374" s="54"/>
      <c r="E374" s="152"/>
      <c r="F374" s="152"/>
      <c r="G374" s="152"/>
      <c r="H374" s="152"/>
      <c r="I374" s="152"/>
      <c r="J374" s="162"/>
      <c r="K374" s="152"/>
      <c r="L374" s="163"/>
      <c r="M374" s="152"/>
      <c r="N374" s="152"/>
      <c r="O374" s="152"/>
      <c r="P374" s="152"/>
      <c r="Q374" s="152"/>
      <c r="R374" s="152"/>
      <c r="S374" s="152"/>
      <c r="T374" s="152"/>
      <c r="U374" s="152"/>
      <c r="V374" s="152"/>
      <c r="W374" s="152"/>
      <c r="X374" s="152"/>
      <c r="Y374" s="152"/>
      <c r="Z374" s="152"/>
    </row>
    <row r="375" spans="1:26" x14ac:dyDescent="0.3">
      <c r="B375" s="152"/>
      <c r="C375" s="162"/>
      <c r="D375" s="54"/>
      <c r="E375" s="152"/>
      <c r="F375" s="152"/>
      <c r="G375" s="152"/>
      <c r="H375" s="152"/>
      <c r="I375" s="152"/>
      <c r="J375" s="162"/>
      <c r="K375" s="152"/>
      <c r="L375" s="152"/>
      <c r="M375" s="152"/>
      <c r="N375" s="163"/>
      <c r="O375" s="152"/>
      <c r="P375" s="152"/>
      <c r="Q375" s="152"/>
      <c r="R375" s="152"/>
      <c r="S375" s="152"/>
      <c r="T375" s="152"/>
      <c r="U375" s="152"/>
      <c r="V375" s="152"/>
      <c r="W375" s="163"/>
      <c r="X375" s="152"/>
      <c r="Y375" s="152"/>
      <c r="Z375" s="152"/>
    </row>
    <row r="376" spans="1:26" x14ac:dyDescent="0.3">
      <c r="B376" s="152"/>
      <c r="C376" s="162"/>
      <c r="D376" s="54"/>
      <c r="E376" s="152"/>
      <c r="F376" s="152"/>
      <c r="G376" s="152"/>
      <c r="H376" s="152"/>
      <c r="I376" s="152"/>
      <c r="J376" s="162"/>
      <c r="K376" s="152"/>
      <c r="L376" s="163"/>
      <c r="M376" s="152"/>
      <c r="N376" s="163"/>
      <c r="O376" s="152"/>
      <c r="P376" s="152"/>
      <c r="Q376" s="152"/>
      <c r="R376" s="152"/>
      <c r="S376" s="152"/>
      <c r="T376" s="152"/>
      <c r="U376" s="152"/>
      <c r="V376" s="163"/>
      <c r="W376" s="163"/>
      <c r="X376" s="163"/>
      <c r="Y376" s="152"/>
      <c r="Z376" s="152"/>
    </row>
    <row r="377" spans="1:26" x14ac:dyDescent="0.3">
      <c r="B377" s="152"/>
      <c r="C377" s="162"/>
      <c r="D377" s="54"/>
      <c r="E377" s="152"/>
      <c r="F377" s="152"/>
      <c r="G377" s="152"/>
      <c r="H377" s="152"/>
      <c r="I377" s="152"/>
      <c r="J377" s="162"/>
      <c r="K377" s="152"/>
      <c r="L377" s="163"/>
      <c r="M377" s="152"/>
      <c r="N377" s="152"/>
      <c r="O377" s="152"/>
      <c r="P377" s="152"/>
      <c r="Q377" s="152"/>
      <c r="R377" s="163"/>
      <c r="S377" s="152"/>
      <c r="T377" s="152"/>
      <c r="U377" s="152"/>
      <c r="V377" s="152"/>
      <c r="W377" s="163"/>
      <c r="X377" s="163"/>
      <c r="Y377" s="152"/>
      <c r="Z377" s="152"/>
    </row>
    <row r="378" spans="1:26" x14ac:dyDescent="0.3">
      <c r="B378" s="152"/>
      <c r="C378" s="162"/>
      <c r="D378" s="54"/>
      <c r="E378" s="152"/>
      <c r="F378" s="152"/>
      <c r="G378" s="152"/>
      <c r="H378" s="152"/>
      <c r="I378" s="152"/>
      <c r="J378" s="162"/>
      <c r="K378" s="152"/>
      <c r="L378" s="152"/>
      <c r="M378" s="152"/>
      <c r="N378" s="152"/>
      <c r="O378" s="163"/>
      <c r="P378" s="152"/>
      <c r="Q378" s="152"/>
      <c r="R378" s="152"/>
      <c r="S378" s="152"/>
      <c r="T378" s="152"/>
      <c r="U378" s="152"/>
      <c r="V378" s="152"/>
      <c r="W378" s="163"/>
      <c r="X378" s="163"/>
      <c r="Y378" s="163"/>
      <c r="Z378" s="152"/>
    </row>
    <row r="379" spans="1:26" x14ac:dyDescent="0.3">
      <c r="B379" s="152"/>
      <c r="C379" s="162"/>
      <c r="D379" s="54"/>
      <c r="E379" s="152"/>
      <c r="F379" s="152"/>
      <c r="G379" s="152"/>
      <c r="H379" s="152"/>
      <c r="I379" s="152"/>
      <c r="J379" s="162"/>
      <c r="K379" s="152"/>
      <c r="L379" s="163"/>
      <c r="M379" s="152"/>
      <c r="N379" s="152"/>
      <c r="O379" s="152"/>
      <c r="P379" s="152"/>
      <c r="Q379" s="152"/>
      <c r="R379" s="152"/>
      <c r="S379" s="152"/>
      <c r="T379" s="152"/>
      <c r="U379" s="152"/>
      <c r="V379" s="152"/>
      <c r="W379" s="152"/>
      <c r="X379" s="152"/>
      <c r="Y379" s="152"/>
      <c r="Z379" s="164"/>
    </row>
    <row r="380" spans="1:26" x14ac:dyDescent="0.3">
      <c r="B380" s="152"/>
      <c r="C380" s="162"/>
      <c r="D380" s="54"/>
      <c r="E380" s="152"/>
      <c r="F380" s="152"/>
      <c r="G380" s="152"/>
      <c r="H380" s="152"/>
      <c r="I380" s="152"/>
      <c r="J380" s="54"/>
      <c r="K380" s="152"/>
      <c r="L380" s="152"/>
      <c r="M380" s="152"/>
      <c r="N380" s="152"/>
      <c r="O380" s="152"/>
      <c r="P380" s="152"/>
      <c r="Q380" s="152"/>
      <c r="R380" s="152"/>
      <c r="S380" s="152"/>
      <c r="T380" s="152"/>
      <c r="U380" s="152"/>
      <c r="V380" s="152"/>
      <c r="W380" s="163"/>
      <c r="X380" s="152"/>
      <c r="Y380" s="163"/>
      <c r="Z380" s="152"/>
    </row>
    <row r="381" spans="1:26" x14ac:dyDescent="0.3">
      <c r="B381" s="152"/>
      <c r="C381" s="162"/>
      <c r="D381" s="54"/>
      <c r="E381" s="152"/>
      <c r="F381" s="152"/>
      <c r="G381" s="152"/>
      <c r="H381" s="152"/>
      <c r="I381" s="152"/>
      <c r="J381" s="54"/>
      <c r="K381" s="152"/>
      <c r="L381" s="152"/>
      <c r="M381" s="152"/>
      <c r="N381" s="152"/>
      <c r="O381" s="152"/>
      <c r="P381" s="152"/>
      <c r="Q381" s="152"/>
      <c r="R381" s="152"/>
      <c r="S381" s="152"/>
      <c r="T381" s="152"/>
      <c r="U381" s="152"/>
      <c r="V381" s="152"/>
      <c r="W381" s="163"/>
      <c r="X381" s="152"/>
      <c r="Y381" s="163"/>
      <c r="Z381" s="152"/>
    </row>
    <row r="382" spans="1:26" x14ac:dyDescent="0.3">
      <c r="B382" s="152"/>
      <c r="C382" s="162"/>
      <c r="D382" s="54"/>
      <c r="E382" s="152"/>
      <c r="F382" s="152"/>
      <c r="G382" s="152"/>
      <c r="H382" s="152"/>
      <c r="I382" s="152"/>
      <c r="J382" s="54"/>
      <c r="K382" s="152"/>
      <c r="L382" s="163"/>
      <c r="M382" s="152"/>
      <c r="N382" s="152"/>
      <c r="O382" s="152"/>
      <c r="P382" s="152"/>
      <c r="Q382" s="152"/>
      <c r="R382" s="152"/>
      <c r="S382" s="152"/>
      <c r="T382" s="152"/>
      <c r="U382" s="152"/>
      <c r="V382" s="152"/>
      <c r="W382" s="152"/>
      <c r="X382" s="152"/>
      <c r="Y382" s="152"/>
      <c r="Z382" s="152"/>
    </row>
    <row r="383" spans="1:26" x14ac:dyDescent="0.3">
      <c r="I383" s="54"/>
    </row>
  </sheetData>
  <autoFilter ref="A1:Z382" xr:uid="{00000000-0009-0000-0000-000003000000}"/>
  <sortState xmlns:xlrd2="http://schemas.microsoft.com/office/spreadsheetml/2017/richdata2" ref="B6:Z379">
    <sortCondition ref="V6:V379"/>
    <sortCondition ref="I6:I379"/>
  </sortState>
  <customSheetViews>
    <customSheetView guid="{03A28D0E-D221-430C-9036-787CFB666EE7}" showAutoFilter="1" topLeftCell="C1">
      <pane ySplit="1" topLeftCell="A2" activePane="bottomLeft" state="frozen"/>
      <selection pane="bottomLeft" activeCell="C1" sqref="C1"/>
      <pageMargins left="0.7" right="0.7" top="0.75" bottom="0.75" header="0.3" footer="0.3"/>
      <pageSetup orientation="portrait" r:id="rId1"/>
      <autoFilter ref="A1:Z732" xr:uid="{D42A14EA-E6D7-493A-866B-538B6090F374}"/>
    </customSheetView>
  </customSheetViews>
  <mergeCells count="1">
    <mergeCell ref="A3:A5"/>
  </mergeCells>
  <phoneticPr fontId="54" type="noConversion"/>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715"/>
  <sheetViews>
    <sheetView zoomScale="110" zoomScaleNormal="110" workbookViewId="0">
      <pane ySplit="1" topLeftCell="A2" activePane="bottomLeft" state="frozen"/>
      <selection pane="bottomLeft"/>
    </sheetView>
  </sheetViews>
  <sheetFormatPr defaultColWidth="11" defaultRowHeight="13.8" x14ac:dyDescent="0.3"/>
  <cols>
    <col min="1" max="1" width="7.44140625" style="124" customWidth="1"/>
    <col min="2" max="2" width="6.44140625" style="125" customWidth="1"/>
    <col min="3" max="3" width="30.109375" style="126" customWidth="1"/>
    <col min="4" max="7" width="10.109375" style="126" customWidth="1"/>
    <col min="8" max="8" width="10.109375" style="125" customWidth="1"/>
    <col min="9" max="9" width="22.109375" style="126" customWidth="1"/>
    <col min="10" max="10" width="10.109375" style="126" customWidth="1"/>
    <col min="11" max="11" width="29" style="126" customWidth="1"/>
    <col min="12" max="16384" width="11" style="33"/>
  </cols>
  <sheetData>
    <row r="1" spans="1:12" s="32" customFormat="1" ht="16.5" customHeight="1" x14ac:dyDescent="0.3">
      <c r="A1" s="142" t="s">
        <v>310</v>
      </c>
      <c r="B1" s="143" t="s">
        <v>311</v>
      </c>
      <c r="C1" s="143" t="s">
        <v>15</v>
      </c>
      <c r="D1" s="31" t="s">
        <v>16</v>
      </c>
      <c r="E1" s="31" t="s">
        <v>17</v>
      </c>
      <c r="F1" s="31" t="s">
        <v>18</v>
      </c>
      <c r="G1" s="31" t="s">
        <v>19</v>
      </c>
      <c r="H1" s="31" t="s">
        <v>8</v>
      </c>
      <c r="I1" s="31" t="s">
        <v>20</v>
      </c>
      <c r="J1" s="31" t="s">
        <v>21</v>
      </c>
      <c r="K1" s="31" t="s">
        <v>22</v>
      </c>
    </row>
    <row r="2" spans="1:12" ht="13.5" customHeight="1" x14ac:dyDescent="0.3">
      <c r="A2" s="132" t="s">
        <v>375</v>
      </c>
      <c r="B2" s="133" t="s">
        <v>376</v>
      </c>
      <c r="C2" s="133" t="s">
        <v>380</v>
      </c>
      <c r="D2" s="134" t="s">
        <v>458</v>
      </c>
      <c r="E2" s="133" t="s">
        <v>381</v>
      </c>
      <c r="F2" s="133" t="s">
        <v>382</v>
      </c>
      <c r="G2" s="133" t="s">
        <v>377</v>
      </c>
      <c r="H2" s="133" t="s">
        <v>387</v>
      </c>
      <c r="I2" s="133" t="s">
        <v>383</v>
      </c>
      <c r="J2" s="135" t="s">
        <v>378</v>
      </c>
      <c r="K2" s="133" t="s">
        <v>379</v>
      </c>
      <c r="L2" s="33" t="s">
        <v>785</v>
      </c>
    </row>
    <row r="3" spans="1:12" s="34" customFormat="1" ht="13.5" customHeight="1" x14ac:dyDescent="0.3">
      <c r="A3" s="243" t="s">
        <v>790</v>
      </c>
      <c r="B3" s="136">
        <v>1</v>
      </c>
      <c r="C3" s="137" t="s">
        <v>352</v>
      </c>
      <c r="D3" s="137" t="s">
        <v>347</v>
      </c>
      <c r="E3" s="137" t="s">
        <v>353</v>
      </c>
      <c r="F3" s="137" t="s">
        <v>369</v>
      </c>
      <c r="G3" s="137" t="s">
        <v>370</v>
      </c>
      <c r="H3" s="138" t="s">
        <v>452</v>
      </c>
      <c r="I3" s="137" t="s">
        <v>371</v>
      </c>
      <c r="J3" s="137"/>
      <c r="K3" s="137" t="s">
        <v>353</v>
      </c>
      <c r="L3" s="33" t="s">
        <v>785</v>
      </c>
    </row>
    <row r="4" spans="1:12" s="34" customFormat="1" ht="13.5" customHeight="1" x14ac:dyDescent="0.3">
      <c r="A4" s="243"/>
      <c r="B4" s="136">
        <v>2</v>
      </c>
      <c r="C4" s="137" t="s">
        <v>346</v>
      </c>
      <c r="D4" s="137" t="s">
        <v>24</v>
      </c>
      <c r="E4" s="137" t="s">
        <v>354</v>
      </c>
      <c r="F4" s="137" t="s">
        <v>355</v>
      </c>
      <c r="G4" s="137" t="s">
        <v>356</v>
      </c>
      <c r="H4" s="138" t="s">
        <v>452</v>
      </c>
      <c r="I4" s="137" t="s">
        <v>357</v>
      </c>
      <c r="J4" s="137"/>
      <c r="K4" s="137" t="s">
        <v>354</v>
      </c>
      <c r="L4" s="33" t="s">
        <v>785</v>
      </c>
    </row>
    <row r="5" spans="1:12" s="34" customFormat="1" ht="13.5" customHeight="1" x14ac:dyDescent="0.3">
      <c r="A5" s="243"/>
      <c r="B5" s="139">
        <v>3</v>
      </c>
      <c r="C5" s="140" t="s">
        <v>352</v>
      </c>
      <c r="D5" s="140" t="s">
        <v>24</v>
      </c>
      <c r="E5" s="140" t="s">
        <v>372</v>
      </c>
      <c r="F5" s="140" t="s">
        <v>373</v>
      </c>
      <c r="G5" s="140"/>
      <c r="H5" s="141" t="s">
        <v>452</v>
      </c>
      <c r="I5" s="140" t="s">
        <v>374</v>
      </c>
      <c r="J5" s="140"/>
      <c r="K5" s="140"/>
      <c r="L5" s="33" t="s">
        <v>785</v>
      </c>
    </row>
    <row r="6" spans="1:12" s="34" customFormat="1" ht="13.5" customHeight="1" x14ac:dyDescent="0.3">
      <c r="A6" s="243"/>
      <c r="B6" s="136">
        <v>4</v>
      </c>
      <c r="C6" s="137" t="s">
        <v>346</v>
      </c>
      <c r="D6" s="137" t="s">
        <v>23</v>
      </c>
      <c r="E6" s="137" t="s">
        <v>348</v>
      </c>
      <c r="F6" s="137" t="s">
        <v>349</v>
      </c>
      <c r="G6" s="137" t="s">
        <v>350</v>
      </c>
      <c r="H6" s="138" t="s">
        <v>452</v>
      </c>
      <c r="I6" s="137" t="s">
        <v>351</v>
      </c>
      <c r="J6" s="137"/>
      <c r="K6" s="137" t="s">
        <v>348</v>
      </c>
      <c r="L6" s="33" t="s">
        <v>785</v>
      </c>
    </row>
    <row r="7" spans="1:12" s="131" customFormat="1" ht="13.5" customHeight="1" x14ac:dyDescent="0.3">
      <c r="A7" s="130"/>
      <c r="B7" s="125"/>
      <c r="C7" s="126"/>
      <c r="D7" s="126"/>
      <c r="E7" s="126"/>
      <c r="F7" s="126"/>
      <c r="G7" s="126"/>
      <c r="H7" s="125"/>
      <c r="I7" s="126"/>
      <c r="J7" s="126"/>
      <c r="K7" s="126"/>
      <c r="L7" s="78"/>
    </row>
    <row r="8" spans="1:12" s="131" customFormat="1" ht="13.5" customHeight="1" x14ac:dyDescent="0.3">
      <c r="A8" s="130"/>
      <c r="B8" s="125"/>
      <c r="C8" s="126"/>
      <c r="D8" s="126"/>
      <c r="E8" s="126"/>
      <c r="F8" s="126"/>
      <c r="G8" s="126"/>
      <c r="H8" s="125"/>
      <c r="I8" s="126"/>
      <c r="J8" s="126"/>
      <c r="K8" s="126"/>
      <c r="L8" s="78"/>
    </row>
    <row r="9" spans="1:12" s="131" customFormat="1" ht="13.5" customHeight="1" x14ac:dyDescent="0.3">
      <c r="A9" s="130"/>
      <c r="B9" s="125"/>
      <c r="C9" s="126"/>
      <c r="D9" s="126"/>
      <c r="E9" s="126"/>
      <c r="F9" s="126"/>
      <c r="G9" s="126"/>
      <c r="H9" s="125"/>
      <c r="I9" s="126"/>
      <c r="J9" s="126"/>
      <c r="K9" s="126"/>
      <c r="L9" s="78"/>
    </row>
    <row r="10" spans="1:12" s="131" customFormat="1" ht="13.5" customHeight="1" x14ac:dyDescent="0.3">
      <c r="A10" s="130"/>
      <c r="B10" s="125"/>
      <c r="C10" s="126"/>
      <c r="D10" s="126"/>
      <c r="E10" s="126"/>
      <c r="F10" s="126"/>
      <c r="G10" s="126"/>
      <c r="H10" s="125"/>
      <c r="I10" s="126"/>
      <c r="J10" s="126"/>
      <c r="K10" s="126"/>
      <c r="L10" s="78"/>
    </row>
    <row r="11" spans="1:12" s="131" customFormat="1" ht="13.5" customHeight="1" x14ac:dyDescent="0.3">
      <c r="A11" s="130"/>
      <c r="B11" s="125"/>
      <c r="C11" s="126"/>
      <c r="D11" s="126"/>
      <c r="E11" s="126"/>
      <c r="F11" s="126"/>
      <c r="G11" s="126"/>
      <c r="H11" s="125"/>
      <c r="I11" s="126"/>
      <c r="J11" s="126"/>
      <c r="K11" s="126"/>
      <c r="L11" s="78"/>
    </row>
    <row r="12" spans="1:12" x14ac:dyDescent="0.3">
      <c r="L12" s="78"/>
    </row>
    <row r="13" spans="1:12" x14ac:dyDescent="0.3">
      <c r="L13" s="78"/>
    </row>
    <row r="14" spans="1:12" x14ac:dyDescent="0.3">
      <c r="L14" s="78"/>
    </row>
    <row r="15" spans="1:12" x14ac:dyDescent="0.3">
      <c r="L15" s="78"/>
    </row>
    <row r="16" spans="1:12" x14ac:dyDescent="0.3">
      <c r="L16" s="78"/>
    </row>
    <row r="17" spans="12:12" x14ac:dyDescent="0.3">
      <c r="L17" s="78"/>
    </row>
    <row r="18" spans="12:12" x14ac:dyDescent="0.3">
      <c r="L18" s="78"/>
    </row>
    <row r="19" spans="12:12" x14ac:dyDescent="0.3">
      <c r="L19" s="78"/>
    </row>
    <row r="20" spans="12:12" x14ac:dyDescent="0.3">
      <c r="L20" s="78"/>
    </row>
    <row r="21" spans="12:12" x14ac:dyDescent="0.3">
      <c r="L21" s="78"/>
    </row>
    <row r="22" spans="12:12" x14ac:dyDescent="0.3">
      <c r="L22" s="78"/>
    </row>
    <row r="23" spans="12:12" x14ac:dyDescent="0.3">
      <c r="L23" s="78"/>
    </row>
    <row r="24" spans="12:12" x14ac:dyDescent="0.3">
      <c r="L24" s="78"/>
    </row>
    <row r="25" spans="12:12" x14ac:dyDescent="0.3">
      <c r="L25" s="78"/>
    </row>
    <row r="26" spans="12:12" x14ac:dyDescent="0.3">
      <c r="L26" s="78"/>
    </row>
    <row r="27" spans="12:12" x14ac:dyDescent="0.3">
      <c r="L27" s="78"/>
    </row>
    <row r="28" spans="12:12" x14ac:dyDescent="0.3">
      <c r="L28" s="78"/>
    </row>
    <row r="29" spans="12:12" x14ac:dyDescent="0.3">
      <c r="L29" s="78"/>
    </row>
    <row r="30" spans="12:12" x14ac:dyDescent="0.3">
      <c r="L30" s="78"/>
    </row>
    <row r="31" spans="12:12" x14ac:dyDescent="0.3">
      <c r="L31" s="78"/>
    </row>
    <row r="32" spans="12:12" x14ac:dyDescent="0.3">
      <c r="L32" s="78"/>
    </row>
    <row r="33" spans="12:12" x14ac:dyDescent="0.3">
      <c r="L33" s="78"/>
    </row>
    <row r="34" spans="12:12" x14ac:dyDescent="0.3">
      <c r="L34" s="78"/>
    </row>
    <row r="35" spans="12:12" x14ac:dyDescent="0.3">
      <c r="L35" s="78"/>
    </row>
    <row r="36" spans="12:12" x14ac:dyDescent="0.3">
      <c r="L36" s="78"/>
    </row>
    <row r="37" spans="12:12" x14ac:dyDescent="0.3">
      <c r="L37" s="78"/>
    </row>
    <row r="38" spans="12:12" x14ac:dyDescent="0.3">
      <c r="L38" s="78"/>
    </row>
    <row r="39" spans="12:12" x14ac:dyDescent="0.3">
      <c r="L39" s="78"/>
    </row>
    <row r="40" spans="12:12" x14ac:dyDescent="0.3">
      <c r="L40" s="78"/>
    </row>
    <row r="41" spans="12:12" x14ac:dyDescent="0.3">
      <c r="L41" s="78"/>
    </row>
    <row r="42" spans="12:12" x14ac:dyDescent="0.3">
      <c r="L42" s="78"/>
    </row>
    <row r="43" spans="12:12" x14ac:dyDescent="0.3">
      <c r="L43" s="78"/>
    </row>
    <row r="44" spans="12:12" x14ac:dyDescent="0.3">
      <c r="L44" s="78"/>
    </row>
    <row r="45" spans="12:12" x14ac:dyDescent="0.3">
      <c r="L45" s="78"/>
    </row>
    <row r="46" spans="12:12" x14ac:dyDescent="0.3">
      <c r="L46" s="78"/>
    </row>
    <row r="47" spans="12:12" x14ac:dyDescent="0.3">
      <c r="L47" s="78"/>
    </row>
    <row r="48" spans="12:12" x14ac:dyDescent="0.3">
      <c r="L48" s="78"/>
    </row>
    <row r="49" spans="12:12" x14ac:dyDescent="0.3">
      <c r="L49" s="78"/>
    </row>
    <row r="50" spans="12:12" x14ac:dyDescent="0.3">
      <c r="L50" s="78"/>
    </row>
    <row r="51" spans="12:12" x14ac:dyDescent="0.3">
      <c r="L51" s="78"/>
    </row>
    <row r="52" spans="12:12" x14ac:dyDescent="0.3">
      <c r="L52" s="78"/>
    </row>
    <row r="53" spans="12:12" x14ac:dyDescent="0.3">
      <c r="L53" s="78"/>
    </row>
    <row r="54" spans="12:12" x14ac:dyDescent="0.3">
      <c r="L54" s="78"/>
    </row>
    <row r="55" spans="12:12" x14ac:dyDescent="0.3">
      <c r="L55" s="78"/>
    </row>
    <row r="56" spans="12:12" x14ac:dyDescent="0.3">
      <c r="L56" s="78"/>
    </row>
    <row r="57" spans="12:12" x14ac:dyDescent="0.3">
      <c r="L57" s="78"/>
    </row>
    <row r="58" spans="12:12" x14ac:dyDescent="0.3">
      <c r="L58" s="78"/>
    </row>
    <row r="59" spans="12:12" x14ac:dyDescent="0.3">
      <c r="L59" s="78"/>
    </row>
    <row r="60" spans="12:12" x14ac:dyDescent="0.3">
      <c r="L60" s="78"/>
    </row>
    <row r="61" spans="12:12" x14ac:dyDescent="0.3">
      <c r="L61" s="78"/>
    </row>
    <row r="62" spans="12:12" x14ac:dyDescent="0.3">
      <c r="L62" s="78"/>
    </row>
    <row r="63" spans="12:12" x14ac:dyDescent="0.3">
      <c r="L63" s="78"/>
    </row>
    <row r="64" spans="12:12" x14ac:dyDescent="0.3">
      <c r="L64" s="78"/>
    </row>
    <row r="65" spans="2:12" x14ac:dyDescent="0.3">
      <c r="L65" s="78"/>
    </row>
    <row r="66" spans="2:12" x14ac:dyDescent="0.3">
      <c r="L66" s="78"/>
    </row>
    <row r="67" spans="2:12" x14ac:dyDescent="0.3">
      <c r="L67" s="78"/>
    </row>
    <row r="68" spans="2:12" x14ac:dyDescent="0.3">
      <c r="L68" s="78"/>
    </row>
    <row r="69" spans="2:12" x14ac:dyDescent="0.3">
      <c r="L69" s="78"/>
    </row>
    <row r="70" spans="2:12" x14ac:dyDescent="0.3">
      <c r="L70" s="78"/>
    </row>
    <row r="71" spans="2:12" x14ac:dyDescent="0.3">
      <c r="L71" s="78"/>
    </row>
    <row r="72" spans="2:12" x14ac:dyDescent="0.3">
      <c r="L72" s="78"/>
    </row>
    <row r="73" spans="2:12" x14ac:dyDescent="0.3">
      <c r="L73" s="78"/>
    </row>
    <row r="74" spans="2:12" x14ac:dyDescent="0.3">
      <c r="L74" s="78"/>
    </row>
    <row r="75" spans="2:12" x14ac:dyDescent="0.3">
      <c r="L75" s="78"/>
    </row>
    <row r="76" spans="2:12" x14ac:dyDescent="0.3">
      <c r="L76" s="78"/>
    </row>
    <row r="77" spans="2:12" x14ac:dyDescent="0.3">
      <c r="L77" s="78"/>
    </row>
    <row r="78" spans="2:12" x14ac:dyDescent="0.3">
      <c r="L78" s="78"/>
    </row>
    <row r="79" spans="2:12" x14ac:dyDescent="0.3">
      <c r="B79" s="127"/>
      <c r="C79" s="128"/>
      <c r="D79" s="128"/>
      <c r="E79" s="128"/>
      <c r="F79" s="128"/>
      <c r="G79" s="128"/>
      <c r="H79" s="127"/>
      <c r="I79" s="128"/>
      <c r="J79" s="128"/>
      <c r="K79" s="128"/>
      <c r="L79" s="78"/>
    </row>
    <row r="80" spans="2:12" x14ac:dyDescent="0.3">
      <c r="L80" s="78"/>
    </row>
    <row r="81" spans="2:12" x14ac:dyDescent="0.3">
      <c r="B81" s="127"/>
      <c r="C81" s="128"/>
      <c r="D81" s="128"/>
      <c r="E81" s="128"/>
      <c r="F81" s="128"/>
      <c r="G81" s="128"/>
      <c r="H81" s="127"/>
      <c r="I81" s="128"/>
      <c r="J81" s="128"/>
      <c r="K81" s="128"/>
      <c r="L81" s="78"/>
    </row>
    <row r="82" spans="2:12" x14ac:dyDescent="0.3">
      <c r="L82" s="78"/>
    </row>
    <row r="83" spans="2:12" x14ac:dyDescent="0.3">
      <c r="B83" s="127"/>
      <c r="C83" s="128"/>
      <c r="D83" s="128"/>
      <c r="E83" s="128"/>
      <c r="F83" s="128"/>
      <c r="G83" s="128"/>
      <c r="H83" s="127"/>
      <c r="I83" s="128"/>
      <c r="J83" s="128"/>
      <c r="K83" s="128"/>
      <c r="L83" s="78"/>
    </row>
    <row r="84" spans="2:12" x14ac:dyDescent="0.3">
      <c r="L84" s="78"/>
    </row>
    <row r="85" spans="2:12" x14ac:dyDescent="0.3">
      <c r="B85" s="127"/>
      <c r="C85" s="128"/>
      <c r="D85" s="128"/>
      <c r="E85" s="128"/>
      <c r="F85" s="128"/>
      <c r="G85" s="128"/>
      <c r="H85" s="127"/>
      <c r="I85" s="128"/>
      <c r="J85" s="128"/>
      <c r="K85" s="128"/>
      <c r="L85" s="78"/>
    </row>
    <row r="86" spans="2:12" x14ac:dyDescent="0.3">
      <c r="L86" s="78"/>
    </row>
    <row r="87" spans="2:12" x14ac:dyDescent="0.3">
      <c r="B87" s="127"/>
      <c r="C87" s="128"/>
      <c r="D87" s="128"/>
      <c r="E87" s="128"/>
      <c r="F87" s="128"/>
      <c r="G87" s="128"/>
      <c r="H87" s="127"/>
      <c r="I87" s="128"/>
      <c r="J87" s="128"/>
      <c r="K87" s="128"/>
      <c r="L87" s="78"/>
    </row>
    <row r="88" spans="2:12" x14ac:dyDescent="0.3">
      <c r="L88" s="78"/>
    </row>
    <row r="89" spans="2:12" x14ac:dyDescent="0.3">
      <c r="B89" s="127"/>
      <c r="C89" s="128"/>
      <c r="D89" s="128"/>
      <c r="E89" s="128"/>
      <c r="F89" s="128"/>
      <c r="G89" s="128"/>
      <c r="H89" s="127"/>
      <c r="I89" s="128"/>
      <c r="J89" s="128"/>
      <c r="K89" s="128"/>
      <c r="L89" s="78"/>
    </row>
    <row r="90" spans="2:12" x14ac:dyDescent="0.3">
      <c r="B90" s="127"/>
      <c r="C90" s="128"/>
      <c r="D90" s="128"/>
      <c r="E90" s="128"/>
      <c r="F90" s="128"/>
      <c r="G90" s="128"/>
      <c r="H90" s="127"/>
      <c r="I90" s="128"/>
      <c r="J90" s="128"/>
      <c r="K90" s="128"/>
      <c r="L90" s="78"/>
    </row>
    <row r="91" spans="2:12" x14ac:dyDescent="0.3">
      <c r="L91" s="78"/>
    </row>
    <row r="92" spans="2:12" x14ac:dyDescent="0.3">
      <c r="B92" s="127"/>
      <c r="C92" s="128"/>
      <c r="D92" s="128"/>
      <c r="E92" s="128"/>
      <c r="F92" s="128"/>
      <c r="G92" s="128"/>
      <c r="H92" s="127"/>
      <c r="I92" s="128"/>
      <c r="J92" s="128"/>
      <c r="K92" s="128"/>
      <c r="L92" s="78"/>
    </row>
    <row r="93" spans="2:12" x14ac:dyDescent="0.3">
      <c r="L93" s="78"/>
    </row>
    <row r="94" spans="2:12" x14ac:dyDescent="0.3">
      <c r="B94" s="127"/>
      <c r="C94" s="128"/>
      <c r="D94" s="128"/>
      <c r="E94" s="128"/>
      <c r="F94" s="128"/>
      <c r="G94" s="128"/>
      <c r="H94" s="127"/>
      <c r="I94" s="128"/>
      <c r="J94" s="128"/>
      <c r="K94" s="128"/>
      <c r="L94" s="78"/>
    </row>
    <row r="95" spans="2:12" x14ac:dyDescent="0.3">
      <c r="L95" s="78"/>
    </row>
    <row r="96" spans="2:12" x14ac:dyDescent="0.3">
      <c r="B96" s="127"/>
      <c r="C96" s="128"/>
      <c r="D96" s="128"/>
      <c r="E96" s="128"/>
      <c r="F96" s="128"/>
      <c r="G96" s="128"/>
      <c r="H96" s="127"/>
      <c r="I96" s="128"/>
      <c r="J96" s="128"/>
      <c r="K96" s="128"/>
      <c r="L96" s="78"/>
    </row>
    <row r="97" spans="2:12" x14ac:dyDescent="0.3">
      <c r="L97" s="78"/>
    </row>
    <row r="98" spans="2:12" x14ac:dyDescent="0.3">
      <c r="B98" s="127"/>
      <c r="C98" s="128"/>
      <c r="D98" s="128"/>
      <c r="E98" s="128"/>
      <c r="F98" s="128"/>
      <c r="G98" s="128"/>
      <c r="H98" s="127"/>
      <c r="I98" s="128"/>
      <c r="J98" s="128"/>
      <c r="K98" s="128"/>
      <c r="L98" s="78"/>
    </row>
    <row r="99" spans="2:12" x14ac:dyDescent="0.3">
      <c r="L99" s="78"/>
    </row>
    <row r="100" spans="2:12" x14ac:dyDescent="0.3">
      <c r="B100" s="127"/>
      <c r="C100" s="128"/>
      <c r="D100" s="128"/>
      <c r="E100" s="128"/>
      <c r="F100" s="128"/>
      <c r="G100" s="128"/>
      <c r="H100" s="127"/>
      <c r="I100" s="128"/>
      <c r="J100" s="128"/>
      <c r="K100" s="128"/>
      <c r="L100" s="78"/>
    </row>
    <row r="101" spans="2:12" x14ac:dyDescent="0.3">
      <c r="B101" s="127"/>
      <c r="C101" s="128"/>
      <c r="D101" s="128"/>
      <c r="E101" s="128"/>
      <c r="F101" s="128"/>
      <c r="G101" s="128"/>
      <c r="H101" s="127"/>
      <c r="I101" s="128"/>
      <c r="J101" s="128"/>
      <c r="K101" s="128"/>
      <c r="L101" s="78"/>
    </row>
    <row r="102" spans="2:12" x14ac:dyDescent="0.3">
      <c r="B102" s="127"/>
      <c r="C102" s="128"/>
      <c r="D102" s="128"/>
      <c r="E102" s="128"/>
      <c r="F102" s="128"/>
      <c r="G102" s="128"/>
      <c r="H102" s="127"/>
      <c r="I102" s="128"/>
      <c r="J102" s="128"/>
      <c r="K102" s="128"/>
      <c r="L102" s="78"/>
    </row>
    <row r="103" spans="2:12" x14ac:dyDescent="0.3">
      <c r="L103" s="78"/>
    </row>
    <row r="104" spans="2:12" x14ac:dyDescent="0.3">
      <c r="L104" s="78"/>
    </row>
    <row r="105" spans="2:12" x14ac:dyDescent="0.3">
      <c r="B105" s="127"/>
      <c r="C105" s="128"/>
      <c r="D105" s="128"/>
      <c r="E105" s="128"/>
      <c r="F105" s="128"/>
      <c r="G105" s="128"/>
      <c r="H105" s="127"/>
      <c r="I105" s="128"/>
      <c r="J105" s="128"/>
      <c r="K105" s="128"/>
      <c r="L105" s="78"/>
    </row>
    <row r="106" spans="2:12" x14ac:dyDescent="0.3">
      <c r="L106" s="78"/>
    </row>
    <row r="107" spans="2:12" x14ac:dyDescent="0.3">
      <c r="B107" s="127"/>
      <c r="C107" s="128"/>
      <c r="D107" s="128"/>
      <c r="E107" s="128"/>
      <c r="F107" s="128"/>
      <c r="G107" s="128"/>
      <c r="H107" s="127"/>
      <c r="I107" s="128"/>
      <c r="J107" s="128"/>
      <c r="K107" s="128"/>
      <c r="L107" s="78"/>
    </row>
    <row r="108" spans="2:12" x14ac:dyDescent="0.3">
      <c r="B108" s="127"/>
      <c r="C108" s="128"/>
      <c r="D108" s="128"/>
      <c r="E108" s="128"/>
      <c r="F108" s="128"/>
      <c r="G108" s="128"/>
      <c r="H108" s="127"/>
      <c r="I108" s="128"/>
      <c r="J108" s="128"/>
      <c r="K108" s="128"/>
      <c r="L108" s="78"/>
    </row>
    <row r="109" spans="2:12" x14ac:dyDescent="0.3">
      <c r="L109" s="78"/>
    </row>
    <row r="110" spans="2:12" x14ac:dyDescent="0.3">
      <c r="B110" s="127"/>
      <c r="C110" s="128"/>
      <c r="D110" s="128"/>
      <c r="E110" s="128"/>
      <c r="F110" s="128"/>
      <c r="G110" s="128"/>
      <c r="H110" s="127"/>
      <c r="I110" s="128"/>
      <c r="J110" s="128"/>
      <c r="K110" s="128"/>
      <c r="L110" s="78"/>
    </row>
    <row r="111" spans="2:12" x14ac:dyDescent="0.3">
      <c r="L111" s="78"/>
    </row>
    <row r="112" spans="2:12" x14ac:dyDescent="0.3">
      <c r="B112" s="127"/>
      <c r="C112" s="128"/>
      <c r="D112" s="128"/>
      <c r="E112" s="128"/>
      <c r="F112" s="128"/>
      <c r="G112" s="128"/>
      <c r="H112" s="127"/>
      <c r="I112" s="128"/>
      <c r="J112" s="128"/>
      <c r="K112" s="128"/>
      <c r="L112" s="78"/>
    </row>
    <row r="113" spans="2:12" x14ac:dyDescent="0.3">
      <c r="L113" s="78"/>
    </row>
    <row r="114" spans="2:12" x14ac:dyDescent="0.3">
      <c r="B114" s="127"/>
      <c r="C114" s="128"/>
      <c r="D114" s="128"/>
      <c r="E114" s="128"/>
      <c r="F114" s="128"/>
      <c r="G114" s="128"/>
      <c r="H114" s="127"/>
      <c r="I114" s="128"/>
      <c r="J114" s="128"/>
      <c r="K114" s="128"/>
      <c r="L114" s="78"/>
    </row>
    <row r="115" spans="2:12" x14ac:dyDescent="0.3">
      <c r="B115" s="127"/>
      <c r="C115" s="128"/>
      <c r="D115" s="128"/>
      <c r="E115" s="128"/>
      <c r="F115" s="128"/>
      <c r="G115" s="128"/>
      <c r="H115" s="127"/>
      <c r="I115" s="128"/>
      <c r="J115" s="128"/>
      <c r="K115" s="128"/>
      <c r="L115" s="78"/>
    </row>
    <row r="116" spans="2:12" x14ac:dyDescent="0.3">
      <c r="L116" s="78"/>
    </row>
    <row r="117" spans="2:12" x14ac:dyDescent="0.3">
      <c r="B117" s="127"/>
      <c r="C117" s="128"/>
      <c r="D117" s="128"/>
      <c r="E117" s="128"/>
      <c r="F117" s="128"/>
      <c r="G117" s="128"/>
      <c r="H117" s="127"/>
      <c r="I117" s="128"/>
      <c r="J117" s="128"/>
      <c r="K117" s="128"/>
      <c r="L117" s="78"/>
    </row>
    <row r="118" spans="2:12" x14ac:dyDescent="0.3">
      <c r="L118" s="78"/>
    </row>
    <row r="119" spans="2:12" x14ac:dyDescent="0.3">
      <c r="B119" s="127"/>
      <c r="C119" s="128"/>
      <c r="D119" s="128"/>
      <c r="E119" s="128"/>
      <c r="F119" s="128"/>
      <c r="G119" s="128"/>
      <c r="H119" s="127"/>
      <c r="I119" s="128"/>
      <c r="J119" s="128"/>
      <c r="K119" s="128"/>
      <c r="L119" s="78"/>
    </row>
    <row r="120" spans="2:12" x14ac:dyDescent="0.3">
      <c r="L120" s="78"/>
    </row>
    <row r="121" spans="2:12" x14ac:dyDescent="0.3">
      <c r="B121" s="127"/>
      <c r="C121" s="128"/>
      <c r="D121" s="128"/>
      <c r="E121" s="128"/>
      <c r="F121" s="128"/>
      <c r="G121" s="128"/>
      <c r="H121" s="127"/>
      <c r="I121" s="128"/>
      <c r="J121" s="128"/>
      <c r="K121" s="128"/>
      <c r="L121" s="78"/>
    </row>
    <row r="122" spans="2:12" x14ac:dyDescent="0.3">
      <c r="B122" s="127"/>
      <c r="C122" s="128"/>
      <c r="D122" s="128"/>
      <c r="E122" s="128"/>
      <c r="F122" s="128"/>
      <c r="G122" s="128"/>
      <c r="H122" s="127"/>
      <c r="I122" s="128"/>
      <c r="J122" s="128"/>
      <c r="K122" s="128"/>
      <c r="L122" s="78"/>
    </row>
    <row r="123" spans="2:12" x14ac:dyDescent="0.3">
      <c r="L123" s="78"/>
    </row>
    <row r="124" spans="2:12" x14ac:dyDescent="0.3">
      <c r="B124" s="127"/>
      <c r="C124" s="128"/>
      <c r="D124" s="128"/>
      <c r="E124" s="128"/>
      <c r="F124" s="128"/>
      <c r="G124" s="128"/>
      <c r="H124" s="127"/>
      <c r="I124" s="128"/>
      <c r="J124" s="128"/>
      <c r="K124" s="128"/>
      <c r="L124" s="78"/>
    </row>
    <row r="125" spans="2:12" x14ac:dyDescent="0.3">
      <c r="L125" s="78"/>
    </row>
    <row r="126" spans="2:12" x14ac:dyDescent="0.3">
      <c r="B126" s="127"/>
      <c r="C126" s="128"/>
      <c r="D126" s="128"/>
      <c r="E126" s="128"/>
      <c r="F126" s="128"/>
      <c r="G126" s="128"/>
      <c r="H126" s="127"/>
      <c r="I126" s="128"/>
      <c r="J126" s="128"/>
      <c r="K126" s="128"/>
      <c r="L126" s="78"/>
    </row>
    <row r="127" spans="2:12" x14ac:dyDescent="0.3">
      <c r="L127" s="78"/>
    </row>
    <row r="128" spans="2:12" x14ac:dyDescent="0.3">
      <c r="B128" s="127"/>
      <c r="C128" s="128"/>
      <c r="D128" s="128"/>
      <c r="E128" s="128"/>
      <c r="F128" s="128"/>
      <c r="G128" s="128"/>
      <c r="H128" s="127"/>
      <c r="I128" s="128"/>
      <c r="J128" s="128"/>
      <c r="K128" s="128"/>
      <c r="L128" s="78"/>
    </row>
    <row r="129" spans="2:12" x14ac:dyDescent="0.3">
      <c r="B129" s="127"/>
      <c r="C129" s="128"/>
      <c r="D129" s="128"/>
      <c r="E129" s="128"/>
      <c r="F129" s="128"/>
      <c r="G129" s="128"/>
      <c r="H129" s="127"/>
      <c r="I129" s="128"/>
      <c r="J129" s="128"/>
      <c r="K129" s="128"/>
      <c r="L129" s="78"/>
    </row>
    <row r="130" spans="2:12" x14ac:dyDescent="0.3">
      <c r="L130" s="78"/>
    </row>
    <row r="131" spans="2:12" x14ac:dyDescent="0.3">
      <c r="B131" s="127"/>
      <c r="C131" s="128"/>
      <c r="D131" s="128"/>
      <c r="E131" s="128"/>
      <c r="F131" s="128"/>
      <c r="G131" s="128"/>
      <c r="H131" s="127"/>
      <c r="I131" s="128"/>
      <c r="J131" s="128"/>
      <c r="K131" s="128"/>
      <c r="L131" s="78"/>
    </row>
    <row r="132" spans="2:12" x14ac:dyDescent="0.3">
      <c r="L132" s="78"/>
    </row>
    <row r="133" spans="2:12" x14ac:dyDescent="0.3">
      <c r="B133" s="127"/>
      <c r="C133" s="128"/>
      <c r="D133" s="128"/>
      <c r="E133" s="128"/>
      <c r="F133" s="128"/>
      <c r="G133" s="128"/>
      <c r="H133" s="127"/>
      <c r="I133" s="128"/>
      <c r="J133" s="128"/>
      <c r="K133" s="128"/>
      <c r="L133" s="78"/>
    </row>
    <row r="134" spans="2:12" x14ac:dyDescent="0.3">
      <c r="B134" s="127"/>
      <c r="C134" s="128"/>
      <c r="D134" s="128"/>
      <c r="E134" s="128"/>
      <c r="F134" s="128"/>
      <c r="G134" s="128"/>
      <c r="H134" s="127"/>
      <c r="I134" s="128"/>
      <c r="J134" s="128"/>
      <c r="K134" s="128"/>
      <c r="L134" s="78"/>
    </row>
    <row r="135" spans="2:12" x14ac:dyDescent="0.3">
      <c r="B135" s="127"/>
      <c r="C135" s="128"/>
      <c r="D135" s="128"/>
      <c r="E135" s="128"/>
      <c r="F135" s="128"/>
      <c r="G135" s="128"/>
      <c r="H135" s="127"/>
      <c r="I135" s="128"/>
      <c r="J135" s="128"/>
      <c r="K135" s="128"/>
      <c r="L135" s="78"/>
    </row>
    <row r="136" spans="2:12" x14ac:dyDescent="0.3">
      <c r="L136" s="78"/>
    </row>
    <row r="137" spans="2:12" x14ac:dyDescent="0.3">
      <c r="B137" s="127"/>
      <c r="C137" s="128"/>
      <c r="D137" s="128"/>
      <c r="E137" s="128"/>
      <c r="F137" s="128"/>
      <c r="G137" s="128"/>
      <c r="H137" s="127"/>
      <c r="I137" s="128"/>
      <c r="J137" s="128"/>
      <c r="K137" s="128"/>
      <c r="L137" s="78"/>
    </row>
    <row r="138" spans="2:12" x14ac:dyDescent="0.3">
      <c r="L138" s="78"/>
    </row>
    <row r="139" spans="2:12" x14ac:dyDescent="0.3">
      <c r="B139" s="127"/>
      <c r="C139" s="128"/>
      <c r="D139" s="128"/>
      <c r="E139" s="128"/>
      <c r="F139" s="128"/>
      <c r="G139" s="128"/>
      <c r="H139" s="127"/>
      <c r="I139" s="128"/>
      <c r="J139" s="128"/>
      <c r="K139" s="128"/>
      <c r="L139" s="78"/>
    </row>
    <row r="140" spans="2:12" x14ac:dyDescent="0.3">
      <c r="B140" s="127"/>
      <c r="C140" s="128"/>
      <c r="D140" s="128"/>
      <c r="E140" s="128"/>
      <c r="F140" s="128"/>
      <c r="G140" s="128"/>
      <c r="H140" s="127"/>
      <c r="I140" s="128"/>
      <c r="J140" s="128"/>
      <c r="K140" s="128"/>
      <c r="L140" s="78"/>
    </row>
    <row r="141" spans="2:12" x14ac:dyDescent="0.3">
      <c r="B141" s="127"/>
      <c r="C141" s="128"/>
      <c r="D141" s="128"/>
      <c r="E141" s="128"/>
      <c r="F141" s="128"/>
      <c r="G141" s="128"/>
      <c r="H141" s="127"/>
      <c r="I141" s="128"/>
      <c r="J141" s="128"/>
      <c r="K141" s="128"/>
      <c r="L141" s="78"/>
    </row>
    <row r="142" spans="2:12" x14ac:dyDescent="0.3">
      <c r="B142" s="127"/>
      <c r="C142" s="128"/>
      <c r="D142" s="128"/>
      <c r="E142" s="128"/>
      <c r="F142" s="128"/>
      <c r="G142" s="128"/>
      <c r="H142" s="127"/>
      <c r="I142" s="128"/>
      <c r="J142" s="128"/>
      <c r="K142" s="128"/>
      <c r="L142" s="78"/>
    </row>
    <row r="143" spans="2:12" x14ac:dyDescent="0.3">
      <c r="L143" s="78"/>
    </row>
    <row r="144" spans="2:12" x14ac:dyDescent="0.3">
      <c r="B144" s="127"/>
      <c r="C144" s="128"/>
      <c r="D144" s="128"/>
      <c r="E144" s="128"/>
      <c r="F144" s="128"/>
      <c r="G144" s="128"/>
      <c r="H144" s="127"/>
      <c r="I144" s="128"/>
      <c r="J144" s="128"/>
      <c r="K144" s="128"/>
      <c r="L144" s="78"/>
    </row>
    <row r="145" spans="2:12" x14ac:dyDescent="0.3">
      <c r="L145" s="78"/>
    </row>
    <row r="146" spans="2:12" x14ac:dyDescent="0.3">
      <c r="B146" s="127"/>
      <c r="C146" s="128"/>
      <c r="D146" s="128"/>
      <c r="E146" s="128"/>
      <c r="F146" s="128"/>
      <c r="G146" s="128"/>
      <c r="H146" s="127"/>
      <c r="I146" s="128"/>
      <c r="J146" s="128"/>
      <c r="K146" s="128"/>
      <c r="L146" s="78"/>
    </row>
    <row r="147" spans="2:12" x14ac:dyDescent="0.3">
      <c r="L147" s="78"/>
    </row>
    <row r="148" spans="2:12" x14ac:dyDescent="0.3">
      <c r="B148" s="127"/>
      <c r="C148" s="128"/>
      <c r="D148" s="128"/>
      <c r="E148" s="128"/>
      <c r="F148" s="128"/>
      <c r="G148" s="128"/>
      <c r="H148" s="127"/>
      <c r="I148" s="128"/>
      <c r="J148" s="128"/>
      <c r="K148" s="128"/>
      <c r="L148" s="78"/>
    </row>
    <row r="149" spans="2:12" x14ac:dyDescent="0.3">
      <c r="L149" s="78"/>
    </row>
    <row r="150" spans="2:12" x14ac:dyDescent="0.3">
      <c r="B150" s="127"/>
      <c r="C150" s="128"/>
      <c r="D150" s="128"/>
      <c r="E150" s="128"/>
      <c r="F150" s="128"/>
      <c r="G150" s="128"/>
      <c r="H150" s="127"/>
      <c r="I150" s="128"/>
      <c r="J150" s="128"/>
      <c r="K150" s="128"/>
      <c r="L150" s="78"/>
    </row>
    <row r="151" spans="2:12" x14ac:dyDescent="0.3">
      <c r="L151" s="78"/>
    </row>
    <row r="152" spans="2:12" x14ac:dyDescent="0.3">
      <c r="B152" s="127"/>
      <c r="C152" s="128"/>
      <c r="D152" s="128"/>
      <c r="E152" s="128"/>
      <c r="F152" s="128"/>
      <c r="G152" s="128"/>
      <c r="H152" s="127"/>
      <c r="I152" s="128"/>
      <c r="J152" s="128"/>
      <c r="K152" s="128"/>
      <c r="L152" s="78"/>
    </row>
    <row r="153" spans="2:12" x14ac:dyDescent="0.3">
      <c r="B153" s="127"/>
      <c r="C153" s="128"/>
      <c r="D153" s="128"/>
      <c r="E153" s="128"/>
      <c r="F153" s="128"/>
      <c r="G153" s="128"/>
      <c r="H153" s="127"/>
      <c r="I153" s="128"/>
      <c r="J153" s="128"/>
      <c r="K153" s="128"/>
      <c r="L153" s="78"/>
    </row>
    <row r="154" spans="2:12" x14ac:dyDescent="0.3">
      <c r="B154" s="127"/>
      <c r="C154" s="128"/>
      <c r="D154" s="128"/>
      <c r="E154" s="128"/>
      <c r="F154" s="128"/>
      <c r="G154" s="128"/>
      <c r="H154" s="127"/>
      <c r="I154" s="128"/>
      <c r="J154" s="128"/>
      <c r="K154" s="128"/>
      <c r="L154" s="78"/>
    </row>
    <row r="155" spans="2:12" x14ac:dyDescent="0.3">
      <c r="B155" s="127"/>
      <c r="C155" s="128"/>
      <c r="D155" s="128"/>
      <c r="E155" s="128"/>
      <c r="F155" s="128"/>
      <c r="G155" s="128"/>
      <c r="H155" s="127"/>
      <c r="I155" s="128"/>
      <c r="J155" s="128"/>
      <c r="K155" s="128"/>
      <c r="L155" s="78"/>
    </row>
    <row r="156" spans="2:12" x14ac:dyDescent="0.3">
      <c r="B156" s="127"/>
      <c r="C156" s="128"/>
      <c r="D156" s="128"/>
      <c r="E156" s="128"/>
      <c r="F156" s="128"/>
      <c r="G156" s="128"/>
      <c r="H156" s="127"/>
      <c r="I156" s="128"/>
      <c r="J156" s="128"/>
      <c r="K156" s="128"/>
      <c r="L156" s="78"/>
    </row>
    <row r="157" spans="2:12" x14ac:dyDescent="0.3">
      <c r="B157" s="127"/>
      <c r="C157" s="128"/>
      <c r="D157" s="128"/>
      <c r="E157" s="128"/>
      <c r="F157" s="128"/>
      <c r="G157" s="128"/>
      <c r="H157" s="127"/>
      <c r="I157" s="128"/>
      <c r="J157" s="128"/>
      <c r="K157" s="128"/>
      <c r="L157" s="78"/>
    </row>
    <row r="158" spans="2:12" x14ac:dyDescent="0.3">
      <c r="B158" s="127"/>
      <c r="C158" s="128"/>
      <c r="D158" s="128"/>
      <c r="E158" s="128"/>
      <c r="F158" s="128"/>
      <c r="G158" s="128"/>
      <c r="H158" s="127"/>
      <c r="I158" s="128"/>
      <c r="J158" s="128"/>
      <c r="K158" s="128"/>
      <c r="L158" s="78"/>
    </row>
    <row r="159" spans="2:12" x14ac:dyDescent="0.3">
      <c r="B159" s="127"/>
      <c r="C159" s="128"/>
      <c r="D159" s="128"/>
      <c r="E159" s="128"/>
      <c r="F159" s="128"/>
      <c r="G159" s="128"/>
      <c r="H159" s="127"/>
      <c r="I159" s="128"/>
      <c r="J159" s="128"/>
      <c r="K159" s="128"/>
      <c r="L159" s="78"/>
    </row>
    <row r="160" spans="2:12" x14ac:dyDescent="0.3">
      <c r="L160" s="78"/>
    </row>
    <row r="161" spans="2:12" x14ac:dyDescent="0.3">
      <c r="B161" s="127"/>
      <c r="C161" s="128"/>
      <c r="D161" s="128"/>
      <c r="E161" s="128"/>
      <c r="F161" s="128"/>
      <c r="G161" s="128"/>
      <c r="H161" s="127"/>
      <c r="I161" s="128"/>
      <c r="J161" s="128"/>
      <c r="K161" s="128"/>
      <c r="L161" s="78"/>
    </row>
    <row r="162" spans="2:12" x14ac:dyDescent="0.3">
      <c r="L162" s="78"/>
    </row>
    <row r="163" spans="2:12" x14ac:dyDescent="0.3">
      <c r="B163" s="127"/>
      <c r="C163" s="128"/>
      <c r="D163" s="128"/>
      <c r="E163" s="128"/>
      <c r="F163" s="128"/>
      <c r="G163" s="128"/>
      <c r="H163" s="127"/>
      <c r="I163" s="128"/>
      <c r="J163" s="128"/>
      <c r="K163" s="128"/>
      <c r="L163" s="78"/>
    </row>
    <row r="164" spans="2:12" x14ac:dyDescent="0.3">
      <c r="L164" s="78"/>
    </row>
    <row r="165" spans="2:12" x14ac:dyDescent="0.3">
      <c r="B165" s="127"/>
      <c r="C165" s="128"/>
      <c r="D165" s="128"/>
      <c r="E165" s="128"/>
      <c r="F165" s="128"/>
      <c r="G165" s="128"/>
      <c r="H165" s="127"/>
      <c r="I165" s="128"/>
      <c r="J165" s="128"/>
      <c r="K165" s="128"/>
      <c r="L165" s="78"/>
    </row>
    <row r="166" spans="2:12" x14ac:dyDescent="0.3">
      <c r="L166" s="78"/>
    </row>
    <row r="167" spans="2:12" x14ac:dyDescent="0.3">
      <c r="B167" s="127"/>
      <c r="C167" s="128"/>
      <c r="D167" s="128"/>
      <c r="E167" s="128"/>
      <c r="F167" s="128"/>
      <c r="G167" s="128"/>
      <c r="H167" s="127"/>
      <c r="I167" s="128"/>
      <c r="J167" s="128"/>
      <c r="K167" s="128"/>
      <c r="L167" s="78"/>
    </row>
    <row r="168" spans="2:12" x14ac:dyDescent="0.3">
      <c r="L168" s="78"/>
    </row>
    <row r="169" spans="2:12" x14ac:dyDescent="0.3">
      <c r="B169" s="127"/>
      <c r="C169" s="128"/>
      <c r="D169" s="128"/>
      <c r="E169" s="128"/>
      <c r="F169" s="128"/>
      <c r="G169" s="128"/>
      <c r="H169" s="127"/>
      <c r="I169" s="128"/>
      <c r="J169" s="128"/>
      <c r="K169" s="128"/>
      <c r="L169" s="78"/>
    </row>
    <row r="170" spans="2:12" x14ac:dyDescent="0.3">
      <c r="L170" s="78"/>
    </row>
    <row r="171" spans="2:12" x14ac:dyDescent="0.3">
      <c r="B171" s="127"/>
      <c r="C171" s="128"/>
      <c r="D171" s="128"/>
      <c r="E171" s="128"/>
      <c r="F171" s="128"/>
      <c r="G171" s="128"/>
      <c r="H171" s="127"/>
      <c r="I171" s="128"/>
      <c r="J171" s="128"/>
      <c r="K171" s="128"/>
      <c r="L171" s="78"/>
    </row>
    <row r="172" spans="2:12" x14ac:dyDescent="0.3">
      <c r="B172" s="127"/>
      <c r="C172" s="128"/>
      <c r="D172" s="128"/>
      <c r="E172" s="128"/>
      <c r="F172" s="128"/>
      <c r="G172" s="128"/>
      <c r="H172" s="127"/>
      <c r="I172" s="128"/>
      <c r="J172" s="128"/>
      <c r="K172" s="128"/>
      <c r="L172" s="78"/>
    </row>
    <row r="173" spans="2:12" x14ac:dyDescent="0.3">
      <c r="L173" s="78"/>
    </row>
    <row r="174" spans="2:12" x14ac:dyDescent="0.3">
      <c r="B174" s="127"/>
      <c r="C174" s="128"/>
      <c r="D174" s="128"/>
      <c r="E174" s="128"/>
      <c r="F174" s="128"/>
      <c r="G174" s="128"/>
      <c r="H174" s="127"/>
      <c r="I174" s="128"/>
      <c r="J174" s="128"/>
      <c r="K174" s="128"/>
      <c r="L174" s="78"/>
    </row>
    <row r="175" spans="2:12" x14ac:dyDescent="0.3">
      <c r="L175" s="78"/>
    </row>
    <row r="176" spans="2:12" x14ac:dyDescent="0.3">
      <c r="B176" s="127"/>
      <c r="C176" s="128"/>
      <c r="D176" s="128"/>
      <c r="E176" s="128"/>
      <c r="F176" s="128"/>
      <c r="G176" s="128"/>
      <c r="H176" s="127"/>
      <c r="I176" s="128"/>
      <c r="J176" s="128"/>
      <c r="K176" s="128"/>
      <c r="L176" s="78"/>
    </row>
    <row r="177" spans="2:12" x14ac:dyDescent="0.3">
      <c r="B177" s="127"/>
      <c r="C177" s="128"/>
      <c r="D177" s="128"/>
      <c r="E177" s="128"/>
      <c r="F177" s="128"/>
      <c r="G177" s="128"/>
      <c r="H177" s="127"/>
      <c r="I177" s="128"/>
      <c r="J177" s="128"/>
      <c r="K177" s="128"/>
      <c r="L177" s="78"/>
    </row>
    <row r="178" spans="2:12" x14ac:dyDescent="0.3">
      <c r="B178" s="127"/>
      <c r="C178" s="128"/>
      <c r="D178" s="128"/>
      <c r="E178" s="128"/>
      <c r="F178" s="128"/>
      <c r="G178" s="128"/>
      <c r="H178" s="127"/>
      <c r="I178" s="128"/>
      <c r="J178" s="128"/>
      <c r="K178" s="128"/>
      <c r="L178" s="78"/>
    </row>
    <row r="179" spans="2:12" x14ac:dyDescent="0.3">
      <c r="L179" s="78"/>
    </row>
    <row r="180" spans="2:12" x14ac:dyDescent="0.3">
      <c r="B180" s="127"/>
      <c r="C180" s="128"/>
      <c r="D180" s="128"/>
      <c r="E180" s="128"/>
      <c r="F180" s="128"/>
      <c r="G180" s="128"/>
      <c r="H180" s="127"/>
      <c r="I180" s="128"/>
      <c r="J180" s="128"/>
      <c r="K180" s="128"/>
      <c r="L180" s="78"/>
    </row>
    <row r="181" spans="2:12" x14ac:dyDescent="0.3">
      <c r="B181" s="127"/>
      <c r="C181" s="128"/>
      <c r="D181" s="128"/>
      <c r="E181" s="128"/>
      <c r="F181" s="128"/>
      <c r="G181" s="128"/>
      <c r="H181" s="127"/>
      <c r="I181" s="128"/>
      <c r="J181" s="128"/>
      <c r="K181" s="128"/>
      <c r="L181" s="78"/>
    </row>
    <row r="182" spans="2:12" x14ac:dyDescent="0.3">
      <c r="L182" s="78"/>
    </row>
    <row r="183" spans="2:12" x14ac:dyDescent="0.3">
      <c r="B183" s="127"/>
      <c r="C183" s="128"/>
      <c r="D183" s="128"/>
      <c r="E183" s="128"/>
      <c r="F183" s="128"/>
      <c r="G183" s="128"/>
      <c r="H183" s="127"/>
      <c r="I183" s="128"/>
      <c r="J183" s="128"/>
      <c r="K183" s="128"/>
      <c r="L183" s="78"/>
    </row>
    <row r="184" spans="2:12" x14ac:dyDescent="0.3">
      <c r="B184" s="127"/>
      <c r="C184" s="128"/>
      <c r="D184" s="128"/>
      <c r="E184" s="128"/>
      <c r="F184" s="128"/>
      <c r="G184" s="128"/>
      <c r="H184" s="127"/>
      <c r="I184" s="128"/>
      <c r="J184" s="128"/>
      <c r="K184" s="128"/>
      <c r="L184" s="78"/>
    </row>
    <row r="185" spans="2:12" x14ac:dyDescent="0.3">
      <c r="B185" s="127"/>
      <c r="C185" s="128"/>
      <c r="D185" s="128"/>
      <c r="E185" s="128"/>
      <c r="F185" s="128"/>
      <c r="G185" s="128"/>
      <c r="H185" s="127"/>
      <c r="I185" s="128"/>
      <c r="J185" s="128"/>
      <c r="K185" s="128"/>
      <c r="L185" s="78"/>
    </row>
    <row r="186" spans="2:12" x14ac:dyDescent="0.3">
      <c r="B186" s="127"/>
      <c r="C186" s="128"/>
      <c r="D186" s="128"/>
      <c r="E186" s="128"/>
      <c r="F186" s="128"/>
      <c r="G186" s="128"/>
      <c r="H186" s="127"/>
      <c r="I186" s="128"/>
      <c r="J186" s="128"/>
      <c r="K186" s="128"/>
      <c r="L186" s="78"/>
    </row>
    <row r="187" spans="2:12" x14ac:dyDescent="0.3">
      <c r="L187" s="78"/>
    </row>
    <row r="188" spans="2:12" x14ac:dyDescent="0.3">
      <c r="B188" s="127"/>
      <c r="C188" s="128"/>
      <c r="D188" s="128"/>
      <c r="E188" s="128"/>
      <c r="F188" s="128"/>
      <c r="G188" s="128"/>
      <c r="H188" s="127"/>
      <c r="I188" s="128"/>
      <c r="J188" s="128"/>
      <c r="K188" s="128"/>
      <c r="L188" s="78"/>
    </row>
    <row r="189" spans="2:12" x14ac:dyDescent="0.3">
      <c r="L189" s="78"/>
    </row>
    <row r="190" spans="2:12" x14ac:dyDescent="0.3">
      <c r="B190" s="127"/>
      <c r="C190" s="128"/>
      <c r="D190" s="128"/>
      <c r="E190" s="128"/>
      <c r="F190" s="128"/>
      <c r="G190" s="128"/>
      <c r="H190" s="127"/>
      <c r="I190" s="128"/>
      <c r="J190" s="128"/>
      <c r="K190" s="128"/>
      <c r="L190" s="78"/>
    </row>
    <row r="191" spans="2:12" x14ac:dyDescent="0.3">
      <c r="B191" s="127"/>
      <c r="C191" s="128"/>
      <c r="D191" s="128"/>
      <c r="E191" s="128"/>
      <c r="F191" s="128"/>
      <c r="G191" s="128"/>
      <c r="H191" s="127"/>
      <c r="I191" s="128"/>
      <c r="J191" s="128"/>
      <c r="K191" s="128"/>
      <c r="L191" s="78"/>
    </row>
    <row r="192" spans="2:12" x14ac:dyDescent="0.3">
      <c r="B192" s="127"/>
      <c r="C192" s="128"/>
      <c r="D192" s="128"/>
      <c r="E192" s="128"/>
      <c r="F192" s="128"/>
      <c r="G192" s="128"/>
      <c r="H192" s="127"/>
      <c r="I192" s="128"/>
      <c r="J192" s="128"/>
      <c r="K192" s="128"/>
      <c r="L192" s="78"/>
    </row>
    <row r="193" spans="2:12" x14ac:dyDescent="0.3">
      <c r="B193" s="127"/>
      <c r="C193" s="128"/>
      <c r="D193" s="128"/>
      <c r="E193" s="128"/>
      <c r="F193" s="128"/>
      <c r="G193" s="128"/>
      <c r="H193" s="127"/>
      <c r="I193" s="128"/>
      <c r="J193" s="128"/>
      <c r="K193" s="128"/>
      <c r="L193" s="78"/>
    </row>
    <row r="194" spans="2:12" x14ac:dyDescent="0.3">
      <c r="B194" s="127"/>
      <c r="C194" s="128"/>
      <c r="D194" s="128"/>
      <c r="E194" s="128"/>
      <c r="F194" s="128"/>
      <c r="G194" s="128"/>
      <c r="H194" s="127"/>
      <c r="I194" s="128"/>
      <c r="J194" s="128"/>
      <c r="K194" s="128"/>
      <c r="L194" s="78"/>
    </row>
    <row r="195" spans="2:12" x14ac:dyDescent="0.3">
      <c r="L195" s="78"/>
    </row>
    <row r="196" spans="2:12" x14ac:dyDescent="0.3">
      <c r="B196" s="127"/>
      <c r="C196" s="128"/>
      <c r="D196" s="128"/>
      <c r="E196" s="128"/>
      <c r="F196" s="128"/>
      <c r="G196" s="128"/>
      <c r="H196" s="127"/>
      <c r="I196" s="128"/>
      <c r="J196" s="128"/>
      <c r="K196" s="128"/>
      <c r="L196" s="78"/>
    </row>
    <row r="197" spans="2:12" x14ac:dyDescent="0.3">
      <c r="B197" s="127"/>
      <c r="C197" s="128"/>
      <c r="D197" s="128"/>
      <c r="E197" s="128"/>
      <c r="F197" s="128"/>
      <c r="G197" s="128"/>
      <c r="H197" s="127"/>
      <c r="I197" s="128"/>
      <c r="J197" s="128"/>
      <c r="K197" s="128"/>
      <c r="L197" s="78"/>
    </row>
    <row r="198" spans="2:12" x14ac:dyDescent="0.3">
      <c r="L198" s="78"/>
    </row>
    <row r="199" spans="2:12" x14ac:dyDescent="0.3">
      <c r="B199" s="127"/>
      <c r="C199" s="128"/>
      <c r="D199" s="128"/>
      <c r="E199" s="128"/>
      <c r="F199" s="128"/>
      <c r="G199" s="128"/>
      <c r="H199" s="127"/>
      <c r="I199" s="128"/>
      <c r="J199" s="128"/>
      <c r="K199" s="128"/>
      <c r="L199" s="78"/>
    </row>
    <row r="200" spans="2:12" x14ac:dyDescent="0.3">
      <c r="L200" s="78"/>
    </row>
    <row r="201" spans="2:12" x14ac:dyDescent="0.3">
      <c r="B201" s="127"/>
      <c r="C201" s="128"/>
      <c r="D201" s="128"/>
      <c r="E201" s="128"/>
      <c r="F201" s="128"/>
      <c r="G201" s="128"/>
      <c r="H201" s="127"/>
      <c r="I201" s="128"/>
      <c r="J201" s="128"/>
      <c r="K201" s="128"/>
      <c r="L201" s="78"/>
    </row>
    <row r="202" spans="2:12" x14ac:dyDescent="0.3">
      <c r="L202" s="78"/>
    </row>
    <row r="203" spans="2:12" x14ac:dyDescent="0.3">
      <c r="B203" s="127"/>
      <c r="C203" s="128"/>
      <c r="D203" s="128"/>
      <c r="E203" s="128"/>
      <c r="F203" s="128"/>
      <c r="G203" s="128"/>
      <c r="H203" s="127"/>
      <c r="I203" s="128"/>
      <c r="J203" s="128"/>
      <c r="K203" s="128"/>
      <c r="L203" s="78"/>
    </row>
    <row r="204" spans="2:12" x14ac:dyDescent="0.3">
      <c r="L204" s="78"/>
    </row>
    <row r="205" spans="2:12" x14ac:dyDescent="0.3">
      <c r="B205" s="127"/>
      <c r="C205" s="128"/>
      <c r="D205" s="128"/>
      <c r="E205" s="128"/>
      <c r="F205" s="128"/>
      <c r="G205" s="128"/>
      <c r="H205" s="127"/>
      <c r="I205" s="128"/>
      <c r="J205" s="128"/>
      <c r="K205" s="128"/>
      <c r="L205" s="78"/>
    </row>
    <row r="206" spans="2:12" x14ac:dyDescent="0.3">
      <c r="L206" s="78"/>
    </row>
    <row r="207" spans="2:12" x14ac:dyDescent="0.3">
      <c r="L207" s="78"/>
    </row>
    <row r="208" spans="2:12" x14ac:dyDescent="0.3">
      <c r="L208" s="78"/>
    </row>
    <row r="209" spans="2:12" x14ac:dyDescent="0.3">
      <c r="B209" s="127"/>
      <c r="C209" s="128"/>
      <c r="D209" s="128"/>
      <c r="E209" s="128"/>
      <c r="F209" s="128"/>
      <c r="G209" s="128"/>
      <c r="H209" s="127"/>
      <c r="I209" s="128"/>
      <c r="J209" s="128"/>
      <c r="K209" s="128"/>
      <c r="L209" s="78"/>
    </row>
    <row r="210" spans="2:12" x14ac:dyDescent="0.3">
      <c r="B210" s="127"/>
      <c r="C210" s="128"/>
      <c r="D210" s="128"/>
      <c r="E210" s="128"/>
      <c r="F210" s="128"/>
      <c r="G210" s="128"/>
      <c r="H210" s="127"/>
      <c r="I210" s="128"/>
      <c r="J210" s="128"/>
      <c r="K210" s="128"/>
      <c r="L210" s="78"/>
    </row>
    <row r="211" spans="2:12" x14ac:dyDescent="0.3">
      <c r="L211" s="78"/>
    </row>
    <row r="212" spans="2:12" x14ac:dyDescent="0.3">
      <c r="B212" s="127"/>
      <c r="C212" s="128"/>
      <c r="D212" s="128"/>
      <c r="E212" s="128"/>
      <c r="F212" s="128"/>
      <c r="G212" s="128"/>
      <c r="H212" s="127"/>
      <c r="I212" s="128"/>
      <c r="J212" s="128"/>
      <c r="K212" s="128"/>
      <c r="L212" s="78"/>
    </row>
    <row r="213" spans="2:12" x14ac:dyDescent="0.3">
      <c r="B213" s="127"/>
      <c r="C213" s="128"/>
      <c r="D213" s="128"/>
      <c r="E213" s="128"/>
      <c r="F213" s="128"/>
      <c r="G213" s="128"/>
      <c r="H213" s="127"/>
      <c r="I213" s="128"/>
      <c r="J213" s="128"/>
      <c r="K213" s="128"/>
      <c r="L213" s="78"/>
    </row>
    <row r="214" spans="2:12" x14ac:dyDescent="0.3">
      <c r="L214" s="78"/>
    </row>
    <row r="215" spans="2:12" x14ac:dyDescent="0.3">
      <c r="B215" s="127"/>
      <c r="C215" s="128"/>
      <c r="D215" s="128"/>
      <c r="E215" s="128"/>
      <c r="F215" s="128"/>
      <c r="G215" s="128"/>
      <c r="H215" s="127"/>
      <c r="I215" s="128"/>
      <c r="J215" s="128"/>
      <c r="K215" s="128"/>
      <c r="L215" s="78"/>
    </row>
    <row r="216" spans="2:12" x14ac:dyDescent="0.3">
      <c r="L216" s="78"/>
    </row>
    <row r="217" spans="2:12" x14ac:dyDescent="0.3">
      <c r="B217" s="127"/>
      <c r="C217" s="128"/>
      <c r="D217" s="128"/>
      <c r="E217" s="128"/>
      <c r="F217" s="128"/>
      <c r="G217" s="128"/>
      <c r="H217" s="127"/>
      <c r="I217" s="128"/>
      <c r="J217" s="128"/>
      <c r="K217" s="128"/>
      <c r="L217" s="78"/>
    </row>
    <row r="218" spans="2:12" x14ac:dyDescent="0.3">
      <c r="L218" s="78"/>
    </row>
    <row r="219" spans="2:12" x14ac:dyDescent="0.3">
      <c r="B219" s="127"/>
      <c r="C219" s="128"/>
      <c r="D219" s="128"/>
      <c r="E219" s="128"/>
      <c r="F219" s="128"/>
      <c r="G219" s="128"/>
      <c r="H219" s="127"/>
      <c r="I219" s="128"/>
      <c r="J219" s="128"/>
      <c r="K219" s="128"/>
      <c r="L219" s="78"/>
    </row>
    <row r="220" spans="2:12" x14ac:dyDescent="0.3">
      <c r="L220" s="78"/>
    </row>
    <row r="221" spans="2:12" x14ac:dyDescent="0.3">
      <c r="B221" s="127"/>
      <c r="C221" s="128"/>
      <c r="D221" s="128"/>
      <c r="E221" s="128"/>
      <c r="F221" s="128"/>
      <c r="G221" s="128"/>
      <c r="H221" s="127"/>
      <c r="I221" s="128"/>
      <c r="J221" s="128"/>
      <c r="K221" s="128"/>
      <c r="L221" s="78"/>
    </row>
    <row r="222" spans="2:12" x14ac:dyDescent="0.3">
      <c r="L222" s="78"/>
    </row>
    <row r="223" spans="2:12" x14ac:dyDescent="0.3">
      <c r="B223" s="127"/>
      <c r="C223" s="128"/>
      <c r="D223" s="128"/>
      <c r="E223" s="128"/>
      <c r="F223" s="128"/>
      <c r="G223" s="128"/>
      <c r="H223" s="127"/>
      <c r="I223" s="128"/>
      <c r="J223" s="128"/>
      <c r="K223" s="128"/>
      <c r="L223" s="78"/>
    </row>
    <row r="224" spans="2:12" x14ac:dyDescent="0.3">
      <c r="L224" s="78"/>
    </row>
    <row r="225" spans="2:12" x14ac:dyDescent="0.3">
      <c r="B225" s="127"/>
      <c r="C225" s="128"/>
      <c r="D225" s="128"/>
      <c r="E225" s="128"/>
      <c r="F225" s="128"/>
      <c r="G225" s="128"/>
      <c r="H225" s="127"/>
      <c r="I225" s="128"/>
      <c r="J225" s="128"/>
      <c r="K225" s="128"/>
      <c r="L225" s="78"/>
    </row>
    <row r="226" spans="2:12" x14ac:dyDescent="0.3">
      <c r="L226" s="78"/>
    </row>
    <row r="227" spans="2:12" x14ac:dyDescent="0.3">
      <c r="B227" s="127"/>
      <c r="C227" s="128"/>
      <c r="D227" s="128"/>
      <c r="E227" s="128"/>
      <c r="F227" s="128"/>
      <c r="G227" s="128"/>
      <c r="H227" s="127"/>
      <c r="I227" s="128"/>
      <c r="J227" s="128"/>
      <c r="K227" s="128"/>
      <c r="L227" s="78"/>
    </row>
    <row r="228" spans="2:12" x14ac:dyDescent="0.3">
      <c r="B228" s="127"/>
      <c r="C228" s="128"/>
      <c r="D228" s="128"/>
      <c r="E228" s="128"/>
      <c r="F228" s="128"/>
      <c r="G228" s="128"/>
      <c r="H228" s="127"/>
      <c r="I228" s="128"/>
      <c r="J228" s="128"/>
      <c r="K228" s="128"/>
      <c r="L228" s="78"/>
    </row>
    <row r="229" spans="2:12" x14ac:dyDescent="0.3">
      <c r="B229" s="127"/>
      <c r="C229" s="128"/>
      <c r="D229" s="128"/>
      <c r="E229" s="128"/>
      <c r="F229" s="128"/>
      <c r="G229" s="128"/>
      <c r="H229" s="127"/>
      <c r="I229" s="128"/>
      <c r="J229" s="128"/>
      <c r="K229" s="128"/>
      <c r="L229" s="78"/>
    </row>
    <row r="230" spans="2:12" x14ac:dyDescent="0.3">
      <c r="L230" s="78"/>
    </row>
    <row r="231" spans="2:12" x14ac:dyDescent="0.3">
      <c r="B231" s="127"/>
      <c r="C231" s="128"/>
      <c r="D231" s="128"/>
      <c r="E231" s="128"/>
      <c r="F231" s="128"/>
      <c r="G231" s="128"/>
      <c r="H231" s="127"/>
      <c r="I231" s="128"/>
      <c r="J231" s="128"/>
      <c r="K231" s="128"/>
      <c r="L231" s="78"/>
    </row>
    <row r="232" spans="2:12" x14ac:dyDescent="0.3">
      <c r="L232" s="78"/>
    </row>
    <row r="233" spans="2:12" x14ac:dyDescent="0.3">
      <c r="B233" s="127"/>
      <c r="C233" s="128"/>
      <c r="D233" s="128"/>
      <c r="E233" s="128"/>
      <c r="F233" s="128"/>
      <c r="G233" s="128"/>
      <c r="H233" s="127"/>
      <c r="I233" s="128"/>
      <c r="J233" s="128"/>
      <c r="K233" s="128"/>
      <c r="L233" s="78"/>
    </row>
    <row r="234" spans="2:12" x14ac:dyDescent="0.3">
      <c r="L234" s="78"/>
    </row>
    <row r="235" spans="2:12" x14ac:dyDescent="0.3">
      <c r="B235" s="127"/>
      <c r="C235" s="128"/>
      <c r="D235" s="128"/>
      <c r="E235" s="128"/>
      <c r="F235" s="128"/>
      <c r="G235" s="128"/>
      <c r="H235" s="127"/>
      <c r="I235" s="128"/>
      <c r="J235" s="128"/>
      <c r="K235" s="128"/>
      <c r="L235" s="78"/>
    </row>
    <row r="236" spans="2:12" x14ac:dyDescent="0.3">
      <c r="L236" s="78"/>
    </row>
    <row r="237" spans="2:12" x14ac:dyDescent="0.3">
      <c r="B237" s="127"/>
      <c r="C237" s="128"/>
      <c r="D237" s="128"/>
      <c r="E237" s="128"/>
      <c r="F237" s="128"/>
      <c r="G237" s="128"/>
      <c r="H237" s="127"/>
      <c r="I237" s="128"/>
      <c r="J237" s="128"/>
      <c r="K237" s="128"/>
      <c r="L237" s="78"/>
    </row>
    <row r="238" spans="2:12" x14ac:dyDescent="0.3">
      <c r="L238" s="78"/>
    </row>
    <row r="239" spans="2:12" x14ac:dyDescent="0.3">
      <c r="B239" s="127"/>
      <c r="C239" s="128"/>
      <c r="D239" s="128"/>
      <c r="E239" s="128"/>
      <c r="F239" s="128"/>
      <c r="G239" s="128"/>
      <c r="H239" s="127"/>
      <c r="I239" s="128"/>
      <c r="J239" s="128"/>
      <c r="K239" s="128"/>
      <c r="L239" s="78"/>
    </row>
    <row r="240" spans="2:12" x14ac:dyDescent="0.3">
      <c r="L240" s="78"/>
    </row>
    <row r="241" spans="2:12" x14ac:dyDescent="0.3">
      <c r="B241" s="127"/>
      <c r="C241" s="128"/>
      <c r="D241" s="128"/>
      <c r="E241" s="128"/>
      <c r="F241" s="128"/>
      <c r="G241" s="128"/>
      <c r="H241" s="127"/>
      <c r="I241" s="128"/>
      <c r="J241" s="128"/>
      <c r="K241" s="128"/>
      <c r="L241" s="78"/>
    </row>
    <row r="242" spans="2:12" x14ac:dyDescent="0.3">
      <c r="B242" s="127"/>
      <c r="C242" s="128"/>
      <c r="D242" s="128"/>
      <c r="E242" s="128"/>
      <c r="F242" s="128"/>
      <c r="G242" s="128"/>
      <c r="H242" s="127"/>
      <c r="I242" s="128"/>
      <c r="J242" s="128"/>
      <c r="K242" s="128"/>
      <c r="L242" s="78"/>
    </row>
    <row r="243" spans="2:12" x14ac:dyDescent="0.3">
      <c r="B243" s="127"/>
      <c r="C243" s="128"/>
      <c r="D243" s="128"/>
      <c r="E243" s="128"/>
      <c r="F243" s="128"/>
      <c r="G243" s="128"/>
      <c r="H243" s="127"/>
      <c r="I243" s="128"/>
      <c r="J243" s="128"/>
      <c r="K243" s="128"/>
      <c r="L243" s="78"/>
    </row>
    <row r="244" spans="2:12" x14ac:dyDescent="0.3">
      <c r="B244" s="127"/>
      <c r="C244" s="128"/>
      <c r="D244" s="128"/>
      <c r="E244" s="128"/>
      <c r="F244" s="128"/>
      <c r="G244" s="128"/>
      <c r="H244" s="127"/>
      <c r="I244" s="128"/>
      <c r="J244" s="128"/>
      <c r="K244" s="128"/>
      <c r="L244" s="78"/>
    </row>
    <row r="245" spans="2:12" x14ac:dyDescent="0.3">
      <c r="B245" s="127"/>
      <c r="C245" s="128"/>
      <c r="D245" s="128"/>
      <c r="E245" s="128"/>
      <c r="F245" s="128"/>
      <c r="G245" s="128"/>
      <c r="H245" s="127"/>
      <c r="I245" s="128"/>
      <c r="J245" s="128"/>
      <c r="K245" s="128"/>
      <c r="L245" s="78"/>
    </row>
    <row r="246" spans="2:12" x14ac:dyDescent="0.3">
      <c r="B246" s="127"/>
      <c r="C246" s="128"/>
      <c r="D246" s="128"/>
      <c r="E246" s="128"/>
      <c r="F246" s="128"/>
      <c r="G246" s="128"/>
      <c r="H246" s="127"/>
      <c r="I246" s="128"/>
      <c r="J246" s="128"/>
      <c r="K246" s="128"/>
      <c r="L246" s="78"/>
    </row>
    <row r="247" spans="2:12" x14ac:dyDescent="0.3">
      <c r="B247" s="127"/>
      <c r="C247" s="128"/>
      <c r="D247" s="128"/>
      <c r="E247" s="128"/>
      <c r="F247" s="128"/>
      <c r="G247" s="128"/>
      <c r="H247" s="127"/>
      <c r="I247" s="128"/>
      <c r="J247" s="128"/>
      <c r="K247" s="128"/>
      <c r="L247" s="78"/>
    </row>
    <row r="248" spans="2:12" x14ac:dyDescent="0.3">
      <c r="B248" s="127"/>
      <c r="C248" s="128"/>
      <c r="D248" s="128"/>
      <c r="E248" s="128"/>
      <c r="F248" s="128"/>
      <c r="G248" s="128"/>
      <c r="H248" s="127"/>
      <c r="I248" s="128"/>
      <c r="J248" s="128"/>
      <c r="K248" s="128"/>
      <c r="L248" s="78"/>
    </row>
    <row r="249" spans="2:12" x14ac:dyDescent="0.3">
      <c r="B249" s="127"/>
      <c r="C249" s="128"/>
      <c r="D249" s="128"/>
      <c r="E249" s="128"/>
      <c r="F249" s="128"/>
      <c r="G249" s="128"/>
      <c r="H249" s="127"/>
      <c r="I249" s="128"/>
      <c r="J249" s="128"/>
      <c r="K249" s="128"/>
      <c r="L249" s="78"/>
    </row>
    <row r="250" spans="2:12" x14ac:dyDescent="0.3">
      <c r="B250" s="127"/>
      <c r="C250" s="128"/>
      <c r="D250" s="128"/>
      <c r="E250" s="128"/>
      <c r="F250" s="128"/>
      <c r="G250" s="128"/>
      <c r="H250" s="127"/>
      <c r="I250" s="128"/>
      <c r="J250" s="128"/>
      <c r="K250" s="128"/>
      <c r="L250" s="78"/>
    </row>
    <row r="251" spans="2:12" x14ac:dyDescent="0.3">
      <c r="B251" s="127"/>
      <c r="C251" s="128"/>
      <c r="D251" s="128"/>
      <c r="E251" s="128"/>
      <c r="F251" s="128"/>
      <c r="G251" s="128"/>
      <c r="H251" s="127"/>
      <c r="I251" s="128"/>
      <c r="J251" s="128"/>
      <c r="K251" s="128"/>
      <c r="L251" s="78"/>
    </row>
    <row r="252" spans="2:12" x14ac:dyDescent="0.3">
      <c r="B252" s="127"/>
      <c r="C252" s="128"/>
      <c r="D252" s="128"/>
      <c r="E252" s="128"/>
      <c r="F252" s="128"/>
      <c r="G252" s="128"/>
      <c r="H252" s="127"/>
      <c r="I252" s="128"/>
      <c r="J252" s="128"/>
      <c r="K252" s="128"/>
      <c r="L252" s="78"/>
    </row>
    <row r="253" spans="2:12" x14ac:dyDescent="0.3">
      <c r="B253" s="127"/>
      <c r="C253" s="128"/>
      <c r="D253" s="128"/>
      <c r="E253" s="128"/>
      <c r="F253" s="128"/>
      <c r="G253" s="128"/>
      <c r="H253" s="127"/>
      <c r="I253" s="128"/>
      <c r="J253" s="128"/>
      <c r="K253" s="128"/>
      <c r="L253" s="78"/>
    </row>
    <row r="254" spans="2:12" x14ac:dyDescent="0.3">
      <c r="B254" s="127"/>
      <c r="C254" s="128"/>
      <c r="D254" s="128"/>
      <c r="E254" s="128"/>
      <c r="F254" s="128"/>
      <c r="G254" s="128"/>
      <c r="H254" s="127"/>
      <c r="I254" s="128"/>
      <c r="J254" s="128"/>
      <c r="K254" s="128"/>
      <c r="L254" s="78"/>
    </row>
    <row r="255" spans="2:12" x14ac:dyDescent="0.3">
      <c r="B255" s="127"/>
      <c r="C255" s="128"/>
      <c r="D255" s="128"/>
      <c r="E255" s="128"/>
      <c r="F255" s="128"/>
      <c r="G255" s="128"/>
      <c r="H255" s="127"/>
      <c r="I255" s="128"/>
      <c r="J255" s="128"/>
      <c r="K255" s="128"/>
      <c r="L255" s="78"/>
    </row>
    <row r="256" spans="2:12" x14ac:dyDescent="0.3">
      <c r="B256" s="127"/>
      <c r="C256" s="128"/>
      <c r="D256" s="128"/>
      <c r="E256" s="128"/>
      <c r="F256" s="128"/>
      <c r="G256" s="128"/>
      <c r="H256" s="127"/>
      <c r="I256" s="128"/>
      <c r="J256" s="128"/>
      <c r="K256" s="128"/>
      <c r="L256" s="78"/>
    </row>
    <row r="257" spans="2:12" x14ac:dyDescent="0.3">
      <c r="B257" s="127"/>
      <c r="C257" s="128"/>
      <c r="D257" s="128"/>
      <c r="E257" s="128"/>
      <c r="F257" s="128"/>
      <c r="G257" s="128"/>
      <c r="H257" s="127"/>
      <c r="I257" s="128"/>
      <c r="J257" s="128"/>
      <c r="K257" s="128"/>
      <c r="L257" s="78"/>
    </row>
    <row r="258" spans="2:12" x14ac:dyDescent="0.3">
      <c r="L258" s="78"/>
    </row>
    <row r="259" spans="2:12" x14ac:dyDescent="0.3">
      <c r="B259" s="127"/>
      <c r="C259" s="128"/>
      <c r="D259" s="128"/>
      <c r="E259" s="128"/>
      <c r="F259" s="128"/>
      <c r="G259" s="128"/>
      <c r="H259" s="127"/>
      <c r="I259" s="128"/>
      <c r="J259" s="128"/>
      <c r="K259" s="128"/>
      <c r="L259" s="78"/>
    </row>
    <row r="260" spans="2:12" x14ac:dyDescent="0.3">
      <c r="L260" s="78"/>
    </row>
    <row r="261" spans="2:12" x14ac:dyDescent="0.3">
      <c r="B261" s="127"/>
      <c r="C261" s="128"/>
      <c r="D261" s="128"/>
      <c r="E261" s="128"/>
      <c r="F261" s="128"/>
      <c r="G261" s="128"/>
      <c r="H261" s="127"/>
      <c r="I261" s="128"/>
      <c r="J261" s="128"/>
      <c r="K261" s="128"/>
      <c r="L261" s="78"/>
    </row>
    <row r="262" spans="2:12" x14ac:dyDescent="0.3">
      <c r="L262" s="78"/>
    </row>
    <row r="263" spans="2:12" x14ac:dyDescent="0.3">
      <c r="B263" s="127"/>
      <c r="C263" s="128"/>
      <c r="D263" s="128"/>
      <c r="E263" s="128"/>
      <c r="F263" s="128"/>
      <c r="G263" s="128"/>
      <c r="H263" s="127"/>
      <c r="I263" s="128"/>
      <c r="J263" s="128"/>
      <c r="K263" s="128"/>
      <c r="L263" s="78"/>
    </row>
    <row r="264" spans="2:12" x14ac:dyDescent="0.3">
      <c r="L264" s="78"/>
    </row>
    <row r="265" spans="2:12" x14ac:dyDescent="0.3">
      <c r="B265" s="127"/>
      <c r="C265" s="128"/>
      <c r="D265" s="128"/>
      <c r="E265" s="128"/>
      <c r="F265" s="128"/>
      <c r="G265" s="128"/>
      <c r="H265" s="127"/>
      <c r="I265" s="128"/>
      <c r="J265" s="128"/>
      <c r="K265" s="128"/>
      <c r="L265" s="78"/>
    </row>
    <row r="266" spans="2:12" x14ac:dyDescent="0.3">
      <c r="L266" s="78"/>
    </row>
    <row r="267" spans="2:12" x14ac:dyDescent="0.3">
      <c r="L267" s="78"/>
    </row>
    <row r="268" spans="2:12" x14ac:dyDescent="0.3">
      <c r="L268" s="78"/>
    </row>
    <row r="269" spans="2:12" x14ac:dyDescent="0.3">
      <c r="B269" s="127"/>
      <c r="C269" s="128"/>
      <c r="D269" s="128"/>
      <c r="E269" s="128"/>
      <c r="F269" s="128"/>
      <c r="G269" s="128"/>
      <c r="H269" s="127"/>
      <c r="I269" s="128"/>
      <c r="J269" s="128"/>
      <c r="K269" s="128"/>
      <c r="L269" s="78"/>
    </row>
    <row r="270" spans="2:12" x14ac:dyDescent="0.3">
      <c r="L270" s="78"/>
    </row>
    <row r="271" spans="2:12" x14ac:dyDescent="0.3">
      <c r="B271" s="127"/>
      <c r="C271" s="128"/>
      <c r="D271" s="128"/>
      <c r="E271" s="128"/>
      <c r="F271" s="128"/>
      <c r="G271" s="128"/>
      <c r="H271" s="127"/>
      <c r="I271" s="128"/>
      <c r="J271" s="128"/>
      <c r="K271" s="128"/>
      <c r="L271" s="78"/>
    </row>
    <row r="272" spans="2:12" x14ac:dyDescent="0.3">
      <c r="L272" s="78"/>
    </row>
    <row r="273" spans="2:12" x14ac:dyDescent="0.3">
      <c r="B273" s="127"/>
      <c r="C273" s="128"/>
      <c r="D273" s="128"/>
      <c r="E273" s="128"/>
      <c r="F273" s="128"/>
      <c r="G273" s="128"/>
      <c r="H273" s="127"/>
      <c r="I273" s="128"/>
      <c r="J273" s="128"/>
      <c r="K273" s="128"/>
      <c r="L273" s="78"/>
    </row>
    <row r="274" spans="2:12" x14ac:dyDescent="0.3">
      <c r="L274" s="78"/>
    </row>
    <row r="275" spans="2:12" x14ac:dyDescent="0.3">
      <c r="B275" s="127"/>
      <c r="C275" s="128"/>
      <c r="D275" s="128"/>
      <c r="E275" s="128"/>
      <c r="F275" s="128"/>
      <c r="G275" s="128"/>
      <c r="H275" s="127"/>
      <c r="I275" s="128"/>
      <c r="J275" s="128"/>
      <c r="K275" s="128"/>
      <c r="L275" s="78"/>
    </row>
    <row r="276" spans="2:12" x14ac:dyDescent="0.3">
      <c r="L276" s="78"/>
    </row>
    <row r="277" spans="2:12" x14ac:dyDescent="0.3">
      <c r="L277" s="78"/>
    </row>
    <row r="278" spans="2:12" x14ac:dyDescent="0.3">
      <c r="B278" s="127"/>
      <c r="C278" s="128"/>
      <c r="D278" s="128"/>
      <c r="E278" s="128"/>
      <c r="F278" s="128"/>
      <c r="G278" s="128"/>
      <c r="H278" s="127"/>
      <c r="I278" s="128"/>
      <c r="J278" s="128"/>
      <c r="K278" s="128"/>
      <c r="L278" s="78"/>
    </row>
    <row r="279" spans="2:12" x14ac:dyDescent="0.3">
      <c r="L279" s="78"/>
    </row>
    <row r="280" spans="2:12" x14ac:dyDescent="0.3">
      <c r="B280" s="127"/>
      <c r="C280" s="128"/>
      <c r="D280" s="128"/>
      <c r="E280" s="128"/>
      <c r="F280" s="128"/>
      <c r="G280" s="128"/>
      <c r="H280" s="127"/>
      <c r="I280" s="128"/>
      <c r="J280" s="128"/>
      <c r="K280" s="128"/>
      <c r="L280" s="78"/>
    </row>
    <row r="281" spans="2:12" x14ac:dyDescent="0.3">
      <c r="B281" s="127"/>
      <c r="C281" s="128"/>
      <c r="D281" s="128"/>
      <c r="E281" s="128"/>
      <c r="F281" s="128"/>
      <c r="G281" s="128"/>
      <c r="H281" s="127"/>
      <c r="I281" s="128"/>
      <c r="J281" s="128"/>
      <c r="K281" s="128"/>
      <c r="L281" s="78"/>
    </row>
    <row r="282" spans="2:12" x14ac:dyDescent="0.3">
      <c r="B282" s="127"/>
      <c r="C282" s="128"/>
      <c r="D282" s="128"/>
      <c r="E282" s="128"/>
      <c r="F282" s="128"/>
      <c r="G282" s="128"/>
      <c r="H282" s="127"/>
      <c r="I282" s="128"/>
      <c r="J282" s="128"/>
      <c r="K282" s="128"/>
      <c r="L282" s="78"/>
    </row>
    <row r="283" spans="2:12" x14ac:dyDescent="0.3">
      <c r="B283" s="127"/>
      <c r="C283" s="128"/>
      <c r="D283" s="128"/>
      <c r="E283" s="128"/>
      <c r="F283" s="128"/>
      <c r="G283" s="128"/>
      <c r="H283" s="127"/>
      <c r="I283" s="128"/>
      <c r="J283" s="128"/>
      <c r="K283" s="128"/>
      <c r="L283" s="78"/>
    </row>
    <row r="284" spans="2:12" x14ac:dyDescent="0.3">
      <c r="B284" s="127"/>
      <c r="C284" s="128"/>
      <c r="D284" s="128"/>
      <c r="E284" s="128"/>
      <c r="F284" s="128"/>
      <c r="G284" s="128"/>
      <c r="H284" s="127"/>
      <c r="I284" s="128"/>
      <c r="J284" s="128"/>
      <c r="K284" s="128"/>
      <c r="L284" s="78"/>
    </row>
    <row r="285" spans="2:12" x14ac:dyDescent="0.3">
      <c r="B285" s="127"/>
      <c r="C285" s="128"/>
      <c r="D285" s="128"/>
      <c r="E285" s="128"/>
      <c r="F285" s="128"/>
      <c r="G285" s="128"/>
      <c r="H285" s="127"/>
      <c r="I285" s="128"/>
      <c r="J285" s="128"/>
      <c r="K285" s="128"/>
      <c r="L285" s="78"/>
    </row>
    <row r="286" spans="2:12" x14ac:dyDescent="0.3">
      <c r="B286" s="127"/>
      <c r="C286" s="128"/>
      <c r="D286" s="128"/>
      <c r="E286" s="128"/>
      <c r="F286" s="128"/>
      <c r="G286" s="128"/>
      <c r="H286" s="127"/>
      <c r="I286" s="128"/>
      <c r="J286" s="128"/>
      <c r="K286" s="128"/>
      <c r="L286" s="78"/>
    </row>
    <row r="287" spans="2:12" x14ac:dyDescent="0.3">
      <c r="B287" s="127"/>
      <c r="C287" s="128"/>
      <c r="D287" s="128"/>
      <c r="E287" s="128"/>
      <c r="F287" s="128"/>
      <c r="G287" s="128"/>
      <c r="H287" s="127"/>
      <c r="I287" s="128"/>
      <c r="J287" s="128"/>
      <c r="K287" s="128"/>
      <c r="L287" s="78"/>
    </row>
    <row r="288" spans="2:12" x14ac:dyDescent="0.3">
      <c r="L288" s="78"/>
    </row>
    <row r="289" spans="2:12" x14ac:dyDescent="0.3">
      <c r="B289" s="127"/>
      <c r="C289" s="128"/>
      <c r="D289" s="128"/>
      <c r="E289" s="128"/>
      <c r="F289" s="128"/>
      <c r="G289" s="128"/>
      <c r="H289" s="127"/>
      <c r="I289" s="128"/>
      <c r="J289" s="128"/>
      <c r="K289" s="128"/>
      <c r="L289" s="78"/>
    </row>
    <row r="290" spans="2:12" x14ac:dyDescent="0.3">
      <c r="L290" s="78"/>
    </row>
    <row r="291" spans="2:12" x14ac:dyDescent="0.3">
      <c r="B291" s="127"/>
      <c r="C291" s="128"/>
      <c r="D291" s="128"/>
      <c r="E291" s="128"/>
      <c r="F291" s="128"/>
      <c r="G291" s="128"/>
      <c r="H291" s="127"/>
      <c r="I291" s="128"/>
      <c r="J291" s="128"/>
      <c r="K291" s="128"/>
      <c r="L291" s="78"/>
    </row>
    <row r="292" spans="2:12" x14ac:dyDescent="0.3">
      <c r="L292" s="78"/>
    </row>
    <row r="293" spans="2:12" x14ac:dyDescent="0.3">
      <c r="B293" s="127"/>
      <c r="C293" s="128"/>
      <c r="D293" s="128"/>
      <c r="E293" s="128"/>
      <c r="F293" s="128"/>
      <c r="G293" s="128"/>
      <c r="H293" s="127"/>
      <c r="I293" s="128"/>
      <c r="J293" s="128"/>
      <c r="K293" s="128"/>
      <c r="L293" s="78"/>
    </row>
    <row r="294" spans="2:12" x14ac:dyDescent="0.3">
      <c r="L294" s="78"/>
    </row>
    <row r="295" spans="2:12" x14ac:dyDescent="0.3">
      <c r="B295" s="127"/>
      <c r="C295" s="128"/>
      <c r="D295" s="128"/>
      <c r="E295" s="128"/>
      <c r="F295" s="128"/>
      <c r="G295" s="128"/>
      <c r="H295" s="127"/>
      <c r="I295" s="128"/>
      <c r="J295" s="128"/>
      <c r="K295" s="128"/>
      <c r="L295" s="78"/>
    </row>
    <row r="296" spans="2:12" x14ac:dyDescent="0.3">
      <c r="L296" s="78"/>
    </row>
    <row r="297" spans="2:12" x14ac:dyDescent="0.3">
      <c r="L297" s="78"/>
    </row>
    <row r="298" spans="2:12" x14ac:dyDescent="0.3">
      <c r="B298" s="127"/>
      <c r="C298" s="128"/>
      <c r="D298" s="128"/>
      <c r="E298" s="128"/>
      <c r="F298" s="128"/>
      <c r="G298" s="128"/>
      <c r="H298" s="127"/>
      <c r="I298" s="128"/>
      <c r="J298" s="128"/>
      <c r="K298" s="128"/>
      <c r="L298" s="78"/>
    </row>
    <row r="299" spans="2:12" x14ac:dyDescent="0.3">
      <c r="L299" s="78"/>
    </row>
    <row r="300" spans="2:12" x14ac:dyDescent="0.3">
      <c r="B300" s="127"/>
      <c r="C300" s="128"/>
      <c r="D300" s="128"/>
      <c r="E300" s="128"/>
      <c r="F300" s="128"/>
      <c r="G300" s="128"/>
      <c r="H300" s="127"/>
      <c r="I300" s="128"/>
      <c r="J300" s="128"/>
      <c r="K300" s="128"/>
      <c r="L300" s="78"/>
    </row>
    <row r="301" spans="2:12" x14ac:dyDescent="0.3">
      <c r="L301" s="78"/>
    </row>
    <row r="302" spans="2:12" x14ac:dyDescent="0.3">
      <c r="B302" s="127"/>
      <c r="C302" s="128"/>
      <c r="D302" s="128"/>
      <c r="E302" s="128"/>
      <c r="F302" s="128"/>
      <c r="G302" s="128"/>
      <c r="H302" s="127"/>
      <c r="I302" s="128"/>
      <c r="J302" s="128"/>
      <c r="K302" s="128"/>
      <c r="L302" s="78"/>
    </row>
    <row r="303" spans="2:12" x14ac:dyDescent="0.3">
      <c r="B303" s="127"/>
      <c r="C303" s="128"/>
      <c r="D303" s="128"/>
      <c r="E303" s="128"/>
      <c r="F303" s="128"/>
      <c r="G303" s="128"/>
      <c r="H303" s="127"/>
      <c r="I303" s="128"/>
      <c r="J303" s="128"/>
      <c r="K303" s="128"/>
      <c r="L303" s="78"/>
    </row>
    <row r="304" spans="2:12" x14ac:dyDescent="0.3">
      <c r="L304" s="78"/>
    </row>
    <row r="305" spans="2:12" x14ac:dyDescent="0.3">
      <c r="B305" s="127"/>
      <c r="C305" s="128"/>
      <c r="D305" s="128"/>
      <c r="E305" s="128"/>
      <c r="F305" s="128"/>
      <c r="G305" s="128"/>
      <c r="H305" s="127"/>
      <c r="I305" s="128"/>
      <c r="J305" s="128"/>
      <c r="K305" s="128"/>
      <c r="L305" s="78"/>
    </row>
    <row r="306" spans="2:12" x14ac:dyDescent="0.3">
      <c r="L306" s="78"/>
    </row>
    <row r="307" spans="2:12" x14ac:dyDescent="0.3">
      <c r="B307" s="127"/>
      <c r="C307" s="128"/>
      <c r="D307" s="128"/>
      <c r="E307" s="128"/>
      <c r="F307" s="128"/>
      <c r="G307" s="128"/>
      <c r="H307" s="127"/>
      <c r="I307" s="128"/>
      <c r="J307" s="128"/>
      <c r="K307" s="128"/>
      <c r="L307" s="78"/>
    </row>
    <row r="308" spans="2:12" x14ac:dyDescent="0.3">
      <c r="L308" s="78"/>
    </row>
    <row r="309" spans="2:12" x14ac:dyDescent="0.3">
      <c r="B309" s="127"/>
      <c r="C309" s="128"/>
      <c r="D309" s="128"/>
      <c r="E309" s="128"/>
      <c r="F309" s="128"/>
      <c r="G309" s="128"/>
      <c r="H309" s="127"/>
      <c r="I309" s="128"/>
      <c r="J309" s="128"/>
      <c r="K309" s="128"/>
      <c r="L309" s="78"/>
    </row>
    <row r="310" spans="2:12" x14ac:dyDescent="0.3">
      <c r="L310" s="78"/>
    </row>
    <row r="311" spans="2:12" x14ac:dyDescent="0.3">
      <c r="B311" s="127"/>
      <c r="C311" s="128"/>
      <c r="D311" s="128"/>
      <c r="E311" s="128"/>
      <c r="F311" s="128"/>
      <c r="G311" s="128"/>
      <c r="H311" s="127"/>
      <c r="I311" s="128"/>
      <c r="J311" s="128"/>
      <c r="K311" s="128"/>
      <c r="L311" s="78"/>
    </row>
    <row r="312" spans="2:12" x14ac:dyDescent="0.3">
      <c r="L312" s="78"/>
    </row>
    <row r="313" spans="2:12" x14ac:dyDescent="0.3">
      <c r="L313" s="78"/>
    </row>
    <row r="314" spans="2:12" x14ac:dyDescent="0.3">
      <c r="B314" s="127"/>
      <c r="C314" s="128"/>
      <c r="D314" s="128"/>
      <c r="E314" s="128"/>
      <c r="F314" s="128"/>
      <c r="G314" s="128"/>
      <c r="H314" s="127"/>
      <c r="I314" s="128"/>
      <c r="J314" s="128"/>
      <c r="K314" s="128"/>
      <c r="L314" s="78"/>
    </row>
    <row r="315" spans="2:12" x14ac:dyDescent="0.3">
      <c r="L315" s="78"/>
    </row>
    <row r="316" spans="2:12" x14ac:dyDescent="0.3">
      <c r="B316" s="127"/>
      <c r="C316" s="128"/>
      <c r="D316" s="128"/>
      <c r="E316" s="128"/>
      <c r="F316" s="128"/>
      <c r="G316" s="128"/>
      <c r="H316" s="127"/>
      <c r="I316" s="128"/>
      <c r="J316" s="128"/>
      <c r="K316" s="128"/>
      <c r="L316" s="78"/>
    </row>
    <row r="317" spans="2:12" x14ac:dyDescent="0.3">
      <c r="B317" s="127"/>
      <c r="C317" s="128"/>
      <c r="D317" s="128"/>
      <c r="E317" s="128"/>
      <c r="F317" s="128"/>
      <c r="G317" s="128"/>
      <c r="H317" s="127"/>
      <c r="I317" s="128"/>
      <c r="J317" s="128"/>
      <c r="K317" s="128"/>
      <c r="L317" s="78"/>
    </row>
    <row r="318" spans="2:12" x14ac:dyDescent="0.3">
      <c r="L318" s="78"/>
    </row>
    <row r="319" spans="2:12" x14ac:dyDescent="0.3">
      <c r="B319" s="127"/>
      <c r="C319" s="128"/>
      <c r="D319" s="128"/>
      <c r="E319" s="128"/>
      <c r="F319" s="128"/>
      <c r="G319" s="128"/>
      <c r="H319" s="127"/>
      <c r="I319" s="128"/>
      <c r="J319" s="128"/>
      <c r="K319" s="128"/>
      <c r="L319" s="78"/>
    </row>
    <row r="320" spans="2:12" x14ac:dyDescent="0.3">
      <c r="L320" s="78"/>
    </row>
    <row r="321" spans="2:12" x14ac:dyDescent="0.3">
      <c r="B321" s="127"/>
      <c r="C321" s="128"/>
      <c r="D321" s="128"/>
      <c r="E321" s="128"/>
      <c r="F321" s="128"/>
      <c r="G321" s="128"/>
      <c r="H321" s="127"/>
      <c r="I321" s="128"/>
      <c r="J321" s="128"/>
      <c r="K321" s="128"/>
      <c r="L321" s="78"/>
    </row>
    <row r="322" spans="2:12" x14ac:dyDescent="0.3">
      <c r="L322" s="78"/>
    </row>
    <row r="323" spans="2:12" x14ac:dyDescent="0.3">
      <c r="B323" s="127"/>
      <c r="C323" s="128"/>
      <c r="D323" s="128"/>
      <c r="E323" s="128"/>
      <c r="F323" s="128"/>
      <c r="G323" s="128"/>
      <c r="H323" s="127"/>
      <c r="I323" s="128"/>
      <c r="J323" s="128"/>
      <c r="K323" s="128"/>
      <c r="L323" s="78"/>
    </row>
    <row r="324" spans="2:12" x14ac:dyDescent="0.3">
      <c r="L324" s="78"/>
    </row>
    <row r="325" spans="2:12" x14ac:dyDescent="0.3">
      <c r="B325" s="127"/>
      <c r="C325" s="128"/>
      <c r="D325" s="128"/>
      <c r="E325" s="128"/>
      <c r="F325" s="128"/>
      <c r="G325" s="128"/>
      <c r="H325" s="127"/>
      <c r="I325" s="128"/>
      <c r="J325" s="128"/>
      <c r="K325" s="128"/>
      <c r="L325" s="78"/>
    </row>
    <row r="326" spans="2:12" x14ac:dyDescent="0.3">
      <c r="L326" s="78"/>
    </row>
    <row r="327" spans="2:12" x14ac:dyDescent="0.3">
      <c r="B327" s="127"/>
      <c r="C327" s="128"/>
      <c r="D327" s="128"/>
      <c r="E327" s="128"/>
      <c r="F327" s="128"/>
      <c r="G327" s="128"/>
      <c r="H327" s="127"/>
      <c r="I327" s="128"/>
      <c r="J327" s="128"/>
      <c r="K327" s="128"/>
      <c r="L327" s="78"/>
    </row>
    <row r="328" spans="2:12" x14ac:dyDescent="0.3">
      <c r="L328" s="78"/>
    </row>
    <row r="329" spans="2:12" x14ac:dyDescent="0.3">
      <c r="B329" s="127"/>
      <c r="C329" s="128"/>
      <c r="D329" s="128"/>
      <c r="E329" s="128"/>
      <c r="F329" s="128"/>
      <c r="G329" s="128"/>
      <c r="H329" s="127"/>
      <c r="I329" s="128"/>
      <c r="J329" s="128"/>
      <c r="K329" s="128"/>
      <c r="L329" s="78"/>
    </row>
    <row r="330" spans="2:12" x14ac:dyDescent="0.3">
      <c r="L330" s="78"/>
    </row>
    <row r="331" spans="2:12" x14ac:dyDescent="0.3">
      <c r="B331" s="127"/>
      <c r="C331" s="128"/>
      <c r="D331" s="128"/>
      <c r="E331" s="128"/>
      <c r="F331" s="128"/>
      <c r="G331" s="128"/>
      <c r="H331" s="127"/>
      <c r="I331" s="128"/>
      <c r="J331" s="128"/>
      <c r="K331" s="128"/>
      <c r="L331" s="78"/>
    </row>
    <row r="332" spans="2:12" x14ac:dyDescent="0.3">
      <c r="L332" s="78"/>
    </row>
    <row r="333" spans="2:12" x14ac:dyDescent="0.3">
      <c r="B333" s="127"/>
      <c r="C333" s="128"/>
      <c r="D333" s="128"/>
      <c r="E333" s="128"/>
      <c r="F333" s="128"/>
      <c r="G333" s="128"/>
      <c r="H333" s="127"/>
      <c r="I333" s="128"/>
      <c r="J333" s="128"/>
      <c r="K333" s="128"/>
      <c r="L333" s="78"/>
    </row>
    <row r="334" spans="2:12" x14ac:dyDescent="0.3">
      <c r="L334" s="78"/>
    </row>
    <row r="335" spans="2:12" x14ac:dyDescent="0.3">
      <c r="B335" s="127"/>
      <c r="C335" s="128"/>
      <c r="D335" s="128"/>
      <c r="E335" s="128"/>
      <c r="F335" s="128"/>
      <c r="G335" s="128"/>
      <c r="H335" s="127"/>
      <c r="I335" s="128"/>
      <c r="J335" s="128"/>
      <c r="K335" s="128"/>
      <c r="L335" s="78"/>
    </row>
    <row r="336" spans="2:12" x14ac:dyDescent="0.3">
      <c r="L336" s="78"/>
    </row>
    <row r="337" spans="2:12" x14ac:dyDescent="0.3">
      <c r="B337" s="127"/>
      <c r="C337" s="128"/>
      <c r="D337" s="128"/>
      <c r="E337" s="128"/>
      <c r="F337" s="128"/>
      <c r="G337" s="128"/>
      <c r="H337" s="127"/>
      <c r="I337" s="128"/>
      <c r="J337" s="128"/>
      <c r="K337" s="128"/>
      <c r="L337" s="78"/>
    </row>
    <row r="338" spans="2:12" x14ac:dyDescent="0.3">
      <c r="L338" s="78"/>
    </row>
    <row r="339" spans="2:12" x14ac:dyDescent="0.3">
      <c r="B339" s="127"/>
      <c r="C339" s="128"/>
      <c r="D339" s="128"/>
      <c r="E339" s="128"/>
      <c r="F339" s="128"/>
      <c r="G339" s="128"/>
      <c r="H339" s="127"/>
      <c r="I339" s="128"/>
      <c r="J339" s="128"/>
      <c r="K339" s="128"/>
      <c r="L339" s="78"/>
    </row>
    <row r="340" spans="2:12" x14ac:dyDescent="0.3">
      <c r="L340" s="78"/>
    </row>
    <row r="341" spans="2:12" x14ac:dyDescent="0.3">
      <c r="B341" s="127"/>
      <c r="C341" s="128"/>
      <c r="D341" s="128"/>
      <c r="E341" s="128"/>
      <c r="F341" s="128"/>
      <c r="G341" s="128"/>
      <c r="H341" s="127"/>
      <c r="I341" s="128"/>
      <c r="J341" s="128"/>
      <c r="K341" s="128"/>
      <c r="L341" s="78"/>
    </row>
    <row r="342" spans="2:12" x14ac:dyDescent="0.3">
      <c r="L342" s="78"/>
    </row>
    <row r="343" spans="2:12" x14ac:dyDescent="0.3">
      <c r="B343" s="127"/>
      <c r="C343" s="128"/>
      <c r="D343" s="128"/>
      <c r="E343" s="128"/>
      <c r="F343" s="128"/>
      <c r="G343" s="128"/>
      <c r="H343" s="127"/>
      <c r="I343" s="128"/>
      <c r="J343" s="128"/>
      <c r="K343" s="128"/>
      <c r="L343" s="78"/>
    </row>
    <row r="344" spans="2:12" x14ac:dyDescent="0.3">
      <c r="B344" s="127"/>
      <c r="C344" s="128"/>
      <c r="D344" s="128"/>
      <c r="E344" s="128"/>
      <c r="F344" s="128"/>
      <c r="G344" s="128"/>
      <c r="H344" s="127"/>
      <c r="I344" s="128"/>
      <c r="J344" s="128"/>
      <c r="K344" s="128"/>
      <c r="L344" s="78"/>
    </row>
    <row r="345" spans="2:12" x14ac:dyDescent="0.3">
      <c r="B345" s="127"/>
      <c r="C345" s="128"/>
      <c r="D345" s="128"/>
      <c r="E345" s="128"/>
      <c r="F345" s="128"/>
      <c r="G345" s="128"/>
      <c r="H345" s="127"/>
      <c r="I345" s="128"/>
      <c r="J345" s="128"/>
      <c r="K345" s="128"/>
      <c r="L345" s="78"/>
    </row>
    <row r="346" spans="2:12" x14ac:dyDescent="0.3">
      <c r="B346" s="127"/>
      <c r="C346" s="128"/>
      <c r="D346" s="128"/>
      <c r="E346" s="128"/>
      <c r="F346" s="128"/>
      <c r="G346" s="128"/>
      <c r="H346" s="127"/>
      <c r="I346" s="128"/>
      <c r="J346" s="128"/>
      <c r="K346" s="128"/>
      <c r="L346" s="78"/>
    </row>
    <row r="347" spans="2:12" x14ac:dyDescent="0.3">
      <c r="B347" s="127"/>
      <c r="C347" s="128"/>
      <c r="D347" s="128"/>
      <c r="E347" s="128"/>
      <c r="F347" s="128"/>
      <c r="G347" s="128"/>
      <c r="H347" s="127"/>
      <c r="I347" s="128"/>
      <c r="J347" s="128"/>
      <c r="K347" s="128"/>
      <c r="L347" s="78"/>
    </row>
    <row r="348" spans="2:12" x14ac:dyDescent="0.3">
      <c r="L348" s="78"/>
    </row>
    <row r="349" spans="2:12" x14ac:dyDescent="0.3">
      <c r="B349" s="127"/>
      <c r="C349" s="128"/>
      <c r="D349" s="128"/>
      <c r="E349" s="128"/>
      <c r="F349" s="128"/>
      <c r="G349" s="128"/>
      <c r="H349" s="127"/>
      <c r="I349" s="128"/>
      <c r="J349" s="128"/>
      <c r="K349" s="128"/>
      <c r="L349" s="78"/>
    </row>
    <row r="350" spans="2:12" x14ac:dyDescent="0.3">
      <c r="B350" s="127"/>
      <c r="C350" s="128"/>
      <c r="D350" s="128"/>
      <c r="E350" s="128"/>
      <c r="F350" s="128"/>
      <c r="G350" s="128"/>
      <c r="H350" s="127"/>
      <c r="I350" s="128"/>
      <c r="J350" s="128"/>
      <c r="K350" s="128"/>
      <c r="L350" s="78"/>
    </row>
    <row r="351" spans="2:12" x14ac:dyDescent="0.3">
      <c r="B351" s="127"/>
      <c r="C351" s="128"/>
      <c r="D351" s="128"/>
      <c r="E351" s="128"/>
      <c r="F351" s="128"/>
      <c r="G351" s="128"/>
      <c r="H351" s="127"/>
      <c r="I351" s="128"/>
      <c r="J351" s="128"/>
      <c r="K351" s="128"/>
      <c r="L351" s="78"/>
    </row>
    <row r="352" spans="2:12" x14ac:dyDescent="0.3">
      <c r="L352" s="78"/>
    </row>
    <row r="353" spans="2:12" x14ac:dyDescent="0.3">
      <c r="B353" s="127"/>
      <c r="C353" s="128"/>
      <c r="D353" s="128"/>
      <c r="E353" s="128"/>
      <c r="F353" s="128"/>
      <c r="G353" s="128"/>
      <c r="H353" s="127"/>
      <c r="I353" s="128"/>
      <c r="J353" s="128"/>
      <c r="K353" s="128"/>
      <c r="L353" s="78"/>
    </row>
    <row r="354" spans="2:12" x14ac:dyDescent="0.3">
      <c r="L354" s="78"/>
    </row>
    <row r="355" spans="2:12" x14ac:dyDescent="0.3">
      <c r="B355" s="127"/>
      <c r="C355" s="128"/>
      <c r="D355" s="128"/>
      <c r="E355" s="128"/>
      <c r="F355" s="128"/>
      <c r="G355" s="128"/>
      <c r="H355" s="127"/>
      <c r="I355" s="128"/>
      <c r="J355" s="128"/>
      <c r="K355" s="128"/>
      <c r="L355" s="78"/>
    </row>
    <row r="356" spans="2:12" x14ac:dyDescent="0.3">
      <c r="L356" s="78"/>
    </row>
    <row r="357" spans="2:12" x14ac:dyDescent="0.3">
      <c r="B357" s="127"/>
      <c r="C357" s="128"/>
      <c r="D357" s="128"/>
      <c r="E357" s="128"/>
      <c r="F357" s="128"/>
      <c r="G357" s="128"/>
      <c r="H357" s="127"/>
      <c r="I357" s="128"/>
      <c r="J357" s="128"/>
      <c r="K357" s="128"/>
      <c r="L357" s="78"/>
    </row>
    <row r="358" spans="2:12" x14ac:dyDescent="0.3">
      <c r="L358" s="78"/>
    </row>
    <row r="359" spans="2:12" x14ac:dyDescent="0.3">
      <c r="B359" s="127"/>
      <c r="C359" s="128"/>
      <c r="D359" s="128"/>
      <c r="E359" s="128"/>
      <c r="F359" s="128"/>
      <c r="G359" s="128"/>
      <c r="H359" s="127"/>
      <c r="I359" s="128"/>
      <c r="J359" s="128"/>
      <c r="K359" s="128"/>
      <c r="L359" s="78"/>
    </row>
    <row r="360" spans="2:12" x14ac:dyDescent="0.3">
      <c r="B360" s="127"/>
      <c r="C360" s="128"/>
      <c r="D360" s="128"/>
      <c r="E360" s="128"/>
      <c r="F360" s="128"/>
      <c r="G360" s="128"/>
      <c r="H360" s="127"/>
      <c r="I360" s="128"/>
      <c r="J360" s="128"/>
      <c r="K360" s="128"/>
      <c r="L360" s="78"/>
    </row>
    <row r="361" spans="2:12" x14ac:dyDescent="0.3">
      <c r="B361" s="127"/>
      <c r="C361" s="128"/>
      <c r="D361" s="128"/>
      <c r="E361" s="128"/>
      <c r="F361" s="128"/>
      <c r="G361" s="128"/>
      <c r="H361" s="127"/>
      <c r="I361" s="128"/>
      <c r="J361" s="128"/>
      <c r="K361" s="128"/>
      <c r="L361" s="78"/>
    </row>
    <row r="362" spans="2:12" x14ac:dyDescent="0.3">
      <c r="L362" s="78"/>
    </row>
    <row r="363" spans="2:12" x14ac:dyDescent="0.3">
      <c r="B363" s="127"/>
      <c r="C363" s="128"/>
      <c r="D363" s="128"/>
      <c r="E363" s="128"/>
      <c r="F363" s="128"/>
      <c r="G363" s="128"/>
      <c r="H363" s="127"/>
      <c r="I363" s="128"/>
      <c r="J363" s="128"/>
      <c r="K363" s="128"/>
      <c r="L363" s="78"/>
    </row>
    <row r="364" spans="2:12" x14ac:dyDescent="0.3">
      <c r="L364" s="78"/>
    </row>
    <row r="365" spans="2:12" x14ac:dyDescent="0.3">
      <c r="B365" s="127"/>
      <c r="C365" s="128"/>
      <c r="D365" s="128"/>
      <c r="E365" s="128"/>
      <c r="F365" s="128"/>
      <c r="G365" s="128"/>
      <c r="H365" s="127"/>
      <c r="I365" s="128"/>
      <c r="J365" s="128"/>
      <c r="K365" s="128"/>
      <c r="L365" s="78"/>
    </row>
    <row r="366" spans="2:12" x14ac:dyDescent="0.3">
      <c r="B366" s="127"/>
      <c r="C366" s="128"/>
      <c r="D366" s="128"/>
      <c r="E366" s="128"/>
      <c r="F366" s="128"/>
      <c r="G366" s="128"/>
      <c r="H366" s="127"/>
      <c r="I366" s="128"/>
      <c r="J366" s="128"/>
      <c r="K366" s="128"/>
      <c r="L366" s="78"/>
    </row>
    <row r="367" spans="2:12" x14ac:dyDescent="0.3">
      <c r="L367" s="78"/>
    </row>
    <row r="368" spans="2:12" x14ac:dyDescent="0.3">
      <c r="B368" s="127"/>
      <c r="C368" s="128"/>
      <c r="D368" s="128"/>
      <c r="E368" s="128"/>
      <c r="F368" s="128"/>
      <c r="G368" s="128"/>
      <c r="H368" s="127"/>
      <c r="I368" s="128"/>
      <c r="J368" s="128"/>
      <c r="K368" s="128"/>
      <c r="L368" s="78"/>
    </row>
    <row r="369" spans="2:12" x14ac:dyDescent="0.3">
      <c r="L369" s="78"/>
    </row>
    <row r="370" spans="2:12" x14ac:dyDescent="0.3">
      <c r="B370" s="127"/>
      <c r="C370" s="128"/>
      <c r="D370" s="128"/>
      <c r="E370" s="128"/>
      <c r="F370" s="128"/>
      <c r="G370" s="128"/>
      <c r="H370" s="127"/>
      <c r="I370" s="128"/>
      <c r="J370" s="128"/>
      <c r="K370" s="128"/>
      <c r="L370" s="78"/>
    </row>
    <row r="371" spans="2:12" x14ac:dyDescent="0.3">
      <c r="L371" s="78"/>
    </row>
    <row r="372" spans="2:12" x14ac:dyDescent="0.3">
      <c r="B372" s="127"/>
      <c r="C372" s="128"/>
      <c r="D372" s="128"/>
      <c r="E372" s="128"/>
      <c r="F372" s="128"/>
      <c r="G372" s="128"/>
      <c r="H372" s="127"/>
      <c r="I372" s="128"/>
      <c r="J372" s="128"/>
      <c r="K372" s="128"/>
      <c r="L372" s="78"/>
    </row>
    <row r="373" spans="2:12" x14ac:dyDescent="0.3">
      <c r="B373" s="127"/>
      <c r="C373" s="128"/>
      <c r="D373" s="128"/>
      <c r="E373" s="128"/>
      <c r="F373" s="128"/>
      <c r="G373" s="128"/>
      <c r="H373" s="127"/>
      <c r="I373" s="128"/>
      <c r="J373" s="128"/>
      <c r="K373" s="128"/>
      <c r="L373" s="78"/>
    </row>
    <row r="374" spans="2:12" x14ac:dyDescent="0.3">
      <c r="L374" s="78"/>
    </row>
    <row r="375" spans="2:12" x14ac:dyDescent="0.3">
      <c r="B375" s="127"/>
      <c r="C375" s="128"/>
      <c r="D375" s="128"/>
      <c r="E375" s="128"/>
      <c r="F375" s="128"/>
      <c r="G375" s="128"/>
      <c r="H375" s="127"/>
      <c r="I375" s="128"/>
      <c r="J375" s="128"/>
      <c r="K375" s="128"/>
      <c r="L375" s="78"/>
    </row>
    <row r="376" spans="2:12" x14ac:dyDescent="0.3">
      <c r="L376" s="78"/>
    </row>
    <row r="377" spans="2:12" x14ac:dyDescent="0.3">
      <c r="B377" s="127"/>
      <c r="C377" s="128"/>
      <c r="D377" s="128"/>
      <c r="E377" s="128"/>
      <c r="F377" s="128"/>
      <c r="G377" s="128"/>
      <c r="H377" s="127"/>
      <c r="I377" s="128"/>
      <c r="J377" s="128"/>
      <c r="K377" s="128"/>
      <c r="L377" s="78"/>
    </row>
    <row r="378" spans="2:12" x14ac:dyDescent="0.3">
      <c r="L378" s="78"/>
    </row>
    <row r="379" spans="2:12" x14ac:dyDescent="0.3">
      <c r="B379" s="127"/>
      <c r="C379" s="128"/>
      <c r="D379" s="128"/>
      <c r="E379" s="128"/>
      <c r="F379" s="128"/>
      <c r="G379" s="128"/>
      <c r="H379" s="127"/>
      <c r="I379" s="128"/>
      <c r="J379" s="128"/>
      <c r="K379" s="128"/>
      <c r="L379" s="78"/>
    </row>
    <row r="380" spans="2:12" x14ac:dyDescent="0.3">
      <c r="B380" s="127"/>
      <c r="C380" s="128"/>
      <c r="D380" s="128"/>
      <c r="E380" s="128"/>
      <c r="F380" s="128"/>
      <c r="G380" s="128"/>
      <c r="H380" s="127"/>
      <c r="I380" s="128"/>
      <c r="J380" s="128"/>
      <c r="K380" s="128"/>
      <c r="L380" s="78"/>
    </row>
    <row r="381" spans="2:12" x14ac:dyDescent="0.3">
      <c r="B381" s="127"/>
      <c r="C381" s="128"/>
      <c r="D381" s="128"/>
      <c r="E381" s="128"/>
      <c r="F381" s="128"/>
      <c r="G381" s="128"/>
      <c r="H381" s="127"/>
      <c r="I381" s="128"/>
      <c r="J381" s="128"/>
      <c r="K381" s="128"/>
      <c r="L381" s="78"/>
    </row>
    <row r="382" spans="2:12" x14ac:dyDescent="0.3">
      <c r="B382" s="127"/>
      <c r="C382" s="128"/>
      <c r="D382" s="128"/>
      <c r="E382" s="128"/>
      <c r="F382" s="128"/>
      <c r="G382" s="128"/>
      <c r="H382" s="127"/>
      <c r="I382" s="128"/>
      <c r="J382" s="128"/>
      <c r="K382" s="128"/>
      <c r="L382" s="78"/>
    </row>
    <row r="383" spans="2:12" x14ac:dyDescent="0.3">
      <c r="B383" s="127"/>
      <c r="C383" s="128"/>
      <c r="D383" s="128"/>
      <c r="E383" s="128"/>
      <c r="F383" s="128"/>
      <c r="G383" s="128"/>
      <c r="H383" s="127"/>
      <c r="I383" s="128"/>
      <c r="J383" s="128"/>
      <c r="K383" s="128"/>
      <c r="L383" s="78"/>
    </row>
    <row r="384" spans="2:12" x14ac:dyDescent="0.3">
      <c r="B384" s="127"/>
      <c r="C384" s="128"/>
      <c r="D384" s="128"/>
      <c r="E384" s="128"/>
      <c r="F384" s="128"/>
      <c r="G384" s="128"/>
      <c r="H384" s="127"/>
      <c r="I384" s="128"/>
      <c r="J384" s="128"/>
      <c r="K384" s="128"/>
      <c r="L384" s="78"/>
    </row>
    <row r="385" spans="2:12" x14ac:dyDescent="0.3">
      <c r="L385" s="78"/>
    </row>
    <row r="386" spans="2:12" x14ac:dyDescent="0.3">
      <c r="B386" s="127"/>
      <c r="C386" s="128"/>
      <c r="D386" s="128"/>
      <c r="E386" s="128"/>
      <c r="F386" s="128"/>
      <c r="G386" s="128"/>
      <c r="H386" s="127"/>
      <c r="I386" s="128"/>
      <c r="J386" s="128"/>
      <c r="K386" s="128"/>
      <c r="L386" s="78"/>
    </row>
    <row r="387" spans="2:12" x14ac:dyDescent="0.3">
      <c r="B387" s="127"/>
      <c r="C387" s="128"/>
      <c r="D387" s="128"/>
      <c r="E387" s="128"/>
      <c r="F387" s="128"/>
      <c r="G387" s="128"/>
      <c r="H387" s="127"/>
      <c r="I387" s="128"/>
      <c r="J387" s="128"/>
      <c r="K387" s="128"/>
      <c r="L387" s="78"/>
    </row>
    <row r="388" spans="2:12" x14ac:dyDescent="0.3">
      <c r="L388" s="78"/>
    </row>
    <row r="389" spans="2:12" x14ac:dyDescent="0.3">
      <c r="B389" s="127"/>
      <c r="C389" s="128"/>
      <c r="D389" s="128"/>
      <c r="E389" s="128"/>
      <c r="F389" s="128"/>
      <c r="G389" s="128"/>
      <c r="H389" s="127"/>
      <c r="I389" s="128"/>
      <c r="J389" s="128"/>
      <c r="K389" s="128"/>
      <c r="L389" s="78"/>
    </row>
    <row r="390" spans="2:12" x14ac:dyDescent="0.3">
      <c r="L390" s="78"/>
    </row>
    <row r="391" spans="2:12" x14ac:dyDescent="0.3">
      <c r="B391" s="127"/>
      <c r="C391" s="128"/>
      <c r="D391" s="128"/>
      <c r="E391" s="128"/>
      <c r="F391" s="128"/>
      <c r="G391" s="128"/>
      <c r="H391" s="127"/>
      <c r="I391" s="128"/>
      <c r="J391" s="128"/>
      <c r="K391" s="128"/>
      <c r="L391" s="78"/>
    </row>
    <row r="392" spans="2:12" x14ac:dyDescent="0.3">
      <c r="B392" s="127"/>
      <c r="C392" s="128"/>
      <c r="D392" s="128"/>
      <c r="E392" s="128"/>
      <c r="F392" s="128"/>
      <c r="G392" s="128"/>
      <c r="H392" s="127"/>
      <c r="I392" s="128"/>
      <c r="J392" s="128"/>
      <c r="K392" s="128"/>
      <c r="L392" s="78"/>
    </row>
    <row r="393" spans="2:12" x14ac:dyDescent="0.3">
      <c r="B393" s="127"/>
      <c r="C393" s="128"/>
      <c r="D393" s="128"/>
      <c r="E393" s="128"/>
      <c r="F393" s="128"/>
      <c r="G393" s="128"/>
      <c r="H393" s="127"/>
      <c r="I393" s="128"/>
      <c r="J393" s="128"/>
      <c r="K393" s="128"/>
      <c r="L393" s="78"/>
    </row>
    <row r="394" spans="2:12" x14ac:dyDescent="0.3">
      <c r="B394" s="127"/>
      <c r="C394" s="128"/>
      <c r="D394" s="128"/>
      <c r="E394" s="128"/>
      <c r="F394" s="128"/>
      <c r="G394" s="128"/>
      <c r="H394" s="127"/>
      <c r="I394" s="128"/>
      <c r="J394" s="128"/>
      <c r="K394" s="128"/>
      <c r="L394" s="78"/>
    </row>
    <row r="395" spans="2:12" x14ac:dyDescent="0.3">
      <c r="B395" s="127"/>
      <c r="C395" s="128"/>
      <c r="D395" s="128"/>
      <c r="E395" s="128"/>
      <c r="F395" s="128"/>
      <c r="G395" s="128"/>
      <c r="H395" s="127"/>
      <c r="I395" s="128"/>
      <c r="J395" s="128"/>
      <c r="K395" s="128"/>
      <c r="L395" s="78"/>
    </row>
    <row r="396" spans="2:12" x14ac:dyDescent="0.3">
      <c r="B396" s="127"/>
      <c r="C396" s="128"/>
      <c r="D396" s="128"/>
      <c r="E396" s="128"/>
      <c r="F396" s="128"/>
      <c r="G396" s="128"/>
      <c r="H396" s="127"/>
      <c r="I396" s="128"/>
      <c r="J396" s="128"/>
      <c r="K396" s="128"/>
      <c r="L396" s="78"/>
    </row>
    <row r="397" spans="2:12" x14ac:dyDescent="0.3">
      <c r="B397" s="127"/>
      <c r="C397" s="128"/>
      <c r="D397" s="128"/>
      <c r="E397" s="128"/>
      <c r="F397" s="128"/>
      <c r="G397" s="128"/>
      <c r="H397" s="127"/>
      <c r="I397" s="128"/>
      <c r="J397" s="128"/>
      <c r="K397" s="128"/>
      <c r="L397" s="78"/>
    </row>
    <row r="398" spans="2:12" x14ac:dyDescent="0.3">
      <c r="B398" s="127"/>
      <c r="C398" s="128"/>
      <c r="D398" s="128"/>
      <c r="E398" s="128"/>
      <c r="F398" s="128"/>
      <c r="G398" s="128"/>
      <c r="H398" s="127"/>
      <c r="I398" s="128"/>
      <c r="J398" s="128"/>
      <c r="K398" s="128"/>
      <c r="L398" s="78"/>
    </row>
    <row r="399" spans="2:12" x14ac:dyDescent="0.3">
      <c r="B399" s="127"/>
      <c r="C399" s="128"/>
      <c r="D399" s="128"/>
      <c r="E399" s="128"/>
      <c r="F399" s="128"/>
      <c r="G399" s="128"/>
      <c r="H399" s="127"/>
      <c r="I399" s="128"/>
      <c r="J399" s="128"/>
      <c r="K399" s="128"/>
      <c r="L399" s="78"/>
    </row>
    <row r="400" spans="2:12" x14ac:dyDescent="0.3">
      <c r="B400" s="127"/>
      <c r="C400" s="128"/>
      <c r="D400" s="128"/>
      <c r="E400" s="128"/>
      <c r="F400" s="128"/>
      <c r="G400" s="128"/>
      <c r="H400" s="127"/>
      <c r="I400" s="128"/>
      <c r="J400" s="128"/>
      <c r="K400" s="128"/>
      <c r="L400" s="78"/>
    </row>
    <row r="401" spans="2:12" x14ac:dyDescent="0.3">
      <c r="B401" s="127"/>
      <c r="C401" s="128"/>
      <c r="D401" s="128"/>
      <c r="E401" s="128"/>
      <c r="F401" s="128"/>
      <c r="G401" s="128"/>
      <c r="H401" s="127"/>
      <c r="I401" s="128"/>
      <c r="J401" s="128"/>
      <c r="K401" s="128"/>
      <c r="L401" s="78"/>
    </row>
    <row r="402" spans="2:12" x14ac:dyDescent="0.3">
      <c r="B402" s="127"/>
      <c r="C402" s="128"/>
      <c r="D402" s="128"/>
      <c r="E402" s="128"/>
      <c r="F402" s="128"/>
      <c r="G402" s="128"/>
      <c r="H402" s="127"/>
      <c r="I402" s="128"/>
      <c r="J402" s="128"/>
      <c r="K402" s="128"/>
      <c r="L402" s="78"/>
    </row>
    <row r="403" spans="2:12" x14ac:dyDescent="0.3">
      <c r="B403" s="127"/>
      <c r="C403" s="128"/>
      <c r="D403" s="128"/>
      <c r="E403" s="128"/>
      <c r="F403" s="128"/>
      <c r="G403" s="128"/>
      <c r="H403" s="127"/>
      <c r="I403" s="128"/>
      <c r="J403" s="128"/>
      <c r="K403" s="128"/>
      <c r="L403" s="78"/>
    </row>
    <row r="404" spans="2:12" x14ac:dyDescent="0.3">
      <c r="L404" s="78"/>
    </row>
    <row r="405" spans="2:12" x14ac:dyDescent="0.3">
      <c r="B405" s="127"/>
      <c r="C405" s="128"/>
      <c r="D405" s="128"/>
      <c r="E405" s="128"/>
      <c r="F405" s="128"/>
      <c r="G405" s="128"/>
      <c r="H405" s="127"/>
      <c r="I405" s="128"/>
      <c r="J405" s="128"/>
      <c r="K405" s="128"/>
      <c r="L405" s="78"/>
    </row>
    <row r="406" spans="2:12" x14ac:dyDescent="0.3">
      <c r="B406" s="127"/>
      <c r="C406" s="128"/>
      <c r="D406" s="128"/>
      <c r="E406" s="128"/>
      <c r="F406" s="128"/>
      <c r="G406" s="128"/>
      <c r="H406" s="127"/>
      <c r="I406" s="128"/>
      <c r="J406" s="128"/>
      <c r="K406" s="128"/>
      <c r="L406" s="78"/>
    </row>
    <row r="407" spans="2:12" x14ac:dyDescent="0.3">
      <c r="B407" s="127"/>
      <c r="C407" s="128"/>
      <c r="D407" s="128"/>
      <c r="E407" s="128"/>
      <c r="F407" s="128"/>
      <c r="G407" s="128"/>
      <c r="H407" s="127"/>
      <c r="I407" s="128"/>
      <c r="J407" s="128"/>
      <c r="K407" s="128"/>
      <c r="L407" s="78"/>
    </row>
    <row r="408" spans="2:12" x14ac:dyDescent="0.3">
      <c r="B408" s="127"/>
      <c r="C408" s="128"/>
      <c r="D408" s="128"/>
      <c r="E408" s="128"/>
      <c r="F408" s="128"/>
      <c r="G408" s="128"/>
      <c r="H408" s="127"/>
      <c r="I408" s="128"/>
      <c r="J408" s="128"/>
      <c r="K408" s="128"/>
      <c r="L408" s="78"/>
    </row>
    <row r="409" spans="2:12" x14ac:dyDescent="0.3">
      <c r="L409" s="78"/>
    </row>
    <row r="410" spans="2:12" x14ac:dyDescent="0.3">
      <c r="B410" s="127"/>
      <c r="C410" s="128"/>
      <c r="D410" s="128"/>
      <c r="E410" s="128"/>
      <c r="F410" s="128"/>
      <c r="G410" s="128"/>
      <c r="H410" s="127"/>
      <c r="I410" s="128"/>
      <c r="J410" s="128"/>
      <c r="K410" s="128"/>
      <c r="L410" s="78"/>
    </row>
    <row r="411" spans="2:12" x14ac:dyDescent="0.3">
      <c r="L411" s="78"/>
    </row>
    <row r="412" spans="2:12" x14ac:dyDescent="0.3">
      <c r="B412" s="127"/>
      <c r="C412" s="128"/>
      <c r="D412" s="128"/>
      <c r="E412" s="128"/>
      <c r="F412" s="128"/>
      <c r="G412" s="128"/>
      <c r="H412" s="127"/>
      <c r="I412" s="128"/>
      <c r="J412" s="128"/>
      <c r="K412" s="128"/>
      <c r="L412" s="78"/>
    </row>
    <row r="413" spans="2:12" x14ac:dyDescent="0.3">
      <c r="L413" s="78"/>
    </row>
    <row r="414" spans="2:12" x14ac:dyDescent="0.3">
      <c r="B414" s="127"/>
      <c r="C414" s="128"/>
      <c r="D414" s="128"/>
      <c r="E414" s="128"/>
      <c r="F414" s="128"/>
      <c r="G414" s="128"/>
      <c r="H414" s="127"/>
      <c r="I414" s="128"/>
      <c r="J414" s="128"/>
      <c r="K414" s="128"/>
      <c r="L414" s="78"/>
    </row>
    <row r="415" spans="2:12" x14ac:dyDescent="0.3">
      <c r="L415" s="78"/>
    </row>
    <row r="416" spans="2:12" x14ac:dyDescent="0.3">
      <c r="B416" s="127"/>
      <c r="C416" s="128"/>
      <c r="D416" s="128"/>
      <c r="E416" s="128"/>
      <c r="F416" s="128"/>
      <c r="G416" s="128"/>
      <c r="H416" s="127"/>
      <c r="I416" s="128"/>
      <c r="J416" s="128"/>
      <c r="K416" s="128"/>
      <c r="L416" s="78"/>
    </row>
    <row r="417" spans="2:12" x14ac:dyDescent="0.3">
      <c r="L417" s="78"/>
    </row>
    <row r="418" spans="2:12" x14ac:dyDescent="0.3">
      <c r="B418" s="127"/>
      <c r="C418" s="128"/>
      <c r="D418" s="128"/>
      <c r="E418" s="128"/>
      <c r="F418" s="128"/>
      <c r="G418" s="128"/>
      <c r="H418" s="127"/>
      <c r="I418" s="128"/>
      <c r="J418" s="128"/>
      <c r="K418" s="128"/>
      <c r="L418" s="78"/>
    </row>
    <row r="419" spans="2:12" x14ac:dyDescent="0.3">
      <c r="L419" s="78"/>
    </row>
    <row r="420" spans="2:12" x14ac:dyDescent="0.3">
      <c r="B420" s="127"/>
      <c r="C420" s="128"/>
      <c r="D420" s="128"/>
      <c r="E420" s="128"/>
      <c r="F420" s="128"/>
      <c r="G420" s="128"/>
      <c r="H420" s="127"/>
      <c r="I420" s="128"/>
      <c r="J420" s="128"/>
      <c r="K420" s="128"/>
      <c r="L420" s="78"/>
    </row>
    <row r="421" spans="2:12" x14ac:dyDescent="0.3">
      <c r="B421" s="127"/>
      <c r="C421" s="128"/>
      <c r="D421" s="128"/>
      <c r="E421" s="128"/>
      <c r="F421" s="128"/>
      <c r="G421" s="128"/>
      <c r="H421" s="127"/>
      <c r="I421" s="128"/>
      <c r="J421" s="128"/>
      <c r="K421" s="128"/>
      <c r="L421" s="78"/>
    </row>
    <row r="422" spans="2:12" x14ac:dyDescent="0.3">
      <c r="L422" s="78"/>
    </row>
    <row r="423" spans="2:12" x14ac:dyDescent="0.3">
      <c r="B423" s="127"/>
      <c r="C423" s="128"/>
      <c r="D423" s="128"/>
      <c r="E423" s="128"/>
      <c r="F423" s="128"/>
      <c r="G423" s="128"/>
      <c r="H423" s="127"/>
      <c r="I423" s="128"/>
      <c r="J423" s="128"/>
      <c r="K423" s="128"/>
      <c r="L423" s="78"/>
    </row>
    <row r="424" spans="2:12" x14ac:dyDescent="0.3">
      <c r="L424" s="78"/>
    </row>
    <row r="425" spans="2:12" x14ac:dyDescent="0.3">
      <c r="B425" s="127"/>
      <c r="C425" s="128"/>
      <c r="D425" s="128"/>
      <c r="E425" s="128"/>
      <c r="F425" s="128"/>
      <c r="G425" s="128"/>
      <c r="H425" s="127"/>
      <c r="I425" s="128"/>
      <c r="J425" s="128"/>
      <c r="K425" s="128"/>
      <c r="L425" s="78"/>
    </row>
    <row r="426" spans="2:12" x14ac:dyDescent="0.3">
      <c r="B426" s="127"/>
      <c r="C426" s="128"/>
      <c r="D426" s="128"/>
      <c r="E426" s="128"/>
      <c r="F426" s="128"/>
      <c r="G426" s="128"/>
      <c r="H426" s="127"/>
      <c r="I426" s="128"/>
      <c r="J426" s="128"/>
      <c r="K426" s="128"/>
      <c r="L426" s="78"/>
    </row>
    <row r="427" spans="2:12" x14ac:dyDescent="0.3">
      <c r="B427" s="127"/>
      <c r="C427" s="128"/>
      <c r="D427" s="128"/>
      <c r="E427" s="128"/>
      <c r="F427" s="128"/>
      <c r="G427" s="128"/>
      <c r="H427" s="127"/>
      <c r="I427" s="128"/>
      <c r="J427" s="128"/>
      <c r="K427" s="128"/>
      <c r="L427" s="78"/>
    </row>
    <row r="428" spans="2:12" x14ac:dyDescent="0.3">
      <c r="B428" s="127"/>
      <c r="C428" s="128"/>
      <c r="D428" s="128"/>
      <c r="E428" s="128"/>
      <c r="F428" s="128"/>
      <c r="G428" s="128"/>
      <c r="H428" s="127"/>
      <c r="I428" s="128"/>
      <c r="J428" s="128"/>
      <c r="K428" s="128"/>
      <c r="L428" s="78"/>
    </row>
    <row r="429" spans="2:12" x14ac:dyDescent="0.3">
      <c r="B429" s="127"/>
      <c r="C429" s="128"/>
      <c r="D429" s="128"/>
      <c r="E429" s="128"/>
      <c r="F429" s="128"/>
      <c r="G429" s="128"/>
      <c r="H429" s="127"/>
      <c r="I429" s="128"/>
      <c r="J429" s="128"/>
      <c r="K429" s="128"/>
      <c r="L429" s="78"/>
    </row>
    <row r="430" spans="2:12" x14ac:dyDescent="0.3">
      <c r="B430" s="127"/>
      <c r="C430" s="128"/>
      <c r="D430" s="128"/>
      <c r="E430" s="128"/>
      <c r="F430" s="128"/>
      <c r="G430" s="128"/>
      <c r="H430" s="127"/>
      <c r="I430" s="128"/>
      <c r="J430" s="128"/>
      <c r="K430" s="128"/>
      <c r="L430" s="78"/>
    </row>
    <row r="431" spans="2:12" x14ac:dyDescent="0.3">
      <c r="B431" s="127"/>
      <c r="C431" s="128"/>
      <c r="D431" s="128"/>
      <c r="E431" s="128"/>
      <c r="F431" s="128"/>
      <c r="G431" s="128"/>
      <c r="H431" s="127"/>
      <c r="I431" s="128"/>
      <c r="J431" s="128"/>
      <c r="K431" s="128"/>
      <c r="L431" s="78"/>
    </row>
    <row r="432" spans="2:12" x14ac:dyDescent="0.3">
      <c r="B432" s="127"/>
      <c r="C432" s="128"/>
      <c r="D432" s="128"/>
      <c r="E432" s="128"/>
      <c r="F432" s="128"/>
      <c r="G432" s="128"/>
      <c r="H432" s="127"/>
      <c r="I432" s="128"/>
      <c r="J432" s="128"/>
      <c r="K432" s="128"/>
      <c r="L432" s="78"/>
    </row>
    <row r="433" spans="2:12" x14ac:dyDescent="0.3">
      <c r="B433" s="127"/>
      <c r="C433" s="128"/>
      <c r="D433" s="128"/>
      <c r="E433" s="128"/>
      <c r="F433" s="128"/>
      <c r="G433" s="128"/>
      <c r="H433" s="127"/>
      <c r="I433" s="128"/>
      <c r="J433" s="128"/>
      <c r="K433" s="128"/>
      <c r="L433" s="78"/>
    </row>
    <row r="434" spans="2:12" x14ac:dyDescent="0.3">
      <c r="L434" s="78"/>
    </row>
    <row r="435" spans="2:12" x14ac:dyDescent="0.3">
      <c r="B435" s="127"/>
      <c r="C435" s="128"/>
      <c r="D435" s="128"/>
      <c r="E435" s="128"/>
      <c r="F435" s="128"/>
      <c r="G435" s="128"/>
      <c r="H435" s="127"/>
      <c r="I435" s="128"/>
      <c r="J435" s="128"/>
      <c r="K435" s="128"/>
      <c r="L435" s="78"/>
    </row>
    <row r="436" spans="2:12" x14ac:dyDescent="0.3">
      <c r="L436" s="78"/>
    </row>
    <row r="437" spans="2:12" x14ac:dyDescent="0.3">
      <c r="B437" s="127"/>
      <c r="C437" s="128"/>
      <c r="D437" s="128"/>
      <c r="E437" s="128"/>
      <c r="F437" s="128"/>
      <c r="G437" s="128"/>
      <c r="H437" s="127"/>
      <c r="I437" s="128"/>
      <c r="J437" s="128"/>
      <c r="K437" s="128"/>
      <c r="L437" s="78"/>
    </row>
    <row r="438" spans="2:12" x14ac:dyDescent="0.3">
      <c r="L438" s="78"/>
    </row>
    <row r="439" spans="2:12" x14ac:dyDescent="0.3">
      <c r="B439" s="127"/>
      <c r="C439" s="128"/>
      <c r="D439" s="128"/>
      <c r="E439" s="128"/>
      <c r="F439" s="128"/>
      <c r="G439" s="128"/>
      <c r="H439" s="127"/>
      <c r="I439" s="128"/>
      <c r="J439" s="128"/>
      <c r="K439" s="128"/>
      <c r="L439" s="78"/>
    </row>
    <row r="440" spans="2:12" x14ac:dyDescent="0.3">
      <c r="B440" s="127"/>
      <c r="C440" s="128"/>
      <c r="D440" s="128"/>
      <c r="E440" s="128"/>
      <c r="F440" s="128"/>
      <c r="G440" s="128"/>
      <c r="H440" s="127"/>
      <c r="I440" s="128"/>
      <c r="J440" s="128"/>
      <c r="K440" s="128"/>
      <c r="L440" s="78"/>
    </row>
    <row r="441" spans="2:12" x14ac:dyDescent="0.3">
      <c r="L441" s="78"/>
    </row>
    <row r="442" spans="2:12" x14ac:dyDescent="0.3">
      <c r="B442" s="127"/>
      <c r="C442" s="128"/>
      <c r="D442" s="128"/>
      <c r="E442" s="128"/>
      <c r="F442" s="128"/>
      <c r="G442" s="128"/>
      <c r="H442" s="127"/>
      <c r="I442" s="128"/>
      <c r="J442" s="128"/>
      <c r="K442" s="128"/>
      <c r="L442" s="78"/>
    </row>
    <row r="443" spans="2:12" x14ac:dyDescent="0.3">
      <c r="B443" s="127"/>
      <c r="C443" s="128"/>
      <c r="D443" s="128"/>
      <c r="E443" s="128"/>
      <c r="F443" s="128"/>
      <c r="G443" s="128"/>
      <c r="H443" s="127"/>
      <c r="I443" s="128"/>
      <c r="J443" s="128"/>
      <c r="K443" s="128"/>
      <c r="L443" s="78"/>
    </row>
    <row r="444" spans="2:12" x14ac:dyDescent="0.3">
      <c r="B444" s="127"/>
      <c r="C444" s="128"/>
      <c r="D444" s="128"/>
      <c r="E444" s="128"/>
      <c r="F444" s="128"/>
      <c r="G444" s="128"/>
      <c r="H444" s="127"/>
      <c r="I444" s="128"/>
      <c r="J444" s="128"/>
      <c r="K444" s="128"/>
      <c r="L444" s="78"/>
    </row>
    <row r="445" spans="2:12" x14ac:dyDescent="0.3">
      <c r="B445" s="127"/>
      <c r="C445" s="128"/>
      <c r="D445" s="128"/>
      <c r="E445" s="128"/>
      <c r="F445" s="128"/>
      <c r="G445" s="128"/>
      <c r="H445" s="127"/>
      <c r="I445" s="128"/>
      <c r="J445" s="128"/>
      <c r="K445" s="128"/>
      <c r="L445" s="78"/>
    </row>
    <row r="446" spans="2:12" x14ac:dyDescent="0.3">
      <c r="B446" s="127"/>
      <c r="C446" s="128"/>
      <c r="D446" s="128"/>
      <c r="E446" s="128"/>
      <c r="F446" s="128"/>
      <c r="G446" s="128"/>
      <c r="H446" s="127"/>
      <c r="I446" s="128"/>
      <c r="J446" s="128"/>
      <c r="K446" s="128"/>
      <c r="L446" s="78"/>
    </row>
    <row r="447" spans="2:12" x14ac:dyDescent="0.3">
      <c r="B447" s="127"/>
      <c r="C447" s="128"/>
      <c r="D447" s="128"/>
      <c r="E447" s="128"/>
      <c r="F447" s="128"/>
      <c r="G447" s="128"/>
      <c r="H447" s="127"/>
      <c r="I447" s="128"/>
      <c r="J447" s="128"/>
      <c r="K447" s="128"/>
      <c r="L447" s="78"/>
    </row>
    <row r="448" spans="2:12" x14ac:dyDescent="0.3">
      <c r="B448" s="127"/>
      <c r="C448" s="128"/>
      <c r="D448" s="128"/>
      <c r="E448" s="128"/>
      <c r="F448" s="128"/>
      <c r="G448" s="128"/>
      <c r="H448" s="127"/>
      <c r="I448" s="128"/>
      <c r="J448" s="128"/>
      <c r="K448" s="128"/>
      <c r="L448" s="78"/>
    </row>
    <row r="449" spans="2:12" x14ac:dyDescent="0.3">
      <c r="B449" s="127"/>
      <c r="C449" s="128"/>
      <c r="D449" s="128"/>
      <c r="E449" s="128"/>
      <c r="F449" s="128"/>
      <c r="G449" s="128"/>
      <c r="H449" s="127"/>
      <c r="I449" s="128"/>
      <c r="J449" s="128"/>
      <c r="K449" s="128"/>
      <c r="L449" s="78"/>
    </row>
    <row r="450" spans="2:12" x14ac:dyDescent="0.3">
      <c r="B450" s="127"/>
      <c r="C450" s="128"/>
      <c r="D450" s="128"/>
      <c r="E450" s="128"/>
      <c r="F450" s="128"/>
      <c r="G450" s="128"/>
      <c r="H450" s="127"/>
      <c r="I450" s="128"/>
      <c r="J450" s="128"/>
      <c r="K450" s="128"/>
      <c r="L450" s="78"/>
    </row>
    <row r="451" spans="2:12" x14ac:dyDescent="0.3">
      <c r="B451" s="127"/>
      <c r="C451" s="128"/>
      <c r="D451" s="128"/>
      <c r="E451" s="128"/>
      <c r="F451" s="128"/>
      <c r="G451" s="128"/>
      <c r="H451" s="127"/>
      <c r="I451" s="128"/>
      <c r="J451" s="128"/>
      <c r="K451" s="128"/>
      <c r="L451" s="78"/>
    </row>
    <row r="452" spans="2:12" x14ac:dyDescent="0.3">
      <c r="B452" s="127"/>
      <c r="C452" s="128"/>
      <c r="D452" s="128"/>
      <c r="E452" s="128"/>
      <c r="F452" s="128"/>
      <c r="G452" s="128"/>
      <c r="H452" s="127"/>
      <c r="I452" s="128"/>
      <c r="J452" s="128"/>
      <c r="K452" s="128"/>
      <c r="L452" s="78"/>
    </row>
    <row r="453" spans="2:12" x14ac:dyDescent="0.3">
      <c r="B453" s="127"/>
      <c r="C453" s="128"/>
      <c r="D453" s="128"/>
      <c r="E453" s="128"/>
      <c r="F453" s="128"/>
      <c r="G453" s="128"/>
      <c r="H453" s="127"/>
      <c r="I453" s="128"/>
      <c r="J453" s="128"/>
      <c r="K453" s="128"/>
      <c r="L453" s="78"/>
    </row>
    <row r="454" spans="2:12" x14ac:dyDescent="0.3">
      <c r="B454" s="127"/>
      <c r="C454" s="128"/>
      <c r="D454" s="128"/>
      <c r="E454" s="128"/>
      <c r="F454" s="128"/>
      <c r="G454" s="128"/>
      <c r="H454" s="127"/>
      <c r="I454" s="128"/>
      <c r="J454" s="128"/>
      <c r="K454" s="128"/>
      <c r="L454" s="78"/>
    </row>
    <row r="455" spans="2:12" x14ac:dyDescent="0.3">
      <c r="L455" s="78"/>
    </row>
    <row r="456" spans="2:12" x14ac:dyDescent="0.3">
      <c r="B456" s="127"/>
      <c r="C456" s="128"/>
      <c r="D456" s="128"/>
      <c r="E456" s="128"/>
      <c r="F456" s="128"/>
      <c r="G456" s="128"/>
      <c r="H456" s="127"/>
      <c r="I456" s="128"/>
      <c r="J456" s="128"/>
      <c r="K456" s="128"/>
      <c r="L456" s="78"/>
    </row>
    <row r="457" spans="2:12" x14ac:dyDescent="0.3">
      <c r="B457" s="127"/>
      <c r="C457" s="128"/>
      <c r="D457" s="128"/>
      <c r="E457" s="128"/>
      <c r="F457" s="128"/>
      <c r="G457" s="128"/>
      <c r="H457" s="127"/>
      <c r="I457" s="128"/>
      <c r="J457" s="128"/>
      <c r="K457" s="128"/>
      <c r="L457" s="78"/>
    </row>
    <row r="458" spans="2:12" x14ac:dyDescent="0.3">
      <c r="L458" s="78"/>
    </row>
    <row r="459" spans="2:12" x14ac:dyDescent="0.3">
      <c r="B459" s="127"/>
      <c r="C459" s="128"/>
      <c r="D459" s="128"/>
      <c r="E459" s="128"/>
      <c r="F459" s="128"/>
      <c r="G459" s="128"/>
      <c r="H459" s="127"/>
      <c r="I459" s="128"/>
      <c r="J459" s="128"/>
      <c r="K459" s="128"/>
      <c r="L459" s="78"/>
    </row>
    <row r="460" spans="2:12" x14ac:dyDescent="0.3">
      <c r="L460" s="78"/>
    </row>
    <row r="461" spans="2:12" x14ac:dyDescent="0.3">
      <c r="B461" s="127"/>
      <c r="C461" s="128"/>
      <c r="D461" s="128"/>
      <c r="E461" s="128"/>
      <c r="F461" s="128"/>
      <c r="G461" s="128"/>
      <c r="H461" s="127"/>
      <c r="I461" s="128"/>
      <c r="J461" s="128"/>
      <c r="K461" s="128"/>
      <c r="L461" s="78"/>
    </row>
    <row r="462" spans="2:12" x14ac:dyDescent="0.3">
      <c r="L462" s="78"/>
    </row>
    <row r="463" spans="2:12" x14ac:dyDescent="0.3">
      <c r="B463" s="127"/>
      <c r="C463" s="128"/>
      <c r="D463" s="128"/>
      <c r="E463" s="128"/>
      <c r="F463" s="128"/>
      <c r="G463" s="128"/>
      <c r="H463" s="127"/>
      <c r="I463" s="128"/>
      <c r="J463" s="128"/>
      <c r="K463" s="128"/>
      <c r="L463" s="78"/>
    </row>
    <row r="464" spans="2:12" x14ac:dyDescent="0.3">
      <c r="L464" s="78"/>
    </row>
    <row r="465" spans="2:12" x14ac:dyDescent="0.3">
      <c r="B465" s="127"/>
      <c r="C465" s="128"/>
      <c r="D465" s="128"/>
      <c r="E465" s="128"/>
      <c r="F465" s="128"/>
      <c r="G465" s="128"/>
      <c r="H465" s="127"/>
      <c r="I465" s="128"/>
      <c r="J465" s="128"/>
      <c r="K465" s="128"/>
      <c r="L465" s="78"/>
    </row>
    <row r="466" spans="2:12" x14ac:dyDescent="0.3">
      <c r="L466" s="78"/>
    </row>
    <row r="467" spans="2:12" x14ac:dyDescent="0.3">
      <c r="B467" s="127"/>
      <c r="C467" s="128"/>
      <c r="D467" s="128"/>
      <c r="E467" s="128"/>
      <c r="F467" s="128"/>
      <c r="G467" s="128"/>
      <c r="H467" s="127"/>
      <c r="I467" s="128"/>
      <c r="J467" s="128"/>
      <c r="K467" s="128"/>
      <c r="L467" s="78"/>
    </row>
    <row r="468" spans="2:12" x14ac:dyDescent="0.3">
      <c r="L468" s="78"/>
    </row>
    <row r="469" spans="2:12" x14ac:dyDescent="0.3">
      <c r="B469" s="127"/>
      <c r="C469" s="128"/>
      <c r="D469" s="128"/>
      <c r="E469" s="128"/>
      <c r="F469" s="128"/>
      <c r="G469" s="128"/>
      <c r="H469" s="127"/>
      <c r="I469" s="128"/>
      <c r="J469" s="128"/>
      <c r="K469" s="128"/>
      <c r="L469" s="78"/>
    </row>
    <row r="470" spans="2:12" x14ac:dyDescent="0.3">
      <c r="L470" s="78"/>
    </row>
    <row r="471" spans="2:12" x14ac:dyDescent="0.3">
      <c r="B471" s="127"/>
      <c r="C471" s="128"/>
      <c r="D471" s="128"/>
      <c r="E471" s="128"/>
      <c r="F471" s="128"/>
      <c r="G471" s="128"/>
      <c r="H471" s="127"/>
      <c r="I471" s="128"/>
      <c r="J471" s="128"/>
      <c r="K471" s="128"/>
      <c r="L471" s="78"/>
    </row>
    <row r="472" spans="2:12" x14ac:dyDescent="0.3">
      <c r="B472" s="127"/>
      <c r="C472" s="128"/>
      <c r="D472" s="128"/>
      <c r="E472" s="128"/>
      <c r="F472" s="128"/>
      <c r="G472" s="128"/>
      <c r="H472" s="127"/>
      <c r="I472" s="128"/>
      <c r="J472" s="128"/>
      <c r="K472" s="128"/>
      <c r="L472" s="78"/>
    </row>
    <row r="473" spans="2:12" x14ac:dyDescent="0.3">
      <c r="B473" s="127"/>
      <c r="C473" s="128"/>
      <c r="D473" s="128"/>
      <c r="E473" s="128"/>
      <c r="F473" s="128"/>
      <c r="G473" s="128"/>
      <c r="H473" s="127"/>
      <c r="I473" s="128"/>
      <c r="J473" s="128"/>
      <c r="K473" s="128"/>
      <c r="L473" s="78"/>
    </row>
    <row r="474" spans="2:12" x14ac:dyDescent="0.3">
      <c r="B474" s="127"/>
      <c r="C474" s="128"/>
      <c r="D474" s="128"/>
      <c r="E474" s="128"/>
      <c r="F474" s="128"/>
      <c r="G474" s="128"/>
      <c r="H474" s="127"/>
      <c r="I474" s="128"/>
      <c r="J474" s="128"/>
      <c r="K474" s="128"/>
      <c r="L474" s="78"/>
    </row>
    <row r="475" spans="2:12" x14ac:dyDescent="0.3">
      <c r="B475" s="127"/>
      <c r="C475" s="128"/>
      <c r="D475" s="128"/>
      <c r="E475" s="128"/>
      <c r="F475" s="128"/>
      <c r="G475" s="128"/>
      <c r="H475" s="127"/>
      <c r="I475" s="128"/>
      <c r="J475" s="128"/>
      <c r="K475" s="128"/>
      <c r="L475" s="78"/>
    </row>
    <row r="476" spans="2:12" x14ac:dyDescent="0.3">
      <c r="L476" s="78"/>
    </row>
    <row r="477" spans="2:12" x14ac:dyDescent="0.3">
      <c r="B477" s="127"/>
      <c r="C477" s="128"/>
      <c r="D477" s="128"/>
      <c r="E477" s="128"/>
      <c r="F477" s="128"/>
      <c r="G477" s="128"/>
      <c r="H477" s="127"/>
      <c r="I477" s="128"/>
      <c r="J477" s="128"/>
      <c r="K477" s="128"/>
      <c r="L477" s="78"/>
    </row>
    <row r="478" spans="2:12" x14ac:dyDescent="0.3">
      <c r="L478" s="78"/>
    </row>
    <row r="479" spans="2:12" x14ac:dyDescent="0.3">
      <c r="B479" s="127"/>
      <c r="C479" s="128"/>
      <c r="D479" s="128"/>
      <c r="E479" s="128"/>
      <c r="F479" s="128"/>
      <c r="G479" s="128"/>
      <c r="H479" s="127"/>
      <c r="I479" s="128"/>
      <c r="J479" s="128"/>
      <c r="K479" s="128"/>
      <c r="L479" s="78"/>
    </row>
    <row r="480" spans="2:12" x14ac:dyDescent="0.3">
      <c r="L480" s="78"/>
    </row>
    <row r="481" spans="2:12" x14ac:dyDescent="0.3">
      <c r="B481" s="127"/>
      <c r="C481" s="128"/>
      <c r="D481" s="128"/>
      <c r="E481" s="128"/>
      <c r="F481" s="128"/>
      <c r="G481" s="128"/>
      <c r="H481" s="127"/>
      <c r="I481" s="128"/>
      <c r="J481" s="128"/>
      <c r="K481" s="128"/>
      <c r="L481" s="78"/>
    </row>
    <row r="482" spans="2:12" x14ac:dyDescent="0.3">
      <c r="B482" s="127"/>
      <c r="C482" s="128"/>
      <c r="D482" s="128"/>
      <c r="E482" s="128"/>
      <c r="F482" s="128"/>
      <c r="G482" s="128"/>
      <c r="H482" s="127"/>
      <c r="I482" s="128"/>
      <c r="J482" s="128"/>
      <c r="K482" s="128"/>
      <c r="L482" s="78"/>
    </row>
    <row r="483" spans="2:12" x14ac:dyDescent="0.3">
      <c r="H483" s="127"/>
      <c r="L483" s="78"/>
    </row>
    <row r="484" spans="2:12" x14ac:dyDescent="0.3">
      <c r="B484" s="127"/>
      <c r="C484" s="128"/>
      <c r="D484" s="128"/>
      <c r="E484" s="128"/>
      <c r="F484" s="128"/>
      <c r="G484" s="128"/>
      <c r="H484" s="127"/>
      <c r="I484" s="128"/>
      <c r="J484" s="128"/>
      <c r="K484" s="128"/>
      <c r="L484" s="78"/>
    </row>
    <row r="485" spans="2:12" x14ac:dyDescent="0.3">
      <c r="H485" s="127"/>
      <c r="L485" s="78"/>
    </row>
    <row r="486" spans="2:12" x14ac:dyDescent="0.3">
      <c r="B486" s="127"/>
      <c r="C486" s="128"/>
      <c r="D486" s="128"/>
      <c r="E486" s="128"/>
      <c r="F486" s="128"/>
      <c r="G486" s="128"/>
      <c r="H486" s="127"/>
      <c r="I486" s="128"/>
      <c r="J486" s="128"/>
      <c r="K486" s="128"/>
      <c r="L486" s="78"/>
    </row>
    <row r="487" spans="2:12" x14ac:dyDescent="0.3">
      <c r="B487" s="127"/>
      <c r="C487" s="128"/>
      <c r="D487" s="128"/>
      <c r="E487" s="128"/>
      <c r="F487" s="128"/>
      <c r="G487" s="128"/>
      <c r="H487" s="127"/>
      <c r="I487" s="128"/>
      <c r="J487" s="128"/>
      <c r="K487" s="128"/>
      <c r="L487" s="78"/>
    </row>
    <row r="488" spans="2:12" x14ac:dyDescent="0.3">
      <c r="L488" s="78"/>
    </row>
    <row r="489" spans="2:12" x14ac:dyDescent="0.3">
      <c r="B489" s="127"/>
      <c r="C489" s="128"/>
      <c r="D489" s="128"/>
      <c r="E489" s="128"/>
      <c r="F489" s="128"/>
      <c r="G489" s="128"/>
      <c r="H489" s="127"/>
      <c r="I489" s="128"/>
      <c r="J489" s="128"/>
      <c r="K489" s="128"/>
      <c r="L489" s="78"/>
    </row>
    <row r="490" spans="2:12" x14ac:dyDescent="0.3">
      <c r="L490" s="78"/>
    </row>
    <row r="491" spans="2:12" x14ac:dyDescent="0.3">
      <c r="B491" s="127"/>
      <c r="C491" s="128"/>
      <c r="D491" s="128"/>
      <c r="E491" s="128"/>
      <c r="F491" s="128"/>
      <c r="G491" s="128"/>
      <c r="H491" s="127"/>
      <c r="I491" s="128"/>
      <c r="J491" s="128"/>
      <c r="K491" s="128"/>
      <c r="L491" s="78"/>
    </row>
    <row r="492" spans="2:12" x14ac:dyDescent="0.3">
      <c r="L492" s="78"/>
    </row>
    <row r="493" spans="2:12" x14ac:dyDescent="0.3">
      <c r="B493" s="127"/>
      <c r="C493" s="128"/>
      <c r="D493" s="128"/>
      <c r="E493" s="128"/>
      <c r="F493" s="128"/>
      <c r="G493" s="128"/>
      <c r="H493" s="127"/>
      <c r="I493" s="128"/>
      <c r="J493" s="128"/>
      <c r="K493" s="128"/>
      <c r="L493" s="78"/>
    </row>
    <row r="494" spans="2:12" x14ac:dyDescent="0.3">
      <c r="B494" s="127"/>
      <c r="C494" s="128"/>
      <c r="D494" s="128"/>
      <c r="E494" s="128"/>
      <c r="F494" s="128"/>
      <c r="G494" s="128"/>
      <c r="H494" s="127"/>
      <c r="I494" s="128"/>
      <c r="J494" s="128"/>
      <c r="K494" s="128"/>
      <c r="L494" s="78"/>
    </row>
    <row r="495" spans="2:12" x14ac:dyDescent="0.3">
      <c r="L495" s="78"/>
    </row>
    <row r="496" spans="2:12" x14ac:dyDescent="0.3">
      <c r="B496" s="127"/>
      <c r="C496" s="128"/>
      <c r="D496" s="128"/>
      <c r="E496" s="128"/>
      <c r="F496" s="128"/>
      <c r="G496" s="128"/>
      <c r="H496" s="127"/>
      <c r="I496" s="128"/>
      <c r="J496" s="128"/>
      <c r="K496" s="128"/>
      <c r="L496" s="78"/>
    </row>
    <row r="497" spans="2:12" x14ac:dyDescent="0.3">
      <c r="L497" s="78"/>
    </row>
    <row r="498" spans="2:12" x14ac:dyDescent="0.3">
      <c r="B498" s="127"/>
      <c r="C498" s="128"/>
      <c r="D498" s="128"/>
      <c r="E498" s="128"/>
      <c r="F498" s="128"/>
      <c r="G498" s="128"/>
      <c r="H498" s="127"/>
      <c r="I498" s="128"/>
      <c r="J498" s="128"/>
      <c r="K498" s="128"/>
      <c r="L498" s="78"/>
    </row>
    <row r="499" spans="2:12" x14ac:dyDescent="0.3">
      <c r="B499" s="127"/>
      <c r="C499" s="128"/>
      <c r="D499" s="128"/>
      <c r="E499" s="128"/>
      <c r="F499" s="128"/>
      <c r="G499" s="128"/>
      <c r="H499" s="127"/>
      <c r="I499" s="128"/>
      <c r="J499" s="128"/>
      <c r="K499" s="128"/>
      <c r="L499" s="78"/>
    </row>
    <row r="500" spans="2:12" x14ac:dyDescent="0.3">
      <c r="B500" s="127"/>
      <c r="C500" s="128"/>
      <c r="D500" s="128"/>
      <c r="E500" s="128"/>
      <c r="F500" s="128"/>
      <c r="G500" s="128"/>
      <c r="H500" s="127"/>
      <c r="I500" s="128"/>
      <c r="J500" s="128"/>
      <c r="K500" s="128"/>
      <c r="L500" s="78"/>
    </row>
    <row r="501" spans="2:12" x14ac:dyDescent="0.3">
      <c r="H501" s="127"/>
      <c r="L501" s="78"/>
    </row>
    <row r="502" spans="2:12" x14ac:dyDescent="0.3">
      <c r="B502" s="127"/>
      <c r="C502" s="128"/>
      <c r="D502" s="128"/>
      <c r="E502" s="128"/>
      <c r="F502" s="128"/>
      <c r="G502" s="128"/>
      <c r="H502" s="127"/>
      <c r="I502" s="128"/>
      <c r="J502" s="128"/>
      <c r="K502" s="128"/>
      <c r="L502" s="78"/>
    </row>
    <row r="503" spans="2:12" x14ac:dyDescent="0.3">
      <c r="H503" s="127"/>
      <c r="L503" s="78"/>
    </row>
    <row r="504" spans="2:12" x14ac:dyDescent="0.3">
      <c r="B504" s="127"/>
      <c r="C504" s="128"/>
      <c r="D504" s="128"/>
      <c r="E504" s="128"/>
      <c r="F504" s="128"/>
      <c r="G504" s="128"/>
      <c r="H504" s="127"/>
      <c r="I504" s="128"/>
      <c r="J504" s="128"/>
      <c r="K504" s="128"/>
      <c r="L504" s="78"/>
    </row>
    <row r="505" spans="2:12" x14ac:dyDescent="0.3">
      <c r="B505" s="127"/>
      <c r="C505" s="128"/>
      <c r="D505" s="128"/>
      <c r="E505" s="128"/>
      <c r="F505" s="128"/>
      <c r="G505" s="128"/>
      <c r="H505" s="127"/>
      <c r="I505" s="128"/>
      <c r="J505" s="128"/>
      <c r="K505" s="128"/>
      <c r="L505" s="78"/>
    </row>
    <row r="506" spans="2:12" x14ac:dyDescent="0.3">
      <c r="B506" s="127"/>
      <c r="C506" s="128"/>
      <c r="D506" s="128"/>
      <c r="E506" s="128"/>
      <c r="F506" s="128"/>
      <c r="G506" s="128"/>
      <c r="H506" s="127"/>
      <c r="I506" s="128"/>
      <c r="J506" s="128"/>
      <c r="K506" s="128"/>
      <c r="L506" s="78"/>
    </row>
    <row r="507" spans="2:12" x14ac:dyDescent="0.3">
      <c r="H507" s="127"/>
      <c r="L507" s="78"/>
    </row>
    <row r="508" spans="2:12" x14ac:dyDescent="0.3">
      <c r="B508" s="127"/>
      <c r="C508" s="128"/>
      <c r="D508" s="128"/>
      <c r="E508" s="128"/>
      <c r="F508" s="128"/>
      <c r="G508" s="128"/>
      <c r="H508" s="127"/>
      <c r="I508" s="128"/>
      <c r="J508" s="128"/>
      <c r="K508" s="128"/>
      <c r="L508" s="78"/>
    </row>
    <row r="509" spans="2:12" x14ac:dyDescent="0.3">
      <c r="H509" s="127"/>
      <c r="L509" s="78"/>
    </row>
    <row r="510" spans="2:12" x14ac:dyDescent="0.3">
      <c r="B510" s="127"/>
      <c r="C510" s="128"/>
      <c r="D510" s="128"/>
      <c r="E510" s="128"/>
      <c r="F510" s="128"/>
      <c r="G510" s="128"/>
      <c r="H510" s="127"/>
      <c r="I510" s="128"/>
      <c r="J510" s="128"/>
      <c r="K510" s="128"/>
      <c r="L510" s="78"/>
    </row>
    <row r="511" spans="2:12" x14ac:dyDescent="0.3">
      <c r="B511" s="127"/>
      <c r="C511" s="128"/>
      <c r="D511" s="128"/>
      <c r="E511" s="128"/>
      <c r="F511" s="128"/>
      <c r="G511" s="128"/>
      <c r="H511" s="127"/>
      <c r="I511" s="128"/>
      <c r="J511" s="128"/>
      <c r="K511" s="128"/>
      <c r="L511" s="78"/>
    </row>
    <row r="512" spans="2:12" x14ac:dyDescent="0.3">
      <c r="B512" s="127"/>
      <c r="C512" s="128"/>
      <c r="D512" s="128"/>
      <c r="E512" s="128"/>
      <c r="F512" s="128"/>
      <c r="G512" s="128"/>
      <c r="H512" s="127"/>
      <c r="I512" s="128"/>
      <c r="J512" s="128"/>
      <c r="K512" s="128"/>
      <c r="L512" s="78"/>
    </row>
    <row r="513" spans="2:12" x14ac:dyDescent="0.3">
      <c r="H513" s="127"/>
      <c r="L513" s="78"/>
    </row>
    <row r="514" spans="2:12" x14ac:dyDescent="0.3">
      <c r="B514" s="127"/>
      <c r="C514" s="128"/>
      <c r="D514" s="128"/>
      <c r="E514" s="128"/>
      <c r="F514" s="128"/>
      <c r="G514" s="128"/>
      <c r="H514" s="127"/>
      <c r="I514" s="128"/>
      <c r="J514" s="128"/>
      <c r="K514" s="128"/>
      <c r="L514" s="78"/>
    </row>
    <row r="515" spans="2:12" x14ac:dyDescent="0.3">
      <c r="H515" s="127"/>
      <c r="L515" s="78"/>
    </row>
    <row r="516" spans="2:12" x14ac:dyDescent="0.3">
      <c r="B516" s="127"/>
      <c r="C516" s="128"/>
      <c r="D516" s="128"/>
      <c r="E516" s="128"/>
      <c r="F516" s="128"/>
      <c r="G516" s="128"/>
      <c r="H516" s="127"/>
      <c r="I516" s="128"/>
      <c r="J516" s="128"/>
      <c r="K516" s="128"/>
      <c r="L516" s="78"/>
    </row>
    <row r="517" spans="2:12" x14ac:dyDescent="0.3">
      <c r="B517" s="127"/>
      <c r="C517" s="128"/>
      <c r="D517" s="128"/>
      <c r="E517" s="128"/>
      <c r="F517" s="128"/>
      <c r="G517" s="128"/>
      <c r="H517" s="127"/>
      <c r="I517" s="128"/>
      <c r="J517" s="128"/>
      <c r="K517" s="128"/>
      <c r="L517" s="78"/>
    </row>
    <row r="518" spans="2:12" x14ac:dyDescent="0.3">
      <c r="B518" s="127"/>
      <c r="C518" s="128"/>
      <c r="D518" s="128"/>
      <c r="E518" s="128"/>
      <c r="F518" s="128"/>
      <c r="G518" s="128"/>
      <c r="H518" s="127"/>
      <c r="I518" s="128"/>
      <c r="J518" s="128"/>
      <c r="K518" s="128"/>
      <c r="L518" s="78"/>
    </row>
    <row r="519" spans="2:12" x14ac:dyDescent="0.3">
      <c r="H519" s="127"/>
      <c r="L519" s="78"/>
    </row>
    <row r="520" spans="2:12" x14ac:dyDescent="0.3">
      <c r="B520" s="127"/>
      <c r="C520" s="128"/>
      <c r="D520" s="128"/>
      <c r="E520" s="128"/>
      <c r="F520" s="128"/>
      <c r="G520" s="128"/>
      <c r="H520" s="127"/>
      <c r="I520" s="128"/>
      <c r="J520" s="128"/>
      <c r="K520" s="128"/>
      <c r="L520" s="78"/>
    </row>
    <row r="521" spans="2:12" x14ac:dyDescent="0.3">
      <c r="H521" s="127"/>
      <c r="L521" s="78"/>
    </row>
    <row r="522" spans="2:12" x14ac:dyDescent="0.3">
      <c r="B522" s="127"/>
      <c r="C522" s="128"/>
      <c r="D522" s="128"/>
      <c r="E522" s="128"/>
      <c r="F522" s="128"/>
      <c r="G522" s="128"/>
      <c r="H522" s="127"/>
      <c r="I522" s="128"/>
      <c r="J522" s="128"/>
      <c r="K522" s="128"/>
      <c r="L522" s="78"/>
    </row>
    <row r="523" spans="2:12" x14ac:dyDescent="0.3">
      <c r="B523" s="127"/>
      <c r="C523" s="128"/>
      <c r="D523" s="128"/>
      <c r="E523" s="128"/>
      <c r="F523" s="128"/>
      <c r="G523" s="128"/>
      <c r="H523" s="127"/>
      <c r="I523" s="128"/>
      <c r="J523" s="128"/>
      <c r="K523" s="128"/>
      <c r="L523" s="78"/>
    </row>
    <row r="524" spans="2:12" x14ac:dyDescent="0.3">
      <c r="B524" s="127"/>
      <c r="C524" s="128"/>
      <c r="D524" s="128"/>
      <c r="E524" s="128"/>
      <c r="F524" s="128"/>
      <c r="G524" s="128"/>
      <c r="H524" s="127"/>
      <c r="I524" s="128"/>
      <c r="J524" s="128"/>
      <c r="K524" s="128"/>
      <c r="L524" s="78"/>
    </row>
    <row r="525" spans="2:12" x14ac:dyDescent="0.3">
      <c r="H525" s="127"/>
      <c r="L525" s="78"/>
    </row>
    <row r="526" spans="2:12" x14ac:dyDescent="0.3">
      <c r="B526" s="127"/>
      <c r="C526" s="128"/>
      <c r="D526" s="128"/>
      <c r="E526" s="128"/>
      <c r="F526" s="128"/>
      <c r="G526" s="128"/>
      <c r="H526" s="127"/>
      <c r="I526" s="128"/>
      <c r="J526" s="128"/>
      <c r="K526" s="128"/>
      <c r="L526" s="78"/>
    </row>
    <row r="527" spans="2:12" x14ac:dyDescent="0.3">
      <c r="H527" s="127"/>
      <c r="L527" s="78"/>
    </row>
    <row r="528" spans="2:12" x14ac:dyDescent="0.3">
      <c r="B528" s="127"/>
      <c r="C528" s="128"/>
      <c r="D528" s="128"/>
      <c r="E528" s="128"/>
      <c r="F528" s="128"/>
      <c r="G528" s="128"/>
      <c r="H528" s="127"/>
      <c r="I528" s="128"/>
      <c r="J528" s="128"/>
      <c r="K528" s="128"/>
      <c r="L528" s="78"/>
    </row>
    <row r="529" spans="2:12" x14ac:dyDescent="0.3">
      <c r="B529" s="127"/>
      <c r="C529" s="128"/>
      <c r="D529" s="128"/>
      <c r="E529" s="128"/>
      <c r="F529" s="128"/>
      <c r="G529" s="128"/>
      <c r="H529" s="127"/>
      <c r="I529" s="128"/>
      <c r="J529" s="128"/>
      <c r="K529" s="128"/>
      <c r="L529" s="78"/>
    </row>
    <row r="530" spans="2:12" x14ac:dyDescent="0.3">
      <c r="B530" s="127"/>
      <c r="C530" s="128"/>
      <c r="D530" s="128"/>
      <c r="E530" s="128"/>
      <c r="F530" s="128"/>
      <c r="G530" s="128"/>
      <c r="H530" s="127"/>
      <c r="I530" s="128"/>
      <c r="J530" s="128"/>
      <c r="K530" s="128"/>
      <c r="L530" s="78"/>
    </row>
    <row r="531" spans="2:12" x14ac:dyDescent="0.3">
      <c r="H531" s="127"/>
      <c r="L531" s="78"/>
    </row>
    <row r="532" spans="2:12" x14ac:dyDescent="0.3">
      <c r="B532" s="127"/>
      <c r="C532" s="128"/>
      <c r="D532" s="128"/>
      <c r="E532" s="128"/>
      <c r="F532" s="128"/>
      <c r="G532" s="128"/>
      <c r="H532" s="127"/>
      <c r="I532" s="128"/>
      <c r="J532" s="128"/>
      <c r="K532" s="128"/>
      <c r="L532" s="78"/>
    </row>
    <row r="533" spans="2:12" x14ac:dyDescent="0.3">
      <c r="H533" s="127"/>
      <c r="L533" s="78"/>
    </row>
    <row r="534" spans="2:12" x14ac:dyDescent="0.3">
      <c r="B534" s="127"/>
      <c r="C534" s="128"/>
      <c r="D534" s="128"/>
      <c r="E534" s="128"/>
      <c r="F534" s="128"/>
      <c r="G534" s="128"/>
      <c r="H534" s="127"/>
      <c r="I534" s="128"/>
      <c r="J534" s="128"/>
      <c r="K534" s="128"/>
      <c r="L534" s="78"/>
    </row>
    <row r="535" spans="2:12" x14ac:dyDescent="0.3">
      <c r="B535" s="127"/>
      <c r="C535" s="128"/>
      <c r="D535" s="128"/>
      <c r="E535" s="128"/>
      <c r="F535" s="128"/>
      <c r="G535" s="128"/>
      <c r="H535" s="127"/>
      <c r="I535" s="128"/>
      <c r="J535" s="128"/>
      <c r="K535" s="128"/>
      <c r="L535" s="78"/>
    </row>
    <row r="536" spans="2:12" x14ac:dyDescent="0.3">
      <c r="B536" s="127"/>
      <c r="C536" s="128"/>
      <c r="D536" s="128"/>
      <c r="E536" s="128"/>
      <c r="F536" s="128"/>
      <c r="G536" s="128"/>
      <c r="H536" s="127"/>
      <c r="I536" s="128"/>
      <c r="J536" s="128"/>
      <c r="K536" s="128"/>
      <c r="L536" s="78"/>
    </row>
    <row r="537" spans="2:12" x14ac:dyDescent="0.3">
      <c r="H537" s="127"/>
      <c r="L537" s="78"/>
    </row>
    <row r="538" spans="2:12" x14ac:dyDescent="0.3">
      <c r="B538" s="127"/>
      <c r="C538" s="128"/>
      <c r="D538" s="128"/>
      <c r="E538" s="128"/>
      <c r="F538" s="128"/>
      <c r="G538" s="128"/>
      <c r="H538" s="127"/>
      <c r="I538" s="128"/>
      <c r="J538" s="128"/>
      <c r="K538" s="128"/>
      <c r="L538" s="78"/>
    </row>
    <row r="539" spans="2:12" x14ac:dyDescent="0.3">
      <c r="H539" s="127"/>
      <c r="L539" s="78"/>
    </row>
    <row r="540" spans="2:12" x14ac:dyDescent="0.3">
      <c r="B540" s="127"/>
      <c r="C540" s="128"/>
      <c r="D540" s="128"/>
      <c r="E540" s="128"/>
      <c r="F540" s="128"/>
      <c r="G540" s="128"/>
      <c r="H540" s="127"/>
      <c r="I540" s="128"/>
      <c r="J540" s="128"/>
      <c r="K540" s="128"/>
      <c r="L540" s="78"/>
    </row>
    <row r="541" spans="2:12" x14ac:dyDescent="0.3">
      <c r="B541" s="127"/>
      <c r="C541" s="128"/>
      <c r="D541" s="128"/>
      <c r="E541" s="128"/>
      <c r="F541" s="128"/>
      <c r="G541" s="128"/>
      <c r="H541" s="127"/>
      <c r="I541" s="128"/>
      <c r="J541" s="128"/>
      <c r="K541" s="128"/>
      <c r="L541" s="78"/>
    </row>
    <row r="542" spans="2:12" x14ac:dyDescent="0.3">
      <c r="B542" s="127"/>
      <c r="C542" s="128"/>
      <c r="D542" s="128"/>
      <c r="E542" s="128"/>
      <c r="F542" s="128"/>
      <c r="G542" s="128"/>
      <c r="H542" s="127"/>
      <c r="I542" s="128"/>
      <c r="J542" s="128"/>
      <c r="K542" s="128"/>
      <c r="L542" s="78"/>
    </row>
    <row r="543" spans="2:12" x14ac:dyDescent="0.3">
      <c r="H543" s="127"/>
      <c r="L543" s="78"/>
    </row>
    <row r="544" spans="2:12" x14ac:dyDescent="0.3">
      <c r="B544" s="127"/>
      <c r="C544" s="128"/>
      <c r="D544" s="128"/>
      <c r="E544" s="128"/>
      <c r="F544" s="128"/>
      <c r="G544" s="128"/>
      <c r="H544" s="127"/>
      <c r="I544" s="128"/>
      <c r="J544" s="128"/>
      <c r="K544" s="128"/>
      <c r="L544" s="78"/>
    </row>
    <row r="545" spans="2:12" x14ac:dyDescent="0.3">
      <c r="H545" s="127"/>
      <c r="L545" s="78"/>
    </row>
    <row r="546" spans="2:12" x14ac:dyDescent="0.3">
      <c r="B546" s="127"/>
      <c r="C546" s="128"/>
      <c r="D546" s="128"/>
      <c r="E546" s="128"/>
      <c r="F546" s="128"/>
      <c r="G546" s="128"/>
      <c r="H546" s="127"/>
      <c r="I546" s="128"/>
      <c r="J546" s="128"/>
      <c r="K546" s="128"/>
      <c r="L546" s="78"/>
    </row>
    <row r="547" spans="2:12" x14ac:dyDescent="0.3">
      <c r="B547" s="127"/>
      <c r="C547" s="128"/>
      <c r="D547" s="128"/>
      <c r="E547" s="128"/>
      <c r="F547" s="128"/>
      <c r="G547" s="128"/>
      <c r="H547" s="127"/>
      <c r="I547" s="128"/>
      <c r="J547" s="128"/>
      <c r="K547" s="128"/>
      <c r="L547" s="78"/>
    </row>
    <row r="548" spans="2:12" x14ac:dyDescent="0.3">
      <c r="B548" s="127"/>
      <c r="C548" s="128"/>
      <c r="D548" s="128"/>
      <c r="E548" s="128"/>
      <c r="F548" s="128"/>
      <c r="G548" s="128"/>
      <c r="H548" s="127"/>
      <c r="I548" s="128"/>
      <c r="J548" s="128"/>
      <c r="K548" s="128"/>
      <c r="L548" s="78"/>
    </row>
    <row r="549" spans="2:12" x14ac:dyDescent="0.3">
      <c r="H549" s="127"/>
      <c r="L549" s="78"/>
    </row>
    <row r="550" spans="2:12" x14ac:dyDescent="0.3">
      <c r="B550" s="127"/>
      <c r="C550" s="128"/>
      <c r="D550" s="128"/>
      <c r="E550" s="128"/>
      <c r="F550" s="128"/>
      <c r="G550" s="128"/>
      <c r="H550" s="127"/>
      <c r="I550" s="128"/>
      <c r="J550" s="128"/>
      <c r="K550" s="128"/>
      <c r="L550" s="78"/>
    </row>
    <row r="551" spans="2:12" x14ac:dyDescent="0.3">
      <c r="H551" s="127"/>
      <c r="L551" s="78"/>
    </row>
    <row r="552" spans="2:12" x14ac:dyDescent="0.3">
      <c r="B552" s="127"/>
      <c r="C552" s="128"/>
      <c r="D552" s="128"/>
      <c r="E552" s="128"/>
      <c r="F552" s="128"/>
      <c r="G552" s="128"/>
      <c r="H552" s="127"/>
      <c r="I552" s="128"/>
      <c r="J552" s="128"/>
      <c r="K552" s="128"/>
      <c r="L552" s="78"/>
    </row>
    <row r="553" spans="2:12" x14ac:dyDescent="0.3">
      <c r="B553" s="127"/>
      <c r="C553" s="128"/>
      <c r="D553" s="128"/>
      <c r="E553" s="128"/>
      <c r="F553" s="128"/>
      <c r="G553" s="128"/>
      <c r="H553" s="127"/>
      <c r="I553" s="128"/>
      <c r="J553" s="128"/>
      <c r="K553" s="128"/>
      <c r="L553" s="78"/>
    </row>
    <row r="554" spans="2:12" x14ac:dyDescent="0.3">
      <c r="B554" s="127"/>
      <c r="C554" s="128"/>
      <c r="D554" s="128"/>
      <c r="E554" s="128"/>
      <c r="F554" s="128"/>
      <c r="G554" s="128"/>
      <c r="H554" s="127"/>
      <c r="I554" s="128"/>
      <c r="J554" s="128"/>
      <c r="K554" s="128"/>
      <c r="L554" s="78"/>
    </row>
    <row r="555" spans="2:12" x14ac:dyDescent="0.3">
      <c r="H555" s="127"/>
      <c r="L555" s="78"/>
    </row>
    <row r="556" spans="2:12" x14ac:dyDescent="0.3">
      <c r="B556" s="127"/>
      <c r="C556" s="128"/>
      <c r="D556" s="128"/>
      <c r="E556" s="128"/>
      <c r="F556" s="128"/>
      <c r="G556" s="128"/>
      <c r="H556" s="127"/>
      <c r="I556" s="128"/>
      <c r="J556" s="128"/>
      <c r="K556" s="128"/>
      <c r="L556" s="78"/>
    </row>
    <row r="557" spans="2:12" x14ac:dyDescent="0.3">
      <c r="H557" s="127"/>
      <c r="L557" s="78"/>
    </row>
    <row r="558" spans="2:12" x14ac:dyDescent="0.3">
      <c r="B558" s="127"/>
      <c r="C558" s="128"/>
      <c r="D558" s="128"/>
      <c r="E558" s="128"/>
      <c r="F558" s="128"/>
      <c r="G558" s="128"/>
      <c r="H558" s="127"/>
      <c r="I558" s="128"/>
      <c r="J558" s="128"/>
      <c r="K558" s="128"/>
      <c r="L558" s="78"/>
    </row>
    <row r="559" spans="2:12" x14ac:dyDescent="0.3">
      <c r="B559" s="127"/>
      <c r="C559" s="128"/>
      <c r="D559" s="128"/>
      <c r="E559" s="128"/>
      <c r="F559" s="128"/>
      <c r="G559" s="128"/>
      <c r="H559" s="127"/>
      <c r="I559" s="128"/>
      <c r="J559" s="128"/>
      <c r="K559" s="128"/>
      <c r="L559" s="78"/>
    </row>
    <row r="560" spans="2:12" x14ac:dyDescent="0.3">
      <c r="B560" s="127"/>
      <c r="C560" s="128"/>
      <c r="D560" s="128"/>
      <c r="E560" s="128"/>
      <c r="F560" s="128"/>
      <c r="G560" s="128"/>
      <c r="H560" s="127"/>
      <c r="I560" s="128"/>
      <c r="J560" s="128"/>
      <c r="K560" s="128"/>
      <c r="L560" s="78"/>
    </row>
    <row r="561" spans="2:12" x14ac:dyDescent="0.3">
      <c r="H561" s="127"/>
      <c r="L561" s="78"/>
    </row>
    <row r="562" spans="2:12" x14ac:dyDescent="0.3">
      <c r="B562" s="127"/>
      <c r="C562" s="128"/>
      <c r="D562" s="128"/>
      <c r="E562" s="128"/>
      <c r="F562" s="128"/>
      <c r="G562" s="128"/>
      <c r="H562" s="127"/>
      <c r="I562" s="128"/>
      <c r="J562" s="128"/>
      <c r="K562" s="128"/>
      <c r="L562" s="78"/>
    </row>
    <row r="563" spans="2:12" x14ac:dyDescent="0.3">
      <c r="H563" s="127"/>
      <c r="L563" s="78"/>
    </row>
    <row r="564" spans="2:12" x14ac:dyDescent="0.3">
      <c r="B564" s="127"/>
      <c r="C564" s="128"/>
      <c r="D564" s="128"/>
      <c r="E564" s="128"/>
      <c r="F564" s="128"/>
      <c r="G564" s="128"/>
      <c r="H564" s="127"/>
      <c r="I564" s="128"/>
      <c r="J564" s="128"/>
      <c r="K564" s="128"/>
      <c r="L564" s="78"/>
    </row>
    <row r="565" spans="2:12" x14ac:dyDescent="0.3">
      <c r="B565" s="127"/>
      <c r="C565" s="128"/>
      <c r="D565" s="128"/>
      <c r="E565" s="128"/>
      <c r="F565" s="128"/>
      <c r="G565" s="128"/>
      <c r="H565" s="127"/>
      <c r="I565" s="128"/>
      <c r="J565" s="128"/>
      <c r="K565" s="128"/>
      <c r="L565" s="78"/>
    </row>
    <row r="566" spans="2:12" x14ac:dyDescent="0.3">
      <c r="B566" s="127"/>
      <c r="C566" s="128"/>
      <c r="D566" s="128"/>
      <c r="E566" s="128"/>
      <c r="F566" s="128"/>
      <c r="G566" s="128"/>
      <c r="H566" s="127"/>
      <c r="I566" s="128"/>
      <c r="J566" s="128"/>
      <c r="K566" s="128"/>
      <c r="L566" s="78"/>
    </row>
    <row r="567" spans="2:12" x14ac:dyDescent="0.3">
      <c r="H567" s="127"/>
      <c r="L567" s="78"/>
    </row>
    <row r="568" spans="2:12" x14ac:dyDescent="0.3">
      <c r="B568" s="127"/>
      <c r="C568" s="128"/>
      <c r="D568" s="128"/>
      <c r="E568" s="128"/>
      <c r="F568" s="128"/>
      <c r="G568" s="128"/>
      <c r="H568" s="127"/>
      <c r="I568" s="128"/>
      <c r="J568" s="128"/>
      <c r="K568" s="128"/>
      <c r="L568" s="78"/>
    </row>
    <row r="569" spans="2:12" x14ac:dyDescent="0.3">
      <c r="H569" s="127"/>
      <c r="L569" s="78"/>
    </row>
    <row r="570" spans="2:12" x14ac:dyDescent="0.3">
      <c r="B570" s="127"/>
      <c r="C570" s="128"/>
      <c r="D570" s="128"/>
      <c r="E570" s="128"/>
      <c r="F570" s="128"/>
      <c r="G570" s="128"/>
      <c r="H570" s="127"/>
      <c r="I570" s="128"/>
      <c r="J570" s="128"/>
      <c r="K570" s="128"/>
      <c r="L570" s="78"/>
    </row>
    <row r="571" spans="2:12" x14ac:dyDescent="0.3">
      <c r="B571" s="127"/>
      <c r="C571" s="128"/>
      <c r="D571" s="128"/>
      <c r="E571" s="128"/>
      <c r="F571" s="128"/>
      <c r="G571" s="128"/>
      <c r="H571" s="127"/>
      <c r="I571" s="128"/>
      <c r="J571" s="128"/>
      <c r="K571" s="128"/>
      <c r="L571" s="78"/>
    </row>
    <row r="572" spans="2:12" x14ac:dyDescent="0.3">
      <c r="B572" s="127"/>
      <c r="C572" s="128"/>
      <c r="D572" s="128"/>
      <c r="E572" s="128"/>
      <c r="F572" s="128"/>
      <c r="G572" s="128"/>
      <c r="H572" s="127"/>
      <c r="I572" s="128"/>
      <c r="J572" s="128"/>
      <c r="K572" s="128"/>
      <c r="L572" s="78"/>
    </row>
    <row r="573" spans="2:12" x14ac:dyDescent="0.3">
      <c r="H573" s="127"/>
      <c r="L573" s="78"/>
    </row>
    <row r="574" spans="2:12" x14ac:dyDescent="0.3">
      <c r="B574" s="127"/>
      <c r="C574" s="128"/>
      <c r="D574" s="128"/>
      <c r="E574" s="128"/>
      <c r="F574" s="128"/>
      <c r="G574" s="128"/>
      <c r="H574" s="127"/>
      <c r="I574" s="128"/>
      <c r="J574" s="128"/>
      <c r="K574" s="128"/>
      <c r="L574" s="78"/>
    </row>
    <row r="575" spans="2:12" x14ac:dyDescent="0.3">
      <c r="H575" s="127"/>
      <c r="L575" s="78"/>
    </row>
    <row r="576" spans="2:12" x14ac:dyDescent="0.3">
      <c r="B576" s="127"/>
      <c r="C576" s="128"/>
      <c r="D576" s="128"/>
      <c r="E576" s="128"/>
      <c r="F576" s="128"/>
      <c r="G576" s="128"/>
      <c r="H576" s="127"/>
      <c r="I576" s="128"/>
      <c r="J576" s="128"/>
      <c r="K576" s="128"/>
      <c r="L576" s="78"/>
    </row>
    <row r="577" spans="2:12" x14ac:dyDescent="0.3">
      <c r="B577" s="127"/>
      <c r="C577" s="128"/>
      <c r="D577" s="128"/>
      <c r="E577" s="128"/>
      <c r="F577" s="128"/>
      <c r="G577" s="128"/>
      <c r="H577" s="127"/>
      <c r="I577" s="128"/>
      <c r="J577" s="128"/>
      <c r="K577" s="128"/>
      <c r="L577" s="78"/>
    </row>
    <row r="578" spans="2:12" x14ac:dyDescent="0.3">
      <c r="B578" s="127"/>
      <c r="C578" s="128"/>
      <c r="D578" s="128"/>
      <c r="E578" s="128"/>
      <c r="F578" s="128"/>
      <c r="G578" s="128"/>
      <c r="H578" s="127"/>
      <c r="I578" s="128"/>
      <c r="J578" s="128"/>
      <c r="K578" s="128"/>
      <c r="L578" s="78"/>
    </row>
    <row r="579" spans="2:12" x14ac:dyDescent="0.3">
      <c r="H579" s="127"/>
      <c r="L579" s="78"/>
    </row>
    <row r="580" spans="2:12" x14ac:dyDescent="0.3">
      <c r="B580" s="127"/>
      <c r="C580" s="128"/>
      <c r="D580" s="128"/>
      <c r="E580" s="128"/>
      <c r="F580" s="128"/>
      <c r="G580" s="128"/>
      <c r="H580" s="127"/>
      <c r="I580" s="128"/>
      <c r="J580" s="128"/>
      <c r="K580" s="128"/>
      <c r="L580" s="78"/>
    </row>
    <row r="581" spans="2:12" x14ac:dyDescent="0.3">
      <c r="H581" s="127"/>
      <c r="L581" s="78"/>
    </row>
    <row r="582" spans="2:12" x14ac:dyDescent="0.3">
      <c r="B582" s="127"/>
      <c r="C582" s="128"/>
      <c r="D582" s="128"/>
      <c r="E582" s="128"/>
      <c r="F582" s="128"/>
      <c r="G582" s="128"/>
      <c r="H582" s="127"/>
      <c r="I582" s="128"/>
      <c r="J582" s="128"/>
      <c r="K582" s="128"/>
      <c r="L582" s="78"/>
    </row>
    <row r="583" spans="2:12" x14ac:dyDescent="0.3">
      <c r="B583" s="127"/>
      <c r="C583" s="128"/>
      <c r="D583" s="128"/>
      <c r="E583" s="128"/>
      <c r="F583" s="128"/>
      <c r="G583" s="128"/>
      <c r="H583" s="127"/>
      <c r="I583" s="128"/>
      <c r="J583" s="128"/>
      <c r="K583" s="128"/>
      <c r="L583" s="78"/>
    </row>
    <row r="584" spans="2:12" x14ac:dyDescent="0.3">
      <c r="B584" s="127"/>
      <c r="C584" s="128"/>
      <c r="D584" s="128"/>
      <c r="E584" s="128"/>
      <c r="F584" s="128"/>
      <c r="G584" s="128"/>
      <c r="H584" s="127"/>
      <c r="I584" s="128"/>
      <c r="J584" s="128"/>
      <c r="K584" s="128"/>
      <c r="L584" s="78"/>
    </row>
    <row r="585" spans="2:12" x14ac:dyDescent="0.3">
      <c r="H585" s="127"/>
      <c r="L585" s="78"/>
    </row>
    <row r="586" spans="2:12" x14ac:dyDescent="0.3">
      <c r="B586" s="127"/>
      <c r="C586" s="128"/>
      <c r="D586" s="128"/>
      <c r="E586" s="128"/>
      <c r="F586" s="128"/>
      <c r="G586" s="128"/>
      <c r="H586" s="127"/>
      <c r="I586" s="128"/>
      <c r="J586" s="128"/>
      <c r="K586" s="128"/>
      <c r="L586" s="78"/>
    </row>
    <row r="587" spans="2:12" x14ac:dyDescent="0.3">
      <c r="H587" s="127"/>
      <c r="L587" s="78"/>
    </row>
    <row r="588" spans="2:12" x14ac:dyDescent="0.3">
      <c r="B588" s="127"/>
      <c r="C588" s="128"/>
      <c r="D588" s="128"/>
      <c r="E588" s="128"/>
      <c r="F588" s="128"/>
      <c r="G588" s="128"/>
      <c r="H588" s="127"/>
      <c r="I588" s="128"/>
      <c r="J588" s="128"/>
      <c r="K588" s="128"/>
      <c r="L588" s="78"/>
    </row>
    <row r="589" spans="2:12" x14ac:dyDescent="0.3">
      <c r="B589" s="127"/>
      <c r="C589" s="128"/>
      <c r="D589" s="128"/>
      <c r="E589" s="128"/>
      <c r="F589" s="128"/>
      <c r="G589" s="128"/>
      <c r="H589" s="127"/>
      <c r="I589" s="128"/>
      <c r="J589" s="128"/>
      <c r="K589" s="128"/>
      <c r="L589" s="78"/>
    </row>
    <row r="590" spans="2:12" x14ac:dyDescent="0.3">
      <c r="B590" s="127"/>
      <c r="C590" s="128"/>
      <c r="D590" s="128"/>
      <c r="E590" s="128"/>
      <c r="F590" s="128"/>
      <c r="G590" s="128"/>
      <c r="H590" s="127"/>
      <c r="I590" s="128"/>
      <c r="J590" s="128"/>
      <c r="K590" s="128"/>
      <c r="L590" s="78"/>
    </row>
    <row r="591" spans="2:12" x14ac:dyDescent="0.3">
      <c r="H591" s="127"/>
      <c r="L591" s="78"/>
    </row>
    <row r="592" spans="2:12" x14ac:dyDescent="0.3">
      <c r="B592" s="127"/>
      <c r="C592" s="128"/>
      <c r="D592" s="128"/>
      <c r="E592" s="128"/>
      <c r="F592" s="128"/>
      <c r="G592" s="128"/>
      <c r="H592" s="127"/>
      <c r="I592" s="128"/>
      <c r="J592" s="128"/>
      <c r="K592" s="128"/>
      <c r="L592" s="78"/>
    </row>
    <row r="593" spans="2:12" x14ac:dyDescent="0.3">
      <c r="H593" s="127"/>
      <c r="L593" s="78"/>
    </row>
    <row r="594" spans="2:12" x14ac:dyDescent="0.3">
      <c r="B594" s="127"/>
      <c r="C594" s="128"/>
      <c r="D594" s="128"/>
      <c r="E594" s="128"/>
      <c r="F594" s="128"/>
      <c r="G594" s="128"/>
      <c r="H594" s="127"/>
      <c r="I594" s="128"/>
      <c r="J594" s="128"/>
      <c r="K594" s="128"/>
      <c r="L594" s="78"/>
    </row>
    <row r="595" spans="2:12" x14ac:dyDescent="0.3">
      <c r="B595" s="127"/>
      <c r="C595" s="128"/>
      <c r="D595" s="128"/>
      <c r="E595" s="128"/>
      <c r="F595" s="128"/>
      <c r="G595" s="128"/>
      <c r="H595" s="127"/>
      <c r="I595" s="128"/>
      <c r="J595" s="128"/>
      <c r="K595" s="128"/>
      <c r="L595" s="78"/>
    </row>
    <row r="596" spans="2:12" x14ac:dyDescent="0.3">
      <c r="B596" s="127"/>
      <c r="C596" s="128"/>
      <c r="D596" s="128"/>
      <c r="E596" s="128"/>
      <c r="F596" s="128"/>
      <c r="G596" s="128"/>
      <c r="H596" s="127"/>
      <c r="I596" s="128"/>
      <c r="J596" s="128"/>
      <c r="K596" s="128"/>
      <c r="L596" s="78"/>
    </row>
    <row r="597" spans="2:12" x14ac:dyDescent="0.3">
      <c r="B597" s="127"/>
      <c r="C597" s="128"/>
      <c r="D597" s="128"/>
      <c r="E597" s="128"/>
      <c r="F597" s="128"/>
      <c r="G597" s="128"/>
      <c r="H597" s="127"/>
      <c r="I597" s="128"/>
      <c r="J597" s="128"/>
      <c r="K597" s="128"/>
      <c r="L597" s="78"/>
    </row>
    <row r="598" spans="2:12" x14ac:dyDescent="0.3">
      <c r="B598" s="127"/>
      <c r="H598" s="127"/>
      <c r="L598" s="78"/>
    </row>
    <row r="599" spans="2:12" x14ac:dyDescent="0.3">
      <c r="B599" s="127"/>
      <c r="C599" s="128"/>
      <c r="D599" s="128"/>
      <c r="E599" s="128"/>
      <c r="F599" s="128"/>
      <c r="G599" s="128"/>
      <c r="H599" s="127"/>
      <c r="I599" s="128"/>
      <c r="J599" s="128"/>
      <c r="K599" s="128"/>
      <c r="L599" s="78"/>
    </row>
    <row r="600" spans="2:12" x14ac:dyDescent="0.3">
      <c r="B600" s="127"/>
      <c r="C600" s="128"/>
      <c r="D600" s="128"/>
      <c r="E600" s="128"/>
      <c r="F600" s="128"/>
      <c r="G600" s="128"/>
      <c r="H600" s="127"/>
      <c r="I600" s="128"/>
      <c r="J600" s="128"/>
      <c r="K600" s="128"/>
      <c r="L600" s="78"/>
    </row>
    <row r="601" spans="2:12" x14ac:dyDescent="0.3">
      <c r="B601" s="127"/>
      <c r="C601" s="128"/>
      <c r="D601" s="128"/>
      <c r="E601" s="128"/>
      <c r="F601" s="128"/>
      <c r="G601" s="128"/>
      <c r="H601" s="127"/>
      <c r="I601" s="128"/>
      <c r="J601" s="128"/>
      <c r="K601" s="128"/>
      <c r="L601" s="78"/>
    </row>
    <row r="602" spans="2:12" x14ac:dyDescent="0.3">
      <c r="B602" s="127"/>
      <c r="C602" s="128"/>
      <c r="D602" s="128"/>
      <c r="E602" s="128"/>
      <c r="F602" s="128"/>
      <c r="G602" s="128"/>
      <c r="H602" s="127"/>
      <c r="I602" s="128"/>
      <c r="J602" s="128"/>
      <c r="K602" s="128"/>
      <c r="L602" s="78"/>
    </row>
    <row r="603" spans="2:12" x14ac:dyDescent="0.3">
      <c r="B603" s="127"/>
      <c r="H603" s="127"/>
      <c r="L603" s="78"/>
    </row>
    <row r="604" spans="2:12" x14ac:dyDescent="0.3">
      <c r="B604" s="127"/>
      <c r="C604" s="128"/>
      <c r="D604" s="128"/>
      <c r="E604" s="128"/>
      <c r="F604" s="128"/>
      <c r="G604" s="128"/>
      <c r="H604" s="127"/>
      <c r="I604" s="128"/>
      <c r="J604" s="128"/>
      <c r="K604" s="128"/>
      <c r="L604" s="78"/>
    </row>
    <row r="605" spans="2:12" x14ac:dyDescent="0.3">
      <c r="B605" s="127"/>
      <c r="C605" s="128"/>
      <c r="D605" s="128"/>
      <c r="E605" s="128"/>
      <c r="F605" s="128"/>
      <c r="G605" s="128"/>
      <c r="H605" s="127"/>
      <c r="I605" s="128"/>
      <c r="J605" s="128"/>
      <c r="K605" s="128"/>
      <c r="L605" s="78"/>
    </row>
    <row r="606" spans="2:12" x14ac:dyDescent="0.3">
      <c r="B606" s="127"/>
      <c r="C606" s="128"/>
      <c r="D606" s="128"/>
      <c r="E606" s="128"/>
      <c r="F606" s="128"/>
      <c r="G606" s="128"/>
      <c r="H606" s="127"/>
      <c r="I606" s="128"/>
      <c r="J606" s="128"/>
      <c r="K606" s="128"/>
      <c r="L606" s="78"/>
    </row>
    <row r="607" spans="2:12" x14ac:dyDescent="0.3">
      <c r="B607" s="127"/>
      <c r="C607" s="128"/>
      <c r="D607" s="128"/>
      <c r="E607" s="128"/>
      <c r="F607" s="128"/>
      <c r="G607" s="128"/>
      <c r="H607" s="127"/>
      <c r="I607" s="128"/>
      <c r="J607" s="128"/>
      <c r="K607" s="128"/>
      <c r="L607" s="78"/>
    </row>
    <row r="608" spans="2:12" x14ac:dyDescent="0.3">
      <c r="B608" s="127"/>
      <c r="H608" s="127"/>
      <c r="L608" s="78"/>
    </row>
    <row r="609" spans="2:12" x14ac:dyDescent="0.3">
      <c r="B609" s="127"/>
      <c r="C609" s="128"/>
      <c r="D609" s="128"/>
      <c r="E609" s="128"/>
      <c r="F609" s="128"/>
      <c r="G609" s="128"/>
      <c r="H609" s="127"/>
      <c r="I609" s="128"/>
      <c r="J609" s="128"/>
      <c r="K609" s="128"/>
      <c r="L609" s="78"/>
    </row>
    <row r="610" spans="2:12" x14ac:dyDescent="0.3">
      <c r="B610" s="127"/>
      <c r="C610" s="128"/>
      <c r="D610" s="128"/>
      <c r="E610" s="128"/>
      <c r="F610" s="128"/>
      <c r="G610" s="128"/>
      <c r="H610" s="127"/>
      <c r="I610" s="128"/>
      <c r="J610" s="128"/>
      <c r="K610" s="128"/>
      <c r="L610" s="78"/>
    </row>
    <row r="611" spans="2:12" x14ac:dyDescent="0.3">
      <c r="B611" s="127"/>
      <c r="C611" s="128"/>
      <c r="D611" s="128"/>
      <c r="E611" s="128"/>
      <c r="F611" s="128"/>
      <c r="G611" s="128"/>
      <c r="H611" s="127"/>
      <c r="I611" s="128"/>
      <c r="J611" s="128"/>
      <c r="K611" s="128"/>
      <c r="L611" s="78"/>
    </row>
    <row r="612" spans="2:12" x14ac:dyDescent="0.3">
      <c r="B612" s="127"/>
      <c r="C612" s="128"/>
      <c r="D612" s="128"/>
      <c r="E612" s="128"/>
      <c r="F612" s="128"/>
      <c r="G612" s="128"/>
      <c r="H612" s="127"/>
      <c r="I612" s="128"/>
      <c r="J612" s="128"/>
      <c r="K612" s="128"/>
      <c r="L612" s="78"/>
    </row>
    <row r="613" spans="2:12" x14ac:dyDescent="0.3">
      <c r="H613" s="127"/>
      <c r="L613" s="78"/>
    </row>
    <row r="614" spans="2:12" x14ac:dyDescent="0.3">
      <c r="B614" s="127"/>
      <c r="C614" s="128"/>
      <c r="D614" s="128"/>
      <c r="E614" s="128"/>
      <c r="F614" s="128"/>
      <c r="G614" s="128"/>
      <c r="H614" s="127"/>
      <c r="I614" s="128"/>
      <c r="J614" s="128"/>
      <c r="K614" s="128"/>
      <c r="L614" s="78"/>
    </row>
    <row r="615" spans="2:12" x14ac:dyDescent="0.3">
      <c r="B615" s="127"/>
      <c r="C615" s="128"/>
      <c r="D615" s="128"/>
      <c r="E615" s="128"/>
      <c r="F615" s="128"/>
      <c r="G615" s="128"/>
      <c r="H615" s="127"/>
      <c r="I615" s="128"/>
      <c r="J615" s="128"/>
      <c r="K615" s="128"/>
      <c r="L615" s="78"/>
    </row>
    <row r="616" spans="2:12" x14ac:dyDescent="0.3">
      <c r="B616" s="127"/>
      <c r="C616" s="128"/>
      <c r="D616" s="128"/>
      <c r="E616" s="128"/>
      <c r="F616" s="128"/>
      <c r="G616" s="128"/>
      <c r="H616" s="127"/>
      <c r="I616" s="128"/>
      <c r="J616" s="128"/>
      <c r="K616" s="128"/>
      <c r="L616" s="78"/>
    </row>
    <row r="617" spans="2:12" x14ac:dyDescent="0.3">
      <c r="B617" s="127"/>
      <c r="C617" s="128"/>
      <c r="D617" s="128"/>
      <c r="E617" s="128"/>
      <c r="F617" s="128"/>
      <c r="G617" s="128"/>
      <c r="H617" s="127"/>
      <c r="I617" s="128"/>
      <c r="J617" s="128"/>
      <c r="K617" s="128"/>
      <c r="L617" s="78"/>
    </row>
    <row r="618" spans="2:12" x14ac:dyDescent="0.3">
      <c r="B618" s="127"/>
      <c r="H618" s="127"/>
      <c r="L618" s="78"/>
    </row>
    <row r="619" spans="2:12" x14ac:dyDescent="0.3">
      <c r="B619" s="127"/>
      <c r="C619" s="128"/>
      <c r="D619" s="128"/>
      <c r="E619" s="128"/>
      <c r="F619" s="128"/>
      <c r="G619" s="128"/>
      <c r="H619" s="127"/>
      <c r="I619" s="128"/>
      <c r="J619" s="128"/>
      <c r="K619" s="128"/>
      <c r="L619" s="78"/>
    </row>
    <row r="620" spans="2:12" x14ac:dyDescent="0.3">
      <c r="B620" s="127"/>
      <c r="C620" s="128"/>
      <c r="D620" s="128"/>
      <c r="E620" s="128"/>
      <c r="F620" s="128"/>
      <c r="G620" s="128"/>
      <c r="H620" s="127"/>
      <c r="I620" s="128"/>
      <c r="J620" s="128"/>
      <c r="K620" s="128"/>
      <c r="L620" s="78"/>
    </row>
    <row r="621" spans="2:12" x14ac:dyDescent="0.3">
      <c r="B621" s="127"/>
      <c r="C621" s="128"/>
      <c r="D621" s="128"/>
      <c r="E621" s="128"/>
      <c r="F621" s="128"/>
      <c r="G621" s="128"/>
      <c r="H621" s="127"/>
      <c r="I621" s="128"/>
      <c r="J621" s="128"/>
      <c r="K621" s="128"/>
      <c r="L621" s="78"/>
    </row>
    <row r="622" spans="2:12" x14ac:dyDescent="0.3">
      <c r="B622" s="127"/>
      <c r="C622" s="128"/>
      <c r="D622" s="128"/>
      <c r="E622" s="128"/>
      <c r="F622" s="128"/>
      <c r="G622" s="128"/>
      <c r="H622" s="127"/>
      <c r="I622" s="128"/>
      <c r="J622" s="128"/>
      <c r="K622" s="128"/>
      <c r="L622" s="78"/>
    </row>
    <row r="623" spans="2:12" x14ac:dyDescent="0.3">
      <c r="B623" s="127"/>
      <c r="H623" s="127"/>
      <c r="L623" s="78"/>
    </row>
    <row r="624" spans="2:12" x14ac:dyDescent="0.3">
      <c r="B624" s="127"/>
      <c r="C624" s="128"/>
      <c r="D624" s="128"/>
      <c r="E624" s="128"/>
      <c r="F624" s="128"/>
      <c r="G624" s="128"/>
      <c r="H624" s="127"/>
      <c r="I624" s="128"/>
      <c r="J624" s="128"/>
      <c r="K624" s="128"/>
      <c r="L624" s="78"/>
    </row>
    <row r="625" spans="2:12" x14ac:dyDescent="0.3">
      <c r="B625" s="127"/>
      <c r="C625" s="128"/>
      <c r="D625" s="128"/>
      <c r="E625" s="128"/>
      <c r="F625" s="128"/>
      <c r="G625" s="128"/>
      <c r="H625" s="127"/>
      <c r="I625" s="128"/>
      <c r="J625" s="128"/>
      <c r="K625" s="128"/>
      <c r="L625" s="78"/>
    </row>
    <row r="626" spans="2:12" x14ac:dyDescent="0.3">
      <c r="B626" s="127"/>
      <c r="C626" s="128"/>
      <c r="D626" s="128"/>
      <c r="E626" s="128"/>
      <c r="F626" s="128"/>
      <c r="G626" s="128"/>
      <c r="H626" s="127"/>
      <c r="I626" s="128"/>
      <c r="J626" s="128"/>
      <c r="K626" s="128"/>
      <c r="L626" s="78"/>
    </row>
    <row r="627" spans="2:12" x14ac:dyDescent="0.3">
      <c r="B627" s="127"/>
      <c r="C627" s="128"/>
      <c r="D627" s="128"/>
      <c r="E627" s="128"/>
      <c r="F627" s="128"/>
      <c r="G627" s="128"/>
      <c r="H627" s="127"/>
      <c r="I627" s="128"/>
      <c r="J627" s="128"/>
      <c r="K627" s="128"/>
      <c r="L627" s="78"/>
    </row>
    <row r="628" spans="2:12" x14ac:dyDescent="0.3">
      <c r="B628" s="127"/>
      <c r="H628" s="127"/>
      <c r="L628" s="78"/>
    </row>
    <row r="629" spans="2:12" x14ac:dyDescent="0.3">
      <c r="B629" s="127"/>
      <c r="C629" s="128"/>
      <c r="D629" s="128"/>
      <c r="E629" s="128"/>
      <c r="F629" s="128"/>
      <c r="G629" s="128"/>
      <c r="H629" s="127"/>
      <c r="I629" s="128"/>
      <c r="J629" s="128"/>
      <c r="K629" s="128"/>
      <c r="L629" s="78"/>
    </row>
    <row r="630" spans="2:12" x14ac:dyDescent="0.3">
      <c r="B630" s="127"/>
      <c r="C630" s="128"/>
      <c r="D630" s="128"/>
      <c r="E630" s="128"/>
      <c r="F630" s="128"/>
      <c r="G630" s="128"/>
      <c r="H630" s="127"/>
      <c r="I630" s="128"/>
      <c r="J630" s="128"/>
      <c r="K630" s="128"/>
      <c r="L630" s="78"/>
    </row>
    <row r="631" spans="2:12" x14ac:dyDescent="0.3">
      <c r="B631" s="127"/>
      <c r="C631" s="128"/>
      <c r="D631" s="128"/>
      <c r="E631" s="128"/>
      <c r="F631" s="128"/>
      <c r="G631" s="128"/>
      <c r="H631" s="127"/>
      <c r="I631" s="128"/>
      <c r="J631" s="128"/>
      <c r="K631" s="128"/>
      <c r="L631" s="78"/>
    </row>
    <row r="632" spans="2:12" x14ac:dyDescent="0.3">
      <c r="B632" s="127"/>
      <c r="C632" s="128"/>
      <c r="D632" s="128"/>
      <c r="E632" s="128"/>
      <c r="F632" s="128"/>
      <c r="G632" s="128"/>
      <c r="H632" s="127"/>
      <c r="I632" s="128"/>
      <c r="J632" s="128"/>
      <c r="K632" s="128"/>
      <c r="L632" s="78"/>
    </row>
    <row r="633" spans="2:12" x14ac:dyDescent="0.3">
      <c r="B633" s="127"/>
      <c r="H633" s="127"/>
      <c r="L633" s="78"/>
    </row>
    <row r="634" spans="2:12" x14ac:dyDescent="0.3">
      <c r="B634" s="127"/>
      <c r="C634" s="128"/>
      <c r="D634" s="128"/>
      <c r="E634" s="128"/>
      <c r="F634" s="128"/>
      <c r="G634" s="128"/>
      <c r="H634" s="127"/>
      <c r="I634" s="128"/>
      <c r="J634" s="128"/>
      <c r="K634" s="128"/>
      <c r="L634" s="78"/>
    </row>
    <row r="635" spans="2:12" x14ac:dyDescent="0.3">
      <c r="B635" s="127"/>
      <c r="C635" s="128"/>
      <c r="D635" s="128"/>
      <c r="E635" s="128"/>
      <c r="F635" s="128"/>
      <c r="G635" s="128"/>
      <c r="H635" s="127"/>
      <c r="I635" s="128"/>
      <c r="J635" s="128"/>
      <c r="K635" s="128"/>
      <c r="L635" s="78"/>
    </row>
    <row r="636" spans="2:12" x14ac:dyDescent="0.3">
      <c r="B636" s="127"/>
      <c r="C636" s="128"/>
      <c r="D636" s="128"/>
      <c r="E636" s="128"/>
      <c r="F636" s="128"/>
      <c r="G636" s="128"/>
      <c r="H636" s="127"/>
      <c r="I636" s="128"/>
      <c r="J636" s="128"/>
      <c r="K636" s="128"/>
      <c r="L636" s="78"/>
    </row>
    <row r="637" spans="2:12" x14ac:dyDescent="0.3">
      <c r="B637" s="127"/>
      <c r="C637" s="128"/>
      <c r="D637" s="128"/>
      <c r="E637" s="128"/>
      <c r="F637" s="128"/>
      <c r="G637" s="128"/>
      <c r="H637" s="127"/>
      <c r="I637" s="128"/>
      <c r="J637" s="128"/>
      <c r="K637" s="128"/>
      <c r="L637" s="78"/>
    </row>
    <row r="638" spans="2:12" x14ac:dyDescent="0.3">
      <c r="B638" s="127"/>
      <c r="H638" s="127"/>
      <c r="L638" s="78"/>
    </row>
    <row r="639" spans="2:12" x14ac:dyDescent="0.3">
      <c r="B639" s="127"/>
      <c r="C639" s="128"/>
      <c r="D639" s="128"/>
      <c r="E639" s="128"/>
      <c r="F639" s="128"/>
      <c r="G639" s="128"/>
      <c r="H639" s="127"/>
      <c r="I639" s="128"/>
      <c r="J639" s="128"/>
      <c r="K639" s="128"/>
      <c r="L639" s="78"/>
    </row>
    <row r="640" spans="2:12" x14ac:dyDescent="0.3">
      <c r="B640" s="127"/>
      <c r="C640" s="128"/>
      <c r="D640" s="128"/>
      <c r="E640" s="128"/>
      <c r="F640" s="128"/>
      <c r="G640" s="128"/>
      <c r="H640" s="127"/>
      <c r="I640" s="128"/>
      <c r="J640" s="128"/>
      <c r="K640" s="128"/>
      <c r="L640" s="78"/>
    </row>
    <row r="641" spans="2:12" x14ac:dyDescent="0.3">
      <c r="B641" s="127"/>
      <c r="C641" s="128"/>
      <c r="D641" s="128"/>
      <c r="E641" s="128"/>
      <c r="F641" s="128"/>
      <c r="G641" s="128"/>
      <c r="H641" s="127"/>
      <c r="I641" s="128"/>
      <c r="J641" s="128"/>
      <c r="K641" s="128"/>
      <c r="L641" s="78"/>
    </row>
    <row r="642" spans="2:12" x14ac:dyDescent="0.3">
      <c r="H642" s="127"/>
      <c r="L642" s="78"/>
    </row>
    <row r="643" spans="2:12" x14ac:dyDescent="0.3">
      <c r="B643" s="127"/>
      <c r="C643" s="128"/>
      <c r="D643" s="128"/>
      <c r="E643" s="128"/>
      <c r="F643" s="128"/>
      <c r="G643" s="128"/>
      <c r="H643" s="127"/>
      <c r="I643" s="128"/>
      <c r="J643" s="128"/>
      <c r="K643" s="128"/>
      <c r="L643" s="78"/>
    </row>
    <row r="644" spans="2:12" x14ac:dyDescent="0.3">
      <c r="H644" s="127"/>
      <c r="L644" s="78"/>
    </row>
    <row r="645" spans="2:12" x14ac:dyDescent="0.3">
      <c r="B645" s="127"/>
      <c r="C645" s="128"/>
      <c r="D645" s="128"/>
      <c r="E645" s="128"/>
      <c r="F645" s="128"/>
      <c r="G645" s="128"/>
      <c r="H645" s="127"/>
      <c r="I645" s="128"/>
      <c r="J645" s="128"/>
      <c r="K645" s="128"/>
      <c r="L645" s="78"/>
    </row>
    <row r="646" spans="2:12" x14ac:dyDescent="0.3">
      <c r="B646" s="127"/>
      <c r="C646" s="128"/>
      <c r="D646" s="128"/>
      <c r="E646" s="128"/>
      <c r="F646" s="128"/>
      <c r="G646" s="128"/>
      <c r="H646" s="127"/>
      <c r="I646" s="128"/>
      <c r="J646" s="128"/>
      <c r="K646" s="128"/>
      <c r="L646" s="78"/>
    </row>
    <row r="647" spans="2:12" x14ac:dyDescent="0.3">
      <c r="B647" s="127"/>
      <c r="C647" s="128"/>
      <c r="D647" s="128"/>
      <c r="E647" s="128"/>
      <c r="F647" s="128"/>
      <c r="G647" s="128"/>
      <c r="H647" s="127"/>
      <c r="I647" s="128"/>
      <c r="J647" s="128"/>
      <c r="K647" s="128"/>
      <c r="L647" s="78"/>
    </row>
    <row r="648" spans="2:12" x14ac:dyDescent="0.3">
      <c r="H648" s="127"/>
      <c r="L648" s="78"/>
    </row>
    <row r="649" spans="2:12" x14ac:dyDescent="0.3">
      <c r="B649" s="127"/>
      <c r="C649" s="128"/>
      <c r="D649" s="128"/>
      <c r="E649" s="128"/>
      <c r="F649" s="128"/>
      <c r="G649" s="128"/>
      <c r="H649" s="127"/>
      <c r="I649" s="128"/>
      <c r="J649" s="128"/>
      <c r="K649" s="128"/>
      <c r="L649" s="78"/>
    </row>
    <row r="650" spans="2:12" x14ac:dyDescent="0.3">
      <c r="H650" s="127"/>
      <c r="L650" s="78"/>
    </row>
    <row r="651" spans="2:12" x14ac:dyDescent="0.3">
      <c r="B651" s="127"/>
      <c r="C651" s="128"/>
      <c r="D651" s="128"/>
      <c r="E651" s="128"/>
      <c r="F651" s="128"/>
      <c r="G651" s="128"/>
      <c r="H651" s="127"/>
      <c r="I651" s="128"/>
      <c r="J651" s="128"/>
      <c r="K651" s="128"/>
      <c r="L651" s="78"/>
    </row>
    <row r="652" spans="2:12" x14ac:dyDescent="0.3">
      <c r="B652" s="127"/>
      <c r="C652" s="128"/>
      <c r="D652" s="128"/>
      <c r="E652" s="128"/>
      <c r="F652" s="128"/>
      <c r="G652" s="128"/>
      <c r="H652" s="127"/>
      <c r="I652" s="128"/>
      <c r="J652" s="128"/>
      <c r="K652" s="128"/>
      <c r="L652" s="78"/>
    </row>
    <row r="653" spans="2:12" x14ac:dyDescent="0.3">
      <c r="B653" s="127"/>
      <c r="C653" s="128"/>
      <c r="D653" s="128"/>
      <c r="E653" s="128"/>
      <c r="F653" s="128"/>
      <c r="G653" s="128"/>
      <c r="H653" s="127"/>
      <c r="I653" s="128"/>
      <c r="J653" s="128"/>
      <c r="K653" s="128"/>
      <c r="L653" s="78"/>
    </row>
    <row r="654" spans="2:12" x14ac:dyDescent="0.3">
      <c r="H654" s="127"/>
      <c r="L654" s="78"/>
    </row>
    <row r="655" spans="2:12" x14ac:dyDescent="0.3">
      <c r="B655" s="127"/>
      <c r="C655" s="128"/>
      <c r="D655" s="128"/>
      <c r="E655" s="128"/>
      <c r="F655" s="128"/>
      <c r="G655" s="128"/>
      <c r="H655" s="127"/>
      <c r="I655" s="128"/>
      <c r="J655" s="128"/>
      <c r="K655" s="128"/>
      <c r="L655" s="78"/>
    </row>
    <row r="656" spans="2:12" x14ac:dyDescent="0.3">
      <c r="H656" s="127"/>
      <c r="L656" s="78"/>
    </row>
    <row r="657" spans="2:12" x14ac:dyDescent="0.3">
      <c r="B657" s="127"/>
      <c r="C657" s="128"/>
      <c r="D657" s="128"/>
      <c r="E657" s="128"/>
      <c r="F657" s="128"/>
      <c r="G657" s="128"/>
      <c r="H657" s="127"/>
      <c r="I657" s="128"/>
      <c r="J657" s="128"/>
      <c r="K657" s="128"/>
      <c r="L657" s="78"/>
    </row>
    <row r="658" spans="2:12" x14ac:dyDescent="0.3">
      <c r="B658" s="127"/>
      <c r="C658" s="128"/>
      <c r="D658" s="128"/>
      <c r="E658" s="128"/>
      <c r="F658" s="128"/>
      <c r="G658" s="128"/>
      <c r="H658" s="127"/>
      <c r="I658" s="128"/>
      <c r="J658" s="128"/>
      <c r="K658" s="128"/>
      <c r="L658" s="78"/>
    </row>
    <row r="659" spans="2:12" x14ac:dyDescent="0.3">
      <c r="B659" s="127"/>
      <c r="C659" s="128"/>
      <c r="D659" s="128"/>
      <c r="E659" s="128"/>
      <c r="F659" s="128"/>
      <c r="G659" s="128"/>
      <c r="H659" s="127"/>
      <c r="I659" s="128"/>
      <c r="J659" s="128"/>
      <c r="K659" s="128"/>
      <c r="L659" s="78"/>
    </row>
    <row r="660" spans="2:12" x14ac:dyDescent="0.3">
      <c r="H660" s="127"/>
      <c r="L660" s="78"/>
    </row>
    <row r="661" spans="2:12" x14ac:dyDescent="0.3">
      <c r="B661" s="127"/>
      <c r="C661" s="128"/>
      <c r="D661" s="128"/>
      <c r="E661" s="128"/>
      <c r="F661" s="128"/>
      <c r="G661" s="128"/>
      <c r="H661" s="127"/>
      <c r="I661" s="128"/>
      <c r="J661" s="128"/>
      <c r="K661" s="128"/>
      <c r="L661" s="78"/>
    </row>
    <row r="662" spans="2:12" x14ac:dyDescent="0.3">
      <c r="H662" s="127"/>
      <c r="L662" s="78"/>
    </row>
    <row r="663" spans="2:12" x14ac:dyDescent="0.3">
      <c r="B663" s="127"/>
      <c r="C663" s="128"/>
      <c r="D663" s="128"/>
      <c r="E663" s="128"/>
      <c r="F663" s="128"/>
      <c r="G663" s="128"/>
      <c r="H663" s="127"/>
      <c r="I663" s="128"/>
      <c r="J663" s="128"/>
      <c r="K663" s="128"/>
      <c r="L663" s="78"/>
    </row>
    <row r="664" spans="2:12" x14ac:dyDescent="0.3">
      <c r="B664" s="127"/>
      <c r="C664" s="128"/>
      <c r="D664" s="128"/>
      <c r="E664" s="128"/>
      <c r="F664" s="128"/>
      <c r="G664" s="128"/>
      <c r="H664" s="127"/>
      <c r="I664" s="128"/>
      <c r="J664" s="128"/>
      <c r="K664" s="128"/>
      <c r="L664" s="78"/>
    </row>
    <row r="665" spans="2:12" x14ac:dyDescent="0.3">
      <c r="B665" s="127"/>
      <c r="C665" s="128"/>
      <c r="D665" s="128"/>
      <c r="E665" s="128"/>
      <c r="F665" s="128"/>
      <c r="G665" s="128"/>
      <c r="H665" s="127"/>
      <c r="I665" s="128"/>
      <c r="J665" s="128"/>
      <c r="K665" s="128"/>
      <c r="L665" s="78"/>
    </row>
    <row r="666" spans="2:12" x14ac:dyDescent="0.3">
      <c r="H666" s="127"/>
      <c r="L666" s="78"/>
    </row>
    <row r="667" spans="2:12" x14ac:dyDescent="0.3">
      <c r="B667" s="127"/>
      <c r="C667" s="128"/>
      <c r="D667" s="128"/>
      <c r="E667" s="128"/>
      <c r="F667" s="128"/>
      <c r="G667" s="128"/>
      <c r="H667" s="127"/>
      <c r="I667" s="128"/>
      <c r="J667" s="128"/>
      <c r="K667" s="128"/>
      <c r="L667" s="78"/>
    </row>
    <row r="668" spans="2:12" x14ac:dyDescent="0.3">
      <c r="H668" s="127"/>
      <c r="L668" s="78"/>
    </row>
    <row r="669" spans="2:12" x14ac:dyDescent="0.3">
      <c r="B669" s="127"/>
      <c r="C669" s="128"/>
      <c r="D669" s="128"/>
      <c r="E669" s="128"/>
      <c r="F669" s="128"/>
      <c r="G669" s="128"/>
      <c r="H669" s="127"/>
      <c r="I669" s="128"/>
      <c r="J669" s="128"/>
      <c r="K669" s="128"/>
      <c r="L669" s="78"/>
    </row>
    <row r="670" spans="2:12" x14ac:dyDescent="0.3">
      <c r="B670" s="127"/>
      <c r="C670" s="128"/>
      <c r="D670" s="128"/>
      <c r="E670" s="128"/>
      <c r="F670" s="128"/>
      <c r="G670" s="128"/>
      <c r="H670" s="127"/>
      <c r="I670" s="128"/>
      <c r="J670" s="128"/>
      <c r="K670" s="128"/>
      <c r="L670" s="78"/>
    </row>
    <row r="671" spans="2:12" x14ac:dyDescent="0.3">
      <c r="B671" s="127"/>
      <c r="C671" s="128"/>
      <c r="D671" s="128"/>
      <c r="E671" s="128"/>
      <c r="F671" s="128"/>
      <c r="G671" s="128"/>
      <c r="H671" s="127"/>
      <c r="I671" s="128"/>
      <c r="J671" s="128"/>
      <c r="K671" s="128"/>
      <c r="L671" s="78"/>
    </row>
    <row r="672" spans="2:12" x14ac:dyDescent="0.3">
      <c r="H672" s="127"/>
      <c r="L672" s="78"/>
    </row>
    <row r="673" spans="2:12" x14ac:dyDescent="0.3">
      <c r="B673" s="127"/>
      <c r="C673" s="128"/>
      <c r="D673" s="128"/>
      <c r="E673" s="128"/>
      <c r="F673" s="128"/>
      <c r="G673" s="128"/>
      <c r="H673" s="127"/>
      <c r="I673" s="128"/>
      <c r="J673" s="128"/>
      <c r="K673" s="128"/>
      <c r="L673" s="78"/>
    </row>
    <row r="674" spans="2:12" x14ac:dyDescent="0.3">
      <c r="H674" s="127"/>
      <c r="L674" s="78"/>
    </row>
    <row r="675" spans="2:12" x14ac:dyDescent="0.3">
      <c r="B675" s="127"/>
      <c r="C675" s="128"/>
      <c r="D675" s="128"/>
      <c r="E675" s="128"/>
      <c r="F675" s="128"/>
      <c r="G675" s="128"/>
      <c r="H675" s="127"/>
      <c r="I675" s="128"/>
      <c r="J675" s="128"/>
      <c r="K675" s="128"/>
      <c r="L675" s="78"/>
    </row>
    <row r="676" spans="2:12" x14ac:dyDescent="0.3">
      <c r="B676" s="127"/>
      <c r="C676" s="128"/>
      <c r="D676" s="128"/>
      <c r="E676" s="128"/>
      <c r="F676" s="128"/>
      <c r="G676" s="128"/>
      <c r="H676" s="127"/>
      <c r="I676" s="128"/>
      <c r="J676" s="128"/>
      <c r="K676" s="128"/>
      <c r="L676" s="78"/>
    </row>
    <row r="677" spans="2:12" x14ac:dyDescent="0.3">
      <c r="B677" s="127"/>
      <c r="C677" s="128"/>
      <c r="D677" s="128"/>
      <c r="E677" s="128"/>
      <c r="F677" s="128"/>
      <c r="G677" s="128"/>
      <c r="H677" s="127"/>
      <c r="I677" s="128"/>
      <c r="J677" s="128"/>
      <c r="K677" s="128"/>
      <c r="L677" s="78"/>
    </row>
    <row r="678" spans="2:12" x14ac:dyDescent="0.3">
      <c r="H678" s="127"/>
      <c r="L678" s="78"/>
    </row>
    <row r="679" spans="2:12" x14ac:dyDescent="0.3">
      <c r="B679" s="127"/>
      <c r="C679" s="128"/>
      <c r="D679" s="128"/>
      <c r="E679" s="128"/>
      <c r="F679" s="128"/>
      <c r="G679" s="128"/>
      <c r="H679" s="127"/>
      <c r="I679" s="128"/>
      <c r="J679" s="128"/>
      <c r="K679" s="128"/>
      <c r="L679" s="78"/>
    </row>
    <row r="680" spans="2:12" x14ac:dyDescent="0.3">
      <c r="H680" s="127"/>
      <c r="L680" s="78"/>
    </row>
    <row r="681" spans="2:12" x14ac:dyDescent="0.3">
      <c r="B681" s="127"/>
      <c r="C681" s="128"/>
      <c r="D681" s="128"/>
      <c r="E681" s="128"/>
      <c r="F681" s="128"/>
      <c r="G681" s="128"/>
      <c r="H681" s="127"/>
      <c r="I681" s="128"/>
      <c r="J681" s="128"/>
      <c r="K681" s="128"/>
      <c r="L681" s="78"/>
    </row>
    <row r="682" spans="2:12" x14ac:dyDescent="0.3">
      <c r="B682" s="127"/>
      <c r="C682" s="128"/>
      <c r="D682" s="128"/>
      <c r="E682" s="128"/>
      <c r="F682" s="128"/>
      <c r="G682" s="128"/>
      <c r="H682" s="127"/>
      <c r="I682" s="128"/>
      <c r="J682" s="128"/>
      <c r="K682" s="128"/>
      <c r="L682" s="78"/>
    </row>
    <row r="683" spans="2:12" x14ac:dyDescent="0.3">
      <c r="B683" s="127"/>
      <c r="C683" s="128"/>
      <c r="D683" s="128"/>
      <c r="E683" s="128"/>
      <c r="F683" s="128"/>
      <c r="G683" s="128"/>
      <c r="H683" s="127"/>
      <c r="I683" s="128"/>
      <c r="J683" s="128"/>
      <c r="K683" s="128"/>
      <c r="L683" s="78"/>
    </row>
    <row r="684" spans="2:12" x14ac:dyDescent="0.3">
      <c r="H684" s="127"/>
      <c r="L684" s="78"/>
    </row>
    <row r="685" spans="2:12" x14ac:dyDescent="0.3">
      <c r="B685" s="127"/>
      <c r="C685" s="128"/>
      <c r="D685" s="128"/>
      <c r="E685" s="128"/>
      <c r="F685" s="128"/>
      <c r="G685" s="128"/>
      <c r="H685" s="127"/>
      <c r="I685" s="128"/>
      <c r="J685" s="128"/>
      <c r="K685" s="128"/>
      <c r="L685" s="78"/>
    </row>
    <row r="686" spans="2:12" x14ac:dyDescent="0.3">
      <c r="H686" s="127"/>
      <c r="L686" s="78"/>
    </row>
    <row r="687" spans="2:12" x14ac:dyDescent="0.3">
      <c r="B687" s="127"/>
      <c r="C687" s="128"/>
      <c r="D687" s="128"/>
      <c r="E687" s="128"/>
      <c r="F687" s="128"/>
      <c r="G687" s="128"/>
      <c r="H687" s="127"/>
      <c r="I687" s="128"/>
      <c r="J687" s="128"/>
      <c r="K687" s="128"/>
      <c r="L687" s="78"/>
    </row>
    <row r="688" spans="2:12" x14ac:dyDescent="0.3">
      <c r="B688" s="127"/>
      <c r="C688" s="128"/>
      <c r="D688" s="128"/>
      <c r="E688" s="128"/>
      <c r="F688" s="128"/>
      <c r="G688" s="128"/>
      <c r="H688" s="127"/>
      <c r="I688" s="128"/>
      <c r="J688" s="128"/>
      <c r="K688" s="128"/>
      <c r="L688" s="78"/>
    </row>
    <row r="689" spans="2:12" x14ac:dyDescent="0.3">
      <c r="B689" s="127"/>
      <c r="C689" s="128"/>
      <c r="D689" s="128"/>
      <c r="E689" s="128"/>
      <c r="F689" s="128"/>
      <c r="G689" s="128"/>
      <c r="H689" s="127"/>
      <c r="I689" s="128"/>
      <c r="J689" s="128"/>
      <c r="K689" s="128"/>
      <c r="L689" s="78"/>
    </row>
    <row r="690" spans="2:12" x14ac:dyDescent="0.3">
      <c r="H690" s="127"/>
      <c r="L690" s="78"/>
    </row>
    <row r="691" spans="2:12" x14ac:dyDescent="0.3">
      <c r="B691" s="127"/>
      <c r="C691" s="128"/>
      <c r="D691" s="128"/>
      <c r="E691" s="128"/>
      <c r="F691" s="128"/>
      <c r="G691" s="128"/>
      <c r="H691" s="127"/>
      <c r="I691" s="128"/>
      <c r="J691" s="128"/>
      <c r="K691" s="128"/>
      <c r="L691" s="78"/>
    </row>
    <row r="692" spans="2:12" x14ac:dyDescent="0.3">
      <c r="H692" s="127"/>
      <c r="L692" s="78"/>
    </row>
    <row r="693" spans="2:12" x14ac:dyDescent="0.3">
      <c r="B693" s="127"/>
      <c r="C693" s="128"/>
      <c r="D693" s="128"/>
      <c r="E693" s="128"/>
      <c r="F693" s="128"/>
      <c r="G693" s="128"/>
      <c r="H693" s="127"/>
      <c r="I693" s="128"/>
      <c r="J693" s="128"/>
      <c r="K693" s="128"/>
      <c r="L693" s="78"/>
    </row>
    <row r="694" spans="2:12" x14ac:dyDescent="0.3">
      <c r="B694" s="127"/>
      <c r="C694" s="128"/>
      <c r="D694" s="128"/>
      <c r="E694" s="128"/>
      <c r="F694" s="128"/>
      <c r="G694" s="128"/>
      <c r="H694" s="127"/>
      <c r="I694" s="128"/>
      <c r="J694" s="128"/>
      <c r="K694" s="128"/>
      <c r="L694" s="78"/>
    </row>
    <row r="695" spans="2:12" x14ac:dyDescent="0.3">
      <c r="B695" s="127"/>
      <c r="C695" s="128"/>
      <c r="D695" s="128"/>
      <c r="E695" s="128"/>
      <c r="F695" s="128"/>
      <c r="G695" s="128"/>
      <c r="H695" s="127"/>
      <c r="I695" s="128"/>
      <c r="J695" s="128"/>
      <c r="K695" s="128"/>
      <c r="L695" s="78"/>
    </row>
    <row r="696" spans="2:12" x14ac:dyDescent="0.3">
      <c r="H696" s="127"/>
      <c r="L696" s="78"/>
    </row>
    <row r="697" spans="2:12" x14ac:dyDescent="0.3">
      <c r="B697" s="127"/>
      <c r="C697" s="128"/>
      <c r="D697" s="128"/>
      <c r="E697" s="128"/>
      <c r="F697" s="128"/>
      <c r="G697" s="128"/>
      <c r="H697" s="127"/>
      <c r="I697" s="128"/>
      <c r="J697" s="128"/>
      <c r="K697" s="128"/>
      <c r="L697" s="78"/>
    </row>
    <row r="698" spans="2:12" x14ac:dyDescent="0.3">
      <c r="H698" s="127"/>
      <c r="L698" s="78"/>
    </row>
    <row r="699" spans="2:12" x14ac:dyDescent="0.3">
      <c r="B699" s="127"/>
      <c r="C699" s="128"/>
      <c r="D699" s="128"/>
      <c r="E699" s="128"/>
      <c r="F699" s="128"/>
      <c r="G699" s="128"/>
      <c r="H699" s="127"/>
      <c r="I699" s="128"/>
      <c r="J699" s="128"/>
      <c r="K699" s="128"/>
      <c r="L699" s="78"/>
    </row>
    <row r="700" spans="2:12" x14ac:dyDescent="0.3">
      <c r="B700" s="127"/>
      <c r="C700" s="128"/>
      <c r="D700" s="128"/>
      <c r="E700" s="128"/>
      <c r="F700" s="128"/>
      <c r="G700" s="128"/>
      <c r="H700" s="127"/>
      <c r="I700" s="128"/>
      <c r="J700" s="128"/>
      <c r="K700" s="128"/>
      <c r="L700" s="78"/>
    </row>
    <row r="701" spans="2:12" x14ac:dyDescent="0.3">
      <c r="B701" s="127"/>
      <c r="C701" s="128"/>
      <c r="D701" s="128"/>
      <c r="E701" s="128"/>
      <c r="F701" s="128"/>
      <c r="G701" s="128"/>
      <c r="H701" s="127"/>
      <c r="I701" s="128"/>
      <c r="J701" s="128"/>
      <c r="K701" s="128"/>
      <c r="L701" s="78"/>
    </row>
    <row r="702" spans="2:12" x14ac:dyDescent="0.3">
      <c r="H702" s="127"/>
      <c r="L702" s="78"/>
    </row>
    <row r="703" spans="2:12" x14ac:dyDescent="0.3">
      <c r="B703" s="127"/>
      <c r="C703" s="128"/>
      <c r="D703" s="128"/>
      <c r="E703" s="128"/>
      <c r="F703" s="128"/>
      <c r="G703" s="128"/>
      <c r="H703" s="127"/>
      <c r="I703" s="128"/>
      <c r="J703" s="128"/>
      <c r="K703" s="128"/>
      <c r="L703" s="78"/>
    </row>
    <row r="704" spans="2:12" x14ac:dyDescent="0.3">
      <c r="H704" s="127"/>
      <c r="L704" s="78"/>
    </row>
    <row r="705" spans="2:12" x14ac:dyDescent="0.3">
      <c r="B705" s="127"/>
      <c r="C705" s="128"/>
      <c r="D705" s="128"/>
      <c r="E705" s="128"/>
      <c r="F705" s="128"/>
      <c r="G705" s="128"/>
      <c r="H705" s="127"/>
      <c r="I705" s="128"/>
      <c r="J705" s="128"/>
      <c r="K705" s="128"/>
      <c r="L705" s="78"/>
    </row>
    <row r="706" spans="2:12" x14ac:dyDescent="0.3">
      <c r="B706" s="127"/>
      <c r="C706" s="128"/>
      <c r="D706" s="128"/>
      <c r="E706" s="128"/>
      <c r="F706" s="128"/>
      <c r="G706" s="128"/>
      <c r="H706" s="127"/>
      <c r="I706" s="128"/>
      <c r="J706" s="128"/>
      <c r="K706" s="128"/>
      <c r="L706" s="78"/>
    </row>
    <row r="707" spans="2:12" x14ac:dyDescent="0.3">
      <c r="B707" s="127"/>
      <c r="C707" s="128"/>
      <c r="D707" s="128"/>
      <c r="E707" s="128"/>
      <c r="F707" s="128"/>
      <c r="G707" s="128"/>
      <c r="H707" s="127"/>
      <c r="I707" s="128"/>
      <c r="J707" s="128"/>
      <c r="K707" s="128"/>
      <c r="L707" s="78"/>
    </row>
    <row r="708" spans="2:12" x14ac:dyDescent="0.3">
      <c r="B708" s="127"/>
      <c r="C708" s="128"/>
      <c r="D708" s="128"/>
      <c r="E708" s="128"/>
      <c r="F708" s="128"/>
      <c r="G708" s="128"/>
      <c r="H708" s="127"/>
      <c r="I708" s="128"/>
      <c r="J708" s="128"/>
      <c r="K708" s="128"/>
      <c r="L708" s="78"/>
    </row>
    <row r="709" spans="2:12" x14ac:dyDescent="0.3">
      <c r="H709" s="127"/>
      <c r="L709" s="78"/>
    </row>
    <row r="710" spans="2:12" x14ac:dyDescent="0.3">
      <c r="B710" s="127"/>
      <c r="C710" s="128"/>
      <c r="D710" s="128"/>
      <c r="E710" s="128"/>
      <c r="F710" s="128"/>
      <c r="G710" s="128"/>
      <c r="H710" s="127"/>
      <c r="I710" s="128"/>
      <c r="J710" s="128"/>
      <c r="K710" s="128"/>
      <c r="L710" s="78"/>
    </row>
    <row r="711" spans="2:12" x14ac:dyDescent="0.3">
      <c r="B711" s="127"/>
      <c r="C711" s="128"/>
      <c r="D711" s="128"/>
      <c r="E711" s="128"/>
      <c r="F711" s="128"/>
      <c r="G711" s="128"/>
      <c r="H711" s="127"/>
      <c r="I711" s="128"/>
      <c r="J711" s="128"/>
      <c r="K711" s="128"/>
      <c r="L711" s="78"/>
    </row>
    <row r="712" spans="2:12" x14ac:dyDescent="0.3">
      <c r="B712" s="127"/>
      <c r="C712" s="128"/>
      <c r="D712" s="128"/>
      <c r="E712" s="128"/>
      <c r="F712" s="128"/>
      <c r="G712" s="128"/>
      <c r="H712" s="127"/>
      <c r="I712" s="128"/>
      <c r="J712" s="128"/>
      <c r="K712" s="128"/>
      <c r="L712" s="78"/>
    </row>
    <row r="713" spans="2:12" x14ac:dyDescent="0.3">
      <c r="B713" s="127"/>
      <c r="C713" s="128"/>
      <c r="D713" s="128"/>
      <c r="E713" s="128"/>
      <c r="F713" s="128"/>
      <c r="G713" s="128"/>
      <c r="H713" s="127"/>
      <c r="I713" s="128"/>
      <c r="J713" s="128"/>
      <c r="K713" s="128"/>
      <c r="L713" s="78"/>
    </row>
    <row r="714" spans="2:12" x14ac:dyDescent="0.3">
      <c r="H714" s="127"/>
      <c r="L714" s="78"/>
    </row>
    <row r="715" spans="2:12" x14ac:dyDescent="0.3">
      <c r="B715" s="127"/>
      <c r="C715" s="128"/>
      <c r="D715" s="128"/>
      <c r="E715" s="128"/>
      <c r="F715" s="128"/>
      <c r="G715" s="128"/>
      <c r="H715" s="127"/>
      <c r="I715" s="128"/>
      <c r="J715" s="128"/>
      <c r="K715" s="128"/>
      <c r="L715" s="78"/>
    </row>
  </sheetData>
  <autoFilter ref="A1:L715" xr:uid="{00000000-0009-0000-0000-000004000000}"/>
  <sortState xmlns:xlrd2="http://schemas.microsoft.com/office/spreadsheetml/2017/richdata2" ref="B7:L710">
    <sortCondition ref="H7:H710"/>
    <sortCondition ref="B7:B710"/>
  </sortState>
  <customSheetViews>
    <customSheetView guid="{03A28D0E-D221-430C-9036-787CFB666EE7}" scale="110" showAutoFilter="1">
      <pane ySplit="1" topLeftCell="A2" activePane="bottomLeft" state="frozen"/>
      <selection pane="bottomLeft" activeCell="C9" sqref="C9"/>
      <pageMargins left="0.7" right="0.7" top="0.75" bottom="0.75" header="0.3" footer="0.3"/>
      <pageSetup orientation="portrait" r:id="rId1"/>
      <autoFilter ref="A1:K805" xr:uid="{EBDC7DC5-2C3C-4248-AE1F-EA519CBCD099}"/>
    </customSheetView>
  </customSheetViews>
  <mergeCells count="1">
    <mergeCell ref="A3:A6"/>
  </mergeCells>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N202"/>
  <sheetViews>
    <sheetView zoomScale="60" zoomScaleNormal="60" workbookViewId="0"/>
  </sheetViews>
  <sheetFormatPr defaultColWidth="11.44140625" defaultRowHeight="13.8" x14ac:dyDescent="0.3"/>
  <cols>
    <col min="1" max="1" width="11.44140625" style="60"/>
    <col min="2" max="2" width="15.77734375" style="61" customWidth="1"/>
    <col min="3" max="3" width="11.44140625" style="61"/>
    <col min="4" max="4" width="19.33203125" style="61" customWidth="1"/>
    <col min="5" max="10" width="11.44140625" style="61"/>
    <col min="11" max="11" width="21.33203125" style="61" customWidth="1"/>
    <col min="12" max="12" width="11.44140625" style="61"/>
    <col min="13" max="13" width="18.77734375" style="61" customWidth="1"/>
    <col min="14" max="14" width="11.44140625" style="61"/>
    <col min="15" max="15" width="18.44140625" style="61" customWidth="1"/>
    <col min="16" max="20" width="11.44140625" style="61"/>
    <col min="21" max="21" width="14.33203125" style="61" customWidth="1"/>
    <col min="22" max="22" width="15.33203125" style="61" customWidth="1"/>
    <col min="23" max="23" width="14.44140625" style="61" customWidth="1"/>
    <col min="24" max="24" width="13.109375" style="61" customWidth="1"/>
    <col min="25" max="26" width="11.44140625" style="61"/>
    <col min="27" max="27" width="15.44140625" style="61" customWidth="1"/>
    <col min="28" max="29" width="11.44140625" style="61"/>
    <col min="30" max="30" width="13.33203125" style="61" customWidth="1"/>
    <col min="31" max="32" width="11.44140625" style="61"/>
    <col min="33" max="33" width="13.33203125" style="61" customWidth="1"/>
    <col min="34" max="34" width="13.44140625" style="61" customWidth="1"/>
    <col min="35" max="43" width="11.44140625" style="61"/>
    <col min="44" max="44" width="20.77734375" style="61" customWidth="1"/>
    <col min="45" max="46" width="11.44140625" style="61"/>
    <col min="47" max="47" width="13.44140625" style="61" customWidth="1"/>
    <col min="48" max="49" width="11.44140625" style="61"/>
    <col min="50" max="50" width="17.44140625" style="61" customWidth="1"/>
    <col min="51" max="79" width="11.44140625" style="61"/>
    <col min="80" max="80" width="17" style="61" customWidth="1"/>
    <col min="81" max="81" width="11.44140625" style="61"/>
    <col min="82" max="82" width="15.33203125" style="61" customWidth="1"/>
    <col min="83" max="84" width="11.44140625" style="61"/>
    <col min="85" max="85" width="15.44140625" style="61" customWidth="1"/>
    <col min="86" max="98" width="11.44140625" style="61"/>
    <col min="99" max="99" width="15.44140625" style="61" customWidth="1"/>
    <col min="100" max="100" width="16.33203125" style="61" customWidth="1"/>
    <col min="101" max="102" width="11.44140625" style="61"/>
    <col min="103" max="103" width="15.77734375" style="61" customWidth="1"/>
    <col min="104" max="104" width="14.77734375" style="61" customWidth="1"/>
    <col min="105" max="145" width="11.44140625" style="61"/>
    <col min="146" max="146" width="14.77734375" style="61" customWidth="1"/>
    <col min="147" max="165" width="11.44140625" style="61"/>
    <col min="166" max="166" width="14" style="61" customWidth="1"/>
    <col min="167" max="167" width="11.44140625" style="61"/>
    <col min="168" max="168" width="14.6640625" style="61" customWidth="1"/>
    <col min="169" max="16384" width="11.44140625" style="61"/>
  </cols>
  <sheetData>
    <row r="1" spans="1:170" s="59" customFormat="1" ht="71.55" customHeight="1" x14ac:dyDescent="0.3">
      <c r="A1" s="57" t="s">
        <v>310</v>
      </c>
      <c r="B1" s="58" t="s">
        <v>25</v>
      </c>
      <c r="C1" s="58" t="s">
        <v>26</v>
      </c>
      <c r="D1" s="58" t="s">
        <v>27</v>
      </c>
      <c r="E1" s="58" t="s">
        <v>28</v>
      </c>
      <c r="F1" s="58" t="s">
        <v>29</v>
      </c>
      <c r="G1" s="58" t="s">
        <v>30</v>
      </c>
      <c r="H1" s="58" t="s">
        <v>31</v>
      </c>
      <c r="I1" s="58" t="s">
        <v>32</v>
      </c>
      <c r="J1" s="58" t="s">
        <v>33</v>
      </c>
      <c r="K1" s="58" t="s">
        <v>34</v>
      </c>
      <c r="L1" s="58" t="s">
        <v>35</v>
      </c>
      <c r="M1" s="58" t="s">
        <v>36</v>
      </c>
      <c r="N1" s="58" t="s">
        <v>37</v>
      </c>
      <c r="O1" s="58" t="s">
        <v>38</v>
      </c>
      <c r="P1" s="58" t="s">
        <v>39</v>
      </c>
      <c r="Q1" s="58" t="s">
        <v>40</v>
      </c>
      <c r="R1" s="58" t="s">
        <v>41</v>
      </c>
      <c r="S1" s="58" t="s">
        <v>42</v>
      </c>
      <c r="T1" s="58" t="s">
        <v>43</v>
      </c>
      <c r="U1" s="58" t="s">
        <v>44</v>
      </c>
      <c r="V1" s="58" t="s">
        <v>45</v>
      </c>
      <c r="W1" s="58" t="s">
        <v>46</v>
      </c>
      <c r="X1" s="58" t="s">
        <v>47</v>
      </c>
      <c r="Y1" s="58" t="s">
        <v>48</v>
      </c>
      <c r="Z1" s="58" t="s">
        <v>49</v>
      </c>
      <c r="AA1" s="58" t="s">
        <v>50</v>
      </c>
      <c r="AB1" s="58" t="s">
        <v>51</v>
      </c>
      <c r="AC1" s="58" t="s">
        <v>52</v>
      </c>
      <c r="AD1" s="58" t="s">
        <v>53</v>
      </c>
      <c r="AE1" s="58" t="s">
        <v>54</v>
      </c>
      <c r="AF1" s="58" t="s">
        <v>55</v>
      </c>
      <c r="AG1" s="58" t="s">
        <v>56</v>
      </c>
      <c r="AH1" s="58" t="s">
        <v>57</v>
      </c>
      <c r="AI1" s="58" t="s">
        <v>58</v>
      </c>
      <c r="AJ1" s="58" t="s">
        <v>59</v>
      </c>
      <c r="AK1" s="58" t="s">
        <v>60</v>
      </c>
      <c r="AL1" s="58" t="s">
        <v>61</v>
      </c>
      <c r="AM1" s="58" t="s">
        <v>62</v>
      </c>
      <c r="AN1" s="58" t="s">
        <v>63</v>
      </c>
      <c r="AO1" s="58" t="s">
        <v>64</v>
      </c>
      <c r="AP1" s="58" t="s">
        <v>65</v>
      </c>
      <c r="AQ1" s="58" t="s">
        <v>66</v>
      </c>
      <c r="AR1" s="58" t="s">
        <v>67</v>
      </c>
      <c r="AS1" s="58" t="s">
        <v>68</v>
      </c>
      <c r="AT1" s="58" t="s">
        <v>69</v>
      </c>
      <c r="AU1" s="58" t="s">
        <v>70</v>
      </c>
      <c r="AV1" s="58" t="s">
        <v>71</v>
      </c>
      <c r="AW1" s="58" t="s">
        <v>72</v>
      </c>
      <c r="AX1" s="58" t="s">
        <v>73</v>
      </c>
      <c r="AY1" s="58" t="s">
        <v>74</v>
      </c>
      <c r="AZ1" s="58" t="s">
        <v>75</v>
      </c>
      <c r="BA1" s="58" t="s">
        <v>76</v>
      </c>
      <c r="BB1" s="58" t="s">
        <v>77</v>
      </c>
      <c r="BC1" s="58" t="s">
        <v>78</v>
      </c>
      <c r="BD1" s="58" t="s">
        <v>79</v>
      </c>
      <c r="BE1" s="58" t="s">
        <v>80</v>
      </c>
      <c r="BF1" s="58" t="s">
        <v>81</v>
      </c>
      <c r="BG1" s="58" t="s">
        <v>82</v>
      </c>
      <c r="BH1" s="58" t="s">
        <v>83</v>
      </c>
      <c r="BI1" s="58" t="s">
        <v>84</v>
      </c>
      <c r="BJ1" s="58" t="s">
        <v>85</v>
      </c>
      <c r="BK1" s="58" t="s">
        <v>86</v>
      </c>
      <c r="BL1" s="58" t="s">
        <v>87</v>
      </c>
      <c r="BM1" s="58" t="s">
        <v>88</v>
      </c>
      <c r="BN1" s="58" t="s">
        <v>89</v>
      </c>
      <c r="BO1" s="58" t="s">
        <v>90</v>
      </c>
      <c r="BP1" s="58" t="s">
        <v>91</v>
      </c>
      <c r="BQ1" s="58" t="s">
        <v>92</v>
      </c>
      <c r="BR1" s="58" t="s">
        <v>93</v>
      </c>
      <c r="BS1" s="58" t="s">
        <v>94</v>
      </c>
      <c r="BT1" s="58" t="s">
        <v>95</v>
      </c>
      <c r="BU1" s="58" t="s">
        <v>96</v>
      </c>
      <c r="BV1" s="58" t="s">
        <v>97</v>
      </c>
      <c r="BW1" s="58" t="s">
        <v>98</v>
      </c>
      <c r="BX1" s="58" t="s">
        <v>99</v>
      </c>
      <c r="BY1" s="58" t="s">
        <v>100</v>
      </c>
      <c r="BZ1" s="58" t="s">
        <v>101</v>
      </c>
      <c r="CA1" s="58" t="s">
        <v>102</v>
      </c>
      <c r="CB1" s="58" t="s">
        <v>103</v>
      </c>
      <c r="CC1" s="58" t="s">
        <v>104</v>
      </c>
      <c r="CD1" s="58" t="s">
        <v>105</v>
      </c>
      <c r="CE1" s="58" t="s">
        <v>106</v>
      </c>
      <c r="CF1" s="58" t="s">
        <v>107</v>
      </c>
      <c r="CG1" s="58" t="s">
        <v>108</v>
      </c>
      <c r="CH1" s="58" t="s">
        <v>109</v>
      </c>
      <c r="CI1" s="58" t="s">
        <v>110</v>
      </c>
      <c r="CJ1" s="58" t="s">
        <v>111</v>
      </c>
      <c r="CK1" s="58" t="s">
        <v>112</v>
      </c>
      <c r="CL1" s="58" t="s">
        <v>113</v>
      </c>
      <c r="CM1" s="58" t="s">
        <v>114</v>
      </c>
      <c r="CN1" s="58" t="s">
        <v>115</v>
      </c>
      <c r="CO1" s="58" t="s">
        <v>116</v>
      </c>
      <c r="CP1" s="58" t="s">
        <v>117</v>
      </c>
      <c r="CQ1" s="58" t="s">
        <v>118</v>
      </c>
      <c r="CR1" s="58" t="s">
        <v>119</v>
      </c>
      <c r="CS1" s="58" t="s">
        <v>120</v>
      </c>
      <c r="CT1" s="58" t="s">
        <v>121</v>
      </c>
      <c r="CU1" s="58" t="s">
        <v>122</v>
      </c>
      <c r="CV1" s="58" t="s">
        <v>123</v>
      </c>
      <c r="CW1" s="58" t="s">
        <v>124</v>
      </c>
      <c r="CX1" s="58" t="s">
        <v>125</v>
      </c>
      <c r="CY1" s="58" t="s">
        <v>126</v>
      </c>
      <c r="CZ1" s="58" t="s">
        <v>127</v>
      </c>
      <c r="DA1" s="58" t="s">
        <v>128</v>
      </c>
      <c r="DB1" s="58" t="s">
        <v>129</v>
      </c>
      <c r="DC1" s="58" t="s">
        <v>130</v>
      </c>
      <c r="DD1" s="58" t="s">
        <v>131</v>
      </c>
      <c r="DE1" s="58" t="s">
        <v>132</v>
      </c>
      <c r="DF1" s="58" t="s">
        <v>133</v>
      </c>
      <c r="DG1" s="58" t="s">
        <v>134</v>
      </c>
      <c r="DH1" s="58" t="s">
        <v>135</v>
      </c>
      <c r="DI1" s="58" t="s">
        <v>136</v>
      </c>
      <c r="DJ1" s="58" t="s">
        <v>137</v>
      </c>
      <c r="DK1" s="58" t="s">
        <v>138</v>
      </c>
      <c r="DL1" s="58" t="s">
        <v>139</v>
      </c>
      <c r="DM1" s="58" t="s">
        <v>140</v>
      </c>
      <c r="DN1" s="58" t="s">
        <v>141</v>
      </c>
      <c r="DO1" s="58" t="s">
        <v>142</v>
      </c>
      <c r="DP1" s="58" t="s">
        <v>143</v>
      </c>
      <c r="DQ1" s="58" t="s">
        <v>144</v>
      </c>
      <c r="DR1" s="58" t="s">
        <v>145</v>
      </c>
      <c r="DS1" s="58" t="s">
        <v>146</v>
      </c>
      <c r="DT1" s="58" t="s">
        <v>147</v>
      </c>
      <c r="DU1" s="58" t="s">
        <v>148</v>
      </c>
      <c r="DV1" s="58" t="s">
        <v>149</v>
      </c>
      <c r="DW1" s="58" t="s">
        <v>150</v>
      </c>
      <c r="DX1" s="58" t="s">
        <v>151</v>
      </c>
      <c r="DY1" s="58" t="s">
        <v>152</v>
      </c>
      <c r="DZ1" s="58" t="s">
        <v>153</v>
      </c>
      <c r="EA1" s="58" t="s">
        <v>154</v>
      </c>
      <c r="EB1" s="58" t="s">
        <v>155</v>
      </c>
      <c r="EC1" s="58" t="s">
        <v>156</v>
      </c>
      <c r="ED1" s="58" t="s">
        <v>157</v>
      </c>
      <c r="EE1" s="58" t="s">
        <v>158</v>
      </c>
      <c r="EF1" s="58" t="s">
        <v>159</v>
      </c>
      <c r="EG1" s="58" t="s">
        <v>160</v>
      </c>
      <c r="EH1" s="58" t="s">
        <v>161</v>
      </c>
      <c r="EI1" s="58" t="s">
        <v>162</v>
      </c>
      <c r="EJ1" s="58" t="s">
        <v>163</v>
      </c>
      <c r="EK1" s="58" t="s">
        <v>164</v>
      </c>
      <c r="EL1" s="58" t="s">
        <v>165</v>
      </c>
      <c r="EM1" s="58" t="s">
        <v>166</v>
      </c>
      <c r="EN1" s="58" t="s">
        <v>167</v>
      </c>
      <c r="EO1" s="58" t="s">
        <v>168</v>
      </c>
      <c r="EP1" s="58" t="s">
        <v>169</v>
      </c>
      <c r="EQ1" s="58" t="s">
        <v>170</v>
      </c>
      <c r="ER1" s="58" t="s">
        <v>171</v>
      </c>
      <c r="ES1" s="58" t="s">
        <v>172</v>
      </c>
      <c r="ET1" s="58" t="s">
        <v>173</v>
      </c>
      <c r="EU1" s="58" t="s">
        <v>174</v>
      </c>
      <c r="EV1" s="58" t="s">
        <v>175</v>
      </c>
      <c r="EW1" s="58" t="s">
        <v>176</v>
      </c>
      <c r="EX1" s="58" t="s">
        <v>177</v>
      </c>
      <c r="EY1" s="58" t="s">
        <v>178</v>
      </c>
      <c r="EZ1" s="58" t="s">
        <v>179</v>
      </c>
      <c r="FA1" s="58" t="s">
        <v>180</v>
      </c>
      <c r="FB1" s="58" t="s">
        <v>181</v>
      </c>
      <c r="FC1" s="58" t="s">
        <v>182</v>
      </c>
      <c r="FD1" s="58" t="s">
        <v>183</v>
      </c>
      <c r="FE1" s="58" t="s">
        <v>184</v>
      </c>
      <c r="FF1" s="58" t="s">
        <v>185</v>
      </c>
      <c r="FG1" s="58" t="s">
        <v>186</v>
      </c>
      <c r="FH1" s="58" t="s">
        <v>187</v>
      </c>
      <c r="FI1" s="58" t="s">
        <v>188</v>
      </c>
      <c r="FJ1" s="58" t="s">
        <v>189</v>
      </c>
      <c r="FK1" s="58" t="s">
        <v>190</v>
      </c>
      <c r="FL1" s="58" t="s">
        <v>191</v>
      </c>
      <c r="FM1" s="58" t="s">
        <v>192</v>
      </c>
      <c r="FN1" s="58" t="s">
        <v>8</v>
      </c>
    </row>
    <row r="2" spans="1:170" s="60" customFormat="1" ht="27.6" x14ac:dyDescent="0.3">
      <c r="A2" s="57" t="s">
        <v>323</v>
      </c>
      <c r="B2" s="57"/>
      <c r="C2" s="57">
        <f>VLOOKUP(C1,CamposSIS,2,FALSE)</f>
        <v>47</v>
      </c>
      <c r="D2" s="57"/>
      <c r="E2" s="57"/>
      <c r="F2" s="57"/>
      <c r="G2" s="57"/>
      <c r="H2" s="57"/>
      <c r="I2" s="57"/>
      <c r="J2" s="57"/>
      <c r="K2" s="57"/>
      <c r="L2" s="57"/>
      <c r="M2" s="57"/>
      <c r="N2" s="57"/>
      <c r="O2" s="57"/>
      <c r="P2" s="57"/>
      <c r="Q2" s="57"/>
      <c r="R2" s="57"/>
      <c r="S2" s="57"/>
      <c r="T2" s="57"/>
      <c r="U2" s="57">
        <f>VLOOKUP(U1,CamposSIS,2,FALSE)</f>
        <v>72</v>
      </c>
      <c r="V2" s="57"/>
      <c r="W2" s="57"/>
      <c r="X2" s="57"/>
      <c r="Y2" s="57"/>
      <c r="Z2" s="57">
        <f>VLOOKUP(Z1,CamposSIS,2,FALSE)</f>
        <v>46</v>
      </c>
      <c r="AA2" s="57"/>
      <c r="AB2" s="57"/>
      <c r="AC2" s="57"/>
      <c r="AD2" s="57"/>
      <c r="AE2" s="57"/>
      <c r="AF2" s="57"/>
      <c r="AG2" s="57">
        <f>VLOOKUP(AG1,CamposSIS,2,FALSE)</f>
        <v>30</v>
      </c>
      <c r="AH2" s="57">
        <f>VLOOKUP(AH1,CamposSIS,2,FALSE)</f>
        <v>31</v>
      </c>
      <c r="AI2" s="57"/>
      <c r="AJ2" s="57"/>
      <c r="AK2" s="57"/>
      <c r="AL2" s="57"/>
      <c r="AM2" s="57"/>
      <c r="AN2" s="57"/>
      <c r="AO2" s="57"/>
      <c r="AP2" s="57"/>
      <c r="AQ2" s="57"/>
      <c r="AR2" s="57"/>
      <c r="AS2" s="57"/>
      <c r="AT2" s="57"/>
      <c r="AU2" s="57"/>
      <c r="AV2" s="57"/>
      <c r="AW2" s="57"/>
      <c r="AX2" s="57">
        <f>VLOOKUP(AX1,CamposSIS,2,FALSE)</f>
        <v>56</v>
      </c>
      <c r="AY2" s="57">
        <f>VLOOKUP(AY1,CamposSIS,2,FALSE)</f>
        <v>57</v>
      </c>
      <c r="AZ2" s="57">
        <f>VLOOKUP(AZ1,CamposSIS,2,FALSE)</f>
        <v>58</v>
      </c>
      <c r="BA2" s="57">
        <f>VLOOKUP(BA1,CamposSIS,2,FALSE)</f>
        <v>25</v>
      </c>
      <c r="BB2" s="57"/>
      <c r="BC2" s="57"/>
      <c r="BD2" s="57"/>
      <c r="BE2" s="57"/>
      <c r="BF2" s="57"/>
      <c r="BG2" s="57"/>
      <c r="BH2" s="57"/>
      <c r="BI2" s="57"/>
      <c r="BJ2" s="57">
        <f>VLOOKUP(BJ1,CamposSIS,2,FALSE)</f>
        <v>75</v>
      </c>
      <c r="BK2" s="57">
        <f>VLOOKUP(BK1,CamposSIS,2,FALSE)</f>
        <v>74</v>
      </c>
      <c r="BL2" s="57"/>
      <c r="BM2" s="57"/>
      <c r="BN2" s="57"/>
      <c r="BO2" s="57"/>
      <c r="BP2" s="57"/>
      <c r="BQ2" s="57"/>
      <c r="BR2" s="57"/>
      <c r="BS2" s="57"/>
      <c r="BT2" s="57"/>
      <c r="BU2" s="57"/>
      <c r="BV2" s="57">
        <f>VLOOKUP(BV1,CamposSIS,2,FALSE)</f>
        <v>77</v>
      </c>
      <c r="BW2" s="57">
        <f>VLOOKUP(BW1,CamposSIS,2,FALSE)</f>
        <v>76</v>
      </c>
      <c r="BX2" s="57"/>
      <c r="BY2" s="57"/>
      <c r="BZ2" s="57"/>
      <c r="CA2" s="57"/>
      <c r="CB2" s="57"/>
      <c r="CC2" s="57"/>
      <c r="CD2" s="57"/>
      <c r="CE2" s="57"/>
      <c r="CF2" s="57"/>
      <c r="CG2" s="57"/>
      <c r="CH2" s="57"/>
      <c r="CI2" s="57"/>
      <c r="CJ2" s="57">
        <f>VLOOKUP(CJ1,CamposSIS,2,FALSE)</f>
        <v>49</v>
      </c>
      <c r="CK2" s="57"/>
      <c r="CL2" s="57"/>
      <c r="CM2" s="57"/>
      <c r="CN2" s="57"/>
      <c r="CO2" s="57"/>
      <c r="CP2" s="57"/>
      <c r="CQ2" s="57"/>
      <c r="CR2" s="57"/>
      <c r="CS2" s="57"/>
      <c r="CT2" s="57"/>
      <c r="CU2" s="57">
        <f>VLOOKUP(CU1,CamposSIS,2,FALSE)</f>
        <v>69</v>
      </c>
      <c r="CV2" s="57">
        <f>VLOOKUP(CV1,CamposSIS,2,FALSE)</f>
        <v>22</v>
      </c>
      <c r="CW2" s="57"/>
      <c r="CX2" s="57">
        <f>VLOOKUP(CX1,CamposSIS,2,FALSE)</f>
        <v>20</v>
      </c>
      <c r="CY2" s="57"/>
      <c r="CZ2" s="57"/>
      <c r="DA2" s="57"/>
      <c r="DB2" s="57"/>
      <c r="DC2" s="57"/>
      <c r="DD2" s="57"/>
      <c r="DE2" s="57"/>
      <c r="DF2" s="57"/>
      <c r="DG2" s="57"/>
      <c r="DH2" s="57"/>
      <c r="DI2" s="57"/>
      <c r="DJ2" s="57"/>
      <c r="DK2" s="57"/>
      <c r="DL2" s="57"/>
      <c r="DM2" s="57"/>
      <c r="DN2" s="57"/>
      <c r="DO2" s="57"/>
      <c r="DP2" s="57"/>
      <c r="DQ2" s="57"/>
      <c r="DR2" s="57"/>
      <c r="DS2" s="57"/>
      <c r="DT2" s="57"/>
      <c r="DU2" s="57"/>
      <c r="DV2" s="57"/>
      <c r="DW2" s="57"/>
      <c r="DX2" s="57"/>
      <c r="DY2" s="57"/>
      <c r="DZ2" s="57"/>
      <c r="EA2" s="57"/>
      <c r="EB2" s="57"/>
      <c r="EC2" s="57"/>
      <c r="ED2" s="57"/>
      <c r="EE2" s="57"/>
      <c r="EF2" s="57"/>
      <c r="EG2" s="57"/>
      <c r="EH2" s="57"/>
      <c r="EI2" s="57"/>
      <c r="EJ2" s="57"/>
      <c r="EK2" s="57"/>
      <c r="EL2" s="57"/>
      <c r="EM2" s="57"/>
      <c r="EN2" s="57"/>
      <c r="EO2" s="57"/>
      <c r="EP2" s="57">
        <f>VLOOKUP(EP1,CamposSIS,2,FALSE)</f>
        <v>54</v>
      </c>
      <c r="EQ2" s="57">
        <f>VLOOKUP(EQ1,CamposSIS,2,FALSE)</f>
        <v>55</v>
      </c>
      <c r="ER2" s="57">
        <f>VLOOKUP(ER1,CamposSIS,2,FALSE)</f>
        <v>59</v>
      </c>
      <c r="ES2" s="57">
        <f>VLOOKUP(ES1,CamposSIS,2,FALSE)</f>
        <v>60</v>
      </c>
      <c r="ET2" s="57">
        <f>VLOOKUP(ET1,CamposSIS,2,FALSE)</f>
        <v>61</v>
      </c>
      <c r="EU2" s="57"/>
      <c r="EV2" s="57"/>
      <c r="EW2" s="57"/>
      <c r="EX2" s="57">
        <f>VLOOKUP(EX1,CamposSIS,2,FALSE)</f>
        <v>48</v>
      </c>
      <c r="EY2" s="57"/>
      <c r="EZ2" s="57">
        <f>VLOOKUP(EZ1,CamposSIS,2,FALSE)</f>
        <v>70</v>
      </c>
      <c r="FA2" s="57"/>
      <c r="FB2" s="57"/>
      <c r="FC2" s="57"/>
      <c r="FD2" s="57"/>
      <c r="FE2" s="57"/>
      <c r="FF2" s="57"/>
      <c r="FG2" s="57"/>
      <c r="FH2" s="57"/>
      <c r="FI2" s="57"/>
      <c r="FJ2" s="57"/>
      <c r="FK2" s="57"/>
      <c r="FL2" s="57"/>
      <c r="FM2" s="57"/>
      <c r="FN2" s="57">
        <f>VLOOKUP(FN1,CamposSIS,2,FALSE)</f>
        <v>1</v>
      </c>
    </row>
    <row r="3" spans="1:170" ht="16.8" x14ac:dyDescent="0.3">
      <c r="A3" s="70" t="str">
        <f>'BASE MAESTRA'!B7</f>
        <v>3</v>
      </c>
      <c r="C3" s="61" t="str">
        <f t="shared" ref="C3:C66" si="0">VLOOKUP($A3,DatosEspecies,C$2,FALSE)</f>
        <v>60</v>
      </c>
      <c r="U3" s="61">
        <f t="shared" ref="U3:U66" si="1">VLOOKUP($A3,DatosEspecies,U$2,FALSE)</f>
        <v>0</v>
      </c>
      <c r="Z3" s="61" t="str">
        <f t="shared" ref="Z3:Z66" si="2">VLOOKUP($A3,DatosEspecies,Z$2,FALSE)</f>
        <v>365587</v>
      </c>
      <c r="AG3" s="61" t="str">
        <f t="shared" ref="AG3:AH22" si="3">VLOOKUP($A3,DatosEspecies,AG$2,FALSE)</f>
        <v>5</v>
      </c>
      <c r="AH3" s="61" t="str">
        <f t="shared" si="3"/>
        <v>2050</v>
      </c>
      <c r="AX3" s="61">
        <f t="shared" ref="AX3:AZ18" si="4">VLOOKUP($A3,DatosEspecies,AX$2,FALSE)</f>
        <v>0</v>
      </c>
      <c r="AY3" s="61">
        <f t="shared" si="4"/>
        <v>0</v>
      </c>
      <c r="AZ3" s="61">
        <f t="shared" si="4"/>
        <v>0</v>
      </c>
      <c r="BA3" s="61" t="str">
        <f t="shared" ref="BA3:BA66" si="5">VLOOKUP($A3,DatosEspecies,BA$2,FALSE)</f>
        <v xml:space="preserve">Plantas hemiepífitas, epífitas o terrestres. Rizomas largos y rastreros, de color marrón oscuro, a menudo pruinosos; filopodios separados entre 1 y 12 cm. Escamas del rizoma densas, lanceoladas, bicoloras, de color marrón claro a rojizo en los márgenes con células paralelas, y marrón oscuro hacia el centro; bases peltadas, redondeadas; ápices acuminados a caudados. Frondas de 32–102 cm de largo. Pecíolos de 10–40 cm de largo.
</v>
      </c>
      <c r="BJ3" s="61">
        <f t="shared" ref="BJ3:BK34" si="6">VLOOKUP($A3,DatosEspecies,BJ$2,FALSE)</f>
        <v>0</v>
      </c>
      <c r="BK3" s="61">
        <f t="shared" si="6"/>
        <v>0</v>
      </c>
      <c r="BV3" s="61" t="str">
        <f t="shared" ref="BV3:BV34" si="7">VLOOKUP($A3,DatosEspecies,BV$2,FALSE)</f>
        <v>Parque Nacional Natural Serrania de los Churumbelos Auka Wasi, Reserva Forestal Protectora Nacional Carauta, Reserva Forestal Protectora Nacional Río Anchicayá</v>
      </c>
      <c r="BW3" s="61" t="str">
        <f t="shared" ref="BW3:BW34" si="8">VLOOKUP($A3,DatosEspecies,BW$2,FALSE)</f>
        <v>YES</v>
      </c>
      <c r="CJ3" s="61">
        <f t="shared" ref="CJ3:CJ66" si="9">VLOOKUP($A3,DatosEspecies,CJ$2,FALSE)</f>
        <v>56</v>
      </c>
      <c r="CU3" s="61">
        <f t="shared" ref="CU3:CX22" si="10">VLOOKUP($A3,DatosEspecies,CU$2,FALSE)</f>
        <v>0</v>
      </c>
      <c r="CV3" s="61" t="str">
        <f t="shared" si="10"/>
        <v>NO</v>
      </c>
      <c r="CX3" s="61" t="str">
        <f t="shared" si="10"/>
        <v>TRUE</v>
      </c>
      <c r="EP3" s="61">
        <f t="shared" ref="EP3:EQ18" si="11">VLOOKUP($A3,DatosEspecies,EP$2,FALSE)</f>
        <v>0</v>
      </c>
      <c r="EQ3" s="61">
        <f>VLOOKUP($A3,DatosEspecies,EQ$2,FALSE)</f>
        <v>0</v>
      </c>
      <c r="ER3" s="61">
        <f t="shared" ref="ER3:ET18" si="12">VLOOKUP($A3,DatosEspecies,ER$2,FALSE)</f>
        <v>0</v>
      </c>
      <c r="ES3" s="61">
        <f t="shared" si="12"/>
        <v>0</v>
      </c>
      <c r="ET3" s="61">
        <f t="shared" si="12"/>
        <v>0</v>
      </c>
      <c r="EX3" s="61">
        <f t="shared" ref="EX3:EZ66" si="13">VLOOKUP($A3,DatosEspecies,EX$2,FALSE)</f>
        <v>362947</v>
      </c>
      <c r="EZ3" s="61">
        <f t="shared" si="13"/>
        <v>0</v>
      </c>
      <c r="FN3" s="61" t="str">
        <f>A3</f>
        <v>3</v>
      </c>
    </row>
    <row r="4" spans="1:170" ht="16.8" x14ac:dyDescent="0.3">
      <c r="A4" s="70" t="str">
        <f>'BASE MAESTRA'!B8</f>
        <v>4</v>
      </c>
      <c r="C4" s="61" t="str">
        <f t="shared" si="0"/>
        <v>20</v>
      </c>
      <c r="U4" s="61">
        <f t="shared" si="1"/>
        <v>0</v>
      </c>
      <c r="Z4" s="61" t="str">
        <f t="shared" si="2"/>
        <v>11112</v>
      </c>
      <c r="AG4" s="61" t="str">
        <f t="shared" si="3"/>
        <v>0</v>
      </c>
      <c r="AH4" s="61" t="str">
        <f t="shared" si="3"/>
        <v>2450</v>
      </c>
      <c r="AX4" s="61">
        <f t="shared" si="4"/>
        <v>0</v>
      </c>
      <c r="AY4" s="61">
        <f t="shared" si="4"/>
        <v>0</v>
      </c>
      <c r="AZ4" s="61" t="str">
        <f t="shared" si="4"/>
        <v>NO</v>
      </c>
      <c r="BA4" s="61" t="str">
        <f t="shared" si="5"/>
        <v>Plantas epífitas, terrestres y rupícolas. Rizomas cortos y rastreros, de color marrón oscuro a rojizo, sin pruina o con una pruina muy tenue; filopodios separados entre 0,5 y 1,5 cm. Escamas del rizoma densas, de forma ovado-lanceolada a lanceolada, de un solo color, de color marrón claro a naranja, con la base redondeada y el ápice agudo. Frondas de 20-155 cm de largo. Pecíolos de 7-45 cm de largo, subcilíndricos en la parte proximal, ligeramente sulcados en la distal, con un pequeño ala, de color marrón claro a marrón oscuro.</v>
      </c>
      <c r="BJ4" s="61">
        <f t="shared" si="6"/>
        <v>0</v>
      </c>
      <c r="BK4" s="61">
        <f t="shared" si="6"/>
        <v>0</v>
      </c>
      <c r="BV4" s="61" t="str">
        <f t="shared" si="7"/>
        <v>Parque Nacional Natural Sierra de La Macarena, Reserva Forestal Protectora Nacional Serrania La Lindosa - Angosturas II</v>
      </c>
      <c r="BW4" s="61">
        <f t="shared" si="8"/>
        <v>0</v>
      </c>
      <c r="CJ4" s="61">
        <f t="shared" si="9"/>
        <v>20</v>
      </c>
      <c r="CU4" s="61">
        <f t="shared" si="10"/>
        <v>0</v>
      </c>
      <c r="CV4" s="61" t="str">
        <f t="shared" si="10"/>
        <v>NO</v>
      </c>
      <c r="CX4" s="61" t="str">
        <f t="shared" si="10"/>
        <v>TRUE</v>
      </c>
      <c r="EP4" s="61">
        <f t="shared" si="11"/>
        <v>33</v>
      </c>
      <c r="EQ4" s="61" t="str">
        <f t="shared" si="11"/>
        <v>NO</v>
      </c>
      <c r="ER4" s="61" t="str">
        <f t="shared" si="12"/>
        <v>Las dos subpoblaciones de la especie se encuentran en paisajes con destrucción y degradación de su hábitat. Estas subpoblaciones se encuentran en los municipios de Anorí y San Luis (departamento de Antioquia) y Florencia (departamento de Caldas).</v>
      </c>
      <c r="ES4" s="61" t="str">
        <f t="shared" si="12"/>
        <v>N/A</v>
      </c>
      <c r="ET4" s="61" t="str">
        <f t="shared" si="12"/>
        <v>NO</v>
      </c>
      <c r="EX4" s="61">
        <f t="shared" si="13"/>
        <v>10727</v>
      </c>
      <c r="EZ4" s="61">
        <f t="shared" si="13"/>
        <v>0</v>
      </c>
      <c r="FN4" s="61" t="str">
        <f t="shared" ref="FN4:FN65" si="14">A4</f>
        <v>4</v>
      </c>
    </row>
    <row r="5" spans="1:170" ht="16.8" x14ac:dyDescent="0.3">
      <c r="A5" s="70" t="str">
        <f>'BASE MAESTRA'!B10</f>
        <v>6</v>
      </c>
      <c r="C5" s="61" t="str">
        <f t="shared" si="0"/>
        <v>20</v>
      </c>
      <c r="U5" s="61">
        <f t="shared" si="1"/>
        <v>0</v>
      </c>
      <c r="Z5" s="61" t="str">
        <f t="shared" si="2"/>
        <v>52105</v>
      </c>
      <c r="AG5" s="61" t="str">
        <f t="shared" si="3"/>
        <v>1820</v>
      </c>
      <c r="AH5" s="61" t="str">
        <f t="shared" si="3"/>
        <v>3000</v>
      </c>
      <c r="AX5" s="61" t="str">
        <f t="shared" si="4"/>
        <v>NO</v>
      </c>
      <c r="AY5" s="61" t="str">
        <f t="shared" si="4"/>
        <v>N/A</v>
      </c>
      <c r="AZ5" s="61" t="str">
        <f t="shared" si="4"/>
        <v>YES</v>
      </c>
      <c r="BA5" s="61" t="str">
        <f t="shared" si="5"/>
        <v>Plantas hemiepífitas o terrestres. Rizomas largos y rastreros, de color naranja a rojizo en los ápices, marrón amarillento en la base, pruinosos; filopodios separados entre dos y cuatro cm. Escamas del rizoma densas, lanceoladas a estrechamente lanceoladas, de un solo color, de color naranja oscuro, iridiscentes y con la base redondeada. Frondas de 54-61 cm de largo. Pecíolos de 25-28 cm de largo, subcilíndricos en la parte proximal, triangulares en la distal, de color pajizo a marrón.</v>
      </c>
      <c r="BJ5" s="61">
        <f t="shared" si="6"/>
        <v>0</v>
      </c>
      <c r="BK5" s="61">
        <f t="shared" si="6"/>
        <v>0</v>
      </c>
      <c r="BV5" s="61" t="str">
        <f t="shared" si="7"/>
        <v>Reserva Forestal Protectora Nacional La Planada</v>
      </c>
      <c r="BW5" s="61">
        <f t="shared" si="8"/>
        <v>0</v>
      </c>
      <c r="CJ5" s="61">
        <f t="shared" si="9"/>
        <v>20</v>
      </c>
      <c r="CU5" s="61">
        <f t="shared" si="10"/>
        <v>0</v>
      </c>
      <c r="CV5" s="61" t="str">
        <f t="shared" si="10"/>
        <v>NO</v>
      </c>
      <c r="CX5" s="61" t="str">
        <f t="shared" si="10"/>
        <v>TRUE</v>
      </c>
      <c r="EP5" s="61">
        <f t="shared" si="11"/>
        <v>42</v>
      </c>
      <c r="EQ5" s="61" t="str">
        <f t="shared" si="11"/>
        <v>NO</v>
      </c>
      <c r="ER5" s="61">
        <f t="shared" si="12"/>
        <v>0</v>
      </c>
      <c r="ES5" s="61" t="str">
        <f t="shared" si="12"/>
        <v>N/A</v>
      </c>
      <c r="ET5" s="61" t="str">
        <f t="shared" si="12"/>
        <v>NO</v>
      </c>
      <c r="EX5" s="61" t="str">
        <f t="shared" si="13"/>
        <v>52337*</v>
      </c>
      <c r="EZ5" s="61">
        <f t="shared" si="13"/>
        <v>0</v>
      </c>
      <c r="FN5" s="61" t="str">
        <f t="shared" si="14"/>
        <v>6</v>
      </c>
    </row>
    <row r="6" spans="1:170" ht="16.8" x14ac:dyDescent="0.3">
      <c r="A6" s="70" t="str">
        <f>'BASE MAESTRA'!B11</f>
        <v>7</v>
      </c>
      <c r="C6" s="61" t="str">
        <f t="shared" si="0"/>
        <v>72</v>
      </c>
      <c r="U6" s="61">
        <f t="shared" si="1"/>
        <v>0</v>
      </c>
      <c r="Z6" s="61" t="str">
        <f t="shared" si="2"/>
        <v>164197</v>
      </c>
      <c r="AG6" s="61" t="str">
        <f t="shared" si="3"/>
        <v>5</v>
      </c>
      <c r="AH6" s="61" t="str">
        <f t="shared" si="3"/>
        <v>1950</v>
      </c>
      <c r="AX6" s="61">
        <f t="shared" si="4"/>
        <v>0</v>
      </c>
      <c r="AY6" s="61">
        <f t="shared" si="4"/>
        <v>0</v>
      </c>
      <c r="AZ6" s="61">
        <f t="shared" si="4"/>
        <v>0</v>
      </c>
      <c r="BA6" s="61" t="str">
        <f t="shared" si="5"/>
        <v>Plantas epífitas, terrestres o rupícolas. Rizomas cortos y rastreros, de color marrón oscuro a rojizo, pruinosos; filopodios separados entre 0,4 y 2,5 cm. Escamas del rizoma densas, lanceoladas a aciculolanceoladas, de un solo color, marrón oscuro, iridiscentes, con la base redondeada, el ápice largamente acuminado, patentes y los márgenes dentados. Frondas de 20–146 cm de largo. Pecíolos de 4,5–35 cm de largo, subcilíndricos, de color marrón claro a oscuro.</v>
      </c>
      <c r="BJ6" s="61">
        <f t="shared" si="6"/>
        <v>0</v>
      </c>
      <c r="BK6" s="61">
        <f t="shared" si="6"/>
        <v>0</v>
      </c>
      <c r="BV6" s="61" t="str">
        <f t="shared" si="7"/>
        <v>Parque Nacional Natural Las Orquídeas, Distrito Regional de Manejo Integrado de la Cuenca Alta del Rio Quindio de Salento</v>
      </c>
      <c r="BW6" s="61">
        <f t="shared" si="8"/>
        <v>0</v>
      </c>
      <c r="CJ6" s="61">
        <f t="shared" si="9"/>
        <v>72</v>
      </c>
      <c r="CU6" s="61">
        <f t="shared" si="10"/>
        <v>0</v>
      </c>
      <c r="CV6" s="61" t="str">
        <f t="shared" si="10"/>
        <v>NO</v>
      </c>
      <c r="CX6" s="61" t="str">
        <f t="shared" si="10"/>
        <v>TRUE</v>
      </c>
      <c r="EP6" s="61">
        <f t="shared" si="11"/>
        <v>0</v>
      </c>
      <c r="EQ6" s="61">
        <f t="shared" si="11"/>
        <v>0</v>
      </c>
      <c r="ER6" s="61">
        <f t="shared" si="12"/>
        <v>0</v>
      </c>
      <c r="ES6" s="61">
        <f t="shared" si="12"/>
        <v>0</v>
      </c>
      <c r="ET6" s="61">
        <f t="shared" si="12"/>
        <v>0</v>
      </c>
      <c r="EX6" s="61">
        <f t="shared" si="13"/>
        <v>164922</v>
      </c>
      <c r="EZ6" s="61">
        <f t="shared" si="13"/>
        <v>0</v>
      </c>
      <c r="FN6" s="61" t="str">
        <f t="shared" si="14"/>
        <v>7</v>
      </c>
    </row>
    <row r="7" spans="1:170" ht="16.8" x14ac:dyDescent="0.3">
      <c r="A7" s="70" t="str">
        <f>'BASE MAESTRA'!B12</f>
        <v>8</v>
      </c>
      <c r="C7" s="61" t="str">
        <f t="shared" si="0"/>
        <v>196</v>
      </c>
      <c r="U7" s="61">
        <f t="shared" si="1"/>
        <v>0</v>
      </c>
      <c r="Z7" s="61" t="str">
        <f t="shared" si="2"/>
        <v>177568</v>
      </c>
      <c r="AG7" s="61" t="str">
        <f t="shared" si="3"/>
        <v>2430</v>
      </c>
      <c r="AH7" s="61" t="str">
        <f t="shared" si="3"/>
        <v>3950</v>
      </c>
      <c r="AX7" s="61">
        <f t="shared" si="4"/>
        <v>0</v>
      </c>
      <c r="AY7" s="61">
        <f t="shared" si="4"/>
        <v>0</v>
      </c>
      <c r="AZ7" s="61">
        <f t="shared" si="4"/>
        <v>0</v>
      </c>
      <c r="BA7" s="61" t="str">
        <f t="shared" si="5"/>
        <v>Plantas epífitas, hemiepífitas, terrestres o, en raras ocasiones, rupícolas. Rizomas largos y rastreros, de color marrón claro a oscuro, pruinosos; filopodios separados entre 1 y 5,5 cm. Escamas del rizoma densas, principalmente en el ápice del rizoma y en los filopodios, peltadas, de un solo color, de color marrón oscuro a rojizo, con la base redondeada, el ápice acicular y extendido, y los márgenes ciliados. Frondas de 8–42 cm de largo. Pecíolos de 3,4–25 cm de largo, subcilíndricos en la parte proximal, ligeramente sulcados en la distal, de color marrón claro a rojizo o verdoso.</v>
      </c>
      <c r="BJ7" s="61">
        <f t="shared" si="6"/>
        <v>0</v>
      </c>
      <c r="BK7" s="61">
        <f t="shared" si="6"/>
        <v>0</v>
      </c>
      <c r="BV7" s="61" t="str">
        <f t="shared" si="7"/>
        <v>Parque Nacional Natural Los Nevados, Parque Nacional Natural Puracé, Parque Nacional Natural Sumapaz, Parque Nacional Natural Tatamá, Reserva Forestal Protectora Nacional de Urrao, Reserva Forestal Protectora Nacional Río Blanco y Quebrada Olivares, Reserva Forestal Protectora Nacional Páramo Grande, Reserva Forestal Protectora Nacional Bosque Oriental de Bogotá, Distrito Regional de Manejo Integrado de la Cuenca Alta del Rio Quindio de Salento, Distrito Regional de Manejo Integrado Paramo de Guargua y Laguna Verde, Distrito Regional de Manejo Integrado Sistema de Paramos y Bosques Altoandinos del Noroccidente Medio Antioqueño, Reserva Forestal Protectora Regional Torre Cuatro, Reserva Forestal Protectora Regional Bosques de la CHEC</v>
      </c>
      <c r="BW7" s="61">
        <f t="shared" si="8"/>
        <v>0</v>
      </c>
      <c r="CJ7" s="61">
        <f t="shared" si="9"/>
        <v>204</v>
      </c>
      <c r="CU7" s="61">
        <f t="shared" si="10"/>
        <v>0</v>
      </c>
      <c r="CV7" s="61" t="str">
        <f t="shared" si="10"/>
        <v>NO</v>
      </c>
      <c r="CX7" s="61" t="str">
        <f t="shared" si="10"/>
        <v>TRUE</v>
      </c>
      <c r="EP7" s="61">
        <f t="shared" si="11"/>
        <v>0</v>
      </c>
      <c r="EQ7" s="61">
        <f t="shared" si="11"/>
        <v>0</v>
      </c>
      <c r="ER7" s="61">
        <f t="shared" si="12"/>
        <v>0</v>
      </c>
      <c r="ES7" s="61">
        <f t="shared" si="12"/>
        <v>0</v>
      </c>
      <c r="ET7" s="61">
        <f t="shared" si="12"/>
        <v>0</v>
      </c>
      <c r="EX7" s="61">
        <f t="shared" si="13"/>
        <v>187541</v>
      </c>
      <c r="EZ7" s="61">
        <f t="shared" si="13"/>
        <v>0</v>
      </c>
      <c r="FN7" s="61" t="str">
        <f t="shared" si="14"/>
        <v>8</v>
      </c>
    </row>
    <row r="8" spans="1:170" ht="16.8" x14ac:dyDescent="0.3">
      <c r="A8" s="70" t="str">
        <f>'BASE MAESTRA'!B13</f>
        <v>9</v>
      </c>
      <c r="C8" s="61" t="str">
        <f t="shared" si="0"/>
        <v>460</v>
      </c>
      <c r="U8" s="61">
        <f t="shared" si="1"/>
        <v>0</v>
      </c>
      <c r="Z8" s="61" t="str">
        <f t="shared" si="2"/>
        <v>318075</v>
      </c>
      <c r="AG8" s="61" t="str">
        <f t="shared" si="3"/>
        <v>75</v>
      </c>
      <c r="AH8" s="61" t="str">
        <f t="shared" si="3"/>
        <v>3700</v>
      </c>
      <c r="AX8" s="61">
        <f t="shared" si="4"/>
        <v>0</v>
      </c>
      <c r="AY8" s="61">
        <f t="shared" si="4"/>
        <v>0</v>
      </c>
      <c r="AZ8" s="61">
        <f t="shared" si="4"/>
        <v>0</v>
      </c>
      <c r="BA8" s="61" t="str">
        <f t="shared" si="5"/>
        <v>Plantas epífitas, terrestres, rupícolas o hemiepífitas. Rizomas largos y rastreros, de color marrón claro a verdoso, pruinosos; filopodios separados entre 0,6 y 10 cm. Escamas del rizoma dispersas o densas, redondeadas, de forma ovada a elíptica (nunca largamente acuminadas), adpresas, peltadas, bicoloras, de color marrón claro en los márgenes y marrón oscuro hacia el centro. Frondas de 21–111 cm de largo. Pecíolos de 4–29 cm de largo, subcilíndricos en la parte proximal, ligeramente sulcados en la distal, de color marrón claro a oscuro.</v>
      </c>
      <c r="BJ8" s="61">
        <f t="shared" si="6"/>
        <v>0</v>
      </c>
      <c r="BK8" s="61">
        <f t="shared" si="6"/>
        <v>0</v>
      </c>
      <c r="BV8" s="61" t="str">
        <f t="shared" si="7"/>
        <v>Parque Nacional Natural Sierra de la Macarena, Parque Nacional Natural Sierra Nevada de Santa Marta, Parque Nacional Natural Farallones de Cali, Parque Nacional Natural Las Orquídeas, Parque Nacional Natural Tatamá, Parque Nacional Natural Selva de Florencia, Parque Natural Regional del Nima, Parque Regional Natural Ucumari, Santuario de Fauna y Flora Iguaque, Santuario de Fauna y Flora Guanenta Alto Rio Fonce, Santuario de Fauna y Flora Otun Quimbaya, Distrito de Conservacion de Suelos Campoalegre, Distrito de Conservacion de Suelos Barbas Bremen, Reserva Forestal Protectora Nacional Carauta, Reserva Forestal Protectora Nacional Rio Nare, Reserva Forestal Protectora Nacional Cuenca Alta del Rio Cali, Reserva Forestal Protectora Nacional Paramo Grande, Reserva Forestal Protectora Nacional Rio Anchicaya, Reserva Forestal Protectora Regional Cerro Bravo, Distrito Regional de Manejo Integrado De la Cuenca Alta del Rio Quindio de Salento, Distrito Regional de Manejo Integrado Sistema de Paramos y Bosques Altoandinos del Noroccidente Medio Antioqueño, Distrito Regional de Manejo Integrado Serrania de los Yariguies, Distrito Regional de Manejo Integrado Embalse el Penol y Cuenca Alta del Rio Guatape, Distrito Regional de Manejo Integrado Sector Salto del Tequendama y Cerro Manjui, Distrito Regional de Manejo Integrado Divisoria Valle de Aburra Rio Cauca, Distrito Regional de Manejo Integrado Serrania de Peñas Blancas, Distrito Regional de Manejo Integrado Paramo de Vida Maitama - Sonson, Reserva Forestal Protectora Regional Farallones del Citara, Distrito Regional de Manejo Integrado Cuenca Alta del Rio Atrato, Distrito Regional de Manejo Integrado Cacica Noria</v>
      </c>
      <c r="BW8" s="61">
        <f t="shared" si="8"/>
        <v>0</v>
      </c>
      <c r="CJ8" s="61">
        <f t="shared" si="9"/>
        <v>448</v>
      </c>
      <c r="CU8" s="61">
        <f t="shared" si="10"/>
        <v>0</v>
      </c>
      <c r="CV8" s="61" t="str">
        <f t="shared" si="10"/>
        <v>NO</v>
      </c>
      <c r="CX8" s="61" t="str">
        <f t="shared" si="10"/>
        <v>TRUE</v>
      </c>
      <c r="EP8" s="61">
        <f t="shared" si="11"/>
        <v>0</v>
      </c>
      <c r="EQ8" s="61">
        <f t="shared" si="11"/>
        <v>0</v>
      </c>
      <c r="ER8" s="61">
        <f t="shared" si="12"/>
        <v>0</v>
      </c>
      <c r="ES8" s="61">
        <f t="shared" si="12"/>
        <v>0</v>
      </c>
      <c r="ET8" s="61">
        <f t="shared" si="12"/>
        <v>0</v>
      </c>
      <c r="EX8" s="61">
        <f t="shared" si="13"/>
        <v>319959</v>
      </c>
      <c r="EZ8" s="61">
        <f t="shared" si="13"/>
        <v>0</v>
      </c>
      <c r="FN8" s="61" t="str">
        <f t="shared" si="14"/>
        <v>9</v>
      </c>
    </row>
    <row r="9" spans="1:170" ht="16.8" x14ac:dyDescent="0.3">
      <c r="A9" s="70" t="str">
        <f>'BASE MAESTRA'!B14</f>
        <v>10</v>
      </c>
      <c r="C9" s="61" t="str">
        <f t="shared" si="0"/>
        <v>120</v>
      </c>
      <c r="U9" s="61">
        <f t="shared" si="1"/>
        <v>0</v>
      </c>
      <c r="Z9" s="61" t="str">
        <f t="shared" si="2"/>
        <v>137734</v>
      </c>
      <c r="AG9" s="61" t="str">
        <f t="shared" si="3"/>
        <v>1240</v>
      </c>
      <c r="AH9" s="61" t="str">
        <f t="shared" si="3"/>
        <v>3000</v>
      </c>
      <c r="AX9" s="61">
        <f t="shared" si="4"/>
        <v>0</v>
      </c>
      <c r="AY9" s="61">
        <f t="shared" si="4"/>
        <v>0</v>
      </c>
      <c r="AZ9" s="61">
        <f t="shared" si="4"/>
        <v>0</v>
      </c>
      <c r="BA9" s="61" t="str">
        <f t="shared" si="5"/>
        <v>Plantas epífitas o hemiepífitas. Rizomas largos y rastreros, de color marrón oscuro a rojizo, pruinosos; filopodios separados entre 1,5 y 7 cm. Escamas del rizoma dispersas, elípticas, adpresas, peltadas, bicolores, de color marrón claro en los márgenes y marrón oscuro hacia el centro, con la base y el ápice obtusos a redondeados, y los márgenes dentados. Frondas de 16–42 cm de largo. Pecíolos de 2,5–14 cm de largo, subcilíndricos en la parte proximal, sulcados en la distal, de color marrón claro a oscuro.</v>
      </c>
      <c r="BJ9" s="61">
        <f t="shared" si="6"/>
        <v>0</v>
      </c>
      <c r="BK9" s="61">
        <f t="shared" si="6"/>
        <v>0</v>
      </c>
      <c r="BV9" s="61" t="str">
        <f t="shared" si="7"/>
        <v>Parque Nacional Natural Las Orquideas, Parque Natural Regional Paramo de Rabanal, Reserva Forestal Protectora Nacional Carauta, Reserva Forestal Protector Nacional Rio Nare, Reserva Forestal Protectora Nacional De Urrao, Distrito Regional de Manejo Integrado Embalse el Peñol y Cuenca Alta del Rio Guatape, Distrito Regional de Manejo Integrado Divisoria Valle de Aburra Rio Cauca, Distrito Regional de Manejo Integrado Paramo de Vida Maitama - Sonson, Distrito Regional de Manejo Integrado Cacica Noria</v>
      </c>
      <c r="BW9" s="61">
        <f t="shared" si="8"/>
        <v>0</v>
      </c>
      <c r="CJ9" s="61">
        <f t="shared" si="9"/>
        <v>120</v>
      </c>
      <c r="CU9" s="61">
        <f t="shared" si="10"/>
        <v>0</v>
      </c>
      <c r="CV9" s="61" t="str">
        <f t="shared" si="10"/>
        <v>NO</v>
      </c>
      <c r="CX9" s="61" t="str">
        <f t="shared" si="10"/>
        <v>TRUE</v>
      </c>
      <c r="EP9" s="61">
        <f t="shared" si="11"/>
        <v>0</v>
      </c>
      <c r="EQ9" s="61">
        <f t="shared" si="11"/>
        <v>0</v>
      </c>
      <c r="ER9" s="61">
        <f t="shared" si="12"/>
        <v>0</v>
      </c>
      <c r="ES9" s="61">
        <f t="shared" si="12"/>
        <v>0</v>
      </c>
      <c r="ET9" s="61">
        <f t="shared" si="12"/>
        <v>0</v>
      </c>
      <c r="EX9" s="61">
        <f t="shared" si="13"/>
        <v>138336</v>
      </c>
      <c r="EZ9" s="61">
        <f t="shared" si="13"/>
        <v>0</v>
      </c>
      <c r="FN9" s="61" t="str">
        <f t="shared" si="14"/>
        <v>10</v>
      </c>
    </row>
    <row r="10" spans="1:170" ht="16.8" x14ac:dyDescent="0.3">
      <c r="A10" s="70" t="str">
        <f>'BASE MAESTRA'!B15</f>
        <v>11</v>
      </c>
      <c r="C10" s="61" t="str">
        <f t="shared" si="0"/>
        <v>48</v>
      </c>
      <c r="U10" s="61">
        <f t="shared" si="1"/>
        <v>0</v>
      </c>
      <c r="Z10" s="61" t="str">
        <f t="shared" si="2"/>
        <v>58599</v>
      </c>
      <c r="AG10" s="61" t="str">
        <f t="shared" si="3"/>
        <v>250</v>
      </c>
      <c r="AH10" s="61" t="str">
        <f t="shared" si="3"/>
        <v>3210</v>
      </c>
      <c r="AX10" s="61">
        <f t="shared" si="4"/>
        <v>0</v>
      </c>
      <c r="AY10" s="61">
        <f t="shared" si="4"/>
        <v>0</v>
      </c>
      <c r="AZ10" s="61">
        <f t="shared" si="4"/>
        <v>0</v>
      </c>
      <c r="BA10" s="61" t="str">
        <f t="shared" si="5"/>
        <v>Plantas epífitas, rupícolas o, en raras ocasiones, terrestres. Rizomas cortos y rastreros, de color marrón a rojizo oscuro, pruinosos o no; filopodios separados entre 1 y 2,5 cm. Escamas del rizoma densas, ovado-lanceoladas, lanceoladas a ligeramente subuladas, bicoloras o, en raras ocasiones, ligeramente concoloras (marrón claro en los márgenes y marrón oscuro hacia el centro), con la base redondeada y el ápice largamente acuminado. Frondas de 6–56 cm de largo. Pecíolos de 1–23 cm de largo, subcilíndricos, de color marrón claro.</v>
      </c>
      <c r="BJ10" s="61">
        <f t="shared" si="6"/>
        <v>0</v>
      </c>
      <c r="BK10" s="61">
        <f t="shared" si="6"/>
        <v>0</v>
      </c>
      <c r="BV10" s="61" t="str">
        <f t="shared" si="7"/>
        <v>Reserva Forestal Protectora Nacional Rio Nare</v>
      </c>
      <c r="BW10" s="61">
        <f t="shared" si="8"/>
        <v>0</v>
      </c>
      <c r="CJ10" s="61">
        <f t="shared" si="9"/>
        <v>48</v>
      </c>
      <c r="CU10" s="61">
        <f t="shared" si="10"/>
        <v>0</v>
      </c>
      <c r="CV10" s="61" t="str">
        <f t="shared" si="10"/>
        <v>NO</v>
      </c>
      <c r="CX10" s="61" t="str">
        <f t="shared" si="10"/>
        <v>TRUE</v>
      </c>
      <c r="EP10" s="61">
        <f t="shared" si="11"/>
        <v>88</v>
      </c>
      <c r="EQ10" s="61" t="str">
        <f t="shared" si="11"/>
        <v>0</v>
      </c>
      <c r="ER10" s="61">
        <f t="shared" si="12"/>
        <v>0</v>
      </c>
      <c r="ES10" s="61">
        <f t="shared" si="12"/>
        <v>0</v>
      </c>
      <c r="ET10" s="61">
        <f t="shared" si="12"/>
        <v>0</v>
      </c>
      <c r="EX10" s="61">
        <f t="shared" si="13"/>
        <v>58858</v>
      </c>
      <c r="EZ10" s="61">
        <f t="shared" si="13"/>
        <v>0</v>
      </c>
      <c r="FN10" s="61" t="str">
        <f t="shared" si="14"/>
        <v>11</v>
      </c>
    </row>
    <row r="11" spans="1:170" ht="16.8" x14ac:dyDescent="0.3">
      <c r="A11" s="70" t="str">
        <f>'BASE MAESTRA'!B16</f>
        <v>12</v>
      </c>
      <c r="C11" s="61" t="str">
        <f t="shared" si="0"/>
        <v>128</v>
      </c>
      <c r="U11" s="61">
        <f t="shared" si="1"/>
        <v>0</v>
      </c>
      <c r="Z11" s="61" t="str">
        <f t="shared" si="2"/>
        <v>517891</v>
      </c>
      <c r="AG11" s="61" t="str">
        <f t="shared" si="3"/>
        <v>0</v>
      </c>
      <c r="AH11" s="61" t="str">
        <f t="shared" si="3"/>
        <v>2080</v>
      </c>
      <c r="AX11" s="61">
        <f t="shared" si="4"/>
        <v>0</v>
      </c>
      <c r="AY11" s="61">
        <f t="shared" si="4"/>
        <v>0</v>
      </c>
      <c r="AZ11" s="61">
        <f t="shared" si="4"/>
        <v>0</v>
      </c>
      <c r="BA11" s="61" t="str">
        <f t="shared" si="5"/>
        <v>Plantas hemiepífitas, epífitas, terrestres o, en raras ocasiones, rupícolas. Rizomas largos y rastreros, de color marrón oscuro, sin pruina; filopodios separados entre 3,5 y 8 cm. Escamas del rizoma densas o dispersas, redondeadas, adpresas, peltadas, bicoloras, de color marrón claro en los márgenes y marrón oscuro hacia el centro. Frondas de 49-110 cm de largo. Pecíolos de 14-41 cm de largo, subcilíndricos en la parte proximal, ligeramente sulcados en la distal, de color marrón claro en la base y a menudo se oscurecen en la parte distal.</v>
      </c>
      <c r="BJ11" s="61">
        <f t="shared" si="6"/>
        <v>0</v>
      </c>
      <c r="BK11" s="61">
        <f t="shared" si="6"/>
        <v>0</v>
      </c>
      <c r="BV11" s="61" t="str">
        <f t="shared" si="7"/>
        <v>Parque Nacional Natural Las Orquideas, Reserva Forestal Protectora Nacional Darien, Parque Nacional Natural Utria, Parque Nacional Natural Serrania de los Churumbelos Auka Wasi</v>
      </c>
      <c r="BW11" s="61">
        <f t="shared" si="8"/>
        <v>0</v>
      </c>
      <c r="CJ11" s="61">
        <f t="shared" si="9"/>
        <v>124</v>
      </c>
      <c r="CU11" s="61">
        <f t="shared" si="10"/>
        <v>0</v>
      </c>
      <c r="CV11" s="61" t="str">
        <f t="shared" si="10"/>
        <v>NO</v>
      </c>
      <c r="CX11" s="61" t="str">
        <f t="shared" si="10"/>
        <v>TRUE</v>
      </c>
      <c r="EP11" s="61">
        <f t="shared" si="11"/>
        <v>0</v>
      </c>
      <c r="EQ11" s="61">
        <f t="shared" si="11"/>
        <v>0</v>
      </c>
      <c r="ER11" s="61">
        <f t="shared" si="12"/>
        <v>0</v>
      </c>
      <c r="ES11" s="61">
        <f t="shared" si="12"/>
        <v>0</v>
      </c>
      <c r="ET11" s="61">
        <f t="shared" si="12"/>
        <v>0</v>
      </c>
      <c r="EX11" s="61">
        <f t="shared" si="13"/>
        <v>520184</v>
      </c>
      <c r="EZ11" s="61">
        <f t="shared" si="13"/>
        <v>0</v>
      </c>
      <c r="FN11" s="61" t="str">
        <f t="shared" si="14"/>
        <v>12</v>
      </c>
    </row>
    <row r="12" spans="1:170" ht="16.8" x14ac:dyDescent="0.3">
      <c r="A12" s="70" t="str">
        <f>'BASE MAESTRA'!B17</f>
        <v>13</v>
      </c>
      <c r="C12" s="61" t="str">
        <f t="shared" si="0"/>
        <v>572</v>
      </c>
      <c r="U12" s="61">
        <f t="shared" si="1"/>
        <v>0</v>
      </c>
      <c r="Z12" s="61" t="str">
        <f t="shared" si="2"/>
        <v>352104</v>
      </c>
      <c r="AG12" s="61" t="str">
        <f t="shared" si="3"/>
        <v>700</v>
      </c>
      <c r="AH12" s="61" t="str">
        <f t="shared" si="3"/>
        <v>3700</v>
      </c>
      <c r="AX12" s="61">
        <f t="shared" si="4"/>
        <v>0</v>
      </c>
      <c r="AY12" s="61">
        <f t="shared" si="4"/>
        <v>0</v>
      </c>
      <c r="AZ12" s="61">
        <f t="shared" si="4"/>
        <v>0</v>
      </c>
      <c r="BA12" s="61" t="str">
        <f t="shared" si="5"/>
        <v>Plantas hemiepífitas, epífitas, terrestres o rupícolas. Rizomas largos y rastreros, de color marrón blanquecino a oscuro o rojizo, volviéndose blanquecinos hacia el ápice, pruinosos; filopodios separados entre 0,5 y 9 cm. Escamas del rizoma dispersas, redondeadas, elípticas u ovadas, adpresas, peltadas, bicolores, de color marrón claro en los márgenes y marrón oscuro hacia el centro, con la base y el ápice redondeados a subagudos, adpresas, de márgenes erosos. Frondas de 6–50 cm de largo. Pecíolos de 1–23 cm de largo, subcilíndricos en la parte proximal, ligeramente sulcados en la distal, de color marrón claro a oscuro.</v>
      </c>
      <c r="BJ12" s="61">
        <f t="shared" si="6"/>
        <v>0</v>
      </c>
      <c r="BK12" s="61">
        <f t="shared" si="6"/>
        <v>0</v>
      </c>
      <c r="BV12" s="61" t="str">
        <f t="shared" si="7"/>
        <v>Parque Nacional Natural Sierra de la Macarena, Parque Nacional Natural Sierra Nevada de Santa Marta, Parque Nacional Natural Farallones de Cali, Parque Nacional Natural Tatama, Parque Natural Regional Serrania de Minas, Parque Natural Regional Ucumari, Santuario de Fauna y Flora Isla de la Corota, Santuario de Fauna y Flora Otun Quimbaya, Distrito de Conservacion de Suelos Barbas Bremen, Distrito de Conservacion de Suelos Campoalegre, Reserva Forestal Protectora Nacional Cuenca Alta del Rio Mocoa, Reserva Forestal Protectora Nacional Carauta, Reserva Forestal Protectora Nacional Rio Nare, Reserva Forestal Protectora Nacional de Urrao, Reserva Forestal Protectora Nacional Cuenca del Rio las Ceibas, Reserva Forestal Protectora Nacional Laguna La Cocha Cerro Patascoy, Reserva Forestal Protectora Nacional Cuenca Alta del Rio Cali, Reserva Forestal Protectora Nacional Paramo Grande, Reserva Forestal Protectora Nacional Bosque Oriental de Bogota, Reserva Forestal Protectora Nacional Rio Guadalajara, Distrito Regional de Manejo Integrado De la Cuenca Alta del Rio Quindio de Salento, Distrito Regional de Manejo Integrado Cuchilla Jardin Tamesis, Distrito Regional de Manejo Integrado Sistema de Paramos y Bosques Altoandinos del Noroccidente Medio Antioqueño, Distrito Regional de Manejo Integrado Paramos de Guantiva y la Rusia, Distrito Regional de Manejo Integrado Sector Salto del Tequendama y Cerro Manjui, Distrito Regional de Manejo Integrado Divisoria Valle de Aburra Rio Cauca, Distrito Regional de Manejo Integrado Serrania de Penas Blancas, Distrito Regional de Manejo Integrado Alto de Ventanas, Distrito Regional de Manejo Integrado Paramo de Vida Maitama - Sonson, Reserva Natural de la Sociedad Civil San Pedro Y El Recuerdo, Reserva Forestal Protectora Regional Sabinas, Reserva Forestal Protectora Nacional Rio Amaime</v>
      </c>
      <c r="BW12" s="61">
        <f t="shared" si="8"/>
        <v>0</v>
      </c>
      <c r="CJ12" s="61">
        <f t="shared" si="9"/>
        <v>572</v>
      </c>
      <c r="CU12" s="61">
        <f t="shared" si="10"/>
        <v>0</v>
      </c>
      <c r="CV12" s="61" t="str">
        <f t="shared" si="10"/>
        <v>NO</v>
      </c>
      <c r="CX12" s="61" t="str">
        <f t="shared" si="10"/>
        <v>TRUE</v>
      </c>
      <c r="EP12" s="61">
        <f t="shared" si="11"/>
        <v>0</v>
      </c>
      <c r="EQ12" s="61">
        <f t="shared" si="11"/>
        <v>0</v>
      </c>
      <c r="ER12" s="61">
        <f t="shared" si="12"/>
        <v>0</v>
      </c>
      <c r="ES12" s="61">
        <f t="shared" si="12"/>
        <v>0</v>
      </c>
      <c r="ET12" s="61">
        <f t="shared" si="12"/>
        <v>0</v>
      </c>
      <c r="EX12" s="61">
        <f t="shared" si="13"/>
        <v>354288</v>
      </c>
      <c r="EZ12" s="61">
        <f t="shared" si="13"/>
        <v>0</v>
      </c>
      <c r="FN12" s="61" t="str">
        <f t="shared" si="14"/>
        <v>13</v>
      </c>
    </row>
    <row r="13" spans="1:170" ht="16.8" x14ac:dyDescent="0.3">
      <c r="A13" s="70" t="str">
        <f>'BASE MAESTRA'!B18</f>
        <v>14</v>
      </c>
      <c r="C13" s="61" t="str">
        <f t="shared" si="0"/>
        <v>32</v>
      </c>
      <c r="U13" s="61">
        <f t="shared" si="1"/>
        <v>0</v>
      </c>
      <c r="Z13" s="61" t="str">
        <f t="shared" si="2"/>
        <v>182314</v>
      </c>
      <c r="AG13" s="61" t="str">
        <f t="shared" si="3"/>
        <v>150</v>
      </c>
      <c r="AH13" s="61" t="str">
        <f t="shared" si="3"/>
        <v>3020</v>
      </c>
      <c r="AX13" s="61">
        <f t="shared" si="4"/>
        <v>0</v>
      </c>
      <c r="AY13" s="61">
        <f t="shared" si="4"/>
        <v>0</v>
      </c>
      <c r="AZ13" s="61">
        <f t="shared" si="4"/>
        <v>0</v>
      </c>
      <c r="BA13" s="61" t="str">
        <f t="shared" si="5"/>
        <v>Plantas hemiepífitas o terrestres. Rizomas largos y rastreros, de color marrón oscuro, pruinosos; filopodios separados entre 1 y 8,5 cm. Escamas del rizoma dispersas, de forma redondeada a elíptica, adpresas, peltadas, bicoloras, de color marrón claro en los márgenes y marrón oscuro hacia el centro, con la base redondeada, el ápice redondeado a ampliamente agudo y adpreso, y los márgenes erosos. Frondas de 22–89 cm de largo. Pecíolos de 7,5–38 cm de largo, de color marrón oscuro, más claros en la parte distal.</v>
      </c>
      <c r="BJ13" s="61">
        <f t="shared" si="6"/>
        <v>0</v>
      </c>
      <c r="BK13" s="61">
        <f t="shared" si="6"/>
        <v>0</v>
      </c>
      <c r="BV13" s="61" t="str">
        <f t="shared" si="7"/>
        <v>Parque Nacional Natural Las Orquideas, Distrito Regional de Manejo Integrado Serrania de Penas Blancas</v>
      </c>
      <c r="BW13" s="61">
        <f t="shared" si="8"/>
        <v>0</v>
      </c>
      <c r="CJ13" s="61" t="str">
        <f t="shared" si="9"/>
        <v>32*</v>
      </c>
      <c r="CU13" s="61">
        <f t="shared" si="10"/>
        <v>0</v>
      </c>
      <c r="CV13" s="61" t="str">
        <f t="shared" si="10"/>
        <v>NO</v>
      </c>
      <c r="CX13" s="61" t="str">
        <f t="shared" si="10"/>
        <v>TRUE</v>
      </c>
      <c r="EP13" s="61">
        <f t="shared" si="11"/>
        <v>47</v>
      </c>
      <c r="EQ13" s="61">
        <f t="shared" si="11"/>
        <v>0</v>
      </c>
      <c r="ER13" s="61">
        <f t="shared" si="12"/>
        <v>0</v>
      </c>
      <c r="ES13" s="61">
        <f t="shared" si="12"/>
        <v>0</v>
      </c>
      <c r="ET13" s="61">
        <f t="shared" si="12"/>
        <v>0</v>
      </c>
      <c r="EX13" s="61" t="str">
        <f t="shared" si="13"/>
        <v>183341*</v>
      </c>
      <c r="EZ13" s="61">
        <f t="shared" si="13"/>
        <v>0</v>
      </c>
      <c r="FN13" s="61" t="str">
        <f t="shared" si="14"/>
        <v>14</v>
      </c>
    </row>
    <row r="14" spans="1:170" ht="16.8" x14ac:dyDescent="0.3">
      <c r="A14" s="70" t="str">
        <f>'BASE MAESTRA'!B19</f>
        <v>15</v>
      </c>
      <c r="C14" s="61" t="str">
        <f t="shared" si="0"/>
        <v>52</v>
      </c>
      <c r="U14" s="61">
        <f t="shared" si="1"/>
        <v>0</v>
      </c>
      <c r="Z14" s="61" t="str">
        <f t="shared" si="2"/>
        <v>180554</v>
      </c>
      <c r="AG14" s="61" t="str">
        <f t="shared" si="3"/>
        <v>50</v>
      </c>
      <c r="AH14" s="61" t="str">
        <f t="shared" si="3"/>
        <v>1600</v>
      </c>
      <c r="AX14" s="61">
        <f t="shared" si="4"/>
        <v>0</v>
      </c>
      <c r="AY14" s="61">
        <f t="shared" si="4"/>
        <v>0</v>
      </c>
      <c r="AZ14" s="61">
        <f t="shared" si="4"/>
        <v>0</v>
      </c>
      <c r="BA14" s="61" t="str">
        <f t="shared" si="5"/>
        <v>Plantas hemiepífitas o terrestres. Rizomas largos y rastreros, de color marrón oscuro, pruinosos; filopodios separados entre 1 y 8,5 cm. Escamas del rizoma dispersas, de forma redondeada a elíptica, adpresas, peltadas, bicoloras, de color marrón claro en los márgenes y marrón oscuro hacia el centro, con la base redondeada, el ápice redondeado a ampliamente agudo y adpreso, y los márgenes erosos. Frondas de 22–89 cm de largo. Pecíolos de 7,5–38 cm de largo, de color marrón oscuro, más claros en la parte distal.</v>
      </c>
      <c r="BJ14" s="61">
        <f t="shared" si="6"/>
        <v>0</v>
      </c>
      <c r="BK14" s="61">
        <f t="shared" si="6"/>
        <v>0</v>
      </c>
      <c r="BV14" s="61" t="str">
        <f t="shared" si="7"/>
        <v>Parque Nacional Natural Farallones de Cali, Parque Nacional Natural Macuira, Parque Nacional Natural Tayrona, Reserva Forestal Protectora Nacional De Urrao, Reserva Forestal Protectora Nacional Rio Anchicaya</v>
      </c>
      <c r="BW14" s="61">
        <f t="shared" si="8"/>
        <v>0</v>
      </c>
      <c r="CJ14" s="61">
        <f t="shared" si="9"/>
        <v>52</v>
      </c>
      <c r="CU14" s="61">
        <f t="shared" si="10"/>
        <v>0</v>
      </c>
      <c r="CV14" s="61" t="str">
        <f t="shared" si="10"/>
        <v>NO</v>
      </c>
      <c r="CX14" s="61" t="str">
        <f t="shared" si="10"/>
        <v>TRUE</v>
      </c>
      <c r="EP14" s="61">
        <f t="shared" si="11"/>
        <v>24</v>
      </c>
      <c r="EQ14" s="61">
        <f t="shared" si="11"/>
        <v>0</v>
      </c>
      <c r="ER14" s="61">
        <f t="shared" si="12"/>
        <v>0</v>
      </c>
      <c r="ES14" s="61">
        <f t="shared" si="12"/>
        <v>0</v>
      </c>
      <c r="ET14" s="61">
        <f t="shared" si="12"/>
        <v>0</v>
      </c>
      <c r="EX14" s="61">
        <f t="shared" si="13"/>
        <v>5344464</v>
      </c>
      <c r="EZ14" s="61">
        <f t="shared" si="13"/>
        <v>0</v>
      </c>
      <c r="FN14" s="61" t="str">
        <f t="shared" si="14"/>
        <v>15</v>
      </c>
    </row>
    <row r="15" spans="1:170" ht="16.8" x14ac:dyDescent="0.3">
      <c r="A15" s="70" t="str">
        <f>'BASE MAESTRA'!B20</f>
        <v>16</v>
      </c>
      <c r="C15" s="61" t="str">
        <f t="shared" si="0"/>
        <v>104</v>
      </c>
      <c r="U15" s="61">
        <f t="shared" si="1"/>
        <v>0</v>
      </c>
      <c r="Z15" s="61" t="str">
        <f t="shared" si="2"/>
        <v>151428</v>
      </c>
      <c r="AG15" s="61" t="str">
        <f t="shared" si="3"/>
        <v>2170</v>
      </c>
      <c r="AH15" s="61" t="str">
        <f t="shared" si="3"/>
        <v>3500</v>
      </c>
      <c r="AX15" s="61">
        <f t="shared" si="4"/>
        <v>0</v>
      </c>
      <c r="AY15" s="61">
        <f t="shared" si="4"/>
        <v>0</v>
      </c>
      <c r="AZ15" s="61">
        <f t="shared" si="4"/>
        <v>0</v>
      </c>
      <c r="BA15" s="61" t="str">
        <f t="shared" si="5"/>
        <v>Plantas hemiepífitas, epífitas o terrestres. Rizomas largos y rastreros, de color marrón oscuro a rojizo, generalmente sin pruina; filopodios separados entre 2,5 y 8 cm. Escamas del rizoma densas o dispersas de forma escasa a lo largo de los rizomas, lanceoladas a subuladas, adpresas, subpeltadas, bicolores, de color marrón claro en los márgenes y de marrón oscuro a rojizo hacia el centro, con la base redondeada, el ápice largamente acuminado y patente, y los márgenes dentados. Frondas de 20-100 cm de largo. Pecíolos de 10-35 cm de largo, subteretes en la parte proximal, sulcados en la distal, de color marrón oscuro y lustrosos.</v>
      </c>
      <c r="BJ15" s="61">
        <f t="shared" si="6"/>
        <v>0</v>
      </c>
      <c r="BK15" s="61">
        <f t="shared" si="6"/>
        <v>0</v>
      </c>
      <c r="BV15" s="61">
        <f t="shared" si="7"/>
        <v>0</v>
      </c>
      <c r="BW15" s="61">
        <f t="shared" si="8"/>
        <v>0</v>
      </c>
      <c r="CJ15" s="61">
        <f t="shared" si="9"/>
        <v>100</v>
      </c>
      <c r="CU15" s="61">
        <f t="shared" si="10"/>
        <v>0</v>
      </c>
      <c r="CV15" s="61" t="str">
        <f t="shared" si="10"/>
        <v>NO</v>
      </c>
      <c r="CX15" s="61" t="str">
        <f t="shared" si="10"/>
        <v>TRUE</v>
      </c>
      <c r="EP15" s="61">
        <f t="shared" si="11"/>
        <v>0</v>
      </c>
      <c r="EQ15" s="61">
        <f t="shared" si="11"/>
        <v>0</v>
      </c>
      <c r="ER15" s="61">
        <f t="shared" si="12"/>
        <v>0</v>
      </c>
      <c r="ES15" s="61">
        <f t="shared" si="12"/>
        <v>0</v>
      </c>
      <c r="ET15" s="61">
        <f t="shared" si="12"/>
        <v>0</v>
      </c>
      <c r="EX15" s="61">
        <f t="shared" si="13"/>
        <v>150772</v>
      </c>
      <c r="EZ15" s="61">
        <f t="shared" si="13"/>
        <v>0</v>
      </c>
      <c r="FN15" s="61" t="str">
        <f t="shared" si="14"/>
        <v>16</v>
      </c>
    </row>
    <row r="16" spans="1:170" ht="16.8" x14ac:dyDescent="0.3">
      <c r="A16" s="70" t="str">
        <f>'BASE MAESTRA'!B21</f>
        <v>17</v>
      </c>
      <c r="C16" s="61" t="str">
        <f t="shared" si="0"/>
        <v>36</v>
      </c>
      <c r="U16" s="61">
        <f t="shared" si="1"/>
        <v>0</v>
      </c>
      <c r="Z16" s="61" t="str">
        <f t="shared" si="2"/>
        <v>30224</v>
      </c>
      <c r="AG16" s="61" t="str">
        <f t="shared" si="3"/>
        <v>450</v>
      </c>
      <c r="AH16" s="61" t="str">
        <f t="shared" si="3"/>
        <v>2400</v>
      </c>
      <c r="AX16" s="61">
        <f t="shared" si="4"/>
        <v>0</v>
      </c>
      <c r="AY16" s="61">
        <f t="shared" si="4"/>
        <v>0</v>
      </c>
      <c r="AZ16" s="61">
        <f t="shared" si="4"/>
        <v>0</v>
      </c>
      <c r="BA16" s="61" t="str">
        <f t="shared" si="5"/>
        <v>Plantas hemiepífitas, rara vez terrestres (solo en las primeras etapas de crecimiento). Rizomas largos y rastreros, de color marrón claro a oscuro, ligeramente pruinosos; filopodios separados entre 1 y 6 cm. Escamas del rizoma dispersas, escasas, de forma ovado-lanceolada a triangular o deltada, con la base adpresada y el ápice patente, peltadas, algo bicolores, de color marrón claro a amarillento en los márgenes y de amarillo oscuro a dorado oscuro hacia el centro. Frondas de 16–39 cm de largo. Pecíolos de 1,5–5 cm de largo, subteretes en la parte proximal, con alas de 1 mm de ancho, confluentes con el tejido laminar, de color pajizo, marrón oscuro o rojizo en la parte proximal, y marrón claro en la parte distal.</v>
      </c>
      <c r="BJ16" s="61">
        <f t="shared" si="6"/>
        <v>0</v>
      </c>
      <c r="BK16" s="61">
        <f t="shared" si="6"/>
        <v>0</v>
      </c>
      <c r="BV16" s="61">
        <f t="shared" si="7"/>
        <v>0</v>
      </c>
      <c r="BW16" s="61">
        <f t="shared" si="8"/>
        <v>0</v>
      </c>
      <c r="CJ16" s="61">
        <f t="shared" si="9"/>
        <v>32</v>
      </c>
      <c r="CU16" s="61">
        <f t="shared" si="10"/>
        <v>0</v>
      </c>
      <c r="CV16" s="61" t="str">
        <f t="shared" si="10"/>
        <v>NO</v>
      </c>
      <c r="CX16" s="61" t="str">
        <f t="shared" si="10"/>
        <v>TRUE</v>
      </c>
      <c r="EP16" s="61">
        <f t="shared" si="11"/>
        <v>0</v>
      </c>
      <c r="EQ16" s="61">
        <f t="shared" si="11"/>
        <v>0</v>
      </c>
      <c r="ER16" s="61">
        <f t="shared" si="12"/>
        <v>0</v>
      </c>
      <c r="ES16" s="61">
        <f t="shared" si="12"/>
        <v>0</v>
      </c>
      <c r="ET16" s="61">
        <f t="shared" si="12"/>
        <v>0</v>
      </c>
      <c r="EX16" s="61">
        <f t="shared" si="13"/>
        <v>29790</v>
      </c>
      <c r="EZ16" s="61">
        <f t="shared" si="13"/>
        <v>0</v>
      </c>
      <c r="FN16" s="61" t="str">
        <f t="shared" si="14"/>
        <v>17</v>
      </c>
    </row>
    <row r="17" spans="1:170" ht="16.8" x14ac:dyDescent="0.3">
      <c r="A17" s="70" t="str">
        <f>'BASE MAESTRA'!B22</f>
        <v>18</v>
      </c>
      <c r="C17" s="61" t="str">
        <f t="shared" si="0"/>
        <v>80</v>
      </c>
      <c r="U17" s="61">
        <f t="shared" si="1"/>
        <v>0</v>
      </c>
      <c r="Z17" s="61" t="str">
        <f t="shared" si="2"/>
        <v>442709</v>
      </c>
      <c r="AG17" s="61" t="str">
        <f t="shared" si="3"/>
        <v>150</v>
      </c>
      <c r="AH17" s="61" t="str">
        <f t="shared" si="3"/>
        <v>2000</v>
      </c>
      <c r="AX17" s="61">
        <f t="shared" si="4"/>
        <v>0</v>
      </c>
      <c r="AY17" s="61">
        <f t="shared" si="4"/>
        <v>0</v>
      </c>
      <c r="AZ17" s="61">
        <f t="shared" si="4"/>
        <v>0</v>
      </c>
      <c r="BA17" s="61" t="str">
        <f t="shared" si="5"/>
        <v xml:space="preserve">Plantas epífitas, hemiepífitas y, ocasionalmente, terrestres. Rizomas largos y rastreros, de color marrón oscuro y mate, gris verdoso cuando están frescos, sin pruina, que se oxidan al cortarlos; filopodios separados entre 1 y 4,5 cm. Escamas del rizoma densas, subuladas, patentes, bicolores en la base, de color marrón claro en los márgenes y marrón oscuro hacia el centro; bases ovadas a redondeadas, adpresas y peltadas; ápices reduciéndose bruscamente a una punta larga y estrecha. Frondas de 28–150 cm de largo. Pecíolos de (8–)17–50(–70) cm de largo, subteretes en la parte proximal, ligeramente sulcados en la distal, generalmente de color pajizo. </v>
      </c>
      <c r="BJ17" s="61">
        <f t="shared" si="6"/>
        <v>0</v>
      </c>
      <c r="BK17" s="61">
        <f t="shared" si="6"/>
        <v>0</v>
      </c>
      <c r="BV17" s="61">
        <f t="shared" si="7"/>
        <v>0</v>
      </c>
      <c r="BW17" s="61">
        <f t="shared" si="8"/>
        <v>0</v>
      </c>
      <c r="CJ17" s="61">
        <f t="shared" si="9"/>
        <v>80</v>
      </c>
      <c r="CU17" s="61">
        <f t="shared" si="10"/>
        <v>0</v>
      </c>
      <c r="CV17" s="61" t="str">
        <f t="shared" si="10"/>
        <v>NO</v>
      </c>
      <c r="CX17" s="61" t="str">
        <f t="shared" si="10"/>
        <v>TRUE</v>
      </c>
      <c r="EP17" s="61">
        <f t="shared" si="11"/>
        <v>0</v>
      </c>
      <c r="EQ17" s="61">
        <f t="shared" si="11"/>
        <v>0</v>
      </c>
      <c r="ER17" s="61">
        <f t="shared" si="12"/>
        <v>0</v>
      </c>
      <c r="ES17" s="61">
        <f t="shared" si="12"/>
        <v>0</v>
      </c>
      <c r="ET17" s="61">
        <f t="shared" si="12"/>
        <v>0</v>
      </c>
      <c r="EX17" s="61">
        <f t="shared" si="13"/>
        <v>429306</v>
      </c>
      <c r="EZ17" s="61">
        <f t="shared" si="13"/>
        <v>0</v>
      </c>
      <c r="FN17" s="61" t="str">
        <f t="shared" si="14"/>
        <v>18</v>
      </c>
    </row>
    <row r="18" spans="1:170" ht="16.8" x14ac:dyDescent="0.3">
      <c r="A18" s="70" t="str">
        <f>'BASE MAESTRA'!B23</f>
        <v>19</v>
      </c>
      <c r="C18" s="61" t="str">
        <f t="shared" si="0"/>
        <v>36</v>
      </c>
      <c r="U18" s="61">
        <f t="shared" si="1"/>
        <v>0</v>
      </c>
      <c r="Z18" s="61" t="str">
        <f t="shared" si="2"/>
        <v>3128</v>
      </c>
      <c r="AG18" s="61" t="str">
        <f t="shared" si="3"/>
        <v>650</v>
      </c>
      <c r="AH18" s="61" t="str">
        <f t="shared" si="3"/>
        <v>2680</v>
      </c>
      <c r="AX18" s="61">
        <f t="shared" si="4"/>
        <v>0</v>
      </c>
      <c r="AY18" s="61">
        <f t="shared" si="4"/>
        <v>0</v>
      </c>
      <c r="AZ18" s="61">
        <f t="shared" si="4"/>
        <v>0</v>
      </c>
      <c r="BA18" s="61" t="str">
        <f t="shared" si="5"/>
        <v>Plantas hemiepífitas, epífitas o, en raras ocasiones, rupícolas. Rizomas largos y rastreros, de color marrón oscuro a amarillento, pruinosos; filopodios separados entre 1 y 5,5 cm. Escamas del rizoma dispersas, redondeadas a elípticas, adpresas, peltadas, bicolores, de color marrón claro en los márgenes y marrón oscuro hacia el centro, con la base y el ápice redondeados a ampliamente agudos y adpresos, y los márgenes erosos. Frondas de 6,5–38 cm de largo. Pecíolos de 1,5–17 cm de largo, subteretes en la parte proximal, ligeramente alados en la parte distal, de color marrón claro. Láminas de 5–21 × 2–8 cm, lanceoladas, pinnatisectas, truncadas en la parte proximal, con ápices que se estrechan gradualmente.</v>
      </c>
      <c r="BJ18" s="61">
        <f t="shared" si="6"/>
        <v>0</v>
      </c>
      <c r="BK18" s="61">
        <f t="shared" si="6"/>
        <v>0</v>
      </c>
      <c r="BV18" s="61">
        <f t="shared" si="7"/>
        <v>0</v>
      </c>
      <c r="BW18" s="61">
        <f t="shared" si="8"/>
        <v>0</v>
      </c>
      <c r="CJ18" s="61">
        <f t="shared" si="9"/>
        <v>32</v>
      </c>
      <c r="CU18" s="61">
        <f t="shared" si="10"/>
        <v>0</v>
      </c>
      <c r="CV18" s="61" t="str">
        <f t="shared" si="10"/>
        <v>NO</v>
      </c>
      <c r="CX18" s="61" t="str">
        <f t="shared" si="10"/>
        <v>TRUE</v>
      </c>
      <c r="EP18" s="61">
        <f t="shared" si="11"/>
        <v>98</v>
      </c>
      <c r="EQ18" s="61" t="str">
        <f t="shared" si="11"/>
        <v>NO</v>
      </c>
      <c r="ER18" s="61">
        <f t="shared" si="12"/>
        <v>0</v>
      </c>
      <c r="ES18" s="61">
        <f t="shared" si="12"/>
        <v>0</v>
      </c>
      <c r="ET18" s="61">
        <f t="shared" si="12"/>
        <v>0</v>
      </c>
      <c r="EX18" s="61">
        <f t="shared" si="13"/>
        <v>3065</v>
      </c>
      <c r="EZ18" s="61">
        <f t="shared" si="13"/>
        <v>0</v>
      </c>
      <c r="FN18" s="61" t="str">
        <f t="shared" si="14"/>
        <v>19</v>
      </c>
    </row>
    <row r="19" spans="1:170" ht="16.8" x14ac:dyDescent="0.3">
      <c r="A19" s="70" t="str">
        <f>'BASE MAESTRA'!B25</f>
        <v>20</v>
      </c>
      <c r="C19" s="61" t="str">
        <f t="shared" si="0"/>
        <v>160</v>
      </c>
      <c r="U19" s="61">
        <f t="shared" si="1"/>
        <v>0</v>
      </c>
      <c r="Z19" s="61" t="str">
        <f t="shared" si="2"/>
        <v>195947</v>
      </c>
      <c r="AG19" s="61" t="str">
        <f t="shared" si="3"/>
        <v>950</v>
      </c>
      <c r="AH19" s="61" t="str">
        <f t="shared" si="3"/>
        <v>4000</v>
      </c>
      <c r="AX19" s="61">
        <f t="shared" ref="AX19:AZ66" si="15">VLOOKUP($A19,DatosEspecies,AX$2,FALSE)</f>
        <v>0</v>
      </c>
      <c r="AY19" s="61">
        <f t="shared" si="15"/>
        <v>0</v>
      </c>
      <c r="AZ19" s="61">
        <f t="shared" si="15"/>
        <v>0</v>
      </c>
      <c r="BA19" s="61" t="str">
        <f t="shared" si="5"/>
        <v>Plantas epífitas, rara vez terrestres o rupícolas. Rizomas cortos y rastreros, de color marrón oscuro en la parte distal, marrón claro hacia el ápice, pruinosos; filopodios separados entre 1 y 2,6 cm. Escamas del rizoma densas, aciculares-lanceoladas, concoloras, marrón oscuro, iridiscentes, con la base truncada a redondeada y adpresa, auriculadas y a menudo superpuestas, con el ápice largamente acuminado y patente. Frondas de 9–135 cm de largo. Pecíolos de 2–53 cm de largo, subteretes en la parte proximal, ligeramente sulcados en la parte distal, de color marrón oscuro a claro.</v>
      </c>
      <c r="BJ19" s="61">
        <f t="shared" si="6"/>
        <v>0</v>
      </c>
      <c r="BK19" s="61">
        <f t="shared" si="6"/>
        <v>0</v>
      </c>
      <c r="BV19" s="61">
        <f t="shared" si="7"/>
        <v>0</v>
      </c>
      <c r="BW19" s="61">
        <f t="shared" si="8"/>
        <v>0</v>
      </c>
      <c r="CJ19" s="61">
        <f t="shared" si="9"/>
        <v>160</v>
      </c>
      <c r="CU19" s="61">
        <f t="shared" si="10"/>
        <v>0</v>
      </c>
      <c r="CV19" s="61" t="str">
        <f t="shared" si="10"/>
        <v>NO</v>
      </c>
      <c r="CX19" s="61" t="str">
        <f t="shared" si="10"/>
        <v>TRUE</v>
      </c>
      <c r="EP19" s="61">
        <f t="shared" ref="EP19:ET66" si="16">VLOOKUP($A19,DatosEspecies,EP$2,FALSE)</f>
        <v>0</v>
      </c>
      <c r="EQ19" s="61">
        <f t="shared" si="16"/>
        <v>0</v>
      </c>
      <c r="ER19" s="61">
        <f t="shared" si="16"/>
        <v>0</v>
      </c>
      <c r="ES19" s="61">
        <f t="shared" si="16"/>
        <v>0</v>
      </c>
      <c r="ET19" s="61">
        <f t="shared" si="16"/>
        <v>0</v>
      </c>
      <c r="EX19" s="61">
        <f t="shared" si="13"/>
        <v>196810</v>
      </c>
      <c r="EZ19" s="61">
        <f t="shared" si="13"/>
        <v>0</v>
      </c>
      <c r="FN19" s="61" t="str">
        <f t="shared" si="14"/>
        <v>20</v>
      </c>
    </row>
    <row r="20" spans="1:170" ht="16.8" x14ac:dyDescent="0.3">
      <c r="A20" s="70" t="str">
        <f>'BASE MAESTRA'!B26</f>
        <v>21</v>
      </c>
      <c r="C20" s="61" t="str">
        <f t="shared" si="0"/>
        <v>152</v>
      </c>
      <c r="U20" s="61">
        <f t="shared" si="1"/>
        <v>0</v>
      </c>
      <c r="Z20" s="61" t="str">
        <f t="shared" si="2"/>
        <v>236335</v>
      </c>
      <c r="AG20" s="61" t="str">
        <f t="shared" si="3"/>
        <v>1450</v>
      </c>
      <c r="AH20" s="61" t="str">
        <f t="shared" si="3"/>
        <v>4150</v>
      </c>
      <c r="AX20" s="61">
        <f t="shared" si="15"/>
        <v>0</v>
      </c>
      <c r="AY20" s="61">
        <f t="shared" si="15"/>
        <v>0</v>
      </c>
      <c r="AZ20" s="61">
        <f t="shared" si="15"/>
        <v>0</v>
      </c>
      <c r="BA20" s="61" t="str">
        <f t="shared" si="5"/>
        <v>Plantas hemiepífitas, epífitas, en raras ocasiones rupícolas o terrestres. Rizomas largos y rastreros, de color marrón claro a amarillento o, en raras ocasiones, de marrón oscuro a rojizo, pruinosos; filopodios separados entre 0,3 y 11 cm. Escamas del rizoma dispersas, densas hacia el ápice, ovado-lanceoladas, lanceoladas a triangulares, adpresas, bicolores, de color marrón claro a amarillento en los márgenes y de marrón oscuro a amarillo oscuro hacia el centro; bases truncadas a redondeadas; ápices agudos a largamente acuminados; márgenes ciliados. Frondas de 13-76 cm de largo. Pecíolo de 2-28 cm de largo, subterete en la parte proximal, sulcado en la distal, de color marrón oscuro a claro.</v>
      </c>
      <c r="BJ20" s="61">
        <f t="shared" si="6"/>
        <v>0</v>
      </c>
      <c r="BK20" s="61">
        <f t="shared" si="6"/>
        <v>0</v>
      </c>
      <c r="BV20" s="61">
        <f t="shared" si="7"/>
        <v>0</v>
      </c>
      <c r="BW20" s="61">
        <f t="shared" si="8"/>
        <v>0</v>
      </c>
      <c r="CJ20" s="61">
        <f t="shared" si="9"/>
        <v>152</v>
      </c>
      <c r="CU20" s="61">
        <f t="shared" si="10"/>
        <v>0</v>
      </c>
      <c r="CV20" s="61" t="str">
        <f t="shared" si="10"/>
        <v>NO</v>
      </c>
      <c r="CX20" s="61" t="str">
        <f t="shared" si="10"/>
        <v>TRUE</v>
      </c>
      <c r="EP20" s="61">
        <f t="shared" si="16"/>
        <v>0</v>
      </c>
      <c r="EQ20" s="61">
        <f t="shared" si="16"/>
        <v>0</v>
      </c>
      <c r="ER20" s="61">
        <f t="shared" si="16"/>
        <v>0</v>
      </c>
      <c r="ES20" s="61">
        <f t="shared" si="16"/>
        <v>0</v>
      </c>
      <c r="ET20" s="61">
        <f t="shared" si="16"/>
        <v>0</v>
      </c>
      <c r="EX20" s="61">
        <f t="shared" si="13"/>
        <v>238241</v>
      </c>
      <c r="EZ20" s="61">
        <f t="shared" si="13"/>
        <v>0</v>
      </c>
      <c r="FN20" s="61" t="str">
        <f t="shared" si="14"/>
        <v>21</v>
      </c>
    </row>
    <row r="21" spans="1:170" ht="16.8" x14ac:dyDescent="0.3">
      <c r="A21" s="70" t="str">
        <f>'BASE MAESTRA'!B27</f>
        <v>22</v>
      </c>
      <c r="C21" s="61" t="str">
        <f t="shared" si="0"/>
        <v>364</v>
      </c>
      <c r="U21" s="61">
        <f t="shared" si="1"/>
        <v>0</v>
      </c>
      <c r="Z21" s="61" t="str">
        <f t="shared" si="2"/>
        <v>991875</v>
      </c>
      <c r="AG21" s="61" t="str">
        <f t="shared" si="3"/>
        <v>0</v>
      </c>
      <c r="AH21" s="61" t="str">
        <f t="shared" si="3"/>
        <v>2500</v>
      </c>
      <c r="AX21" s="61">
        <f t="shared" si="15"/>
        <v>0</v>
      </c>
      <c r="AY21" s="61">
        <f t="shared" si="15"/>
        <v>0</v>
      </c>
      <c r="AZ21" s="61">
        <f t="shared" si="15"/>
        <v>0</v>
      </c>
      <c r="BA21" s="61" t="str">
        <f t="shared" si="5"/>
        <v>Plantas epífitas, terrestres, rara vez subterráneas o rupícolas. Rizomas cortos y rastreros, de color marrón oscuro, a menudo pruinosos; filopodios separados entre 1 y 12 cm. Escamas del rizoma densas, de forma ovado-lanceolada a lanceolada, patentes, subpeltadas, con un punto de inserción prominente, bicolores, de color marrón claro o naranja en los márgenes y de naranja a marrón oscuro hacia el centro, bases redondeadas a obtusas, ápices acuminados a largamente decurrentes y patentes, márgenes erosos a dentados. Frondas de 15–126 cm de largo. Pecíolos de 5,5–49 cm de largo, subteretes en la parte proximal, ligeramente sulcados en la distal, de color marrón claro a oscuro.</v>
      </c>
      <c r="BJ21" s="61">
        <f t="shared" si="6"/>
        <v>0</v>
      </c>
      <c r="BK21" s="61">
        <f t="shared" si="6"/>
        <v>0</v>
      </c>
      <c r="BV21" s="61">
        <f t="shared" si="7"/>
        <v>0</v>
      </c>
      <c r="BW21" s="61">
        <f t="shared" si="8"/>
        <v>0</v>
      </c>
      <c r="CJ21" s="61">
        <f t="shared" si="9"/>
        <v>364</v>
      </c>
      <c r="CU21" s="61">
        <f t="shared" si="10"/>
        <v>0</v>
      </c>
      <c r="CV21" s="61" t="str">
        <f t="shared" si="10"/>
        <v>NO</v>
      </c>
      <c r="CX21" s="61" t="str">
        <f t="shared" si="10"/>
        <v>TRUE</v>
      </c>
      <c r="EP21" s="61">
        <f t="shared" si="16"/>
        <v>0</v>
      </c>
      <c r="EQ21" s="61">
        <f t="shared" si="16"/>
        <v>0</v>
      </c>
      <c r="ER21" s="61">
        <f t="shared" si="16"/>
        <v>0</v>
      </c>
      <c r="ES21" s="61">
        <f t="shared" si="16"/>
        <v>0</v>
      </c>
      <c r="ET21" s="61">
        <f t="shared" si="16"/>
        <v>0</v>
      </c>
      <c r="EX21" s="61">
        <f t="shared" si="13"/>
        <v>992143</v>
      </c>
      <c r="EZ21" s="61">
        <f t="shared" si="13"/>
        <v>0</v>
      </c>
      <c r="FN21" s="61" t="str">
        <f t="shared" si="14"/>
        <v>22</v>
      </c>
    </row>
    <row r="22" spans="1:170" ht="16.8" x14ac:dyDescent="0.3">
      <c r="A22" s="70" t="str">
        <f>'BASE MAESTRA'!B28</f>
        <v>23</v>
      </c>
      <c r="C22" s="61" t="str">
        <f t="shared" si="0"/>
        <v>28</v>
      </c>
      <c r="U22" s="61">
        <f t="shared" si="1"/>
        <v>0</v>
      </c>
      <c r="Z22" s="61" t="str">
        <f t="shared" si="2"/>
        <v>91473</v>
      </c>
      <c r="AG22" s="61" t="str">
        <f t="shared" si="3"/>
        <v>10</v>
      </c>
      <c r="AH22" s="61" t="str">
        <f t="shared" si="3"/>
        <v>2550</v>
      </c>
      <c r="AX22" s="61">
        <f t="shared" si="15"/>
        <v>0</v>
      </c>
      <c r="AY22" s="61">
        <f t="shared" si="15"/>
        <v>0</v>
      </c>
      <c r="AZ22" s="61">
        <f t="shared" si="15"/>
        <v>0</v>
      </c>
      <c r="BA22" s="61" t="str">
        <f t="shared" si="5"/>
        <v>Plantas epífitas. Rizomas cortos y rastreros, de color marrón oscuro a rojizo, ligeramente pruinosos; filopodios separados entre 3,6 y 6,5 cm. Escamas del rizoma densas, subuladas, subapresadas, peltadas, bicolores, de color marrón claro en los márgenes y marrón rojizo oscuro hacia el centro, con la base redondeada y el ápice de caudado a acuminado. Frondas de 29–66 cm de largo. Pecíolos de 4–5,5 cm de largo, subteretes en la parte proximal, ligeramente alados en la parte distal, sobre todo en la unión con la lámina, de color marrón claro a marrón opaco.</v>
      </c>
      <c r="BJ22" s="61">
        <f t="shared" si="6"/>
        <v>0</v>
      </c>
      <c r="BK22" s="61">
        <f t="shared" si="6"/>
        <v>0</v>
      </c>
      <c r="BV22" s="61">
        <f t="shared" si="7"/>
        <v>0</v>
      </c>
      <c r="BW22" s="61">
        <f t="shared" si="8"/>
        <v>0</v>
      </c>
      <c r="CJ22" s="61">
        <f t="shared" si="9"/>
        <v>28</v>
      </c>
      <c r="CU22" s="61">
        <f t="shared" si="10"/>
        <v>0</v>
      </c>
      <c r="CV22" s="61" t="str">
        <f t="shared" si="10"/>
        <v>NO</v>
      </c>
      <c r="CX22" s="61" t="str">
        <f t="shared" si="10"/>
        <v>TRUE</v>
      </c>
      <c r="EP22" s="61">
        <f t="shared" si="16"/>
        <v>0</v>
      </c>
      <c r="EQ22" s="61">
        <f t="shared" si="16"/>
        <v>0</v>
      </c>
      <c r="ER22" s="61">
        <f t="shared" si="16"/>
        <v>0</v>
      </c>
      <c r="ES22" s="61">
        <f t="shared" si="16"/>
        <v>0</v>
      </c>
      <c r="ET22" s="61">
        <f t="shared" si="16"/>
        <v>0</v>
      </c>
      <c r="EX22" s="61">
        <f t="shared" si="13"/>
        <v>91865</v>
      </c>
      <c r="EZ22" s="61">
        <f t="shared" si="13"/>
        <v>0</v>
      </c>
      <c r="FN22" s="61" t="str">
        <f t="shared" si="14"/>
        <v>23</v>
      </c>
    </row>
    <row r="23" spans="1:170" ht="16.8" x14ac:dyDescent="0.3">
      <c r="A23" s="70" t="str">
        <f>'BASE MAESTRA'!B29</f>
        <v>24</v>
      </c>
      <c r="C23" s="61">
        <f t="shared" si="0"/>
        <v>0</v>
      </c>
      <c r="U23" s="61">
        <f t="shared" si="1"/>
        <v>0</v>
      </c>
      <c r="Z23" s="61">
        <f t="shared" si="2"/>
        <v>0</v>
      </c>
      <c r="AG23" s="61">
        <f t="shared" ref="AG23:AH42" si="17">VLOOKUP($A23,DatosEspecies,AG$2,FALSE)</f>
        <v>0</v>
      </c>
      <c r="AH23" s="61">
        <f t="shared" si="17"/>
        <v>0</v>
      </c>
      <c r="AX23" s="61">
        <f t="shared" si="15"/>
        <v>0</v>
      </c>
      <c r="AY23" s="61">
        <f t="shared" si="15"/>
        <v>0</v>
      </c>
      <c r="AZ23" s="61">
        <f t="shared" si="15"/>
        <v>0</v>
      </c>
      <c r="BA23" s="61">
        <f t="shared" si="5"/>
        <v>0</v>
      </c>
      <c r="BJ23" s="61">
        <f t="shared" si="6"/>
        <v>0</v>
      </c>
      <c r="BK23" s="61">
        <f t="shared" si="6"/>
        <v>0</v>
      </c>
      <c r="BV23" s="61">
        <f t="shared" si="7"/>
        <v>0</v>
      </c>
      <c r="BW23" s="61">
        <f t="shared" si="8"/>
        <v>0</v>
      </c>
      <c r="CJ23" s="61">
        <f t="shared" si="9"/>
        <v>0</v>
      </c>
      <c r="CU23" s="61">
        <f t="shared" ref="CU23:CV42" si="18">VLOOKUP($A23,DatosEspecies,CU$2,FALSE)</f>
        <v>0</v>
      </c>
      <c r="CV23" s="61">
        <f t="shared" si="18"/>
        <v>0</v>
      </c>
      <c r="CX23" s="61">
        <f t="shared" ref="CX23:CX86" si="19">VLOOKUP($A23,DatosEspecies,CX$2,FALSE)</f>
        <v>0</v>
      </c>
      <c r="EP23" s="61">
        <f t="shared" si="16"/>
        <v>0</v>
      </c>
      <c r="EQ23" s="61">
        <f t="shared" si="16"/>
        <v>0</v>
      </c>
      <c r="ER23" s="61">
        <f t="shared" si="16"/>
        <v>0</v>
      </c>
      <c r="ES23" s="61">
        <f t="shared" si="16"/>
        <v>0</v>
      </c>
      <c r="ET23" s="61">
        <f t="shared" si="16"/>
        <v>0</v>
      </c>
      <c r="EX23" s="61">
        <f t="shared" si="13"/>
        <v>0</v>
      </c>
      <c r="EZ23" s="61">
        <f t="shared" si="13"/>
        <v>0</v>
      </c>
      <c r="FN23" s="61" t="str">
        <f t="shared" si="14"/>
        <v>24</v>
      </c>
    </row>
    <row r="24" spans="1:170" ht="16.8" x14ac:dyDescent="0.3">
      <c r="A24" s="70" t="str">
        <f>'BASE MAESTRA'!B30</f>
        <v>25</v>
      </c>
      <c r="C24" s="61">
        <f t="shared" si="0"/>
        <v>0</v>
      </c>
      <c r="U24" s="61">
        <f t="shared" si="1"/>
        <v>0</v>
      </c>
      <c r="Z24" s="61">
        <f t="shared" si="2"/>
        <v>0</v>
      </c>
      <c r="AG24" s="61">
        <f t="shared" si="17"/>
        <v>0</v>
      </c>
      <c r="AH24" s="61">
        <f t="shared" si="17"/>
        <v>0</v>
      </c>
      <c r="AX24" s="61">
        <f t="shared" si="15"/>
        <v>0</v>
      </c>
      <c r="AY24" s="61">
        <f t="shared" si="15"/>
        <v>0</v>
      </c>
      <c r="AZ24" s="61">
        <f t="shared" si="15"/>
        <v>0</v>
      </c>
      <c r="BA24" s="61">
        <f t="shared" si="5"/>
        <v>0</v>
      </c>
      <c r="BJ24" s="61">
        <f t="shared" si="6"/>
        <v>0</v>
      </c>
      <c r="BK24" s="61">
        <f t="shared" si="6"/>
        <v>0</v>
      </c>
      <c r="BV24" s="61">
        <f t="shared" si="7"/>
        <v>0</v>
      </c>
      <c r="BW24" s="61">
        <f t="shared" si="8"/>
        <v>0</v>
      </c>
      <c r="CJ24" s="61">
        <f t="shared" si="9"/>
        <v>0</v>
      </c>
      <c r="CU24" s="61">
        <f t="shared" si="18"/>
        <v>0</v>
      </c>
      <c r="CV24" s="61">
        <f t="shared" si="18"/>
        <v>0</v>
      </c>
      <c r="CX24" s="61">
        <f t="shared" si="19"/>
        <v>0</v>
      </c>
      <c r="EP24" s="61">
        <f t="shared" si="16"/>
        <v>0</v>
      </c>
      <c r="EQ24" s="61">
        <f t="shared" si="16"/>
        <v>0</v>
      </c>
      <c r="ER24" s="61">
        <f t="shared" si="16"/>
        <v>0</v>
      </c>
      <c r="ES24" s="61">
        <f t="shared" si="16"/>
        <v>0</v>
      </c>
      <c r="ET24" s="61">
        <f t="shared" si="16"/>
        <v>0</v>
      </c>
      <c r="EX24" s="61">
        <f t="shared" si="13"/>
        <v>0</v>
      </c>
      <c r="EZ24" s="61">
        <f t="shared" si="13"/>
        <v>0</v>
      </c>
      <c r="FN24" s="61" t="str">
        <f t="shared" si="14"/>
        <v>25</v>
      </c>
    </row>
    <row r="25" spans="1:170" ht="16.8" x14ac:dyDescent="0.3">
      <c r="A25" s="70" t="str">
        <f>'BASE MAESTRA'!B31</f>
        <v>26</v>
      </c>
      <c r="C25" s="61">
        <f t="shared" si="0"/>
        <v>0</v>
      </c>
      <c r="U25" s="61">
        <f t="shared" si="1"/>
        <v>0</v>
      </c>
      <c r="Z25" s="61">
        <f t="shared" si="2"/>
        <v>0</v>
      </c>
      <c r="AG25" s="61">
        <f t="shared" si="17"/>
        <v>0</v>
      </c>
      <c r="AH25" s="61">
        <f t="shared" si="17"/>
        <v>0</v>
      </c>
      <c r="AX25" s="61">
        <f t="shared" si="15"/>
        <v>0</v>
      </c>
      <c r="AY25" s="61">
        <f t="shared" si="15"/>
        <v>0</v>
      </c>
      <c r="AZ25" s="61">
        <f t="shared" si="15"/>
        <v>0</v>
      </c>
      <c r="BA25" s="61">
        <f t="shared" si="5"/>
        <v>0</v>
      </c>
      <c r="BJ25" s="61">
        <f t="shared" si="6"/>
        <v>0</v>
      </c>
      <c r="BK25" s="61">
        <f t="shared" si="6"/>
        <v>0</v>
      </c>
      <c r="BV25" s="61">
        <f t="shared" si="7"/>
        <v>0</v>
      </c>
      <c r="BW25" s="61">
        <f t="shared" si="8"/>
        <v>0</v>
      </c>
      <c r="CJ25" s="61">
        <f t="shared" si="9"/>
        <v>0</v>
      </c>
      <c r="CU25" s="61">
        <f t="shared" si="18"/>
        <v>0</v>
      </c>
      <c r="CV25" s="61">
        <f t="shared" si="18"/>
        <v>0</v>
      </c>
      <c r="CX25" s="61">
        <f t="shared" si="19"/>
        <v>0</v>
      </c>
      <c r="EP25" s="61">
        <f t="shared" si="16"/>
        <v>0</v>
      </c>
      <c r="EQ25" s="61">
        <f t="shared" si="16"/>
        <v>0</v>
      </c>
      <c r="ER25" s="61">
        <f t="shared" si="16"/>
        <v>0</v>
      </c>
      <c r="ES25" s="61">
        <f t="shared" si="16"/>
        <v>0</v>
      </c>
      <c r="ET25" s="61">
        <f t="shared" si="16"/>
        <v>0</v>
      </c>
      <c r="EX25" s="61">
        <f t="shared" si="13"/>
        <v>0</v>
      </c>
      <c r="EZ25" s="61">
        <f t="shared" si="13"/>
        <v>0</v>
      </c>
      <c r="FN25" s="61" t="str">
        <f t="shared" si="14"/>
        <v>26</v>
      </c>
    </row>
    <row r="26" spans="1:170" ht="16.8" x14ac:dyDescent="0.3">
      <c r="A26" s="70" t="str">
        <f>'BASE MAESTRA'!B32</f>
        <v>27</v>
      </c>
      <c r="C26" s="61">
        <f t="shared" si="0"/>
        <v>0</v>
      </c>
      <c r="U26" s="61">
        <f t="shared" si="1"/>
        <v>0</v>
      </c>
      <c r="Z26" s="61">
        <f t="shared" si="2"/>
        <v>0</v>
      </c>
      <c r="AG26" s="61">
        <f t="shared" si="17"/>
        <v>0</v>
      </c>
      <c r="AH26" s="61">
        <f t="shared" si="17"/>
        <v>0</v>
      </c>
      <c r="AX26" s="61">
        <f t="shared" si="15"/>
        <v>0</v>
      </c>
      <c r="AY26" s="61">
        <f t="shared" si="15"/>
        <v>0</v>
      </c>
      <c r="AZ26" s="61">
        <f t="shared" si="15"/>
        <v>0</v>
      </c>
      <c r="BA26" s="61">
        <f t="shared" si="5"/>
        <v>0</v>
      </c>
      <c r="BJ26" s="61">
        <f t="shared" si="6"/>
        <v>0</v>
      </c>
      <c r="BK26" s="61">
        <f t="shared" si="6"/>
        <v>0</v>
      </c>
      <c r="BV26" s="61">
        <f t="shared" si="7"/>
        <v>0</v>
      </c>
      <c r="BW26" s="61">
        <f t="shared" si="8"/>
        <v>0</v>
      </c>
      <c r="CJ26" s="61">
        <f t="shared" si="9"/>
        <v>0</v>
      </c>
      <c r="CU26" s="61">
        <f t="shared" si="18"/>
        <v>0</v>
      </c>
      <c r="CV26" s="61">
        <f t="shared" si="18"/>
        <v>0</v>
      </c>
      <c r="CX26" s="61">
        <f t="shared" si="19"/>
        <v>0</v>
      </c>
      <c r="EP26" s="61">
        <f t="shared" si="16"/>
        <v>0</v>
      </c>
      <c r="EQ26" s="61">
        <f t="shared" si="16"/>
        <v>0</v>
      </c>
      <c r="ER26" s="61">
        <f t="shared" si="16"/>
        <v>0</v>
      </c>
      <c r="ES26" s="61">
        <f t="shared" si="16"/>
        <v>0</v>
      </c>
      <c r="ET26" s="61">
        <f t="shared" si="16"/>
        <v>0</v>
      </c>
      <c r="EX26" s="61">
        <f t="shared" si="13"/>
        <v>0</v>
      </c>
      <c r="EZ26" s="61">
        <f t="shared" si="13"/>
        <v>0</v>
      </c>
      <c r="FN26" s="61" t="str">
        <f t="shared" si="14"/>
        <v>27</v>
      </c>
    </row>
    <row r="27" spans="1:170" ht="16.8" x14ac:dyDescent="0.3">
      <c r="A27" s="70" t="str">
        <f>'BASE MAESTRA'!B33</f>
        <v>28</v>
      </c>
      <c r="C27" s="61">
        <f t="shared" si="0"/>
        <v>0</v>
      </c>
      <c r="U27" s="61">
        <f t="shared" si="1"/>
        <v>0</v>
      </c>
      <c r="Z27" s="61">
        <f t="shared" si="2"/>
        <v>0</v>
      </c>
      <c r="AG27" s="61">
        <f t="shared" si="17"/>
        <v>0</v>
      </c>
      <c r="AH27" s="61">
        <f t="shared" si="17"/>
        <v>0</v>
      </c>
      <c r="AX27" s="61">
        <f t="shared" si="15"/>
        <v>0</v>
      </c>
      <c r="AY27" s="61">
        <f t="shared" si="15"/>
        <v>0</v>
      </c>
      <c r="AZ27" s="61">
        <f t="shared" si="15"/>
        <v>0</v>
      </c>
      <c r="BA27" s="61">
        <f t="shared" si="5"/>
        <v>0</v>
      </c>
      <c r="BJ27" s="61">
        <f t="shared" si="6"/>
        <v>0</v>
      </c>
      <c r="BK27" s="61">
        <f t="shared" si="6"/>
        <v>0</v>
      </c>
      <c r="BV27" s="61">
        <f t="shared" si="7"/>
        <v>0</v>
      </c>
      <c r="BW27" s="61">
        <f t="shared" si="8"/>
        <v>0</v>
      </c>
      <c r="CJ27" s="61">
        <f t="shared" si="9"/>
        <v>0</v>
      </c>
      <c r="CU27" s="61">
        <f t="shared" si="18"/>
        <v>0</v>
      </c>
      <c r="CV27" s="61">
        <f t="shared" si="18"/>
        <v>0</v>
      </c>
      <c r="CX27" s="61">
        <f t="shared" si="19"/>
        <v>0</v>
      </c>
      <c r="EP27" s="61">
        <f t="shared" si="16"/>
        <v>0</v>
      </c>
      <c r="EQ27" s="61">
        <f t="shared" si="16"/>
        <v>0</v>
      </c>
      <c r="ER27" s="61">
        <f t="shared" si="16"/>
        <v>0</v>
      </c>
      <c r="ES27" s="61">
        <f t="shared" si="16"/>
        <v>0</v>
      </c>
      <c r="ET27" s="61">
        <f t="shared" si="16"/>
        <v>0</v>
      </c>
      <c r="EX27" s="61">
        <f t="shared" si="13"/>
        <v>0</v>
      </c>
      <c r="EZ27" s="61">
        <f t="shared" si="13"/>
        <v>0</v>
      </c>
      <c r="FN27" s="61" t="str">
        <f t="shared" si="14"/>
        <v>28</v>
      </c>
    </row>
    <row r="28" spans="1:170" ht="16.8" x14ac:dyDescent="0.3">
      <c r="A28" s="70" t="str">
        <f>'BASE MAESTRA'!B34</f>
        <v>29</v>
      </c>
      <c r="C28" s="61">
        <f t="shared" si="0"/>
        <v>0</v>
      </c>
      <c r="U28" s="61">
        <f t="shared" si="1"/>
        <v>0</v>
      </c>
      <c r="Z28" s="61">
        <f t="shared" si="2"/>
        <v>0</v>
      </c>
      <c r="AG28" s="61">
        <f t="shared" si="17"/>
        <v>0</v>
      </c>
      <c r="AH28" s="61">
        <f t="shared" si="17"/>
        <v>0</v>
      </c>
      <c r="AX28" s="61">
        <f t="shared" si="15"/>
        <v>0</v>
      </c>
      <c r="AY28" s="61">
        <f t="shared" si="15"/>
        <v>0</v>
      </c>
      <c r="AZ28" s="61">
        <f t="shared" si="15"/>
        <v>0</v>
      </c>
      <c r="BA28" s="61">
        <f t="shared" si="5"/>
        <v>0</v>
      </c>
      <c r="BJ28" s="61">
        <f t="shared" si="6"/>
        <v>0</v>
      </c>
      <c r="BK28" s="61">
        <f t="shared" si="6"/>
        <v>0</v>
      </c>
      <c r="BV28" s="61">
        <f t="shared" si="7"/>
        <v>0</v>
      </c>
      <c r="BW28" s="61">
        <f t="shared" si="8"/>
        <v>0</v>
      </c>
      <c r="CJ28" s="61">
        <f t="shared" si="9"/>
        <v>0</v>
      </c>
      <c r="CU28" s="61">
        <f t="shared" si="18"/>
        <v>0</v>
      </c>
      <c r="CV28" s="61">
        <f t="shared" si="18"/>
        <v>0</v>
      </c>
      <c r="CX28" s="61">
        <f t="shared" si="19"/>
        <v>0</v>
      </c>
      <c r="EP28" s="61">
        <f t="shared" si="16"/>
        <v>0</v>
      </c>
      <c r="EQ28" s="61">
        <f t="shared" si="16"/>
        <v>0</v>
      </c>
      <c r="ER28" s="61">
        <f t="shared" si="16"/>
        <v>0</v>
      </c>
      <c r="ES28" s="61">
        <f t="shared" si="16"/>
        <v>0</v>
      </c>
      <c r="ET28" s="61">
        <f t="shared" si="16"/>
        <v>0</v>
      </c>
      <c r="EX28" s="61">
        <f t="shared" si="13"/>
        <v>0</v>
      </c>
      <c r="EZ28" s="61">
        <f t="shared" si="13"/>
        <v>0</v>
      </c>
      <c r="FN28" s="61" t="str">
        <f t="shared" si="14"/>
        <v>29</v>
      </c>
    </row>
    <row r="29" spans="1:170" ht="16.8" x14ac:dyDescent="0.3">
      <c r="A29" s="70" t="str">
        <f>'BASE MAESTRA'!B35</f>
        <v>30</v>
      </c>
      <c r="C29" s="61">
        <f t="shared" si="0"/>
        <v>0</v>
      </c>
      <c r="U29" s="61">
        <f t="shared" si="1"/>
        <v>0</v>
      </c>
      <c r="Z29" s="61">
        <f t="shared" si="2"/>
        <v>0</v>
      </c>
      <c r="AG29" s="61">
        <f t="shared" si="17"/>
        <v>0</v>
      </c>
      <c r="AH29" s="61">
        <f t="shared" si="17"/>
        <v>0</v>
      </c>
      <c r="AX29" s="61">
        <f t="shared" si="15"/>
        <v>0</v>
      </c>
      <c r="AY29" s="61">
        <f t="shared" si="15"/>
        <v>0</v>
      </c>
      <c r="AZ29" s="61">
        <f t="shared" si="15"/>
        <v>0</v>
      </c>
      <c r="BA29" s="61">
        <f t="shared" si="5"/>
        <v>0</v>
      </c>
      <c r="BJ29" s="61">
        <f t="shared" si="6"/>
        <v>0</v>
      </c>
      <c r="BK29" s="61">
        <f t="shared" si="6"/>
        <v>0</v>
      </c>
      <c r="BV29" s="61">
        <f t="shared" si="7"/>
        <v>0</v>
      </c>
      <c r="BW29" s="61">
        <f t="shared" si="8"/>
        <v>0</v>
      </c>
      <c r="CJ29" s="61">
        <f t="shared" si="9"/>
        <v>0</v>
      </c>
      <c r="CU29" s="61">
        <f t="shared" si="18"/>
        <v>0</v>
      </c>
      <c r="CV29" s="61">
        <f t="shared" si="18"/>
        <v>0</v>
      </c>
      <c r="CX29" s="61">
        <f t="shared" si="19"/>
        <v>0</v>
      </c>
      <c r="EP29" s="61">
        <f t="shared" si="16"/>
        <v>0</v>
      </c>
      <c r="EQ29" s="61">
        <f t="shared" si="16"/>
        <v>0</v>
      </c>
      <c r="ER29" s="61">
        <f t="shared" si="16"/>
        <v>0</v>
      </c>
      <c r="ES29" s="61">
        <f t="shared" si="16"/>
        <v>0</v>
      </c>
      <c r="ET29" s="61">
        <f t="shared" si="16"/>
        <v>0</v>
      </c>
      <c r="EX29" s="61">
        <f t="shared" si="13"/>
        <v>0</v>
      </c>
      <c r="EZ29" s="61">
        <f t="shared" si="13"/>
        <v>0</v>
      </c>
      <c r="FN29" s="61" t="str">
        <f t="shared" si="14"/>
        <v>30</v>
      </c>
    </row>
    <row r="30" spans="1:170" ht="16.8" x14ac:dyDescent="0.3">
      <c r="A30" s="70" t="str">
        <f>'BASE MAESTRA'!B36</f>
        <v>31</v>
      </c>
      <c r="C30" s="61">
        <f t="shared" si="0"/>
        <v>0</v>
      </c>
      <c r="U30" s="61">
        <f t="shared" si="1"/>
        <v>0</v>
      </c>
      <c r="Z30" s="61">
        <f t="shared" si="2"/>
        <v>0</v>
      </c>
      <c r="AG30" s="61">
        <f t="shared" si="17"/>
        <v>0</v>
      </c>
      <c r="AH30" s="61">
        <f t="shared" si="17"/>
        <v>0</v>
      </c>
      <c r="AX30" s="61">
        <f t="shared" si="15"/>
        <v>0</v>
      </c>
      <c r="AY30" s="61">
        <f t="shared" si="15"/>
        <v>0</v>
      </c>
      <c r="AZ30" s="61">
        <f t="shared" si="15"/>
        <v>0</v>
      </c>
      <c r="BA30" s="61">
        <f t="shared" si="5"/>
        <v>0</v>
      </c>
      <c r="BJ30" s="61">
        <f t="shared" si="6"/>
        <v>0</v>
      </c>
      <c r="BK30" s="61">
        <f t="shared" si="6"/>
        <v>0</v>
      </c>
      <c r="BV30" s="61">
        <f t="shared" si="7"/>
        <v>0</v>
      </c>
      <c r="BW30" s="61">
        <f t="shared" si="8"/>
        <v>0</v>
      </c>
      <c r="CJ30" s="61">
        <f t="shared" si="9"/>
        <v>0</v>
      </c>
      <c r="CU30" s="61">
        <f t="shared" si="18"/>
        <v>0</v>
      </c>
      <c r="CV30" s="61">
        <f t="shared" si="18"/>
        <v>0</v>
      </c>
      <c r="CX30" s="61">
        <f t="shared" si="19"/>
        <v>0</v>
      </c>
      <c r="EP30" s="61">
        <f t="shared" si="16"/>
        <v>0</v>
      </c>
      <c r="EQ30" s="61">
        <f t="shared" si="16"/>
        <v>0</v>
      </c>
      <c r="ER30" s="61">
        <f t="shared" si="16"/>
        <v>0</v>
      </c>
      <c r="ES30" s="61">
        <f t="shared" si="16"/>
        <v>0</v>
      </c>
      <c r="ET30" s="61">
        <f t="shared" si="16"/>
        <v>0</v>
      </c>
      <c r="EX30" s="61">
        <f t="shared" si="13"/>
        <v>0</v>
      </c>
      <c r="EZ30" s="61">
        <f t="shared" si="13"/>
        <v>0</v>
      </c>
      <c r="FN30" s="61" t="str">
        <f t="shared" si="14"/>
        <v>31</v>
      </c>
    </row>
    <row r="31" spans="1:170" ht="16.8" x14ac:dyDescent="0.3">
      <c r="A31" s="70" t="str">
        <f>'BASE MAESTRA'!B37</f>
        <v>32</v>
      </c>
      <c r="C31" s="61">
        <f t="shared" si="0"/>
        <v>0</v>
      </c>
      <c r="U31" s="61">
        <f t="shared" si="1"/>
        <v>0</v>
      </c>
      <c r="Z31" s="61">
        <f t="shared" si="2"/>
        <v>0</v>
      </c>
      <c r="AG31" s="61">
        <f t="shared" si="17"/>
        <v>0</v>
      </c>
      <c r="AH31" s="61">
        <f t="shared" si="17"/>
        <v>0</v>
      </c>
      <c r="AX31" s="61">
        <f t="shared" si="15"/>
        <v>0</v>
      </c>
      <c r="AY31" s="61">
        <f t="shared" si="15"/>
        <v>0</v>
      </c>
      <c r="AZ31" s="61">
        <f t="shared" si="15"/>
        <v>0</v>
      </c>
      <c r="BA31" s="61">
        <f t="shared" si="5"/>
        <v>0</v>
      </c>
      <c r="BJ31" s="61">
        <f t="shared" si="6"/>
        <v>0</v>
      </c>
      <c r="BK31" s="61">
        <f t="shared" si="6"/>
        <v>0</v>
      </c>
      <c r="BV31" s="61">
        <f t="shared" si="7"/>
        <v>0</v>
      </c>
      <c r="BW31" s="61">
        <f t="shared" si="8"/>
        <v>0</v>
      </c>
      <c r="CJ31" s="61">
        <f t="shared" si="9"/>
        <v>0</v>
      </c>
      <c r="CU31" s="61">
        <f t="shared" si="18"/>
        <v>0</v>
      </c>
      <c r="CV31" s="61">
        <f t="shared" si="18"/>
        <v>0</v>
      </c>
      <c r="CX31" s="61">
        <f t="shared" si="19"/>
        <v>0</v>
      </c>
      <c r="EP31" s="61">
        <f t="shared" si="16"/>
        <v>0</v>
      </c>
      <c r="EQ31" s="61">
        <f t="shared" si="16"/>
        <v>0</v>
      </c>
      <c r="ER31" s="61">
        <f t="shared" si="16"/>
        <v>0</v>
      </c>
      <c r="ES31" s="61">
        <f t="shared" si="16"/>
        <v>0</v>
      </c>
      <c r="ET31" s="61">
        <f t="shared" si="16"/>
        <v>0</v>
      </c>
      <c r="EX31" s="61">
        <f t="shared" si="13"/>
        <v>0</v>
      </c>
      <c r="EZ31" s="61">
        <f t="shared" si="13"/>
        <v>0</v>
      </c>
      <c r="FN31" s="61" t="str">
        <f t="shared" si="14"/>
        <v>32</v>
      </c>
    </row>
    <row r="32" spans="1:170" ht="16.8" x14ac:dyDescent="0.3">
      <c r="A32" s="70" t="str">
        <f>'BASE MAESTRA'!B38</f>
        <v>33</v>
      </c>
      <c r="C32" s="61">
        <f t="shared" si="0"/>
        <v>0</v>
      </c>
      <c r="U32" s="61">
        <f t="shared" si="1"/>
        <v>0</v>
      </c>
      <c r="Z32" s="61">
        <f t="shared" si="2"/>
        <v>0</v>
      </c>
      <c r="AG32" s="61">
        <f t="shared" si="17"/>
        <v>0</v>
      </c>
      <c r="AH32" s="61">
        <f t="shared" si="17"/>
        <v>0</v>
      </c>
      <c r="AX32" s="61">
        <f t="shared" si="15"/>
        <v>0</v>
      </c>
      <c r="AY32" s="61">
        <f t="shared" si="15"/>
        <v>0</v>
      </c>
      <c r="AZ32" s="61">
        <f t="shared" si="15"/>
        <v>0</v>
      </c>
      <c r="BA32" s="61">
        <f t="shared" si="5"/>
        <v>0</v>
      </c>
      <c r="BJ32" s="61">
        <f t="shared" si="6"/>
        <v>0</v>
      </c>
      <c r="BK32" s="61">
        <f t="shared" si="6"/>
        <v>0</v>
      </c>
      <c r="BV32" s="61">
        <f t="shared" si="7"/>
        <v>0</v>
      </c>
      <c r="BW32" s="61">
        <f t="shared" si="8"/>
        <v>0</v>
      </c>
      <c r="CJ32" s="61">
        <f t="shared" si="9"/>
        <v>0</v>
      </c>
      <c r="CU32" s="61">
        <f t="shared" si="18"/>
        <v>0</v>
      </c>
      <c r="CV32" s="61">
        <f t="shared" si="18"/>
        <v>0</v>
      </c>
      <c r="CX32" s="61">
        <f t="shared" si="19"/>
        <v>0</v>
      </c>
      <c r="EP32" s="61">
        <f t="shared" si="16"/>
        <v>0</v>
      </c>
      <c r="EQ32" s="61">
        <f t="shared" si="16"/>
        <v>0</v>
      </c>
      <c r="ER32" s="61">
        <f t="shared" si="16"/>
        <v>0</v>
      </c>
      <c r="ES32" s="61">
        <f t="shared" si="16"/>
        <v>0</v>
      </c>
      <c r="ET32" s="61">
        <f t="shared" si="16"/>
        <v>0</v>
      </c>
      <c r="EX32" s="61">
        <f t="shared" si="13"/>
        <v>0</v>
      </c>
      <c r="EZ32" s="61">
        <f t="shared" si="13"/>
        <v>0</v>
      </c>
      <c r="FN32" s="61" t="str">
        <f t="shared" si="14"/>
        <v>33</v>
      </c>
    </row>
    <row r="33" spans="1:170" ht="16.8" x14ac:dyDescent="0.3">
      <c r="A33" s="70" t="str">
        <f>'BASE MAESTRA'!B39</f>
        <v>34</v>
      </c>
      <c r="C33" s="61">
        <f t="shared" si="0"/>
        <v>0</v>
      </c>
      <c r="U33" s="61">
        <f t="shared" si="1"/>
        <v>0</v>
      </c>
      <c r="Z33" s="61">
        <f t="shared" si="2"/>
        <v>0</v>
      </c>
      <c r="AG33" s="61">
        <f t="shared" si="17"/>
        <v>0</v>
      </c>
      <c r="AH33" s="61">
        <f t="shared" si="17"/>
        <v>0</v>
      </c>
      <c r="AX33" s="61">
        <f t="shared" si="15"/>
        <v>0</v>
      </c>
      <c r="AY33" s="61">
        <f t="shared" si="15"/>
        <v>0</v>
      </c>
      <c r="AZ33" s="61">
        <f t="shared" si="15"/>
        <v>0</v>
      </c>
      <c r="BA33" s="61">
        <f t="shared" si="5"/>
        <v>0</v>
      </c>
      <c r="BJ33" s="61">
        <f t="shared" si="6"/>
        <v>0</v>
      </c>
      <c r="BK33" s="61">
        <f t="shared" si="6"/>
        <v>0</v>
      </c>
      <c r="BV33" s="61">
        <f t="shared" si="7"/>
        <v>0</v>
      </c>
      <c r="BW33" s="61">
        <f t="shared" si="8"/>
        <v>0</v>
      </c>
      <c r="CJ33" s="61">
        <f t="shared" si="9"/>
        <v>0</v>
      </c>
      <c r="CU33" s="61">
        <f t="shared" si="18"/>
        <v>0</v>
      </c>
      <c r="CV33" s="61">
        <f t="shared" si="18"/>
        <v>0</v>
      </c>
      <c r="CX33" s="61">
        <f t="shared" si="19"/>
        <v>0</v>
      </c>
      <c r="EP33" s="61">
        <f t="shared" si="16"/>
        <v>0</v>
      </c>
      <c r="EQ33" s="61">
        <f t="shared" si="16"/>
        <v>0</v>
      </c>
      <c r="ER33" s="61">
        <f t="shared" si="16"/>
        <v>0</v>
      </c>
      <c r="ES33" s="61">
        <f t="shared" si="16"/>
        <v>0</v>
      </c>
      <c r="ET33" s="61">
        <f t="shared" si="16"/>
        <v>0</v>
      </c>
      <c r="EX33" s="61">
        <f t="shared" si="13"/>
        <v>0</v>
      </c>
      <c r="EZ33" s="61">
        <f t="shared" si="13"/>
        <v>0</v>
      </c>
      <c r="FN33" s="61" t="str">
        <f t="shared" si="14"/>
        <v>34</v>
      </c>
    </row>
    <row r="34" spans="1:170" ht="16.8" x14ac:dyDescent="0.3">
      <c r="A34" s="70" t="str">
        <f>'BASE MAESTRA'!B40</f>
        <v>35</v>
      </c>
      <c r="C34" s="61">
        <f t="shared" si="0"/>
        <v>0</v>
      </c>
      <c r="U34" s="61">
        <f t="shared" si="1"/>
        <v>0</v>
      </c>
      <c r="Z34" s="61">
        <f t="shared" si="2"/>
        <v>0</v>
      </c>
      <c r="AG34" s="61">
        <f t="shared" si="17"/>
        <v>0</v>
      </c>
      <c r="AH34" s="61">
        <f t="shared" si="17"/>
        <v>0</v>
      </c>
      <c r="AX34" s="61">
        <f t="shared" si="15"/>
        <v>0</v>
      </c>
      <c r="AY34" s="61">
        <f t="shared" si="15"/>
        <v>0</v>
      </c>
      <c r="AZ34" s="61">
        <f t="shared" si="15"/>
        <v>0</v>
      </c>
      <c r="BA34" s="61">
        <f>VLOOKUP($A34,DatosEspecies,BA$2,FALSE)</f>
        <v>0</v>
      </c>
      <c r="BJ34" s="61">
        <f t="shared" si="6"/>
        <v>0</v>
      </c>
      <c r="BK34" s="61">
        <f t="shared" si="6"/>
        <v>0</v>
      </c>
      <c r="BV34" s="61">
        <f t="shared" si="7"/>
        <v>0</v>
      </c>
      <c r="BW34" s="61">
        <f t="shared" si="8"/>
        <v>0</v>
      </c>
      <c r="CJ34" s="61">
        <f t="shared" si="9"/>
        <v>0</v>
      </c>
      <c r="CU34" s="61">
        <f t="shared" si="18"/>
        <v>0</v>
      </c>
      <c r="CV34" s="61">
        <f t="shared" si="18"/>
        <v>0</v>
      </c>
      <c r="CX34" s="61">
        <f t="shared" si="19"/>
        <v>0</v>
      </c>
      <c r="EP34" s="61">
        <f t="shared" si="16"/>
        <v>0</v>
      </c>
      <c r="EQ34" s="61">
        <f t="shared" si="16"/>
        <v>0</v>
      </c>
      <c r="ER34" s="61">
        <f t="shared" si="16"/>
        <v>0</v>
      </c>
      <c r="ES34" s="61">
        <f t="shared" si="16"/>
        <v>0</v>
      </c>
      <c r="ET34" s="61">
        <f t="shared" si="16"/>
        <v>0</v>
      </c>
      <c r="EX34" s="61">
        <f t="shared" si="13"/>
        <v>0</v>
      </c>
      <c r="EZ34" s="61">
        <f t="shared" si="13"/>
        <v>0</v>
      </c>
      <c r="FN34" s="61" t="str">
        <f t="shared" si="14"/>
        <v>35</v>
      </c>
    </row>
    <row r="35" spans="1:170" ht="16.8" x14ac:dyDescent="0.3">
      <c r="A35" s="70" t="str">
        <f>'BASE MAESTRA'!B41</f>
        <v>36</v>
      </c>
      <c r="C35" s="61">
        <f t="shared" si="0"/>
        <v>0</v>
      </c>
      <c r="U35" s="61">
        <f t="shared" si="1"/>
        <v>0</v>
      </c>
      <c r="Z35" s="61">
        <f t="shared" si="2"/>
        <v>0</v>
      </c>
      <c r="AG35" s="61">
        <f t="shared" si="17"/>
        <v>0</v>
      </c>
      <c r="AH35" s="61">
        <f t="shared" si="17"/>
        <v>0</v>
      </c>
      <c r="AX35" s="61">
        <f t="shared" si="15"/>
        <v>0</v>
      </c>
      <c r="AY35" s="61">
        <f t="shared" si="15"/>
        <v>0</v>
      </c>
      <c r="AZ35" s="61">
        <f t="shared" si="15"/>
        <v>0</v>
      </c>
      <c r="BA35" s="61">
        <f t="shared" si="5"/>
        <v>0</v>
      </c>
      <c r="BJ35" s="61">
        <f t="shared" ref="BJ35:BJ98" si="20">VLOOKUP($A35,DatosEspecies,BJ$2,FALSE)</f>
        <v>0</v>
      </c>
      <c r="BK35" s="61">
        <f t="shared" ref="BK35:BK98" si="21">VLOOKUP($A35,DatosEspecies,BK$2,FALSE)</f>
        <v>0</v>
      </c>
      <c r="BV35" s="61">
        <f t="shared" ref="BV35:BV66" si="22">VLOOKUP($A35,DatosEspecies,BV$2,FALSE)</f>
        <v>0</v>
      </c>
      <c r="BW35" s="61">
        <f t="shared" ref="BW35:BW98" si="23">VLOOKUP($A35,DatosEspecies,BW$2,FALSE)</f>
        <v>0</v>
      </c>
      <c r="CJ35" s="61">
        <f t="shared" si="9"/>
        <v>0</v>
      </c>
      <c r="CU35" s="61">
        <f t="shared" si="18"/>
        <v>0</v>
      </c>
      <c r="CV35" s="61">
        <f t="shared" si="18"/>
        <v>0</v>
      </c>
      <c r="CX35" s="61">
        <f t="shared" si="19"/>
        <v>0</v>
      </c>
      <c r="EP35" s="61">
        <f t="shared" si="16"/>
        <v>0</v>
      </c>
      <c r="EQ35" s="61">
        <f t="shared" si="16"/>
        <v>0</v>
      </c>
      <c r="ER35" s="61">
        <f t="shared" si="16"/>
        <v>0</v>
      </c>
      <c r="ES35" s="61">
        <f t="shared" si="16"/>
        <v>0</v>
      </c>
      <c r="ET35" s="61">
        <f t="shared" si="16"/>
        <v>0</v>
      </c>
      <c r="EX35" s="61">
        <f t="shared" si="13"/>
        <v>0</v>
      </c>
      <c r="EZ35" s="61">
        <f t="shared" si="13"/>
        <v>0</v>
      </c>
      <c r="FN35" s="61" t="str">
        <f t="shared" si="14"/>
        <v>36</v>
      </c>
    </row>
    <row r="36" spans="1:170" ht="16.8" x14ac:dyDescent="0.3">
      <c r="A36" s="70" t="str">
        <f>'BASE MAESTRA'!B42</f>
        <v>37</v>
      </c>
      <c r="C36" s="61">
        <f t="shared" si="0"/>
        <v>0</v>
      </c>
      <c r="U36" s="61">
        <f t="shared" si="1"/>
        <v>0</v>
      </c>
      <c r="Z36" s="61">
        <f t="shared" si="2"/>
        <v>0</v>
      </c>
      <c r="AG36" s="61">
        <f t="shared" si="17"/>
        <v>0</v>
      </c>
      <c r="AH36" s="61">
        <f t="shared" si="17"/>
        <v>0</v>
      </c>
      <c r="AX36" s="61">
        <f t="shared" si="15"/>
        <v>0</v>
      </c>
      <c r="AY36" s="61">
        <f t="shared" si="15"/>
        <v>0</v>
      </c>
      <c r="AZ36" s="61">
        <f t="shared" si="15"/>
        <v>0</v>
      </c>
      <c r="BA36" s="61">
        <f t="shared" si="5"/>
        <v>0</v>
      </c>
      <c r="BJ36" s="61">
        <f t="shared" si="20"/>
        <v>0</v>
      </c>
      <c r="BK36" s="61">
        <f t="shared" si="21"/>
        <v>0</v>
      </c>
      <c r="BV36" s="61">
        <f t="shared" si="22"/>
        <v>0</v>
      </c>
      <c r="BW36" s="61">
        <f t="shared" si="23"/>
        <v>0</v>
      </c>
      <c r="CJ36" s="61">
        <f t="shared" si="9"/>
        <v>0</v>
      </c>
      <c r="CU36" s="61">
        <f t="shared" si="18"/>
        <v>0</v>
      </c>
      <c r="CV36" s="61">
        <f t="shared" si="18"/>
        <v>0</v>
      </c>
      <c r="CX36" s="61">
        <f t="shared" si="19"/>
        <v>0</v>
      </c>
      <c r="EP36" s="61">
        <f t="shared" si="16"/>
        <v>0</v>
      </c>
      <c r="EQ36" s="61">
        <f t="shared" si="16"/>
        <v>0</v>
      </c>
      <c r="ER36" s="61">
        <f t="shared" si="16"/>
        <v>0</v>
      </c>
      <c r="ES36" s="61">
        <f t="shared" si="16"/>
        <v>0</v>
      </c>
      <c r="ET36" s="61">
        <f t="shared" si="16"/>
        <v>0</v>
      </c>
      <c r="EX36" s="61">
        <f t="shared" si="13"/>
        <v>0</v>
      </c>
      <c r="EZ36" s="61">
        <f t="shared" si="13"/>
        <v>0</v>
      </c>
      <c r="FN36" s="61" t="str">
        <f t="shared" si="14"/>
        <v>37</v>
      </c>
    </row>
    <row r="37" spans="1:170" ht="16.8" x14ac:dyDescent="0.3">
      <c r="A37" s="70" t="str">
        <f>'BASE MAESTRA'!B43</f>
        <v>38</v>
      </c>
      <c r="C37" s="61">
        <f t="shared" si="0"/>
        <v>0</v>
      </c>
      <c r="U37" s="61">
        <f t="shared" si="1"/>
        <v>0</v>
      </c>
      <c r="Z37" s="61">
        <f t="shared" si="2"/>
        <v>0</v>
      </c>
      <c r="AG37" s="61">
        <f t="shared" si="17"/>
        <v>0</v>
      </c>
      <c r="AH37" s="61">
        <f t="shared" si="17"/>
        <v>0</v>
      </c>
      <c r="AX37" s="61">
        <f t="shared" si="15"/>
        <v>0</v>
      </c>
      <c r="AY37" s="61">
        <f t="shared" si="15"/>
        <v>0</v>
      </c>
      <c r="AZ37" s="61">
        <f t="shared" si="15"/>
        <v>0</v>
      </c>
      <c r="BA37" s="61">
        <f t="shared" si="5"/>
        <v>0</v>
      </c>
      <c r="BJ37" s="61">
        <f t="shared" si="20"/>
        <v>0</v>
      </c>
      <c r="BK37" s="61">
        <f t="shared" si="21"/>
        <v>0</v>
      </c>
      <c r="BV37" s="61">
        <f t="shared" si="22"/>
        <v>0</v>
      </c>
      <c r="BW37" s="61">
        <f t="shared" si="23"/>
        <v>0</v>
      </c>
      <c r="CJ37" s="61">
        <f t="shared" si="9"/>
        <v>0</v>
      </c>
      <c r="CU37" s="61">
        <f t="shared" si="18"/>
        <v>0</v>
      </c>
      <c r="CV37" s="61">
        <f t="shared" si="18"/>
        <v>0</v>
      </c>
      <c r="CX37" s="61">
        <f t="shared" si="19"/>
        <v>0</v>
      </c>
      <c r="EP37" s="61">
        <f t="shared" si="16"/>
        <v>0</v>
      </c>
      <c r="EQ37" s="61">
        <f t="shared" si="16"/>
        <v>0</v>
      </c>
      <c r="ER37" s="61">
        <f t="shared" si="16"/>
        <v>0</v>
      </c>
      <c r="ES37" s="61">
        <f t="shared" si="16"/>
        <v>0</v>
      </c>
      <c r="ET37" s="61">
        <f t="shared" si="16"/>
        <v>0</v>
      </c>
      <c r="EX37" s="61">
        <f t="shared" si="13"/>
        <v>0</v>
      </c>
      <c r="EZ37" s="61">
        <f t="shared" si="13"/>
        <v>0</v>
      </c>
      <c r="FN37" s="61" t="str">
        <f t="shared" si="14"/>
        <v>38</v>
      </c>
    </row>
    <row r="38" spans="1:170" ht="16.8" x14ac:dyDescent="0.3">
      <c r="A38" s="70" t="str">
        <f>'BASE MAESTRA'!B44</f>
        <v>39</v>
      </c>
      <c r="C38" s="61">
        <f t="shared" si="0"/>
        <v>0</v>
      </c>
      <c r="U38" s="61">
        <f t="shared" si="1"/>
        <v>0</v>
      </c>
      <c r="Z38" s="61">
        <f t="shared" si="2"/>
        <v>0</v>
      </c>
      <c r="AG38" s="61">
        <f t="shared" si="17"/>
        <v>0</v>
      </c>
      <c r="AH38" s="61">
        <f t="shared" si="17"/>
        <v>0</v>
      </c>
      <c r="AX38" s="61">
        <f t="shared" si="15"/>
        <v>0</v>
      </c>
      <c r="AY38" s="61">
        <f t="shared" si="15"/>
        <v>0</v>
      </c>
      <c r="AZ38" s="61">
        <f t="shared" si="15"/>
        <v>0</v>
      </c>
      <c r="BA38" s="61">
        <f t="shared" si="5"/>
        <v>0</v>
      </c>
      <c r="BJ38" s="61">
        <f t="shared" si="20"/>
        <v>0</v>
      </c>
      <c r="BK38" s="61">
        <f t="shared" si="21"/>
        <v>0</v>
      </c>
      <c r="BV38" s="61">
        <f t="shared" si="22"/>
        <v>0</v>
      </c>
      <c r="BW38" s="61">
        <f t="shared" si="23"/>
        <v>0</v>
      </c>
      <c r="CJ38" s="61">
        <f t="shared" si="9"/>
        <v>0</v>
      </c>
      <c r="CU38" s="61">
        <f t="shared" si="18"/>
        <v>0</v>
      </c>
      <c r="CV38" s="61">
        <f t="shared" si="18"/>
        <v>0</v>
      </c>
      <c r="CX38" s="61">
        <f t="shared" si="19"/>
        <v>0</v>
      </c>
      <c r="EP38" s="61">
        <f t="shared" si="16"/>
        <v>0</v>
      </c>
      <c r="EQ38" s="61">
        <f t="shared" si="16"/>
        <v>0</v>
      </c>
      <c r="ER38" s="61">
        <f t="shared" si="16"/>
        <v>0</v>
      </c>
      <c r="ES38" s="61">
        <f t="shared" si="16"/>
        <v>0</v>
      </c>
      <c r="ET38" s="61">
        <f t="shared" si="16"/>
        <v>0</v>
      </c>
      <c r="EX38" s="61">
        <f t="shared" si="13"/>
        <v>0</v>
      </c>
      <c r="EZ38" s="61">
        <f t="shared" si="13"/>
        <v>0</v>
      </c>
      <c r="FN38" s="61" t="str">
        <f t="shared" si="14"/>
        <v>39</v>
      </c>
    </row>
    <row r="39" spans="1:170" ht="16.8" x14ac:dyDescent="0.3">
      <c r="A39" s="70">
        <f>'BASE MAESTRA'!B45</f>
        <v>37</v>
      </c>
      <c r="C39" s="61">
        <f t="shared" si="0"/>
        <v>0</v>
      </c>
      <c r="U39" s="61">
        <f t="shared" si="1"/>
        <v>0</v>
      </c>
      <c r="Z39" s="61">
        <f t="shared" si="2"/>
        <v>0</v>
      </c>
      <c r="AG39" s="61">
        <f t="shared" si="17"/>
        <v>0</v>
      </c>
      <c r="AH39" s="61">
        <f t="shared" si="17"/>
        <v>0</v>
      </c>
      <c r="AX39" s="61">
        <f t="shared" si="15"/>
        <v>0</v>
      </c>
      <c r="AY39" s="61">
        <f t="shared" si="15"/>
        <v>0</v>
      </c>
      <c r="AZ39" s="61">
        <f t="shared" si="15"/>
        <v>0</v>
      </c>
      <c r="BA39" s="61">
        <f t="shared" si="5"/>
        <v>0</v>
      </c>
      <c r="BJ39" s="61">
        <f t="shared" si="20"/>
        <v>0</v>
      </c>
      <c r="BK39" s="61">
        <f t="shared" si="21"/>
        <v>0</v>
      </c>
      <c r="BV39" s="61">
        <f t="shared" si="22"/>
        <v>0</v>
      </c>
      <c r="BW39" s="61">
        <f t="shared" si="23"/>
        <v>0</v>
      </c>
      <c r="CJ39" s="61">
        <f t="shared" si="9"/>
        <v>0</v>
      </c>
      <c r="CU39" s="61">
        <f t="shared" si="18"/>
        <v>0</v>
      </c>
      <c r="CV39" s="61">
        <f t="shared" si="18"/>
        <v>0</v>
      </c>
      <c r="CX39" s="61">
        <f t="shared" si="19"/>
        <v>0</v>
      </c>
      <c r="EP39" s="61">
        <f t="shared" si="16"/>
        <v>0</v>
      </c>
      <c r="EQ39" s="61">
        <f t="shared" si="16"/>
        <v>0</v>
      </c>
      <c r="ER39" s="61">
        <f t="shared" si="16"/>
        <v>0</v>
      </c>
      <c r="ES39" s="61">
        <f t="shared" si="16"/>
        <v>0</v>
      </c>
      <c r="ET39" s="61">
        <f t="shared" si="16"/>
        <v>0</v>
      </c>
      <c r="EX39" s="61">
        <f t="shared" si="13"/>
        <v>0</v>
      </c>
      <c r="EZ39" s="61">
        <f t="shared" si="13"/>
        <v>0</v>
      </c>
      <c r="FN39" s="61">
        <f t="shared" si="14"/>
        <v>37</v>
      </c>
    </row>
    <row r="40" spans="1:170" ht="16.8" x14ac:dyDescent="0.3">
      <c r="A40" s="70">
        <f>'BASE MAESTRA'!B46</f>
        <v>38</v>
      </c>
      <c r="C40" s="61">
        <f t="shared" si="0"/>
        <v>0</v>
      </c>
      <c r="U40" s="61">
        <f t="shared" si="1"/>
        <v>0</v>
      </c>
      <c r="Z40" s="61">
        <f t="shared" si="2"/>
        <v>0</v>
      </c>
      <c r="AG40" s="61">
        <f t="shared" si="17"/>
        <v>0</v>
      </c>
      <c r="AH40" s="61">
        <f t="shared" si="17"/>
        <v>0</v>
      </c>
      <c r="AX40" s="61">
        <f t="shared" si="15"/>
        <v>0</v>
      </c>
      <c r="AY40" s="61">
        <f t="shared" si="15"/>
        <v>0</v>
      </c>
      <c r="AZ40" s="61">
        <f t="shared" si="15"/>
        <v>0</v>
      </c>
      <c r="BA40" s="61">
        <f t="shared" si="5"/>
        <v>0</v>
      </c>
      <c r="BJ40" s="61">
        <f t="shared" si="20"/>
        <v>0</v>
      </c>
      <c r="BK40" s="61">
        <f t="shared" si="21"/>
        <v>0</v>
      </c>
      <c r="BV40" s="61">
        <f t="shared" si="22"/>
        <v>0</v>
      </c>
      <c r="BW40" s="61">
        <f t="shared" si="23"/>
        <v>0</v>
      </c>
      <c r="CJ40" s="61">
        <f t="shared" si="9"/>
        <v>0</v>
      </c>
      <c r="CU40" s="61">
        <f t="shared" si="18"/>
        <v>0</v>
      </c>
      <c r="CV40" s="61">
        <f t="shared" si="18"/>
        <v>0</v>
      </c>
      <c r="CX40" s="61">
        <f t="shared" si="19"/>
        <v>0</v>
      </c>
      <c r="EP40" s="61">
        <f t="shared" si="16"/>
        <v>0</v>
      </c>
      <c r="EQ40" s="61">
        <f t="shared" si="16"/>
        <v>0</v>
      </c>
      <c r="ER40" s="61">
        <f t="shared" si="16"/>
        <v>0</v>
      </c>
      <c r="ES40" s="61">
        <f t="shared" si="16"/>
        <v>0</v>
      </c>
      <c r="ET40" s="61">
        <f t="shared" si="16"/>
        <v>0</v>
      </c>
      <c r="EX40" s="61">
        <f t="shared" si="13"/>
        <v>0</v>
      </c>
      <c r="EZ40" s="61">
        <f t="shared" si="13"/>
        <v>0</v>
      </c>
      <c r="FN40" s="61">
        <f t="shared" si="14"/>
        <v>38</v>
      </c>
    </row>
    <row r="41" spans="1:170" ht="16.8" x14ac:dyDescent="0.3">
      <c r="A41" s="70">
        <f>'BASE MAESTRA'!B47</f>
        <v>39</v>
      </c>
      <c r="C41" s="61">
        <f t="shared" si="0"/>
        <v>0</v>
      </c>
      <c r="U41" s="61">
        <f t="shared" si="1"/>
        <v>0</v>
      </c>
      <c r="Z41" s="61">
        <f t="shared" si="2"/>
        <v>0</v>
      </c>
      <c r="AG41" s="61">
        <f t="shared" si="17"/>
        <v>0</v>
      </c>
      <c r="AH41" s="61">
        <f t="shared" si="17"/>
        <v>0</v>
      </c>
      <c r="AX41" s="61">
        <f t="shared" si="15"/>
        <v>0</v>
      </c>
      <c r="AY41" s="61">
        <f t="shared" si="15"/>
        <v>0</v>
      </c>
      <c r="AZ41" s="61">
        <f t="shared" si="15"/>
        <v>0</v>
      </c>
      <c r="BA41" s="61">
        <f t="shared" si="5"/>
        <v>0</v>
      </c>
      <c r="BJ41" s="61">
        <f t="shared" si="20"/>
        <v>0</v>
      </c>
      <c r="BK41" s="61">
        <f t="shared" si="21"/>
        <v>0</v>
      </c>
      <c r="BV41" s="61">
        <f t="shared" si="22"/>
        <v>0</v>
      </c>
      <c r="BW41" s="61">
        <f t="shared" si="23"/>
        <v>0</v>
      </c>
      <c r="CJ41" s="61">
        <f t="shared" si="9"/>
        <v>0</v>
      </c>
      <c r="CU41" s="61">
        <f t="shared" si="18"/>
        <v>0</v>
      </c>
      <c r="CV41" s="61">
        <f t="shared" si="18"/>
        <v>0</v>
      </c>
      <c r="CX41" s="61">
        <f t="shared" si="19"/>
        <v>0</v>
      </c>
      <c r="EP41" s="61">
        <f t="shared" si="16"/>
        <v>0</v>
      </c>
      <c r="EQ41" s="61">
        <f t="shared" si="16"/>
        <v>0</v>
      </c>
      <c r="ER41" s="61">
        <f t="shared" si="16"/>
        <v>0</v>
      </c>
      <c r="ES41" s="61">
        <f t="shared" si="16"/>
        <v>0</v>
      </c>
      <c r="ET41" s="61">
        <f t="shared" si="16"/>
        <v>0</v>
      </c>
      <c r="EX41" s="61">
        <f t="shared" si="13"/>
        <v>0</v>
      </c>
      <c r="EZ41" s="61">
        <f t="shared" si="13"/>
        <v>0</v>
      </c>
      <c r="FN41" s="61">
        <f t="shared" si="14"/>
        <v>39</v>
      </c>
    </row>
    <row r="42" spans="1:170" ht="16.8" x14ac:dyDescent="0.3">
      <c r="A42" s="70">
        <f>'BASE MAESTRA'!B48</f>
        <v>40</v>
      </c>
      <c r="C42" s="61">
        <f t="shared" si="0"/>
        <v>0</v>
      </c>
      <c r="U42" s="61">
        <f t="shared" si="1"/>
        <v>0</v>
      </c>
      <c r="Z42" s="61">
        <f t="shared" si="2"/>
        <v>0</v>
      </c>
      <c r="AG42" s="61">
        <f t="shared" si="17"/>
        <v>0</v>
      </c>
      <c r="AH42" s="61">
        <f t="shared" si="17"/>
        <v>0</v>
      </c>
      <c r="AX42" s="61">
        <f t="shared" si="15"/>
        <v>0</v>
      </c>
      <c r="AY42" s="61">
        <f t="shared" si="15"/>
        <v>0</v>
      </c>
      <c r="AZ42" s="61">
        <f t="shared" si="15"/>
        <v>0</v>
      </c>
      <c r="BA42" s="61">
        <f t="shared" si="5"/>
        <v>0</v>
      </c>
      <c r="BJ42" s="61">
        <f t="shared" si="20"/>
        <v>0</v>
      </c>
      <c r="BK42" s="61">
        <f t="shared" si="21"/>
        <v>0</v>
      </c>
      <c r="BV42" s="61">
        <f t="shared" si="22"/>
        <v>0</v>
      </c>
      <c r="BW42" s="61">
        <f t="shared" si="23"/>
        <v>0</v>
      </c>
      <c r="CJ42" s="61">
        <f t="shared" si="9"/>
        <v>0</v>
      </c>
      <c r="CU42" s="61">
        <f t="shared" si="18"/>
        <v>0</v>
      </c>
      <c r="CV42" s="61">
        <f t="shared" si="18"/>
        <v>0</v>
      </c>
      <c r="CX42" s="61">
        <f t="shared" si="19"/>
        <v>0</v>
      </c>
      <c r="EP42" s="61">
        <f t="shared" si="16"/>
        <v>0</v>
      </c>
      <c r="EQ42" s="61">
        <f t="shared" si="16"/>
        <v>0</v>
      </c>
      <c r="ER42" s="61">
        <f t="shared" si="16"/>
        <v>0</v>
      </c>
      <c r="ES42" s="61">
        <f t="shared" si="16"/>
        <v>0</v>
      </c>
      <c r="ET42" s="61">
        <f t="shared" si="16"/>
        <v>0</v>
      </c>
      <c r="EX42" s="61">
        <f t="shared" si="13"/>
        <v>0</v>
      </c>
      <c r="EZ42" s="61">
        <f t="shared" si="13"/>
        <v>0</v>
      </c>
      <c r="FN42" s="61">
        <f t="shared" si="14"/>
        <v>40</v>
      </c>
    </row>
    <row r="43" spans="1:170" ht="16.8" x14ac:dyDescent="0.3">
      <c r="A43" s="70">
        <f>'BASE MAESTRA'!B49</f>
        <v>41</v>
      </c>
      <c r="C43" s="61">
        <f t="shared" si="0"/>
        <v>0</v>
      </c>
      <c r="U43" s="61">
        <f t="shared" si="1"/>
        <v>0</v>
      </c>
      <c r="Z43" s="61">
        <f t="shared" si="2"/>
        <v>0</v>
      </c>
      <c r="AG43" s="61">
        <f t="shared" ref="AG43:AH62" si="24">VLOOKUP($A43,DatosEspecies,AG$2,FALSE)</f>
        <v>0</v>
      </c>
      <c r="AH43" s="61">
        <f t="shared" si="24"/>
        <v>0</v>
      </c>
      <c r="AX43" s="61">
        <f t="shared" si="15"/>
        <v>0</v>
      </c>
      <c r="AY43" s="61">
        <f t="shared" si="15"/>
        <v>0</v>
      </c>
      <c r="AZ43" s="61">
        <f t="shared" si="15"/>
        <v>0</v>
      </c>
      <c r="BA43" s="61">
        <f t="shared" si="5"/>
        <v>0</v>
      </c>
      <c r="BJ43" s="61">
        <f t="shared" si="20"/>
        <v>0</v>
      </c>
      <c r="BK43" s="61">
        <f t="shared" si="21"/>
        <v>0</v>
      </c>
      <c r="BV43" s="61">
        <f t="shared" si="22"/>
        <v>0</v>
      </c>
      <c r="BW43" s="61">
        <f t="shared" si="23"/>
        <v>0</v>
      </c>
      <c r="CJ43" s="61">
        <f t="shared" si="9"/>
        <v>0</v>
      </c>
      <c r="CU43" s="61">
        <f t="shared" ref="CU43:CV62" si="25">VLOOKUP($A43,DatosEspecies,CU$2,FALSE)</f>
        <v>0</v>
      </c>
      <c r="CV43" s="61">
        <f t="shared" si="25"/>
        <v>0</v>
      </c>
      <c r="CX43" s="61">
        <f t="shared" si="19"/>
        <v>0</v>
      </c>
      <c r="EP43" s="61">
        <f t="shared" si="16"/>
        <v>0</v>
      </c>
      <c r="EQ43" s="61">
        <f t="shared" si="16"/>
        <v>0</v>
      </c>
      <c r="ER43" s="61">
        <f t="shared" si="16"/>
        <v>0</v>
      </c>
      <c r="ES43" s="61">
        <f t="shared" si="16"/>
        <v>0</v>
      </c>
      <c r="ET43" s="61">
        <f t="shared" si="16"/>
        <v>0</v>
      </c>
      <c r="EX43" s="61">
        <f t="shared" si="13"/>
        <v>0</v>
      </c>
      <c r="EZ43" s="61">
        <f t="shared" si="13"/>
        <v>0</v>
      </c>
      <c r="FN43" s="61">
        <f t="shared" si="14"/>
        <v>41</v>
      </c>
    </row>
    <row r="44" spans="1:170" ht="16.8" x14ac:dyDescent="0.3">
      <c r="A44" s="70">
        <f>'BASE MAESTRA'!B50</f>
        <v>42</v>
      </c>
      <c r="C44" s="61">
        <f t="shared" si="0"/>
        <v>0</v>
      </c>
      <c r="U44" s="61">
        <f t="shared" si="1"/>
        <v>0</v>
      </c>
      <c r="Z44" s="61">
        <f t="shared" si="2"/>
        <v>0</v>
      </c>
      <c r="AG44" s="61">
        <f t="shared" si="24"/>
        <v>0</v>
      </c>
      <c r="AH44" s="61">
        <f t="shared" si="24"/>
        <v>0</v>
      </c>
      <c r="AX44" s="61">
        <f t="shared" si="15"/>
        <v>0</v>
      </c>
      <c r="AY44" s="61">
        <f t="shared" si="15"/>
        <v>0</v>
      </c>
      <c r="AZ44" s="61">
        <f t="shared" si="15"/>
        <v>0</v>
      </c>
      <c r="BA44" s="61">
        <f t="shared" si="5"/>
        <v>0</v>
      </c>
      <c r="BJ44" s="61">
        <f t="shared" si="20"/>
        <v>0</v>
      </c>
      <c r="BK44" s="61">
        <f t="shared" si="21"/>
        <v>0</v>
      </c>
      <c r="BV44" s="61">
        <f t="shared" si="22"/>
        <v>0</v>
      </c>
      <c r="BW44" s="61">
        <f t="shared" si="23"/>
        <v>0</v>
      </c>
      <c r="CJ44" s="61">
        <f t="shared" si="9"/>
        <v>0</v>
      </c>
      <c r="CU44" s="61">
        <f t="shared" si="25"/>
        <v>0</v>
      </c>
      <c r="CV44" s="61">
        <f t="shared" si="25"/>
        <v>0</v>
      </c>
      <c r="CX44" s="61">
        <f t="shared" si="19"/>
        <v>0</v>
      </c>
      <c r="EP44" s="61">
        <f t="shared" si="16"/>
        <v>0</v>
      </c>
      <c r="EQ44" s="61">
        <f t="shared" si="16"/>
        <v>0</v>
      </c>
      <c r="ER44" s="61">
        <f t="shared" si="16"/>
        <v>0</v>
      </c>
      <c r="ES44" s="61">
        <f t="shared" si="16"/>
        <v>0</v>
      </c>
      <c r="ET44" s="61">
        <f t="shared" si="16"/>
        <v>0</v>
      </c>
      <c r="EX44" s="61">
        <f t="shared" si="13"/>
        <v>0</v>
      </c>
      <c r="EZ44" s="61">
        <f t="shared" si="13"/>
        <v>0</v>
      </c>
      <c r="FN44" s="61">
        <f t="shared" si="14"/>
        <v>42</v>
      </c>
    </row>
    <row r="45" spans="1:170" ht="16.8" x14ac:dyDescent="0.3">
      <c r="A45" s="70">
        <f>'BASE MAESTRA'!B51</f>
        <v>43</v>
      </c>
      <c r="C45" s="61">
        <f t="shared" si="0"/>
        <v>0</v>
      </c>
      <c r="U45" s="61">
        <f t="shared" si="1"/>
        <v>0</v>
      </c>
      <c r="Z45" s="61">
        <f t="shared" si="2"/>
        <v>0</v>
      </c>
      <c r="AG45" s="61">
        <f t="shared" si="24"/>
        <v>0</v>
      </c>
      <c r="AH45" s="61">
        <f t="shared" si="24"/>
        <v>0</v>
      </c>
      <c r="AX45" s="61">
        <f t="shared" si="15"/>
        <v>0</v>
      </c>
      <c r="AY45" s="61">
        <f t="shared" si="15"/>
        <v>0</v>
      </c>
      <c r="AZ45" s="61">
        <f t="shared" si="15"/>
        <v>0</v>
      </c>
      <c r="BA45" s="61">
        <f t="shared" si="5"/>
        <v>0</v>
      </c>
      <c r="BJ45" s="61">
        <f t="shared" si="20"/>
        <v>0</v>
      </c>
      <c r="BK45" s="61">
        <f t="shared" si="21"/>
        <v>0</v>
      </c>
      <c r="BV45" s="61">
        <f t="shared" si="22"/>
        <v>0</v>
      </c>
      <c r="BW45" s="61">
        <f t="shared" si="23"/>
        <v>0</v>
      </c>
      <c r="CJ45" s="61">
        <f t="shared" si="9"/>
        <v>0</v>
      </c>
      <c r="CU45" s="61">
        <f t="shared" si="25"/>
        <v>0</v>
      </c>
      <c r="CV45" s="61">
        <f t="shared" si="25"/>
        <v>0</v>
      </c>
      <c r="CX45" s="61">
        <f t="shared" si="19"/>
        <v>0</v>
      </c>
      <c r="EP45" s="61">
        <f t="shared" si="16"/>
        <v>0</v>
      </c>
      <c r="EQ45" s="61">
        <f t="shared" si="16"/>
        <v>0</v>
      </c>
      <c r="ER45" s="61">
        <f t="shared" si="16"/>
        <v>0</v>
      </c>
      <c r="ES45" s="61">
        <f t="shared" si="16"/>
        <v>0</v>
      </c>
      <c r="ET45" s="61">
        <f t="shared" si="16"/>
        <v>0</v>
      </c>
      <c r="EX45" s="61">
        <f t="shared" si="13"/>
        <v>0</v>
      </c>
      <c r="EZ45" s="61">
        <f t="shared" si="13"/>
        <v>0</v>
      </c>
      <c r="FN45" s="61">
        <f t="shared" si="14"/>
        <v>43</v>
      </c>
    </row>
    <row r="46" spans="1:170" ht="16.8" x14ac:dyDescent="0.3">
      <c r="A46" s="70">
        <f>'BASE MAESTRA'!B52</f>
        <v>44</v>
      </c>
      <c r="C46" s="61">
        <f t="shared" si="0"/>
        <v>0</v>
      </c>
      <c r="U46" s="61">
        <f t="shared" si="1"/>
        <v>0</v>
      </c>
      <c r="Z46" s="61">
        <f t="shared" si="2"/>
        <v>0</v>
      </c>
      <c r="AG46" s="61">
        <f t="shared" si="24"/>
        <v>0</v>
      </c>
      <c r="AH46" s="61">
        <f t="shared" si="24"/>
        <v>0</v>
      </c>
      <c r="AX46" s="61">
        <f t="shared" si="15"/>
        <v>0</v>
      </c>
      <c r="AY46" s="61">
        <f t="shared" si="15"/>
        <v>0</v>
      </c>
      <c r="AZ46" s="61">
        <f t="shared" si="15"/>
        <v>0</v>
      </c>
      <c r="BA46" s="61">
        <f t="shared" si="5"/>
        <v>0</v>
      </c>
      <c r="BJ46" s="61">
        <f t="shared" si="20"/>
        <v>0</v>
      </c>
      <c r="BK46" s="61">
        <f t="shared" si="21"/>
        <v>0</v>
      </c>
      <c r="BV46" s="61">
        <f t="shared" si="22"/>
        <v>0</v>
      </c>
      <c r="BW46" s="61">
        <f t="shared" si="23"/>
        <v>0</v>
      </c>
      <c r="CJ46" s="61">
        <f t="shared" si="9"/>
        <v>0</v>
      </c>
      <c r="CU46" s="61">
        <f t="shared" si="25"/>
        <v>0</v>
      </c>
      <c r="CV46" s="61">
        <f t="shared" si="25"/>
        <v>0</v>
      </c>
      <c r="CX46" s="61">
        <f t="shared" si="19"/>
        <v>0</v>
      </c>
      <c r="EP46" s="61">
        <f t="shared" si="16"/>
        <v>0</v>
      </c>
      <c r="EQ46" s="61">
        <f t="shared" si="16"/>
        <v>0</v>
      </c>
      <c r="ER46" s="61">
        <f t="shared" si="16"/>
        <v>0</v>
      </c>
      <c r="ES46" s="61">
        <f t="shared" si="16"/>
        <v>0</v>
      </c>
      <c r="ET46" s="61">
        <f t="shared" si="16"/>
        <v>0</v>
      </c>
      <c r="EX46" s="61">
        <f t="shared" si="13"/>
        <v>0</v>
      </c>
      <c r="EZ46" s="61">
        <f t="shared" si="13"/>
        <v>0</v>
      </c>
      <c r="FN46" s="61">
        <f t="shared" si="14"/>
        <v>44</v>
      </c>
    </row>
    <row r="47" spans="1:170" ht="16.8" x14ac:dyDescent="0.3">
      <c r="A47" s="70">
        <f>'BASE MAESTRA'!B53</f>
        <v>45</v>
      </c>
      <c r="C47" s="61">
        <f t="shared" si="0"/>
        <v>0</v>
      </c>
      <c r="U47" s="61">
        <f t="shared" si="1"/>
        <v>0</v>
      </c>
      <c r="Z47" s="61">
        <f t="shared" si="2"/>
        <v>0</v>
      </c>
      <c r="AG47" s="61">
        <f t="shared" si="24"/>
        <v>0</v>
      </c>
      <c r="AH47" s="61">
        <f t="shared" si="24"/>
        <v>0</v>
      </c>
      <c r="AX47" s="61">
        <f t="shared" si="15"/>
        <v>0</v>
      </c>
      <c r="AY47" s="61">
        <f t="shared" si="15"/>
        <v>0</v>
      </c>
      <c r="AZ47" s="61">
        <f t="shared" si="15"/>
        <v>0</v>
      </c>
      <c r="BA47" s="61">
        <f t="shared" si="5"/>
        <v>0</v>
      </c>
      <c r="BJ47" s="61">
        <f t="shared" si="20"/>
        <v>0</v>
      </c>
      <c r="BK47" s="61">
        <f t="shared" si="21"/>
        <v>0</v>
      </c>
      <c r="BV47" s="61">
        <f t="shared" si="22"/>
        <v>0</v>
      </c>
      <c r="BW47" s="61">
        <f t="shared" si="23"/>
        <v>0</v>
      </c>
      <c r="CJ47" s="61">
        <f t="shared" si="9"/>
        <v>0</v>
      </c>
      <c r="CU47" s="61">
        <f t="shared" si="25"/>
        <v>0</v>
      </c>
      <c r="CV47" s="61">
        <f t="shared" si="25"/>
        <v>0</v>
      </c>
      <c r="CX47" s="61">
        <f t="shared" si="19"/>
        <v>0</v>
      </c>
      <c r="EP47" s="61">
        <f t="shared" si="16"/>
        <v>0</v>
      </c>
      <c r="EQ47" s="61">
        <f t="shared" si="16"/>
        <v>0</v>
      </c>
      <c r="ER47" s="61">
        <f t="shared" si="16"/>
        <v>0</v>
      </c>
      <c r="ES47" s="61">
        <f t="shared" si="16"/>
        <v>0</v>
      </c>
      <c r="ET47" s="61">
        <f t="shared" si="16"/>
        <v>0</v>
      </c>
      <c r="EX47" s="61">
        <f t="shared" si="13"/>
        <v>0</v>
      </c>
      <c r="EZ47" s="61">
        <f t="shared" si="13"/>
        <v>0</v>
      </c>
      <c r="FN47" s="61">
        <f t="shared" si="14"/>
        <v>45</v>
      </c>
    </row>
    <row r="48" spans="1:170" ht="16.8" x14ac:dyDescent="0.3">
      <c r="A48" s="70">
        <f>'BASE MAESTRA'!B54</f>
        <v>46</v>
      </c>
      <c r="C48" s="61">
        <f t="shared" si="0"/>
        <v>0</v>
      </c>
      <c r="U48" s="61">
        <f t="shared" si="1"/>
        <v>0</v>
      </c>
      <c r="Z48" s="61">
        <f t="shared" si="2"/>
        <v>0</v>
      </c>
      <c r="AG48" s="61">
        <f t="shared" si="24"/>
        <v>0</v>
      </c>
      <c r="AH48" s="61">
        <f t="shared" si="24"/>
        <v>0</v>
      </c>
      <c r="AX48" s="61">
        <f t="shared" si="15"/>
        <v>0</v>
      </c>
      <c r="AY48" s="61">
        <f t="shared" si="15"/>
        <v>0</v>
      </c>
      <c r="AZ48" s="61">
        <f t="shared" si="15"/>
        <v>0</v>
      </c>
      <c r="BA48" s="61">
        <f t="shared" si="5"/>
        <v>0</v>
      </c>
      <c r="BJ48" s="61">
        <f t="shared" si="20"/>
        <v>0</v>
      </c>
      <c r="BK48" s="61">
        <f t="shared" si="21"/>
        <v>0</v>
      </c>
      <c r="BV48" s="61">
        <f t="shared" si="22"/>
        <v>0</v>
      </c>
      <c r="BW48" s="61">
        <f t="shared" si="23"/>
        <v>0</v>
      </c>
      <c r="CJ48" s="61">
        <f t="shared" si="9"/>
        <v>0</v>
      </c>
      <c r="CU48" s="61">
        <f t="shared" si="25"/>
        <v>0</v>
      </c>
      <c r="CV48" s="61">
        <f t="shared" si="25"/>
        <v>0</v>
      </c>
      <c r="CX48" s="61">
        <f t="shared" si="19"/>
        <v>0</v>
      </c>
      <c r="EP48" s="61">
        <f t="shared" si="16"/>
        <v>0</v>
      </c>
      <c r="EQ48" s="61">
        <f t="shared" si="16"/>
        <v>0</v>
      </c>
      <c r="ER48" s="61">
        <f t="shared" si="16"/>
        <v>0</v>
      </c>
      <c r="ES48" s="61">
        <f t="shared" si="16"/>
        <v>0</v>
      </c>
      <c r="ET48" s="61">
        <f t="shared" si="16"/>
        <v>0</v>
      </c>
      <c r="EX48" s="61">
        <f t="shared" si="13"/>
        <v>0</v>
      </c>
      <c r="EZ48" s="61">
        <f t="shared" si="13"/>
        <v>0</v>
      </c>
      <c r="FN48" s="61">
        <f t="shared" si="14"/>
        <v>46</v>
      </c>
    </row>
    <row r="49" spans="1:170" ht="16.8" x14ac:dyDescent="0.3">
      <c r="A49" s="70">
        <f>'BASE MAESTRA'!B55</f>
        <v>47</v>
      </c>
      <c r="C49" s="61">
        <f t="shared" si="0"/>
        <v>0</v>
      </c>
      <c r="U49" s="61">
        <f t="shared" si="1"/>
        <v>0</v>
      </c>
      <c r="Z49" s="61">
        <f t="shared" si="2"/>
        <v>0</v>
      </c>
      <c r="AG49" s="61">
        <f t="shared" si="24"/>
        <v>0</v>
      </c>
      <c r="AH49" s="61">
        <f t="shared" si="24"/>
        <v>0</v>
      </c>
      <c r="AX49" s="61">
        <f t="shared" si="15"/>
        <v>0</v>
      </c>
      <c r="AY49" s="61">
        <f t="shared" si="15"/>
        <v>0</v>
      </c>
      <c r="AZ49" s="61">
        <f t="shared" si="15"/>
        <v>0</v>
      </c>
      <c r="BA49" s="61">
        <f t="shared" si="5"/>
        <v>0</v>
      </c>
      <c r="BJ49" s="61">
        <f t="shared" si="20"/>
        <v>0</v>
      </c>
      <c r="BK49" s="61">
        <f t="shared" si="21"/>
        <v>0</v>
      </c>
      <c r="BV49" s="61">
        <f t="shared" si="22"/>
        <v>0</v>
      </c>
      <c r="BW49" s="61">
        <f t="shared" si="23"/>
        <v>0</v>
      </c>
      <c r="CJ49" s="61">
        <f t="shared" si="9"/>
        <v>0</v>
      </c>
      <c r="CU49" s="61">
        <f t="shared" si="25"/>
        <v>0</v>
      </c>
      <c r="CV49" s="61">
        <f t="shared" si="25"/>
        <v>0</v>
      </c>
      <c r="CX49" s="61">
        <f t="shared" si="19"/>
        <v>0</v>
      </c>
      <c r="EP49" s="61">
        <f t="shared" si="16"/>
        <v>0</v>
      </c>
      <c r="EQ49" s="61">
        <f t="shared" si="16"/>
        <v>0</v>
      </c>
      <c r="ER49" s="61">
        <f t="shared" si="16"/>
        <v>0</v>
      </c>
      <c r="ES49" s="61">
        <f t="shared" si="16"/>
        <v>0</v>
      </c>
      <c r="ET49" s="61">
        <f t="shared" si="16"/>
        <v>0</v>
      </c>
      <c r="EX49" s="61">
        <f t="shared" si="13"/>
        <v>0</v>
      </c>
      <c r="EZ49" s="61">
        <f t="shared" si="13"/>
        <v>0</v>
      </c>
      <c r="FN49" s="61">
        <f t="shared" si="14"/>
        <v>47</v>
      </c>
    </row>
    <row r="50" spans="1:170" ht="16.8" x14ac:dyDescent="0.3">
      <c r="A50" s="70">
        <f>'BASE MAESTRA'!B56</f>
        <v>48</v>
      </c>
      <c r="C50" s="61">
        <f t="shared" si="0"/>
        <v>0</v>
      </c>
      <c r="U50" s="61">
        <f t="shared" si="1"/>
        <v>0</v>
      </c>
      <c r="Z50" s="61">
        <f t="shared" si="2"/>
        <v>0</v>
      </c>
      <c r="AG50" s="61">
        <f t="shared" si="24"/>
        <v>0</v>
      </c>
      <c r="AH50" s="61">
        <f t="shared" si="24"/>
        <v>0</v>
      </c>
      <c r="AX50" s="61">
        <f t="shared" si="15"/>
        <v>0</v>
      </c>
      <c r="AY50" s="61">
        <f t="shared" si="15"/>
        <v>0</v>
      </c>
      <c r="AZ50" s="61">
        <f t="shared" si="15"/>
        <v>0</v>
      </c>
      <c r="BA50" s="61">
        <f t="shared" si="5"/>
        <v>0</v>
      </c>
      <c r="BJ50" s="61">
        <f t="shared" si="20"/>
        <v>0</v>
      </c>
      <c r="BK50" s="61">
        <f t="shared" si="21"/>
        <v>0</v>
      </c>
      <c r="BV50" s="61">
        <f t="shared" si="22"/>
        <v>0</v>
      </c>
      <c r="BW50" s="61">
        <f t="shared" si="23"/>
        <v>0</v>
      </c>
      <c r="CJ50" s="61">
        <f t="shared" si="9"/>
        <v>0</v>
      </c>
      <c r="CU50" s="61">
        <f t="shared" si="25"/>
        <v>0</v>
      </c>
      <c r="CV50" s="61">
        <f t="shared" si="25"/>
        <v>0</v>
      </c>
      <c r="CX50" s="61">
        <f t="shared" si="19"/>
        <v>0</v>
      </c>
      <c r="EP50" s="61">
        <f t="shared" si="16"/>
        <v>0</v>
      </c>
      <c r="EQ50" s="61">
        <f t="shared" si="16"/>
        <v>0</v>
      </c>
      <c r="ER50" s="61">
        <f t="shared" si="16"/>
        <v>0</v>
      </c>
      <c r="ES50" s="61">
        <f t="shared" si="16"/>
        <v>0</v>
      </c>
      <c r="ET50" s="61">
        <f t="shared" si="16"/>
        <v>0</v>
      </c>
      <c r="EX50" s="61">
        <f t="shared" si="13"/>
        <v>0</v>
      </c>
      <c r="EZ50" s="61">
        <f t="shared" si="13"/>
        <v>0</v>
      </c>
      <c r="FN50" s="61">
        <f t="shared" si="14"/>
        <v>48</v>
      </c>
    </row>
    <row r="51" spans="1:170" ht="16.8" x14ac:dyDescent="0.3">
      <c r="A51" s="70">
        <f>'BASE MAESTRA'!B57</f>
        <v>49</v>
      </c>
      <c r="C51" s="61">
        <f t="shared" si="0"/>
        <v>0</v>
      </c>
      <c r="U51" s="61">
        <f t="shared" si="1"/>
        <v>0</v>
      </c>
      <c r="Z51" s="61">
        <f t="shared" si="2"/>
        <v>0</v>
      </c>
      <c r="AG51" s="61">
        <f t="shared" si="24"/>
        <v>0</v>
      </c>
      <c r="AH51" s="61">
        <f t="shared" si="24"/>
        <v>0</v>
      </c>
      <c r="AX51" s="61">
        <f t="shared" si="15"/>
        <v>0</v>
      </c>
      <c r="AY51" s="61">
        <f t="shared" si="15"/>
        <v>0</v>
      </c>
      <c r="AZ51" s="61">
        <f t="shared" si="15"/>
        <v>0</v>
      </c>
      <c r="BA51" s="61">
        <f t="shared" si="5"/>
        <v>0</v>
      </c>
      <c r="BJ51" s="61">
        <f t="shared" si="20"/>
        <v>0</v>
      </c>
      <c r="BK51" s="61">
        <f t="shared" si="21"/>
        <v>0</v>
      </c>
      <c r="BV51" s="61">
        <f t="shared" si="22"/>
        <v>0</v>
      </c>
      <c r="BW51" s="61">
        <f t="shared" si="23"/>
        <v>0</v>
      </c>
      <c r="CJ51" s="61">
        <f t="shared" si="9"/>
        <v>0</v>
      </c>
      <c r="CU51" s="61">
        <f t="shared" si="25"/>
        <v>0</v>
      </c>
      <c r="CV51" s="61">
        <f t="shared" si="25"/>
        <v>0</v>
      </c>
      <c r="CX51" s="61">
        <f t="shared" si="19"/>
        <v>0</v>
      </c>
      <c r="EP51" s="61">
        <f t="shared" si="16"/>
        <v>0</v>
      </c>
      <c r="EQ51" s="61">
        <f t="shared" si="16"/>
        <v>0</v>
      </c>
      <c r="ER51" s="61">
        <f t="shared" si="16"/>
        <v>0</v>
      </c>
      <c r="ES51" s="61">
        <f t="shared" si="16"/>
        <v>0</v>
      </c>
      <c r="ET51" s="61">
        <f t="shared" si="16"/>
        <v>0</v>
      </c>
      <c r="EX51" s="61">
        <f t="shared" si="13"/>
        <v>0</v>
      </c>
      <c r="EZ51" s="61">
        <f t="shared" si="13"/>
        <v>0</v>
      </c>
      <c r="FN51" s="61">
        <f t="shared" si="14"/>
        <v>49</v>
      </c>
    </row>
    <row r="52" spans="1:170" ht="16.8" x14ac:dyDescent="0.3">
      <c r="A52" s="70">
        <f>'BASE MAESTRA'!B58</f>
        <v>50</v>
      </c>
      <c r="C52" s="61">
        <f t="shared" si="0"/>
        <v>0</v>
      </c>
      <c r="U52" s="61">
        <f t="shared" si="1"/>
        <v>0</v>
      </c>
      <c r="Z52" s="61">
        <f t="shared" si="2"/>
        <v>0</v>
      </c>
      <c r="AG52" s="61">
        <f t="shared" si="24"/>
        <v>0</v>
      </c>
      <c r="AH52" s="61">
        <f t="shared" si="24"/>
        <v>0</v>
      </c>
      <c r="AX52" s="61">
        <f t="shared" si="15"/>
        <v>0</v>
      </c>
      <c r="AY52" s="61">
        <f t="shared" si="15"/>
        <v>0</v>
      </c>
      <c r="AZ52" s="61">
        <f t="shared" si="15"/>
        <v>0</v>
      </c>
      <c r="BA52" s="61">
        <f t="shared" si="5"/>
        <v>0</v>
      </c>
      <c r="BJ52" s="61">
        <f t="shared" si="20"/>
        <v>0</v>
      </c>
      <c r="BK52" s="61">
        <f t="shared" si="21"/>
        <v>0</v>
      </c>
      <c r="BV52" s="61">
        <f t="shared" si="22"/>
        <v>0</v>
      </c>
      <c r="BW52" s="61">
        <f t="shared" si="23"/>
        <v>0</v>
      </c>
      <c r="CJ52" s="61">
        <f t="shared" si="9"/>
        <v>0</v>
      </c>
      <c r="CU52" s="61">
        <f t="shared" si="25"/>
        <v>0</v>
      </c>
      <c r="CV52" s="61">
        <f t="shared" si="25"/>
        <v>0</v>
      </c>
      <c r="CX52" s="61">
        <f t="shared" si="19"/>
        <v>0</v>
      </c>
      <c r="EP52" s="61">
        <f t="shared" si="16"/>
        <v>0</v>
      </c>
      <c r="EQ52" s="61">
        <f t="shared" si="16"/>
        <v>0</v>
      </c>
      <c r="ER52" s="61">
        <f t="shared" si="16"/>
        <v>0</v>
      </c>
      <c r="ES52" s="61">
        <f t="shared" si="16"/>
        <v>0</v>
      </c>
      <c r="ET52" s="61">
        <f t="shared" si="16"/>
        <v>0</v>
      </c>
      <c r="EX52" s="61">
        <f t="shared" si="13"/>
        <v>0</v>
      </c>
      <c r="EZ52" s="61">
        <f t="shared" si="13"/>
        <v>0</v>
      </c>
      <c r="FN52" s="61">
        <f t="shared" si="14"/>
        <v>50</v>
      </c>
    </row>
    <row r="53" spans="1:170" ht="16.8" x14ac:dyDescent="0.3">
      <c r="A53" s="70">
        <f>'BASE MAESTRA'!B59</f>
        <v>51</v>
      </c>
      <c r="C53" s="61">
        <f t="shared" si="0"/>
        <v>0</v>
      </c>
      <c r="U53" s="61">
        <f t="shared" si="1"/>
        <v>0</v>
      </c>
      <c r="Z53" s="61">
        <f t="shared" si="2"/>
        <v>0</v>
      </c>
      <c r="AG53" s="61">
        <f t="shared" si="24"/>
        <v>0</v>
      </c>
      <c r="AH53" s="61">
        <f t="shared" si="24"/>
        <v>0</v>
      </c>
      <c r="AX53" s="61">
        <f t="shared" si="15"/>
        <v>0</v>
      </c>
      <c r="AY53" s="61">
        <f t="shared" si="15"/>
        <v>0</v>
      </c>
      <c r="AZ53" s="61">
        <f t="shared" si="15"/>
        <v>0</v>
      </c>
      <c r="BA53" s="61">
        <f t="shared" si="5"/>
        <v>0</v>
      </c>
      <c r="BJ53" s="61">
        <f t="shared" si="20"/>
        <v>0</v>
      </c>
      <c r="BK53" s="61">
        <f t="shared" si="21"/>
        <v>0</v>
      </c>
      <c r="BV53" s="61">
        <f t="shared" si="22"/>
        <v>0</v>
      </c>
      <c r="BW53" s="61">
        <f t="shared" si="23"/>
        <v>0</v>
      </c>
      <c r="CJ53" s="61">
        <f t="shared" si="9"/>
        <v>0</v>
      </c>
      <c r="CU53" s="61">
        <f t="shared" si="25"/>
        <v>0</v>
      </c>
      <c r="CV53" s="61">
        <f t="shared" si="25"/>
        <v>0</v>
      </c>
      <c r="CX53" s="61">
        <f t="shared" si="19"/>
        <v>0</v>
      </c>
      <c r="EP53" s="61">
        <f t="shared" si="16"/>
        <v>0</v>
      </c>
      <c r="EQ53" s="61">
        <f t="shared" si="16"/>
        <v>0</v>
      </c>
      <c r="ER53" s="61">
        <f t="shared" si="16"/>
        <v>0</v>
      </c>
      <c r="ES53" s="61">
        <f t="shared" si="16"/>
        <v>0</v>
      </c>
      <c r="ET53" s="61">
        <f t="shared" si="16"/>
        <v>0</v>
      </c>
      <c r="EX53" s="61">
        <f t="shared" si="13"/>
        <v>0</v>
      </c>
      <c r="EZ53" s="61">
        <f t="shared" si="13"/>
        <v>0</v>
      </c>
      <c r="FN53" s="61">
        <f t="shared" si="14"/>
        <v>51</v>
      </c>
    </row>
    <row r="54" spans="1:170" ht="16.8" x14ac:dyDescent="0.3">
      <c r="A54" s="70">
        <f>'BASE MAESTRA'!B60</f>
        <v>52</v>
      </c>
      <c r="C54" s="61">
        <f t="shared" si="0"/>
        <v>0</v>
      </c>
      <c r="U54" s="61">
        <f t="shared" si="1"/>
        <v>0</v>
      </c>
      <c r="Z54" s="61">
        <f t="shared" si="2"/>
        <v>0</v>
      </c>
      <c r="AG54" s="61">
        <f t="shared" si="24"/>
        <v>0</v>
      </c>
      <c r="AH54" s="61">
        <f t="shared" si="24"/>
        <v>0</v>
      </c>
      <c r="AX54" s="61">
        <f t="shared" si="15"/>
        <v>0</v>
      </c>
      <c r="AY54" s="61">
        <f t="shared" si="15"/>
        <v>0</v>
      </c>
      <c r="AZ54" s="61">
        <f t="shared" si="15"/>
        <v>0</v>
      </c>
      <c r="BA54" s="61">
        <f t="shared" si="5"/>
        <v>0</v>
      </c>
      <c r="BJ54" s="61">
        <f t="shared" si="20"/>
        <v>0</v>
      </c>
      <c r="BK54" s="61">
        <f t="shared" si="21"/>
        <v>0</v>
      </c>
      <c r="BV54" s="61">
        <f t="shared" si="22"/>
        <v>0</v>
      </c>
      <c r="BW54" s="61">
        <f t="shared" si="23"/>
        <v>0</v>
      </c>
      <c r="CJ54" s="61">
        <f t="shared" si="9"/>
        <v>0</v>
      </c>
      <c r="CU54" s="61">
        <f t="shared" si="25"/>
        <v>0</v>
      </c>
      <c r="CV54" s="61">
        <f t="shared" si="25"/>
        <v>0</v>
      </c>
      <c r="CX54" s="61">
        <f t="shared" si="19"/>
        <v>0</v>
      </c>
      <c r="EP54" s="61">
        <f t="shared" si="16"/>
        <v>0</v>
      </c>
      <c r="EQ54" s="61">
        <f t="shared" si="16"/>
        <v>0</v>
      </c>
      <c r="ER54" s="61">
        <f t="shared" si="16"/>
        <v>0</v>
      </c>
      <c r="ES54" s="61">
        <f t="shared" si="16"/>
        <v>0</v>
      </c>
      <c r="ET54" s="61">
        <f t="shared" si="16"/>
        <v>0</v>
      </c>
      <c r="EX54" s="61">
        <f t="shared" si="13"/>
        <v>0</v>
      </c>
      <c r="EZ54" s="61">
        <f t="shared" si="13"/>
        <v>0</v>
      </c>
      <c r="FN54" s="61">
        <f t="shared" si="14"/>
        <v>52</v>
      </c>
    </row>
    <row r="55" spans="1:170" ht="16.8" x14ac:dyDescent="0.3">
      <c r="A55" s="70">
        <f>'BASE MAESTRA'!B61</f>
        <v>53</v>
      </c>
      <c r="C55" s="61">
        <f t="shared" si="0"/>
        <v>0</v>
      </c>
      <c r="U55" s="61">
        <f t="shared" si="1"/>
        <v>0</v>
      </c>
      <c r="Z55" s="61">
        <f t="shared" si="2"/>
        <v>0</v>
      </c>
      <c r="AG55" s="61">
        <f t="shared" si="24"/>
        <v>0</v>
      </c>
      <c r="AH55" s="61">
        <f t="shared" si="24"/>
        <v>0</v>
      </c>
      <c r="AX55" s="61">
        <f t="shared" si="15"/>
        <v>0</v>
      </c>
      <c r="AY55" s="61">
        <f t="shared" si="15"/>
        <v>0</v>
      </c>
      <c r="AZ55" s="61">
        <f t="shared" si="15"/>
        <v>0</v>
      </c>
      <c r="BA55" s="61">
        <f t="shared" si="5"/>
        <v>0</v>
      </c>
      <c r="BJ55" s="61">
        <f t="shared" si="20"/>
        <v>0</v>
      </c>
      <c r="BK55" s="61">
        <f t="shared" si="21"/>
        <v>0</v>
      </c>
      <c r="BV55" s="61">
        <f t="shared" si="22"/>
        <v>0</v>
      </c>
      <c r="BW55" s="61">
        <f t="shared" si="23"/>
        <v>0</v>
      </c>
      <c r="CJ55" s="61">
        <f t="shared" si="9"/>
        <v>0</v>
      </c>
      <c r="CU55" s="61">
        <f t="shared" si="25"/>
        <v>0</v>
      </c>
      <c r="CV55" s="61">
        <f t="shared" si="25"/>
        <v>0</v>
      </c>
      <c r="CX55" s="61">
        <f t="shared" si="19"/>
        <v>0</v>
      </c>
      <c r="EP55" s="61">
        <f t="shared" si="16"/>
        <v>0</v>
      </c>
      <c r="EQ55" s="61">
        <f t="shared" si="16"/>
        <v>0</v>
      </c>
      <c r="ER55" s="61">
        <f t="shared" si="16"/>
        <v>0</v>
      </c>
      <c r="ES55" s="61">
        <f t="shared" si="16"/>
        <v>0</v>
      </c>
      <c r="ET55" s="61">
        <f t="shared" si="16"/>
        <v>0</v>
      </c>
      <c r="EX55" s="61">
        <f t="shared" si="13"/>
        <v>0</v>
      </c>
      <c r="EZ55" s="61">
        <f t="shared" si="13"/>
        <v>0</v>
      </c>
      <c r="FN55" s="61">
        <f t="shared" si="14"/>
        <v>53</v>
      </c>
    </row>
    <row r="56" spans="1:170" ht="16.8" x14ac:dyDescent="0.3">
      <c r="A56" s="70">
        <f>'BASE MAESTRA'!B62</f>
        <v>54</v>
      </c>
      <c r="C56" s="61">
        <f t="shared" si="0"/>
        <v>0</v>
      </c>
      <c r="U56" s="61">
        <f t="shared" si="1"/>
        <v>0</v>
      </c>
      <c r="Z56" s="61">
        <f t="shared" si="2"/>
        <v>0</v>
      </c>
      <c r="AG56" s="61">
        <f t="shared" si="24"/>
        <v>0</v>
      </c>
      <c r="AH56" s="61">
        <f t="shared" si="24"/>
        <v>0</v>
      </c>
      <c r="AX56" s="61">
        <f t="shared" si="15"/>
        <v>0</v>
      </c>
      <c r="AY56" s="61">
        <f t="shared" si="15"/>
        <v>0</v>
      </c>
      <c r="AZ56" s="61">
        <f t="shared" si="15"/>
        <v>0</v>
      </c>
      <c r="BA56" s="61">
        <f t="shared" si="5"/>
        <v>0</v>
      </c>
      <c r="BJ56" s="61">
        <f t="shared" si="20"/>
        <v>0</v>
      </c>
      <c r="BK56" s="61">
        <f t="shared" si="21"/>
        <v>0</v>
      </c>
      <c r="BV56" s="61">
        <f t="shared" si="22"/>
        <v>0</v>
      </c>
      <c r="BW56" s="61">
        <f t="shared" si="23"/>
        <v>0</v>
      </c>
      <c r="CJ56" s="61">
        <f t="shared" si="9"/>
        <v>0</v>
      </c>
      <c r="CU56" s="61">
        <f t="shared" si="25"/>
        <v>0</v>
      </c>
      <c r="CV56" s="61">
        <f t="shared" si="25"/>
        <v>0</v>
      </c>
      <c r="CX56" s="61">
        <f t="shared" si="19"/>
        <v>0</v>
      </c>
      <c r="EP56" s="61">
        <f t="shared" si="16"/>
        <v>0</v>
      </c>
      <c r="EQ56" s="61">
        <f t="shared" si="16"/>
        <v>0</v>
      </c>
      <c r="ER56" s="61">
        <f t="shared" si="16"/>
        <v>0</v>
      </c>
      <c r="ES56" s="61">
        <f t="shared" si="16"/>
        <v>0</v>
      </c>
      <c r="ET56" s="61">
        <f t="shared" si="16"/>
        <v>0</v>
      </c>
      <c r="EX56" s="61">
        <f t="shared" si="13"/>
        <v>0</v>
      </c>
      <c r="EZ56" s="61">
        <f t="shared" si="13"/>
        <v>0</v>
      </c>
      <c r="FN56" s="61">
        <f t="shared" si="14"/>
        <v>54</v>
      </c>
    </row>
    <row r="57" spans="1:170" ht="16.8" x14ac:dyDescent="0.3">
      <c r="A57" s="70">
        <f>'BASE MAESTRA'!B63</f>
        <v>55</v>
      </c>
      <c r="C57" s="61">
        <f t="shared" si="0"/>
        <v>0</v>
      </c>
      <c r="U57" s="61">
        <f t="shared" si="1"/>
        <v>0</v>
      </c>
      <c r="Z57" s="61">
        <f t="shared" si="2"/>
        <v>0</v>
      </c>
      <c r="AG57" s="61">
        <f t="shared" si="24"/>
        <v>0</v>
      </c>
      <c r="AH57" s="61">
        <f t="shared" si="24"/>
        <v>0</v>
      </c>
      <c r="AX57" s="61">
        <f t="shared" si="15"/>
        <v>0</v>
      </c>
      <c r="AY57" s="61">
        <f t="shared" si="15"/>
        <v>0</v>
      </c>
      <c r="AZ57" s="61">
        <f t="shared" si="15"/>
        <v>0</v>
      </c>
      <c r="BA57" s="61">
        <f t="shared" si="5"/>
        <v>0</v>
      </c>
      <c r="BJ57" s="61">
        <f t="shared" si="20"/>
        <v>0</v>
      </c>
      <c r="BK57" s="61">
        <f t="shared" si="21"/>
        <v>0</v>
      </c>
      <c r="BV57" s="61">
        <f t="shared" si="22"/>
        <v>0</v>
      </c>
      <c r="BW57" s="61">
        <f t="shared" si="23"/>
        <v>0</v>
      </c>
      <c r="CJ57" s="61">
        <f t="shared" si="9"/>
        <v>0</v>
      </c>
      <c r="CU57" s="61">
        <f t="shared" si="25"/>
        <v>0</v>
      </c>
      <c r="CV57" s="61">
        <f t="shared" si="25"/>
        <v>0</v>
      </c>
      <c r="CX57" s="61">
        <f t="shared" si="19"/>
        <v>0</v>
      </c>
      <c r="EP57" s="61">
        <f t="shared" si="16"/>
        <v>0</v>
      </c>
      <c r="EQ57" s="61">
        <f t="shared" si="16"/>
        <v>0</v>
      </c>
      <c r="ER57" s="61">
        <f t="shared" si="16"/>
        <v>0</v>
      </c>
      <c r="ES57" s="61">
        <f t="shared" si="16"/>
        <v>0</v>
      </c>
      <c r="ET57" s="61">
        <f t="shared" si="16"/>
        <v>0</v>
      </c>
      <c r="EX57" s="61">
        <f t="shared" si="13"/>
        <v>0</v>
      </c>
      <c r="EZ57" s="61">
        <f t="shared" si="13"/>
        <v>0</v>
      </c>
      <c r="FN57" s="61">
        <f t="shared" si="14"/>
        <v>55</v>
      </c>
    </row>
    <row r="58" spans="1:170" ht="16.8" x14ac:dyDescent="0.3">
      <c r="A58" s="70">
        <f>'BASE MAESTRA'!B64</f>
        <v>56</v>
      </c>
      <c r="C58" s="61">
        <f t="shared" si="0"/>
        <v>0</v>
      </c>
      <c r="U58" s="61">
        <f t="shared" si="1"/>
        <v>0</v>
      </c>
      <c r="Z58" s="61">
        <f t="shared" si="2"/>
        <v>0</v>
      </c>
      <c r="AG58" s="61">
        <f t="shared" si="24"/>
        <v>0</v>
      </c>
      <c r="AH58" s="61">
        <f t="shared" si="24"/>
        <v>0</v>
      </c>
      <c r="AX58" s="61">
        <f t="shared" si="15"/>
        <v>0</v>
      </c>
      <c r="AY58" s="61">
        <f t="shared" si="15"/>
        <v>0</v>
      </c>
      <c r="AZ58" s="61">
        <f t="shared" si="15"/>
        <v>0</v>
      </c>
      <c r="BA58" s="61">
        <f t="shared" si="5"/>
        <v>0</v>
      </c>
      <c r="BJ58" s="61">
        <f t="shared" si="20"/>
        <v>0</v>
      </c>
      <c r="BK58" s="61">
        <f t="shared" si="21"/>
        <v>0</v>
      </c>
      <c r="BV58" s="61">
        <f t="shared" si="22"/>
        <v>0</v>
      </c>
      <c r="BW58" s="61">
        <f t="shared" si="23"/>
        <v>0</v>
      </c>
      <c r="CJ58" s="61">
        <f t="shared" si="9"/>
        <v>0</v>
      </c>
      <c r="CU58" s="61">
        <f t="shared" si="25"/>
        <v>0</v>
      </c>
      <c r="CV58" s="61">
        <f t="shared" si="25"/>
        <v>0</v>
      </c>
      <c r="CX58" s="61">
        <f t="shared" si="19"/>
        <v>0</v>
      </c>
      <c r="EP58" s="61">
        <f t="shared" si="16"/>
        <v>0</v>
      </c>
      <c r="EQ58" s="61">
        <f t="shared" si="16"/>
        <v>0</v>
      </c>
      <c r="ER58" s="61">
        <f t="shared" si="16"/>
        <v>0</v>
      </c>
      <c r="ES58" s="61">
        <f t="shared" si="16"/>
        <v>0</v>
      </c>
      <c r="ET58" s="61">
        <f t="shared" si="16"/>
        <v>0</v>
      </c>
      <c r="EX58" s="61">
        <f t="shared" si="13"/>
        <v>0</v>
      </c>
      <c r="EZ58" s="61">
        <f t="shared" si="13"/>
        <v>0</v>
      </c>
      <c r="FN58" s="61">
        <f t="shared" si="14"/>
        <v>56</v>
      </c>
    </row>
    <row r="59" spans="1:170" ht="16.8" x14ac:dyDescent="0.3">
      <c r="A59" s="70">
        <f>'BASE MAESTRA'!B65</f>
        <v>57</v>
      </c>
      <c r="C59" s="61">
        <f t="shared" si="0"/>
        <v>0</v>
      </c>
      <c r="U59" s="61">
        <f t="shared" si="1"/>
        <v>0</v>
      </c>
      <c r="Z59" s="61">
        <f t="shared" si="2"/>
        <v>0</v>
      </c>
      <c r="AG59" s="61">
        <f t="shared" si="24"/>
        <v>0</v>
      </c>
      <c r="AH59" s="61">
        <f t="shared" si="24"/>
        <v>0</v>
      </c>
      <c r="AX59" s="61">
        <f t="shared" si="15"/>
        <v>0</v>
      </c>
      <c r="AY59" s="61">
        <f t="shared" si="15"/>
        <v>0</v>
      </c>
      <c r="AZ59" s="61">
        <f t="shared" si="15"/>
        <v>0</v>
      </c>
      <c r="BA59" s="61">
        <f t="shared" si="5"/>
        <v>0</v>
      </c>
      <c r="BJ59" s="61">
        <f t="shared" si="20"/>
        <v>0</v>
      </c>
      <c r="BK59" s="61">
        <f t="shared" si="21"/>
        <v>0</v>
      </c>
      <c r="BV59" s="61">
        <f t="shared" si="22"/>
        <v>0</v>
      </c>
      <c r="BW59" s="61">
        <f t="shared" si="23"/>
        <v>0</v>
      </c>
      <c r="CJ59" s="61">
        <f t="shared" si="9"/>
        <v>0</v>
      </c>
      <c r="CU59" s="61">
        <f t="shared" si="25"/>
        <v>0</v>
      </c>
      <c r="CV59" s="61">
        <f t="shared" si="25"/>
        <v>0</v>
      </c>
      <c r="CX59" s="61">
        <f t="shared" si="19"/>
        <v>0</v>
      </c>
      <c r="EP59" s="61">
        <f t="shared" si="16"/>
        <v>0</v>
      </c>
      <c r="EQ59" s="61">
        <f t="shared" si="16"/>
        <v>0</v>
      </c>
      <c r="ER59" s="61">
        <f t="shared" si="16"/>
        <v>0</v>
      </c>
      <c r="ES59" s="61">
        <f t="shared" si="16"/>
        <v>0</v>
      </c>
      <c r="ET59" s="61">
        <f t="shared" si="16"/>
        <v>0</v>
      </c>
      <c r="EX59" s="61">
        <f t="shared" si="13"/>
        <v>0</v>
      </c>
      <c r="EZ59" s="61">
        <f t="shared" si="13"/>
        <v>0</v>
      </c>
      <c r="FN59" s="61">
        <f t="shared" si="14"/>
        <v>57</v>
      </c>
    </row>
    <row r="60" spans="1:170" ht="16.8" x14ac:dyDescent="0.3">
      <c r="A60" s="70">
        <f>'BASE MAESTRA'!B66</f>
        <v>58</v>
      </c>
      <c r="C60" s="61">
        <f t="shared" si="0"/>
        <v>0</v>
      </c>
      <c r="U60" s="61">
        <f t="shared" si="1"/>
        <v>0</v>
      </c>
      <c r="Z60" s="61">
        <f t="shared" si="2"/>
        <v>0</v>
      </c>
      <c r="AG60" s="61">
        <f t="shared" si="24"/>
        <v>0</v>
      </c>
      <c r="AH60" s="61">
        <f t="shared" si="24"/>
        <v>0</v>
      </c>
      <c r="AX60" s="61">
        <f t="shared" si="15"/>
        <v>0</v>
      </c>
      <c r="AY60" s="61">
        <f t="shared" si="15"/>
        <v>0</v>
      </c>
      <c r="AZ60" s="61">
        <f t="shared" si="15"/>
        <v>0</v>
      </c>
      <c r="BA60" s="61">
        <f t="shared" si="5"/>
        <v>0</v>
      </c>
      <c r="BJ60" s="61">
        <f t="shared" si="20"/>
        <v>0</v>
      </c>
      <c r="BK60" s="61">
        <f t="shared" si="21"/>
        <v>0</v>
      </c>
      <c r="BV60" s="61">
        <f t="shared" si="22"/>
        <v>0</v>
      </c>
      <c r="BW60" s="61">
        <f t="shared" si="23"/>
        <v>0</v>
      </c>
      <c r="CJ60" s="61">
        <f t="shared" si="9"/>
        <v>0</v>
      </c>
      <c r="CU60" s="61">
        <f t="shared" si="25"/>
        <v>0</v>
      </c>
      <c r="CV60" s="61">
        <f t="shared" si="25"/>
        <v>0</v>
      </c>
      <c r="CX60" s="61">
        <f t="shared" si="19"/>
        <v>0</v>
      </c>
      <c r="EP60" s="61">
        <f t="shared" si="16"/>
        <v>0</v>
      </c>
      <c r="EQ60" s="61">
        <f t="shared" si="16"/>
        <v>0</v>
      </c>
      <c r="ER60" s="61">
        <f t="shared" si="16"/>
        <v>0</v>
      </c>
      <c r="ES60" s="61">
        <f t="shared" si="16"/>
        <v>0</v>
      </c>
      <c r="ET60" s="61">
        <f t="shared" si="16"/>
        <v>0</v>
      </c>
      <c r="EX60" s="61">
        <f t="shared" si="13"/>
        <v>0</v>
      </c>
      <c r="EZ60" s="61">
        <f t="shared" si="13"/>
        <v>0</v>
      </c>
      <c r="FN60" s="61">
        <f t="shared" si="14"/>
        <v>58</v>
      </c>
    </row>
    <row r="61" spans="1:170" ht="16.8" x14ac:dyDescent="0.3">
      <c r="A61" s="70">
        <f>'BASE MAESTRA'!B67</f>
        <v>59</v>
      </c>
      <c r="C61" s="61">
        <f t="shared" si="0"/>
        <v>0</v>
      </c>
      <c r="U61" s="61">
        <f t="shared" si="1"/>
        <v>0</v>
      </c>
      <c r="Z61" s="61">
        <f t="shared" si="2"/>
        <v>0</v>
      </c>
      <c r="AG61" s="61">
        <f t="shared" si="24"/>
        <v>0</v>
      </c>
      <c r="AH61" s="61">
        <f t="shared" si="24"/>
        <v>0</v>
      </c>
      <c r="AX61" s="61">
        <f t="shared" si="15"/>
        <v>0</v>
      </c>
      <c r="AY61" s="61">
        <f t="shared" si="15"/>
        <v>0</v>
      </c>
      <c r="AZ61" s="61">
        <f t="shared" si="15"/>
        <v>0</v>
      </c>
      <c r="BA61" s="61">
        <f t="shared" si="5"/>
        <v>0</v>
      </c>
      <c r="BJ61" s="61">
        <f t="shared" si="20"/>
        <v>0</v>
      </c>
      <c r="BK61" s="61">
        <f t="shared" si="21"/>
        <v>0</v>
      </c>
      <c r="BV61" s="61">
        <f t="shared" si="22"/>
        <v>0</v>
      </c>
      <c r="BW61" s="61">
        <f t="shared" si="23"/>
        <v>0</v>
      </c>
      <c r="CJ61" s="61">
        <f t="shared" si="9"/>
        <v>0</v>
      </c>
      <c r="CU61" s="61">
        <f t="shared" si="25"/>
        <v>0</v>
      </c>
      <c r="CV61" s="61">
        <f t="shared" si="25"/>
        <v>0</v>
      </c>
      <c r="CX61" s="61">
        <f t="shared" si="19"/>
        <v>0</v>
      </c>
      <c r="EP61" s="61">
        <f t="shared" si="16"/>
        <v>0</v>
      </c>
      <c r="EQ61" s="61">
        <f t="shared" si="16"/>
        <v>0</v>
      </c>
      <c r="ER61" s="61">
        <f t="shared" si="16"/>
        <v>0</v>
      </c>
      <c r="ES61" s="61">
        <f t="shared" si="16"/>
        <v>0</v>
      </c>
      <c r="ET61" s="61">
        <f t="shared" si="16"/>
        <v>0</v>
      </c>
      <c r="EX61" s="61">
        <f t="shared" si="13"/>
        <v>0</v>
      </c>
      <c r="EZ61" s="61">
        <f t="shared" si="13"/>
        <v>0</v>
      </c>
      <c r="FN61" s="61">
        <f t="shared" si="14"/>
        <v>59</v>
      </c>
    </row>
    <row r="62" spans="1:170" ht="16.8" x14ac:dyDescent="0.3">
      <c r="A62" s="70">
        <f>'BASE MAESTRA'!B68</f>
        <v>60</v>
      </c>
      <c r="C62" s="61">
        <f t="shared" si="0"/>
        <v>0</v>
      </c>
      <c r="U62" s="61">
        <f t="shared" si="1"/>
        <v>0</v>
      </c>
      <c r="Z62" s="61">
        <f t="shared" si="2"/>
        <v>0</v>
      </c>
      <c r="AG62" s="61">
        <f t="shared" si="24"/>
        <v>0</v>
      </c>
      <c r="AH62" s="61">
        <f t="shared" si="24"/>
        <v>0</v>
      </c>
      <c r="AX62" s="61">
        <f t="shared" si="15"/>
        <v>0</v>
      </c>
      <c r="AY62" s="61">
        <f t="shared" si="15"/>
        <v>0</v>
      </c>
      <c r="AZ62" s="61">
        <f t="shared" si="15"/>
        <v>0</v>
      </c>
      <c r="BA62" s="61">
        <f t="shared" si="5"/>
        <v>0</v>
      </c>
      <c r="BJ62" s="61">
        <f t="shared" si="20"/>
        <v>0</v>
      </c>
      <c r="BK62" s="61">
        <f t="shared" si="21"/>
        <v>0</v>
      </c>
      <c r="BV62" s="61">
        <f t="shared" si="22"/>
        <v>0</v>
      </c>
      <c r="BW62" s="61">
        <f t="shared" si="23"/>
        <v>0</v>
      </c>
      <c r="CJ62" s="61">
        <f t="shared" si="9"/>
        <v>0</v>
      </c>
      <c r="CU62" s="61">
        <f t="shared" si="25"/>
        <v>0</v>
      </c>
      <c r="CV62" s="61">
        <f t="shared" si="25"/>
        <v>0</v>
      </c>
      <c r="CX62" s="61">
        <f t="shared" si="19"/>
        <v>0</v>
      </c>
      <c r="EP62" s="61">
        <f t="shared" si="16"/>
        <v>0</v>
      </c>
      <c r="EQ62" s="61">
        <f t="shared" si="16"/>
        <v>0</v>
      </c>
      <c r="ER62" s="61">
        <f t="shared" si="16"/>
        <v>0</v>
      </c>
      <c r="ES62" s="61">
        <f t="shared" si="16"/>
        <v>0</v>
      </c>
      <c r="ET62" s="61">
        <f t="shared" si="16"/>
        <v>0</v>
      </c>
      <c r="EX62" s="61">
        <f t="shared" si="13"/>
        <v>0</v>
      </c>
      <c r="EZ62" s="61">
        <f t="shared" si="13"/>
        <v>0</v>
      </c>
      <c r="FN62" s="61">
        <f t="shared" si="14"/>
        <v>60</v>
      </c>
    </row>
    <row r="63" spans="1:170" ht="16.8" x14ac:dyDescent="0.3">
      <c r="A63" s="70">
        <f>'BASE MAESTRA'!B69</f>
        <v>61</v>
      </c>
      <c r="C63" s="61">
        <f t="shared" si="0"/>
        <v>0</v>
      </c>
      <c r="U63" s="61">
        <f t="shared" si="1"/>
        <v>0</v>
      </c>
      <c r="Z63" s="61">
        <f t="shared" si="2"/>
        <v>0</v>
      </c>
      <c r="AG63" s="61">
        <f t="shared" ref="AG63:AH78" si="26">VLOOKUP($A63,DatosEspecies,AG$2,FALSE)</f>
        <v>0</v>
      </c>
      <c r="AH63" s="61">
        <f t="shared" si="26"/>
        <v>0</v>
      </c>
      <c r="AX63" s="61">
        <f t="shared" si="15"/>
        <v>0</v>
      </c>
      <c r="AY63" s="61">
        <f t="shared" si="15"/>
        <v>0</v>
      </c>
      <c r="AZ63" s="61">
        <f t="shared" si="15"/>
        <v>0</v>
      </c>
      <c r="BA63" s="61">
        <f t="shared" si="5"/>
        <v>0</v>
      </c>
      <c r="BJ63" s="61">
        <f t="shared" si="20"/>
        <v>0</v>
      </c>
      <c r="BK63" s="61">
        <f t="shared" si="21"/>
        <v>0</v>
      </c>
      <c r="BV63" s="61">
        <f t="shared" si="22"/>
        <v>0</v>
      </c>
      <c r="BW63" s="61">
        <f t="shared" si="23"/>
        <v>0</v>
      </c>
      <c r="CJ63" s="61">
        <f t="shared" si="9"/>
        <v>0</v>
      </c>
      <c r="CU63" s="61">
        <f t="shared" ref="CU63:CV78" si="27">VLOOKUP($A63,DatosEspecies,CU$2,FALSE)</f>
        <v>0</v>
      </c>
      <c r="CV63" s="61">
        <f t="shared" si="27"/>
        <v>0</v>
      </c>
      <c r="CX63" s="61">
        <f t="shared" si="19"/>
        <v>0</v>
      </c>
      <c r="EP63" s="61">
        <f t="shared" si="16"/>
        <v>0</v>
      </c>
      <c r="EQ63" s="61">
        <f t="shared" si="16"/>
        <v>0</v>
      </c>
      <c r="ER63" s="61">
        <f t="shared" si="16"/>
        <v>0</v>
      </c>
      <c r="ES63" s="61">
        <f t="shared" si="16"/>
        <v>0</v>
      </c>
      <c r="ET63" s="61">
        <f t="shared" si="16"/>
        <v>0</v>
      </c>
      <c r="EX63" s="61">
        <f t="shared" si="13"/>
        <v>0</v>
      </c>
      <c r="EZ63" s="61">
        <f t="shared" si="13"/>
        <v>0</v>
      </c>
      <c r="FN63" s="61">
        <f t="shared" si="14"/>
        <v>61</v>
      </c>
    </row>
    <row r="64" spans="1:170" ht="16.8" x14ac:dyDescent="0.3">
      <c r="A64" s="70">
        <f>'BASE MAESTRA'!B70</f>
        <v>62</v>
      </c>
      <c r="C64" s="61">
        <f t="shared" si="0"/>
        <v>0</v>
      </c>
      <c r="U64" s="61">
        <f t="shared" si="1"/>
        <v>0</v>
      </c>
      <c r="Z64" s="61">
        <f t="shared" si="2"/>
        <v>0</v>
      </c>
      <c r="AG64" s="61">
        <f t="shared" si="26"/>
        <v>0</v>
      </c>
      <c r="AH64" s="61">
        <f t="shared" si="26"/>
        <v>0</v>
      </c>
      <c r="AX64" s="61">
        <f t="shared" si="15"/>
        <v>0</v>
      </c>
      <c r="AY64" s="61">
        <f t="shared" si="15"/>
        <v>0</v>
      </c>
      <c r="AZ64" s="61">
        <f t="shared" si="15"/>
        <v>0</v>
      </c>
      <c r="BA64" s="61">
        <f t="shared" si="5"/>
        <v>0</v>
      </c>
      <c r="BJ64" s="61">
        <f t="shared" si="20"/>
        <v>0</v>
      </c>
      <c r="BK64" s="61">
        <f t="shared" si="21"/>
        <v>0</v>
      </c>
      <c r="BV64" s="61">
        <f t="shared" si="22"/>
        <v>0</v>
      </c>
      <c r="BW64" s="61">
        <f t="shared" si="23"/>
        <v>0</v>
      </c>
      <c r="CJ64" s="61">
        <f t="shared" si="9"/>
        <v>0</v>
      </c>
      <c r="CU64" s="61">
        <f t="shared" si="27"/>
        <v>0</v>
      </c>
      <c r="CV64" s="61">
        <f t="shared" si="27"/>
        <v>0</v>
      </c>
      <c r="CX64" s="61">
        <f t="shared" si="19"/>
        <v>0</v>
      </c>
      <c r="EP64" s="61">
        <f t="shared" si="16"/>
        <v>0</v>
      </c>
      <c r="EQ64" s="61">
        <f t="shared" si="16"/>
        <v>0</v>
      </c>
      <c r="ER64" s="61">
        <f t="shared" si="16"/>
        <v>0</v>
      </c>
      <c r="ES64" s="61">
        <f t="shared" si="16"/>
        <v>0</v>
      </c>
      <c r="ET64" s="61">
        <f t="shared" si="16"/>
        <v>0</v>
      </c>
      <c r="EX64" s="61">
        <f t="shared" si="13"/>
        <v>0</v>
      </c>
      <c r="EZ64" s="61">
        <f t="shared" si="13"/>
        <v>0</v>
      </c>
      <c r="FN64" s="61">
        <f t="shared" si="14"/>
        <v>62</v>
      </c>
    </row>
    <row r="65" spans="1:170" ht="16.8" x14ac:dyDescent="0.3">
      <c r="A65" s="70">
        <f>'BASE MAESTRA'!B71</f>
        <v>63</v>
      </c>
      <c r="C65" s="61">
        <f t="shared" si="0"/>
        <v>0</v>
      </c>
      <c r="U65" s="61">
        <f t="shared" si="1"/>
        <v>0</v>
      </c>
      <c r="Z65" s="61">
        <f t="shared" si="2"/>
        <v>0</v>
      </c>
      <c r="AG65" s="61">
        <f t="shared" si="26"/>
        <v>0</v>
      </c>
      <c r="AH65" s="61">
        <f t="shared" si="26"/>
        <v>0</v>
      </c>
      <c r="AX65" s="61">
        <f t="shared" si="15"/>
        <v>0</v>
      </c>
      <c r="AY65" s="61">
        <f t="shared" si="15"/>
        <v>0</v>
      </c>
      <c r="AZ65" s="61">
        <f t="shared" si="15"/>
        <v>0</v>
      </c>
      <c r="BA65" s="61">
        <f t="shared" si="5"/>
        <v>0</v>
      </c>
      <c r="BJ65" s="61">
        <f t="shared" si="20"/>
        <v>0</v>
      </c>
      <c r="BK65" s="61">
        <f t="shared" si="21"/>
        <v>0</v>
      </c>
      <c r="BV65" s="61">
        <f t="shared" si="22"/>
        <v>0</v>
      </c>
      <c r="BW65" s="61">
        <f t="shared" si="23"/>
        <v>0</v>
      </c>
      <c r="CJ65" s="61">
        <f t="shared" si="9"/>
        <v>0</v>
      </c>
      <c r="CU65" s="61">
        <f t="shared" si="27"/>
        <v>0</v>
      </c>
      <c r="CV65" s="61">
        <f t="shared" si="27"/>
        <v>0</v>
      </c>
      <c r="CX65" s="61">
        <f t="shared" si="19"/>
        <v>0</v>
      </c>
      <c r="EP65" s="61">
        <f t="shared" si="16"/>
        <v>0</v>
      </c>
      <c r="EQ65" s="61">
        <f t="shared" si="16"/>
        <v>0</v>
      </c>
      <c r="ER65" s="61">
        <f t="shared" si="16"/>
        <v>0</v>
      </c>
      <c r="ES65" s="61">
        <f t="shared" si="16"/>
        <v>0</v>
      </c>
      <c r="ET65" s="61">
        <f t="shared" si="16"/>
        <v>0</v>
      </c>
      <c r="EX65" s="61">
        <f t="shared" si="13"/>
        <v>0</v>
      </c>
      <c r="EZ65" s="61">
        <f t="shared" si="13"/>
        <v>0</v>
      </c>
      <c r="FN65" s="61">
        <f t="shared" si="14"/>
        <v>63</v>
      </c>
    </row>
    <row r="66" spans="1:170" ht="16.8" x14ac:dyDescent="0.3">
      <c r="A66" s="70">
        <f>'BASE MAESTRA'!B72</f>
        <v>64</v>
      </c>
      <c r="C66" s="61">
        <f t="shared" si="0"/>
        <v>0</v>
      </c>
      <c r="U66" s="61">
        <f t="shared" si="1"/>
        <v>0</v>
      </c>
      <c r="Z66" s="61">
        <f t="shared" si="2"/>
        <v>0</v>
      </c>
      <c r="AG66" s="61">
        <f t="shared" si="26"/>
        <v>0</v>
      </c>
      <c r="AH66" s="61">
        <f t="shared" si="26"/>
        <v>0</v>
      </c>
      <c r="AX66" s="61">
        <f t="shared" si="15"/>
        <v>0</v>
      </c>
      <c r="AY66" s="61">
        <f t="shared" si="15"/>
        <v>0</v>
      </c>
      <c r="AZ66" s="61">
        <f t="shared" si="15"/>
        <v>0</v>
      </c>
      <c r="BA66" s="61">
        <f t="shared" si="5"/>
        <v>0</v>
      </c>
      <c r="BJ66" s="61">
        <f t="shared" si="20"/>
        <v>0</v>
      </c>
      <c r="BK66" s="61">
        <f t="shared" si="21"/>
        <v>0</v>
      </c>
      <c r="BV66" s="61">
        <f t="shared" si="22"/>
        <v>0</v>
      </c>
      <c r="BW66" s="61">
        <f t="shared" si="23"/>
        <v>0</v>
      </c>
      <c r="CJ66" s="61">
        <f t="shared" si="9"/>
        <v>0</v>
      </c>
      <c r="CU66" s="61">
        <f t="shared" si="27"/>
        <v>0</v>
      </c>
      <c r="CV66" s="61">
        <f t="shared" si="27"/>
        <v>0</v>
      </c>
      <c r="CX66" s="61">
        <f t="shared" si="19"/>
        <v>0</v>
      </c>
      <c r="EP66" s="61">
        <f t="shared" si="16"/>
        <v>0</v>
      </c>
      <c r="EQ66" s="61">
        <f t="shared" si="16"/>
        <v>0</v>
      </c>
      <c r="ER66" s="61">
        <f t="shared" si="16"/>
        <v>0</v>
      </c>
      <c r="ES66" s="61">
        <f t="shared" si="16"/>
        <v>0</v>
      </c>
      <c r="ET66" s="61">
        <f t="shared" si="16"/>
        <v>0</v>
      </c>
      <c r="EX66" s="61">
        <f t="shared" si="13"/>
        <v>0</v>
      </c>
      <c r="EZ66" s="61">
        <f t="shared" si="13"/>
        <v>0</v>
      </c>
      <c r="FN66" s="61">
        <f t="shared" ref="FN66:FN129" si="28">A66</f>
        <v>64</v>
      </c>
    </row>
    <row r="67" spans="1:170" ht="16.8" x14ac:dyDescent="0.3">
      <c r="A67" s="70">
        <f>'BASE MAESTRA'!B73</f>
        <v>65</v>
      </c>
      <c r="C67" s="61">
        <f t="shared" ref="C67:C130" si="29">VLOOKUP($A67,DatosEspecies,C$2,FALSE)</f>
        <v>0</v>
      </c>
      <c r="U67" s="61">
        <f t="shared" ref="U67:U130" si="30">VLOOKUP($A67,DatosEspecies,U$2,FALSE)</f>
        <v>0</v>
      </c>
      <c r="Z67" s="61">
        <f t="shared" ref="Z67:Z130" si="31">VLOOKUP($A67,DatosEspecies,Z$2,FALSE)</f>
        <v>0</v>
      </c>
      <c r="AG67" s="61">
        <f t="shared" si="26"/>
        <v>0</v>
      </c>
      <c r="AH67" s="61">
        <f t="shared" si="26"/>
        <v>0</v>
      </c>
      <c r="AX67" s="61">
        <f t="shared" ref="AX67:AZ130" si="32">VLOOKUP($A67,DatosEspecies,AX$2,FALSE)</f>
        <v>0</v>
      </c>
      <c r="AY67" s="61">
        <f t="shared" si="32"/>
        <v>0</v>
      </c>
      <c r="AZ67" s="61">
        <f t="shared" si="32"/>
        <v>0</v>
      </c>
      <c r="BA67" s="61">
        <f t="shared" ref="BA67:BA130" si="33">VLOOKUP($A67,DatosEspecies,BA$2,FALSE)</f>
        <v>0</v>
      </c>
      <c r="BJ67" s="61">
        <f t="shared" si="20"/>
        <v>0</v>
      </c>
      <c r="BK67" s="61">
        <f t="shared" si="21"/>
        <v>0</v>
      </c>
      <c r="BV67" s="61">
        <f t="shared" ref="BV67:BV98" si="34">VLOOKUP($A67,DatosEspecies,BV$2,FALSE)</f>
        <v>0</v>
      </c>
      <c r="BW67" s="61">
        <f t="shared" si="23"/>
        <v>0</v>
      </c>
      <c r="CJ67" s="61">
        <f t="shared" ref="CJ67:CJ130" si="35">VLOOKUP($A67,DatosEspecies,CJ$2,FALSE)</f>
        <v>0</v>
      </c>
      <c r="CU67" s="61">
        <f t="shared" si="27"/>
        <v>0</v>
      </c>
      <c r="CV67" s="61">
        <f t="shared" si="27"/>
        <v>0</v>
      </c>
      <c r="CX67" s="61">
        <f t="shared" si="19"/>
        <v>0</v>
      </c>
      <c r="EP67" s="61">
        <f t="shared" ref="EP67:ES130" si="36">VLOOKUP($A67,DatosEspecies,EP$2,FALSE)</f>
        <v>0</v>
      </c>
      <c r="EQ67" s="61">
        <f t="shared" si="36"/>
        <v>0</v>
      </c>
      <c r="ER67" s="61">
        <f t="shared" si="36"/>
        <v>0</v>
      </c>
      <c r="ES67" s="61">
        <f t="shared" si="36"/>
        <v>0</v>
      </c>
      <c r="ET67" s="61">
        <f t="shared" ref="ET67:ET130" si="37">VLOOKUP($A67,DatosEspecies,ET$2,FALSE)</f>
        <v>0</v>
      </c>
      <c r="EX67" s="61">
        <f t="shared" ref="EX67:EZ130" si="38">VLOOKUP($A67,DatosEspecies,EX$2,FALSE)</f>
        <v>0</v>
      </c>
      <c r="EZ67" s="61">
        <f t="shared" si="38"/>
        <v>0</v>
      </c>
      <c r="FN67" s="61">
        <f t="shared" si="28"/>
        <v>65</v>
      </c>
    </row>
    <row r="68" spans="1:170" ht="16.8" x14ac:dyDescent="0.3">
      <c r="A68" s="70">
        <f>'BASE MAESTRA'!B74</f>
        <v>66</v>
      </c>
      <c r="C68" s="61">
        <f t="shared" si="29"/>
        <v>0</v>
      </c>
      <c r="U68" s="61">
        <f t="shared" si="30"/>
        <v>0</v>
      </c>
      <c r="Z68" s="61">
        <f t="shared" si="31"/>
        <v>0</v>
      </c>
      <c r="AG68" s="61">
        <f t="shared" si="26"/>
        <v>0</v>
      </c>
      <c r="AH68" s="61">
        <f t="shared" si="26"/>
        <v>0</v>
      </c>
      <c r="AX68" s="61">
        <f t="shared" si="32"/>
        <v>0</v>
      </c>
      <c r="AY68" s="61">
        <f t="shared" si="32"/>
        <v>0</v>
      </c>
      <c r="AZ68" s="61">
        <f t="shared" si="32"/>
        <v>0</v>
      </c>
      <c r="BA68" s="61">
        <f t="shared" si="33"/>
        <v>0</v>
      </c>
      <c r="BJ68" s="61">
        <f t="shared" si="20"/>
        <v>0</v>
      </c>
      <c r="BK68" s="61">
        <f t="shared" si="21"/>
        <v>0</v>
      </c>
      <c r="BV68" s="61">
        <f t="shared" si="34"/>
        <v>0</v>
      </c>
      <c r="BW68" s="61">
        <f t="shared" si="23"/>
        <v>0</v>
      </c>
      <c r="CJ68" s="61">
        <f t="shared" si="35"/>
        <v>0</v>
      </c>
      <c r="CU68" s="61">
        <f t="shared" si="27"/>
        <v>0</v>
      </c>
      <c r="CV68" s="61">
        <f t="shared" si="27"/>
        <v>0</v>
      </c>
      <c r="CX68" s="61">
        <f t="shared" si="19"/>
        <v>0</v>
      </c>
      <c r="EP68" s="61">
        <f t="shared" si="36"/>
        <v>0</v>
      </c>
      <c r="EQ68" s="61">
        <f t="shared" si="36"/>
        <v>0</v>
      </c>
      <c r="ER68" s="61">
        <f t="shared" si="36"/>
        <v>0</v>
      </c>
      <c r="ES68" s="61">
        <f t="shared" si="36"/>
        <v>0</v>
      </c>
      <c r="ET68" s="61">
        <f t="shared" si="37"/>
        <v>0</v>
      </c>
      <c r="EX68" s="61">
        <f t="shared" si="38"/>
        <v>0</v>
      </c>
      <c r="EZ68" s="61">
        <f t="shared" si="38"/>
        <v>0</v>
      </c>
      <c r="FN68" s="61">
        <f t="shared" si="28"/>
        <v>66</v>
      </c>
    </row>
    <row r="69" spans="1:170" ht="16.8" x14ac:dyDescent="0.3">
      <c r="A69" s="70">
        <f>'BASE MAESTRA'!B75</f>
        <v>67</v>
      </c>
      <c r="C69" s="61">
        <f t="shared" si="29"/>
        <v>0</v>
      </c>
      <c r="U69" s="61">
        <f t="shared" si="30"/>
        <v>0</v>
      </c>
      <c r="Z69" s="61">
        <f t="shared" si="31"/>
        <v>0</v>
      </c>
      <c r="AG69" s="61">
        <f t="shared" si="26"/>
        <v>0</v>
      </c>
      <c r="AH69" s="61">
        <f t="shared" si="26"/>
        <v>0</v>
      </c>
      <c r="AX69" s="61">
        <f t="shared" si="32"/>
        <v>0</v>
      </c>
      <c r="AY69" s="61">
        <f t="shared" si="32"/>
        <v>0</v>
      </c>
      <c r="AZ69" s="61">
        <f t="shared" si="32"/>
        <v>0</v>
      </c>
      <c r="BA69" s="61">
        <f t="shared" si="33"/>
        <v>0</v>
      </c>
      <c r="BJ69" s="61">
        <f t="shared" si="20"/>
        <v>0</v>
      </c>
      <c r="BK69" s="61">
        <f t="shared" si="21"/>
        <v>0</v>
      </c>
      <c r="BV69" s="61">
        <f t="shared" si="34"/>
        <v>0</v>
      </c>
      <c r="BW69" s="61">
        <f t="shared" si="23"/>
        <v>0</v>
      </c>
      <c r="CJ69" s="61">
        <f t="shared" si="35"/>
        <v>0</v>
      </c>
      <c r="CU69" s="61">
        <f t="shared" si="27"/>
        <v>0</v>
      </c>
      <c r="CV69" s="61">
        <f t="shared" si="27"/>
        <v>0</v>
      </c>
      <c r="CX69" s="61">
        <f t="shared" si="19"/>
        <v>0</v>
      </c>
      <c r="EP69" s="61">
        <f t="shared" si="36"/>
        <v>0</v>
      </c>
      <c r="EQ69" s="61">
        <f t="shared" si="36"/>
        <v>0</v>
      </c>
      <c r="ER69" s="61">
        <f t="shared" si="36"/>
        <v>0</v>
      </c>
      <c r="ES69" s="61">
        <f t="shared" si="36"/>
        <v>0</v>
      </c>
      <c r="ET69" s="61">
        <f t="shared" si="37"/>
        <v>0</v>
      </c>
      <c r="EX69" s="61">
        <f t="shared" si="38"/>
        <v>0</v>
      </c>
      <c r="EZ69" s="61">
        <f t="shared" si="38"/>
        <v>0</v>
      </c>
      <c r="FN69" s="61">
        <f t="shared" si="28"/>
        <v>67</v>
      </c>
    </row>
    <row r="70" spans="1:170" ht="16.8" x14ac:dyDescent="0.3">
      <c r="A70" s="70">
        <f>'BASE MAESTRA'!B76</f>
        <v>68</v>
      </c>
      <c r="C70" s="61">
        <f t="shared" si="29"/>
        <v>0</v>
      </c>
      <c r="U70" s="61">
        <f t="shared" si="30"/>
        <v>0</v>
      </c>
      <c r="Z70" s="61">
        <f t="shared" si="31"/>
        <v>0</v>
      </c>
      <c r="AG70" s="61">
        <f t="shared" si="26"/>
        <v>0</v>
      </c>
      <c r="AH70" s="61">
        <f t="shared" si="26"/>
        <v>0</v>
      </c>
      <c r="AX70" s="61">
        <f t="shared" si="32"/>
        <v>0</v>
      </c>
      <c r="AY70" s="61">
        <f t="shared" si="32"/>
        <v>0</v>
      </c>
      <c r="AZ70" s="61">
        <f t="shared" si="32"/>
        <v>0</v>
      </c>
      <c r="BA70" s="61">
        <f t="shared" si="33"/>
        <v>0</v>
      </c>
      <c r="BJ70" s="61">
        <f t="shared" si="20"/>
        <v>0</v>
      </c>
      <c r="BK70" s="61">
        <f t="shared" si="21"/>
        <v>0</v>
      </c>
      <c r="BV70" s="61">
        <f t="shared" si="34"/>
        <v>0</v>
      </c>
      <c r="BW70" s="61">
        <f t="shared" si="23"/>
        <v>0</v>
      </c>
      <c r="CJ70" s="61">
        <f t="shared" si="35"/>
        <v>0</v>
      </c>
      <c r="CU70" s="61">
        <f t="shared" si="27"/>
        <v>0</v>
      </c>
      <c r="CV70" s="61">
        <f t="shared" si="27"/>
        <v>0</v>
      </c>
      <c r="CX70" s="61">
        <f t="shared" si="19"/>
        <v>0</v>
      </c>
      <c r="EP70" s="61">
        <f t="shared" si="36"/>
        <v>0</v>
      </c>
      <c r="EQ70" s="61">
        <f t="shared" si="36"/>
        <v>0</v>
      </c>
      <c r="ER70" s="61">
        <f t="shared" si="36"/>
        <v>0</v>
      </c>
      <c r="ES70" s="61">
        <f t="shared" si="36"/>
        <v>0</v>
      </c>
      <c r="ET70" s="61">
        <f t="shared" si="37"/>
        <v>0</v>
      </c>
      <c r="EX70" s="61">
        <f t="shared" si="38"/>
        <v>0</v>
      </c>
      <c r="EZ70" s="61">
        <f t="shared" si="38"/>
        <v>0</v>
      </c>
      <c r="FN70" s="61">
        <f t="shared" si="28"/>
        <v>68</v>
      </c>
    </row>
    <row r="71" spans="1:170" ht="16.8" x14ac:dyDescent="0.3">
      <c r="A71" s="70">
        <f>'BASE MAESTRA'!B77</f>
        <v>69</v>
      </c>
      <c r="C71" s="61">
        <f t="shared" si="29"/>
        <v>0</v>
      </c>
      <c r="U71" s="61">
        <f t="shared" si="30"/>
        <v>0</v>
      </c>
      <c r="Z71" s="61">
        <f t="shared" si="31"/>
        <v>0</v>
      </c>
      <c r="AG71" s="61">
        <f t="shared" si="26"/>
        <v>0</v>
      </c>
      <c r="AH71" s="61">
        <f t="shared" si="26"/>
        <v>0</v>
      </c>
      <c r="AX71" s="61">
        <f t="shared" si="32"/>
        <v>0</v>
      </c>
      <c r="AY71" s="61">
        <f t="shared" si="32"/>
        <v>0</v>
      </c>
      <c r="AZ71" s="61">
        <f t="shared" si="32"/>
        <v>0</v>
      </c>
      <c r="BA71" s="61">
        <f t="shared" si="33"/>
        <v>0</v>
      </c>
      <c r="BJ71" s="61">
        <f t="shared" si="20"/>
        <v>0</v>
      </c>
      <c r="BK71" s="61">
        <f t="shared" si="21"/>
        <v>0</v>
      </c>
      <c r="BV71" s="61">
        <f t="shared" si="34"/>
        <v>0</v>
      </c>
      <c r="BW71" s="61">
        <f t="shared" si="23"/>
        <v>0</v>
      </c>
      <c r="CJ71" s="61">
        <f t="shared" si="35"/>
        <v>0</v>
      </c>
      <c r="CU71" s="61">
        <f t="shared" si="27"/>
        <v>0</v>
      </c>
      <c r="CV71" s="61">
        <f t="shared" si="27"/>
        <v>0</v>
      </c>
      <c r="CX71" s="61">
        <f t="shared" si="19"/>
        <v>0</v>
      </c>
      <c r="EP71" s="61">
        <f t="shared" si="36"/>
        <v>0</v>
      </c>
      <c r="EQ71" s="61">
        <f t="shared" si="36"/>
        <v>0</v>
      </c>
      <c r="ER71" s="61">
        <f t="shared" si="36"/>
        <v>0</v>
      </c>
      <c r="ES71" s="61">
        <f t="shared" si="36"/>
        <v>0</v>
      </c>
      <c r="ET71" s="61">
        <f t="shared" si="37"/>
        <v>0</v>
      </c>
      <c r="EX71" s="61">
        <f t="shared" si="38"/>
        <v>0</v>
      </c>
      <c r="EZ71" s="61">
        <f t="shared" si="38"/>
        <v>0</v>
      </c>
      <c r="FN71" s="61">
        <f t="shared" si="28"/>
        <v>69</v>
      </c>
    </row>
    <row r="72" spans="1:170" ht="16.8" x14ac:dyDescent="0.3">
      <c r="A72" s="70">
        <f>'BASE MAESTRA'!B78</f>
        <v>70</v>
      </c>
      <c r="C72" s="61">
        <f t="shared" si="29"/>
        <v>0</v>
      </c>
      <c r="U72" s="61">
        <f t="shared" si="30"/>
        <v>0</v>
      </c>
      <c r="Z72" s="61">
        <f t="shared" si="31"/>
        <v>0</v>
      </c>
      <c r="AG72" s="61">
        <f t="shared" si="26"/>
        <v>0</v>
      </c>
      <c r="AH72" s="61">
        <f t="shared" si="26"/>
        <v>0</v>
      </c>
      <c r="AX72" s="61">
        <f t="shared" si="32"/>
        <v>0</v>
      </c>
      <c r="AY72" s="61">
        <f t="shared" si="32"/>
        <v>0</v>
      </c>
      <c r="AZ72" s="61">
        <f t="shared" si="32"/>
        <v>0</v>
      </c>
      <c r="BA72" s="61">
        <f t="shared" si="33"/>
        <v>0</v>
      </c>
      <c r="BJ72" s="61">
        <f t="shared" si="20"/>
        <v>0</v>
      </c>
      <c r="BK72" s="61">
        <f t="shared" si="21"/>
        <v>0</v>
      </c>
      <c r="BV72" s="61">
        <f t="shared" si="34"/>
        <v>0</v>
      </c>
      <c r="BW72" s="61">
        <f t="shared" si="23"/>
        <v>0</v>
      </c>
      <c r="CJ72" s="61">
        <f t="shared" si="35"/>
        <v>0</v>
      </c>
      <c r="CU72" s="61">
        <f t="shared" si="27"/>
        <v>0</v>
      </c>
      <c r="CV72" s="61">
        <f t="shared" si="27"/>
        <v>0</v>
      </c>
      <c r="CX72" s="61">
        <f t="shared" si="19"/>
        <v>0</v>
      </c>
      <c r="EP72" s="61">
        <f t="shared" si="36"/>
        <v>0</v>
      </c>
      <c r="EQ72" s="61">
        <f t="shared" si="36"/>
        <v>0</v>
      </c>
      <c r="ER72" s="61">
        <f t="shared" si="36"/>
        <v>0</v>
      </c>
      <c r="ES72" s="61">
        <f t="shared" si="36"/>
        <v>0</v>
      </c>
      <c r="ET72" s="61">
        <f t="shared" si="37"/>
        <v>0</v>
      </c>
      <c r="EX72" s="61">
        <f t="shared" si="38"/>
        <v>0</v>
      </c>
      <c r="EZ72" s="61">
        <f t="shared" si="38"/>
        <v>0</v>
      </c>
      <c r="FN72" s="61">
        <f t="shared" si="28"/>
        <v>70</v>
      </c>
    </row>
    <row r="73" spans="1:170" ht="16.8" x14ac:dyDescent="0.3">
      <c r="A73" s="70">
        <f>'BASE MAESTRA'!B79</f>
        <v>71</v>
      </c>
      <c r="C73" s="61">
        <f t="shared" si="29"/>
        <v>0</v>
      </c>
      <c r="U73" s="61">
        <f t="shared" si="30"/>
        <v>0</v>
      </c>
      <c r="Z73" s="61">
        <f t="shared" si="31"/>
        <v>0</v>
      </c>
      <c r="AG73" s="61">
        <f t="shared" si="26"/>
        <v>0</v>
      </c>
      <c r="AH73" s="61">
        <f t="shared" si="26"/>
        <v>0</v>
      </c>
      <c r="AX73" s="61">
        <f t="shared" si="32"/>
        <v>0</v>
      </c>
      <c r="AY73" s="61">
        <f t="shared" si="32"/>
        <v>0</v>
      </c>
      <c r="AZ73" s="61">
        <f t="shared" si="32"/>
        <v>0</v>
      </c>
      <c r="BA73" s="61">
        <f t="shared" si="33"/>
        <v>0</v>
      </c>
      <c r="BJ73" s="61">
        <f t="shared" si="20"/>
        <v>0</v>
      </c>
      <c r="BK73" s="61">
        <f t="shared" si="21"/>
        <v>0</v>
      </c>
      <c r="BV73" s="61">
        <f t="shared" si="34"/>
        <v>0</v>
      </c>
      <c r="BW73" s="61">
        <f t="shared" si="23"/>
        <v>0</v>
      </c>
      <c r="CJ73" s="61">
        <f t="shared" si="35"/>
        <v>0</v>
      </c>
      <c r="CU73" s="61">
        <f t="shared" si="27"/>
        <v>0</v>
      </c>
      <c r="CV73" s="61">
        <f t="shared" si="27"/>
        <v>0</v>
      </c>
      <c r="CX73" s="61">
        <f t="shared" si="19"/>
        <v>0</v>
      </c>
      <c r="EP73" s="61">
        <f t="shared" si="36"/>
        <v>0</v>
      </c>
      <c r="EQ73" s="61">
        <f t="shared" si="36"/>
        <v>0</v>
      </c>
      <c r="ER73" s="61">
        <f t="shared" si="36"/>
        <v>0</v>
      </c>
      <c r="ES73" s="61">
        <f t="shared" si="36"/>
        <v>0</v>
      </c>
      <c r="ET73" s="61">
        <f t="shared" si="37"/>
        <v>0</v>
      </c>
      <c r="EX73" s="61">
        <f t="shared" si="38"/>
        <v>0</v>
      </c>
      <c r="EZ73" s="61">
        <f t="shared" si="38"/>
        <v>0</v>
      </c>
      <c r="FN73" s="61">
        <f t="shared" si="28"/>
        <v>71</v>
      </c>
    </row>
    <row r="74" spans="1:170" ht="16.8" x14ac:dyDescent="0.3">
      <c r="A74" s="70">
        <f>'BASE MAESTRA'!B80</f>
        <v>72</v>
      </c>
      <c r="C74" s="61">
        <f t="shared" si="29"/>
        <v>0</v>
      </c>
      <c r="U74" s="61">
        <f t="shared" si="30"/>
        <v>0</v>
      </c>
      <c r="Z74" s="61">
        <f t="shared" si="31"/>
        <v>0</v>
      </c>
      <c r="AG74" s="61">
        <f t="shared" si="26"/>
        <v>0</v>
      </c>
      <c r="AH74" s="61">
        <f t="shared" si="26"/>
        <v>0</v>
      </c>
      <c r="AX74" s="61">
        <f t="shared" si="32"/>
        <v>0</v>
      </c>
      <c r="AY74" s="61">
        <f t="shared" si="32"/>
        <v>0</v>
      </c>
      <c r="AZ74" s="61">
        <f t="shared" si="32"/>
        <v>0</v>
      </c>
      <c r="BA74" s="61">
        <f t="shared" si="33"/>
        <v>0</v>
      </c>
      <c r="BJ74" s="61">
        <f t="shared" si="20"/>
        <v>0</v>
      </c>
      <c r="BK74" s="61">
        <f t="shared" si="21"/>
        <v>0</v>
      </c>
      <c r="BV74" s="61">
        <f t="shared" si="34"/>
        <v>0</v>
      </c>
      <c r="BW74" s="61">
        <f t="shared" si="23"/>
        <v>0</v>
      </c>
      <c r="CJ74" s="61">
        <f t="shared" si="35"/>
        <v>0</v>
      </c>
      <c r="CU74" s="61">
        <f t="shared" si="27"/>
        <v>0</v>
      </c>
      <c r="CV74" s="61">
        <f t="shared" si="27"/>
        <v>0</v>
      </c>
      <c r="CX74" s="61">
        <f t="shared" si="19"/>
        <v>0</v>
      </c>
      <c r="EP74" s="61">
        <f t="shared" si="36"/>
        <v>0</v>
      </c>
      <c r="EQ74" s="61">
        <f t="shared" si="36"/>
        <v>0</v>
      </c>
      <c r="ER74" s="61">
        <f t="shared" si="36"/>
        <v>0</v>
      </c>
      <c r="ES74" s="61">
        <f t="shared" si="36"/>
        <v>0</v>
      </c>
      <c r="ET74" s="61">
        <f t="shared" si="37"/>
        <v>0</v>
      </c>
      <c r="EX74" s="61">
        <f t="shared" si="38"/>
        <v>0</v>
      </c>
      <c r="EZ74" s="61">
        <f t="shared" si="38"/>
        <v>0</v>
      </c>
      <c r="FN74" s="61">
        <f t="shared" si="28"/>
        <v>72</v>
      </c>
    </row>
    <row r="75" spans="1:170" ht="16.8" x14ac:dyDescent="0.3">
      <c r="A75" s="70">
        <f>'BASE MAESTRA'!B81</f>
        <v>73</v>
      </c>
      <c r="C75" s="61">
        <f t="shared" si="29"/>
        <v>0</v>
      </c>
      <c r="U75" s="61">
        <f t="shared" si="30"/>
        <v>0</v>
      </c>
      <c r="Z75" s="61">
        <f t="shared" si="31"/>
        <v>0</v>
      </c>
      <c r="AG75" s="61">
        <f t="shared" si="26"/>
        <v>0</v>
      </c>
      <c r="AH75" s="61">
        <f t="shared" si="26"/>
        <v>0</v>
      </c>
      <c r="AX75" s="61">
        <f t="shared" si="32"/>
        <v>0</v>
      </c>
      <c r="AY75" s="61">
        <f t="shared" si="32"/>
        <v>0</v>
      </c>
      <c r="AZ75" s="61">
        <f t="shared" si="32"/>
        <v>0</v>
      </c>
      <c r="BA75" s="61">
        <f t="shared" si="33"/>
        <v>0</v>
      </c>
      <c r="BJ75" s="61">
        <f t="shared" si="20"/>
        <v>0</v>
      </c>
      <c r="BK75" s="61">
        <f t="shared" si="21"/>
        <v>0</v>
      </c>
      <c r="BV75" s="61">
        <f t="shared" si="34"/>
        <v>0</v>
      </c>
      <c r="BW75" s="61">
        <f t="shared" si="23"/>
        <v>0</v>
      </c>
      <c r="CJ75" s="61">
        <f t="shared" si="35"/>
        <v>0</v>
      </c>
      <c r="CU75" s="61">
        <f t="shared" si="27"/>
        <v>0</v>
      </c>
      <c r="CV75" s="61">
        <f t="shared" si="27"/>
        <v>0</v>
      </c>
      <c r="CX75" s="61">
        <f t="shared" si="19"/>
        <v>0</v>
      </c>
      <c r="EP75" s="61">
        <f t="shared" si="36"/>
        <v>0</v>
      </c>
      <c r="EQ75" s="61">
        <f t="shared" si="36"/>
        <v>0</v>
      </c>
      <c r="ER75" s="61">
        <f t="shared" si="36"/>
        <v>0</v>
      </c>
      <c r="ES75" s="61">
        <f t="shared" si="36"/>
        <v>0</v>
      </c>
      <c r="ET75" s="61">
        <f t="shared" si="37"/>
        <v>0</v>
      </c>
      <c r="EX75" s="61">
        <f t="shared" si="38"/>
        <v>0</v>
      </c>
      <c r="EZ75" s="61">
        <f t="shared" si="38"/>
        <v>0</v>
      </c>
      <c r="FN75" s="61">
        <f t="shared" si="28"/>
        <v>73</v>
      </c>
    </row>
    <row r="76" spans="1:170" ht="16.8" x14ac:dyDescent="0.3">
      <c r="A76" s="70">
        <f>'BASE MAESTRA'!B82</f>
        <v>74</v>
      </c>
      <c r="C76" s="61">
        <f t="shared" si="29"/>
        <v>0</v>
      </c>
      <c r="U76" s="61">
        <f t="shared" si="30"/>
        <v>0</v>
      </c>
      <c r="Z76" s="61">
        <f t="shared" si="31"/>
        <v>0</v>
      </c>
      <c r="AG76" s="61">
        <f t="shared" si="26"/>
        <v>0</v>
      </c>
      <c r="AH76" s="61">
        <f t="shared" si="26"/>
        <v>0</v>
      </c>
      <c r="AX76" s="61">
        <f t="shared" si="32"/>
        <v>0</v>
      </c>
      <c r="AY76" s="61">
        <f t="shared" si="32"/>
        <v>0</v>
      </c>
      <c r="AZ76" s="61">
        <f t="shared" si="32"/>
        <v>0</v>
      </c>
      <c r="BA76" s="61">
        <f t="shared" si="33"/>
        <v>0</v>
      </c>
      <c r="BJ76" s="61">
        <f t="shared" si="20"/>
        <v>0</v>
      </c>
      <c r="BK76" s="61">
        <f t="shared" si="21"/>
        <v>0</v>
      </c>
      <c r="BV76" s="61">
        <f t="shared" si="34"/>
        <v>0</v>
      </c>
      <c r="BW76" s="61">
        <f t="shared" si="23"/>
        <v>0</v>
      </c>
      <c r="CJ76" s="61">
        <f t="shared" si="35"/>
        <v>0</v>
      </c>
      <c r="CU76" s="61">
        <f t="shared" si="27"/>
        <v>0</v>
      </c>
      <c r="CV76" s="61">
        <f t="shared" si="27"/>
        <v>0</v>
      </c>
      <c r="CX76" s="61">
        <f t="shared" si="19"/>
        <v>0</v>
      </c>
      <c r="EP76" s="61">
        <f t="shared" si="36"/>
        <v>0</v>
      </c>
      <c r="EQ76" s="61">
        <f t="shared" si="36"/>
        <v>0</v>
      </c>
      <c r="ER76" s="61">
        <f t="shared" si="36"/>
        <v>0</v>
      </c>
      <c r="ES76" s="61">
        <f t="shared" si="36"/>
        <v>0</v>
      </c>
      <c r="ET76" s="61">
        <f t="shared" si="37"/>
        <v>0</v>
      </c>
      <c r="EX76" s="61">
        <f t="shared" si="38"/>
        <v>0</v>
      </c>
      <c r="EZ76" s="61">
        <f t="shared" si="38"/>
        <v>0</v>
      </c>
      <c r="FN76" s="61">
        <f t="shared" si="28"/>
        <v>74</v>
      </c>
    </row>
    <row r="77" spans="1:170" ht="16.8" x14ac:dyDescent="0.3">
      <c r="A77" s="70">
        <f>'BASE MAESTRA'!B83</f>
        <v>75</v>
      </c>
      <c r="C77" s="61">
        <f t="shared" si="29"/>
        <v>0</v>
      </c>
      <c r="U77" s="61">
        <f t="shared" si="30"/>
        <v>0</v>
      </c>
      <c r="Z77" s="61">
        <f t="shared" si="31"/>
        <v>0</v>
      </c>
      <c r="AG77" s="61">
        <f t="shared" si="26"/>
        <v>0</v>
      </c>
      <c r="AH77" s="61">
        <f t="shared" si="26"/>
        <v>0</v>
      </c>
      <c r="AX77" s="61">
        <f t="shared" si="32"/>
        <v>0</v>
      </c>
      <c r="AY77" s="61">
        <f t="shared" si="32"/>
        <v>0</v>
      </c>
      <c r="AZ77" s="61">
        <f t="shared" si="32"/>
        <v>0</v>
      </c>
      <c r="BA77" s="61">
        <f t="shared" si="33"/>
        <v>0</v>
      </c>
      <c r="BJ77" s="61">
        <f t="shared" si="20"/>
        <v>0</v>
      </c>
      <c r="BK77" s="61">
        <f t="shared" si="21"/>
        <v>0</v>
      </c>
      <c r="BV77" s="61">
        <f t="shared" si="34"/>
        <v>0</v>
      </c>
      <c r="BW77" s="61">
        <f t="shared" si="23"/>
        <v>0</v>
      </c>
      <c r="CJ77" s="61">
        <f t="shared" si="35"/>
        <v>0</v>
      </c>
      <c r="CU77" s="61">
        <f t="shared" si="27"/>
        <v>0</v>
      </c>
      <c r="CV77" s="61">
        <f t="shared" si="27"/>
        <v>0</v>
      </c>
      <c r="CX77" s="61">
        <f t="shared" si="19"/>
        <v>0</v>
      </c>
      <c r="EP77" s="61">
        <f t="shared" si="36"/>
        <v>0</v>
      </c>
      <c r="EQ77" s="61">
        <f t="shared" si="36"/>
        <v>0</v>
      </c>
      <c r="ER77" s="61">
        <f t="shared" si="36"/>
        <v>0</v>
      </c>
      <c r="ES77" s="61">
        <f t="shared" si="36"/>
        <v>0</v>
      </c>
      <c r="ET77" s="61">
        <f t="shared" si="37"/>
        <v>0</v>
      </c>
      <c r="EX77" s="61">
        <f t="shared" si="38"/>
        <v>0</v>
      </c>
      <c r="EZ77" s="61">
        <f t="shared" si="38"/>
        <v>0</v>
      </c>
      <c r="FN77" s="61">
        <f t="shared" si="28"/>
        <v>75</v>
      </c>
    </row>
    <row r="78" spans="1:170" ht="16.8" x14ac:dyDescent="0.3">
      <c r="A78" s="70">
        <f>'BASE MAESTRA'!B84</f>
        <v>76</v>
      </c>
      <c r="C78" s="61">
        <f t="shared" si="29"/>
        <v>0</v>
      </c>
      <c r="U78" s="61">
        <f t="shared" si="30"/>
        <v>0</v>
      </c>
      <c r="Z78" s="61">
        <f t="shared" si="31"/>
        <v>0</v>
      </c>
      <c r="AG78" s="61">
        <f t="shared" si="26"/>
        <v>0</v>
      </c>
      <c r="AH78" s="61">
        <f t="shared" si="26"/>
        <v>0</v>
      </c>
      <c r="AX78" s="61">
        <f t="shared" si="32"/>
        <v>0</v>
      </c>
      <c r="AY78" s="61">
        <f t="shared" si="32"/>
        <v>0</v>
      </c>
      <c r="AZ78" s="61">
        <f t="shared" si="32"/>
        <v>0</v>
      </c>
      <c r="BA78" s="61">
        <f t="shared" si="33"/>
        <v>0</v>
      </c>
      <c r="BJ78" s="61">
        <f t="shared" si="20"/>
        <v>0</v>
      </c>
      <c r="BK78" s="61">
        <f t="shared" si="21"/>
        <v>0</v>
      </c>
      <c r="BV78" s="61">
        <f t="shared" si="34"/>
        <v>0</v>
      </c>
      <c r="BW78" s="61">
        <f t="shared" si="23"/>
        <v>0</v>
      </c>
      <c r="CJ78" s="61">
        <f t="shared" si="35"/>
        <v>0</v>
      </c>
      <c r="CU78" s="61">
        <f t="shared" si="27"/>
        <v>0</v>
      </c>
      <c r="CV78" s="61">
        <f t="shared" si="27"/>
        <v>0</v>
      </c>
      <c r="CX78" s="61">
        <f t="shared" si="19"/>
        <v>0</v>
      </c>
      <c r="EP78" s="61">
        <f t="shared" si="36"/>
        <v>0</v>
      </c>
      <c r="EQ78" s="61">
        <f t="shared" si="36"/>
        <v>0</v>
      </c>
      <c r="ER78" s="61">
        <f t="shared" si="36"/>
        <v>0</v>
      </c>
      <c r="ES78" s="61">
        <f t="shared" si="36"/>
        <v>0</v>
      </c>
      <c r="ET78" s="61">
        <f t="shared" si="37"/>
        <v>0</v>
      </c>
      <c r="EX78" s="61">
        <f t="shared" si="38"/>
        <v>0</v>
      </c>
      <c r="EZ78" s="61">
        <f t="shared" si="38"/>
        <v>0</v>
      </c>
      <c r="FN78" s="61">
        <f t="shared" si="28"/>
        <v>76</v>
      </c>
    </row>
    <row r="79" spans="1:170" ht="16.8" x14ac:dyDescent="0.3">
      <c r="A79" s="70">
        <f>'BASE MAESTRA'!B85</f>
        <v>77</v>
      </c>
      <c r="C79" s="61">
        <f t="shared" si="29"/>
        <v>0</v>
      </c>
      <c r="U79" s="61">
        <f t="shared" si="30"/>
        <v>0</v>
      </c>
      <c r="Z79" s="61">
        <f t="shared" si="31"/>
        <v>0</v>
      </c>
      <c r="AG79" s="61">
        <f t="shared" ref="AG79:AH139" si="39">VLOOKUP($A79,DatosEspecies,AG$2,FALSE)</f>
        <v>0</v>
      </c>
      <c r="AH79" s="61">
        <f t="shared" si="39"/>
        <v>0</v>
      </c>
      <c r="AX79" s="61">
        <f t="shared" si="32"/>
        <v>0</v>
      </c>
      <c r="AY79" s="61">
        <f t="shared" si="32"/>
        <v>0</v>
      </c>
      <c r="AZ79" s="61">
        <f t="shared" si="32"/>
        <v>0</v>
      </c>
      <c r="BA79" s="61">
        <f t="shared" si="33"/>
        <v>0</v>
      </c>
      <c r="BJ79" s="61">
        <f t="shared" si="20"/>
        <v>0</v>
      </c>
      <c r="BK79" s="61">
        <f t="shared" si="21"/>
        <v>0</v>
      </c>
      <c r="BV79" s="61">
        <f t="shared" si="34"/>
        <v>0</v>
      </c>
      <c r="BW79" s="61">
        <f t="shared" si="23"/>
        <v>0</v>
      </c>
      <c r="CJ79" s="61">
        <f t="shared" si="35"/>
        <v>0</v>
      </c>
      <c r="CU79" s="61">
        <f t="shared" ref="CU79:CV139" si="40">VLOOKUP($A79,DatosEspecies,CU$2,FALSE)</f>
        <v>0</v>
      </c>
      <c r="CV79" s="61">
        <f t="shared" si="40"/>
        <v>0</v>
      </c>
      <c r="CX79" s="61">
        <f t="shared" si="19"/>
        <v>0</v>
      </c>
      <c r="EP79" s="61">
        <f t="shared" si="36"/>
        <v>0</v>
      </c>
      <c r="EQ79" s="61">
        <f t="shared" si="36"/>
        <v>0</v>
      </c>
      <c r="ER79" s="61">
        <f t="shared" si="36"/>
        <v>0</v>
      </c>
      <c r="ES79" s="61">
        <f t="shared" si="36"/>
        <v>0</v>
      </c>
      <c r="ET79" s="61">
        <f t="shared" si="37"/>
        <v>0</v>
      </c>
      <c r="EX79" s="61">
        <f t="shared" si="38"/>
        <v>0</v>
      </c>
      <c r="EZ79" s="61">
        <f t="shared" si="38"/>
        <v>0</v>
      </c>
      <c r="FN79" s="61">
        <f t="shared" si="28"/>
        <v>77</v>
      </c>
    </row>
    <row r="80" spans="1:170" ht="16.8" x14ac:dyDescent="0.3">
      <c r="A80" s="70">
        <f>'BASE MAESTRA'!B86</f>
        <v>78</v>
      </c>
      <c r="C80" s="61">
        <f t="shared" si="29"/>
        <v>0</v>
      </c>
      <c r="U80" s="61">
        <f t="shared" si="30"/>
        <v>0</v>
      </c>
      <c r="Z80" s="61">
        <f t="shared" si="31"/>
        <v>0</v>
      </c>
      <c r="AG80" s="61">
        <f t="shared" si="39"/>
        <v>0</v>
      </c>
      <c r="AH80" s="61">
        <f t="shared" si="39"/>
        <v>0</v>
      </c>
      <c r="AX80" s="61">
        <f t="shared" si="32"/>
        <v>0</v>
      </c>
      <c r="AY80" s="61">
        <f t="shared" si="32"/>
        <v>0</v>
      </c>
      <c r="AZ80" s="61">
        <f t="shared" si="32"/>
        <v>0</v>
      </c>
      <c r="BA80" s="61">
        <f t="shared" si="33"/>
        <v>0</v>
      </c>
      <c r="BJ80" s="61">
        <f t="shared" si="20"/>
        <v>0</v>
      </c>
      <c r="BK80" s="61">
        <f t="shared" si="21"/>
        <v>0</v>
      </c>
      <c r="BV80" s="61">
        <f t="shared" si="34"/>
        <v>0</v>
      </c>
      <c r="BW80" s="61">
        <f t="shared" si="23"/>
        <v>0</v>
      </c>
      <c r="CJ80" s="61">
        <f t="shared" si="35"/>
        <v>0</v>
      </c>
      <c r="CU80" s="61">
        <f t="shared" si="40"/>
        <v>0</v>
      </c>
      <c r="CV80" s="61">
        <f t="shared" si="40"/>
        <v>0</v>
      </c>
      <c r="CX80" s="61">
        <f t="shared" si="19"/>
        <v>0</v>
      </c>
      <c r="EP80" s="61">
        <f t="shared" si="36"/>
        <v>0</v>
      </c>
      <c r="EQ80" s="61">
        <f t="shared" si="36"/>
        <v>0</v>
      </c>
      <c r="ER80" s="61">
        <f t="shared" si="36"/>
        <v>0</v>
      </c>
      <c r="ES80" s="61">
        <f t="shared" si="36"/>
        <v>0</v>
      </c>
      <c r="ET80" s="61">
        <f t="shared" si="37"/>
        <v>0</v>
      </c>
      <c r="EX80" s="61">
        <f t="shared" si="38"/>
        <v>0</v>
      </c>
      <c r="EZ80" s="61">
        <f t="shared" si="38"/>
        <v>0</v>
      </c>
      <c r="FN80" s="61">
        <f t="shared" si="28"/>
        <v>78</v>
      </c>
    </row>
    <row r="81" spans="1:170" ht="16.8" x14ac:dyDescent="0.3">
      <c r="A81" s="70">
        <f>'BASE MAESTRA'!B87</f>
        <v>79</v>
      </c>
      <c r="C81" s="61">
        <f t="shared" si="29"/>
        <v>0</v>
      </c>
      <c r="U81" s="61">
        <f t="shared" si="30"/>
        <v>0</v>
      </c>
      <c r="Z81" s="61">
        <f t="shared" si="31"/>
        <v>0</v>
      </c>
      <c r="AG81" s="61">
        <f t="shared" si="39"/>
        <v>0</v>
      </c>
      <c r="AH81" s="61">
        <f t="shared" si="39"/>
        <v>0</v>
      </c>
      <c r="AX81" s="61">
        <f t="shared" si="32"/>
        <v>0</v>
      </c>
      <c r="AY81" s="61">
        <f t="shared" si="32"/>
        <v>0</v>
      </c>
      <c r="AZ81" s="61">
        <f t="shared" si="32"/>
        <v>0</v>
      </c>
      <c r="BA81" s="61">
        <f t="shared" si="33"/>
        <v>0</v>
      </c>
      <c r="BJ81" s="61">
        <f t="shared" si="20"/>
        <v>0</v>
      </c>
      <c r="BK81" s="61">
        <f t="shared" si="21"/>
        <v>0</v>
      </c>
      <c r="BV81" s="61">
        <f t="shared" si="34"/>
        <v>0</v>
      </c>
      <c r="BW81" s="61">
        <f t="shared" si="23"/>
        <v>0</v>
      </c>
      <c r="CJ81" s="61">
        <f t="shared" si="35"/>
        <v>0</v>
      </c>
      <c r="CU81" s="61">
        <f t="shared" si="40"/>
        <v>0</v>
      </c>
      <c r="CV81" s="61">
        <f t="shared" si="40"/>
        <v>0</v>
      </c>
      <c r="CX81" s="61">
        <f t="shared" si="19"/>
        <v>0</v>
      </c>
      <c r="EP81" s="61">
        <f t="shared" si="36"/>
        <v>0</v>
      </c>
      <c r="EQ81" s="61">
        <f t="shared" si="36"/>
        <v>0</v>
      </c>
      <c r="ER81" s="61">
        <f t="shared" si="36"/>
        <v>0</v>
      </c>
      <c r="ES81" s="61">
        <f t="shared" si="36"/>
        <v>0</v>
      </c>
      <c r="ET81" s="61">
        <f t="shared" si="37"/>
        <v>0</v>
      </c>
      <c r="EX81" s="61">
        <f t="shared" si="38"/>
        <v>0</v>
      </c>
      <c r="EZ81" s="61">
        <f t="shared" si="38"/>
        <v>0</v>
      </c>
      <c r="FN81" s="61">
        <f t="shared" si="28"/>
        <v>79</v>
      </c>
    </row>
    <row r="82" spans="1:170" ht="16.8" x14ac:dyDescent="0.3">
      <c r="A82" s="70">
        <f>'BASE MAESTRA'!B88</f>
        <v>80</v>
      </c>
      <c r="C82" s="61">
        <f t="shared" si="29"/>
        <v>0</v>
      </c>
      <c r="U82" s="61">
        <f t="shared" si="30"/>
        <v>0</v>
      </c>
      <c r="Z82" s="61">
        <f t="shared" si="31"/>
        <v>0</v>
      </c>
      <c r="AG82" s="61">
        <f t="shared" si="39"/>
        <v>0</v>
      </c>
      <c r="AH82" s="61">
        <f t="shared" si="39"/>
        <v>0</v>
      </c>
      <c r="AX82" s="61">
        <f t="shared" si="32"/>
        <v>0</v>
      </c>
      <c r="AY82" s="61">
        <f t="shared" si="32"/>
        <v>0</v>
      </c>
      <c r="AZ82" s="61">
        <f t="shared" si="32"/>
        <v>0</v>
      </c>
      <c r="BA82" s="61">
        <f t="shared" si="33"/>
        <v>0</v>
      </c>
      <c r="BJ82" s="61">
        <f t="shared" si="20"/>
        <v>0</v>
      </c>
      <c r="BK82" s="61">
        <f t="shared" si="21"/>
        <v>0</v>
      </c>
      <c r="BV82" s="61">
        <f t="shared" si="34"/>
        <v>0</v>
      </c>
      <c r="BW82" s="61">
        <f t="shared" si="23"/>
        <v>0</v>
      </c>
      <c r="CJ82" s="61">
        <f t="shared" si="35"/>
        <v>0</v>
      </c>
      <c r="CU82" s="61">
        <f t="shared" si="40"/>
        <v>0</v>
      </c>
      <c r="CV82" s="61">
        <f t="shared" si="40"/>
        <v>0</v>
      </c>
      <c r="CX82" s="61">
        <f t="shared" si="19"/>
        <v>0</v>
      </c>
      <c r="EP82" s="61">
        <f t="shared" si="36"/>
        <v>0</v>
      </c>
      <c r="EQ82" s="61">
        <f t="shared" si="36"/>
        <v>0</v>
      </c>
      <c r="ER82" s="61">
        <f t="shared" si="36"/>
        <v>0</v>
      </c>
      <c r="ES82" s="61">
        <f t="shared" si="36"/>
        <v>0</v>
      </c>
      <c r="ET82" s="61">
        <f t="shared" si="37"/>
        <v>0</v>
      </c>
      <c r="EX82" s="61">
        <f t="shared" si="38"/>
        <v>0</v>
      </c>
      <c r="EZ82" s="61">
        <f t="shared" si="38"/>
        <v>0</v>
      </c>
      <c r="FN82" s="61">
        <f t="shared" si="28"/>
        <v>80</v>
      </c>
    </row>
    <row r="83" spans="1:170" ht="16.8" x14ac:dyDescent="0.3">
      <c r="A83" s="70">
        <f>'BASE MAESTRA'!B89</f>
        <v>81</v>
      </c>
      <c r="C83" s="61">
        <f t="shared" si="29"/>
        <v>0</v>
      </c>
      <c r="U83" s="61">
        <f t="shared" si="30"/>
        <v>0</v>
      </c>
      <c r="Z83" s="61">
        <f t="shared" si="31"/>
        <v>0</v>
      </c>
      <c r="AG83" s="61">
        <f t="shared" si="39"/>
        <v>0</v>
      </c>
      <c r="AH83" s="61">
        <f t="shared" si="39"/>
        <v>0</v>
      </c>
      <c r="AX83" s="61">
        <f t="shared" si="32"/>
        <v>0</v>
      </c>
      <c r="AY83" s="61">
        <f t="shared" si="32"/>
        <v>0</v>
      </c>
      <c r="AZ83" s="61">
        <f t="shared" si="32"/>
        <v>0</v>
      </c>
      <c r="BA83" s="61">
        <f t="shared" si="33"/>
        <v>0</v>
      </c>
      <c r="BJ83" s="61">
        <f t="shared" si="20"/>
        <v>0</v>
      </c>
      <c r="BK83" s="61">
        <f t="shared" si="21"/>
        <v>0</v>
      </c>
      <c r="BV83" s="61">
        <f t="shared" si="34"/>
        <v>0</v>
      </c>
      <c r="BW83" s="61">
        <f t="shared" si="23"/>
        <v>0</v>
      </c>
      <c r="CJ83" s="61">
        <f t="shared" si="35"/>
        <v>0</v>
      </c>
      <c r="CU83" s="61">
        <f t="shared" si="40"/>
        <v>0</v>
      </c>
      <c r="CV83" s="61">
        <f t="shared" si="40"/>
        <v>0</v>
      </c>
      <c r="CX83" s="61">
        <f t="shared" si="19"/>
        <v>0</v>
      </c>
      <c r="EP83" s="61">
        <f t="shared" si="36"/>
        <v>0</v>
      </c>
      <c r="EQ83" s="61">
        <f t="shared" si="36"/>
        <v>0</v>
      </c>
      <c r="ER83" s="61">
        <f t="shared" si="36"/>
        <v>0</v>
      </c>
      <c r="ES83" s="61">
        <f t="shared" si="36"/>
        <v>0</v>
      </c>
      <c r="ET83" s="61">
        <f t="shared" si="37"/>
        <v>0</v>
      </c>
      <c r="EX83" s="61">
        <f t="shared" si="38"/>
        <v>0</v>
      </c>
      <c r="EZ83" s="61">
        <f t="shared" si="38"/>
        <v>0</v>
      </c>
      <c r="FN83" s="61">
        <f t="shared" si="28"/>
        <v>81</v>
      </c>
    </row>
    <row r="84" spans="1:170" ht="16.8" x14ac:dyDescent="0.3">
      <c r="A84" s="70">
        <f>'BASE MAESTRA'!B90</f>
        <v>82</v>
      </c>
      <c r="C84" s="61">
        <f t="shared" si="29"/>
        <v>0</v>
      </c>
      <c r="U84" s="61">
        <f t="shared" si="30"/>
        <v>0</v>
      </c>
      <c r="Z84" s="61">
        <f t="shared" si="31"/>
        <v>0</v>
      </c>
      <c r="AG84" s="61">
        <f t="shared" si="39"/>
        <v>0</v>
      </c>
      <c r="AH84" s="61">
        <f t="shared" si="39"/>
        <v>0</v>
      </c>
      <c r="AX84" s="61">
        <f t="shared" si="32"/>
        <v>0</v>
      </c>
      <c r="AY84" s="61">
        <f t="shared" si="32"/>
        <v>0</v>
      </c>
      <c r="AZ84" s="61">
        <f t="shared" si="32"/>
        <v>0</v>
      </c>
      <c r="BA84" s="61">
        <f t="shared" si="33"/>
        <v>0</v>
      </c>
      <c r="BJ84" s="61">
        <f t="shared" si="20"/>
        <v>0</v>
      </c>
      <c r="BK84" s="61">
        <f t="shared" si="21"/>
        <v>0</v>
      </c>
      <c r="BV84" s="61">
        <f t="shared" si="34"/>
        <v>0</v>
      </c>
      <c r="BW84" s="61">
        <f t="shared" si="23"/>
        <v>0</v>
      </c>
      <c r="CJ84" s="61">
        <f t="shared" si="35"/>
        <v>0</v>
      </c>
      <c r="CU84" s="61">
        <f t="shared" si="40"/>
        <v>0</v>
      </c>
      <c r="CV84" s="61">
        <f t="shared" si="40"/>
        <v>0</v>
      </c>
      <c r="CX84" s="61">
        <f t="shared" si="19"/>
        <v>0</v>
      </c>
      <c r="EP84" s="61">
        <f t="shared" si="36"/>
        <v>0</v>
      </c>
      <c r="EQ84" s="61">
        <f t="shared" si="36"/>
        <v>0</v>
      </c>
      <c r="ER84" s="61">
        <f t="shared" si="36"/>
        <v>0</v>
      </c>
      <c r="ES84" s="61">
        <f t="shared" si="36"/>
        <v>0</v>
      </c>
      <c r="ET84" s="61">
        <f t="shared" si="37"/>
        <v>0</v>
      </c>
      <c r="EX84" s="61">
        <f t="shared" si="38"/>
        <v>0</v>
      </c>
      <c r="EZ84" s="61">
        <f t="shared" si="38"/>
        <v>0</v>
      </c>
      <c r="FN84" s="61">
        <f t="shared" si="28"/>
        <v>82</v>
      </c>
    </row>
    <row r="85" spans="1:170" ht="16.8" x14ac:dyDescent="0.3">
      <c r="A85" s="70">
        <f>'BASE MAESTRA'!B91</f>
        <v>83</v>
      </c>
      <c r="C85" s="61">
        <f t="shared" si="29"/>
        <v>0</v>
      </c>
      <c r="U85" s="61">
        <f t="shared" si="30"/>
        <v>0</v>
      </c>
      <c r="Z85" s="61">
        <f t="shared" si="31"/>
        <v>0</v>
      </c>
      <c r="AG85" s="61">
        <f t="shared" si="39"/>
        <v>0</v>
      </c>
      <c r="AH85" s="61">
        <f t="shared" si="39"/>
        <v>0</v>
      </c>
      <c r="AX85" s="61">
        <f t="shared" si="32"/>
        <v>0</v>
      </c>
      <c r="AY85" s="61">
        <f t="shared" si="32"/>
        <v>0</v>
      </c>
      <c r="AZ85" s="61">
        <f t="shared" si="32"/>
        <v>0</v>
      </c>
      <c r="BA85" s="61">
        <f t="shared" si="33"/>
        <v>0</v>
      </c>
      <c r="BJ85" s="61">
        <f t="shared" si="20"/>
        <v>0</v>
      </c>
      <c r="BK85" s="61">
        <f t="shared" si="21"/>
        <v>0</v>
      </c>
      <c r="BV85" s="61">
        <f t="shared" si="34"/>
        <v>0</v>
      </c>
      <c r="BW85" s="61">
        <f t="shared" si="23"/>
        <v>0</v>
      </c>
      <c r="CJ85" s="61">
        <f t="shared" si="35"/>
        <v>0</v>
      </c>
      <c r="CU85" s="61">
        <f t="shared" si="40"/>
        <v>0</v>
      </c>
      <c r="CV85" s="61">
        <f t="shared" si="40"/>
        <v>0</v>
      </c>
      <c r="CX85" s="61">
        <f t="shared" si="19"/>
        <v>0</v>
      </c>
      <c r="EP85" s="61">
        <f t="shared" si="36"/>
        <v>0</v>
      </c>
      <c r="EQ85" s="61">
        <f t="shared" si="36"/>
        <v>0</v>
      </c>
      <c r="ER85" s="61">
        <f t="shared" si="36"/>
        <v>0</v>
      </c>
      <c r="ES85" s="61">
        <f t="shared" si="36"/>
        <v>0</v>
      </c>
      <c r="ET85" s="61">
        <f t="shared" si="37"/>
        <v>0</v>
      </c>
      <c r="EX85" s="61">
        <f t="shared" si="38"/>
        <v>0</v>
      </c>
      <c r="EZ85" s="61">
        <f t="shared" si="38"/>
        <v>0</v>
      </c>
      <c r="FN85" s="61">
        <f t="shared" si="28"/>
        <v>83</v>
      </c>
    </row>
    <row r="86" spans="1:170" ht="16.8" x14ac:dyDescent="0.3">
      <c r="A86" s="70">
        <f>'BASE MAESTRA'!B92</f>
        <v>84</v>
      </c>
      <c r="C86" s="61">
        <f t="shared" si="29"/>
        <v>0</v>
      </c>
      <c r="U86" s="61">
        <f t="shared" si="30"/>
        <v>0</v>
      </c>
      <c r="Z86" s="61">
        <f t="shared" si="31"/>
        <v>0</v>
      </c>
      <c r="AG86" s="61">
        <f t="shared" si="39"/>
        <v>0</v>
      </c>
      <c r="AH86" s="61">
        <f t="shared" si="39"/>
        <v>0</v>
      </c>
      <c r="AX86" s="61">
        <f t="shared" si="32"/>
        <v>0</v>
      </c>
      <c r="AY86" s="61">
        <f t="shared" si="32"/>
        <v>0</v>
      </c>
      <c r="AZ86" s="61">
        <f t="shared" si="32"/>
        <v>0</v>
      </c>
      <c r="BA86" s="61">
        <f t="shared" si="33"/>
        <v>0</v>
      </c>
      <c r="BJ86" s="61">
        <f t="shared" si="20"/>
        <v>0</v>
      </c>
      <c r="BK86" s="61">
        <f t="shared" si="21"/>
        <v>0</v>
      </c>
      <c r="BV86" s="61">
        <f t="shared" si="34"/>
        <v>0</v>
      </c>
      <c r="BW86" s="61">
        <f t="shared" si="23"/>
        <v>0</v>
      </c>
      <c r="CJ86" s="61">
        <f t="shared" si="35"/>
        <v>0</v>
      </c>
      <c r="CU86" s="61">
        <f t="shared" si="40"/>
        <v>0</v>
      </c>
      <c r="CV86" s="61">
        <f t="shared" si="40"/>
        <v>0</v>
      </c>
      <c r="CX86" s="61">
        <f t="shared" si="19"/>
        <v>0</v>
      </c>
      <c r="EP86" s="61">
        <f t="shared" si="36"/>
        <v>0</v>
      </c>
      <c r="EQ86" s="61">
        <f t="shared" si="36"/>
        <v>0</v>
      </c>
      <c r="ER86" s="61">
        <f t="shared" si="36"/>
        <v>0</v>
      </c>
      <c r="ES86" s="61">
        <f t="shared" si="36"/>
        <v>0</v>
      </c>
      <c r="ET86" s="61">
        <f t="shared" si="37"/>
        <v>0</v>
      </c>
      <c r="EX86" s="61">
        <f t="shared" si="38"/>
        <v>0</v>
      </c>
      <c r="EZ86" s="61">
        <f t="shared" si="38"/>
        <v>0</v>
      </c>
      <c r="FN86" s="61">
        <f t="shared" si="28"/>
        <v>84</v>
      </c>
    </row>
    <row r="87" spans="1:170" ht="16.8" x14ac:dyDescent="0.3">
      <c r="A87" s="70">
        <f>'BASE MAESTRA'!B93</f>
        <v>85</v>
      </c>
      <c r="C87" s="61">
        <f t="shared" si="29"/>
        <v>0</v>
      </c>
      <c r="U87" s="61">
        <f t="shared" si="30"/>
        <v>0</v>
      </c>
      <c r="Z87" s="61">
        <f t="shared" si="31"/>
        <v>0</v>
      </c>
      <c r="AG87" s="61">
        <f t="shared" si="39"/>
        <v>0</v>
      </c>
      <c r="AH87" s="61">
        <f t="shared" si="39"/>
        <v>0</v>
      </c>
      <c r="AX87" s="61">
        <f t="shared" si="32"/>
        <v>0</v>
      </c>
      <c r="AY87" s="61">
        <f t="shared" si="32"/>
        <v>0</v>
      </c>
      <c r="AZ87" s="61">
        <f t="shared" si="32"/>
        <v>0</v>
      </c>
      <c r="BA87" s="61">
        <f t="shared" si="33"/>
        <v>0</v>
      </c>
      <c r="BJ87" s="61">
        <f t="shared" si="20"/>
        <v>0</v>
      </c>
      <c r="BK87" s="61">
        <f t="shared" si="21"/>
        <v>0</v>
      </c>
      <c r="BV87" s="61">
        <f t="shared" si="34"/>
        <v>0</v>
      </c>
      <c r="BW87" s="61">
        <f t="shared" si="23"/>
        <v>0</v>
      </c>
      <c r="CJ87" s="61">
        <f t="shared" si="35"/>
        <v>0</v>
      </c>
      <c r="CU87" s="61">
        <f t="shared" si="40"/>
        <v>0</v>
      </c>
      <c r="CV87" s="61">
        <f t="shared" si="40"/>
        <v>0</v>
      </c>
      <c r="CX87" s="61">
        <f t="shared" ref="CX87:CX150" si="41">VLOOKUP($A87,DatosEspecies,CX$2,FALSE)</f>
        <v>0</v>
      </c>
      <c r="EP87" s="61">
        <f t="shared" si="36"/>
        <v>0</v>
      </c>
      <c r="EQ87" s="61">
        <f t="shared" si="36"/>
        <v>0</v>
      </c>
      <c r="ER87" s="61">
        <f t="shared" si="36"/>
        <v>0</v>
      </c>
      <c r="ES87" s="61">
        <f t="shared" si="36"/>
        <v>0</v>
      </c>
      <c r="ET87" s="61">
        <f t="shared" si="37"/>
        <v>0</v>
      </c>
      <c r="EX87" s="61">
        <f t="shared" si="38"/>
        <v>0</v>
      </c>
      <c r="EZ87" s="61">
        <f t="shared" si="38"/>
        <v>0</v>
      </c>
      <c r="FN87" s="61">
        <f t="shared" si="28"/>
        <v>85</v>
      </c>
    </row>
    <row r="88" spans="1:170" ht="16.8" x14ac:dyDescent="0.3">
      <c r="A88" s="70">
        <f>'BASE MAESTRA'!B94</f>
        <v>86</v>
      </c>
      <c r="C88" s="61">
        <f t="shared" si="29"/>
        <v>0</v>
      </c>
      <c r="U88" s="61">
        <f t="shared" si="30"/>
        <v>0</v>
      </c>
      <c r="Z88" s="61">
        <f t="shared" si="31"/>
        <v>0</v>
      </c>
      <c r="AG88" s="61">
        <f t="shared" si="39"/>
        <v>0</v>
      </c>
      <c r="AH88" s="61">
        <f t="shared" si="39"/>
        <v>0</v>
      </c>
      <c r="AX88" s="61">
        <f t="shared" si="32"/>
        <v>0</v>
      </c>
      <c r="AY88" s="61">
        <f t="shared" si="32"/>
        <v>0</v>
      </c>
      <c r="AZ88" s="61">
        <f t="shared" si="32"/>
        <v>0</v>
      </c>
      <c r="BA88" s="61">
        <f t="shared" si="33"/>
        <v>0</v>
      </c>
      <c r="BJ88" s="61">
        <f t="shared" si="20"/>
        <v>0</v>
      </c>
      <c r="BK88" s="61">
        <f t="shared" si="21"/>
        <v>0</v>
      </c>
      <c r="BV88" s="61">
        <f t="shared" si="34"/>
        <v>0</v>
      </c>
      <c r="BW88" s="61">
        <f t="shared" si="23"/>
        <v>0</v>
      </c>
      <c r="CJ88" s="61">
        <f t="shared" si="35"/>
        <v>0</v>
      </c>
      <c r="CU88" s="61">
        <f t="shared" si="40"/>
        <v>0</v>
      </c>
      <c r="CV88" s="61">
        <f t="shared" si="40"/>
        <v>0</v>
      </c>
      <c r="CX88" s="61">
        <f t="shared" si="41"/>
        <v>0</v>
      </c>
      <c r="EP88" s="61">
        <f t="shared" si="36"/>
        <v>0</v>
      </c>
      <c r="EQ88" s="61">
        <f t="shared" si="36"/>
        <v>0</v>
      </c>
      <c r="ER88" s="61">
        <f t="shared" si="36"/>
        <v>0</v>
      </c>
      <c r="ES88" s="61">
        <f t="shared" si="36"/>
        <v>0</v>
      </c>
      <c r="ET88" s="61">
        <f t="shared" si="37"/>
        <v>0</v>
      </c>
      <c r="EX88" s="61">
        <f t="shared" si="38"/>
        <v>0</v>
      </c>
      <c r="EZ88" s="61">
        <f t="shared" si="38"/>
        <v>0</v>
      </c>
      <c r="FN88" s="61">
        <f t="shared" si="28"/>
        <v>86</v>
      </c>
    </row>
    <row r="89" spans="1:170" ht="16.8" x14ac:dyDescent="0.3">
      <c r="A89" s="70">
        <f>'BASE MAESTRA'!B95</f>
        <v>87</v>
      </c>
      <c r="C89" s="61">
        <f t="shared" si="29"/>
        <v>0</v>
      </c>
      <c r="U89" s="61">
        <f t="shared" si="30"/>
        <v>0</v>
      </c>
      <c r="Z89" s="61">
        <f t="shared" si="31"/>
        <v>0</v>
      </c>
      <c r="AG89" s="61">
        <f t="shared" si="39"/>
        <v>0</v>
      </c>
      <c r="AH89" s="61">
        <f t="shared" si="39"/>
        <v>0</v>
      </c>
      <c r="AX89" s="61">
        <f t="shared" si="32"/>
        <v>0</v>
      </c>
      <c r="AY89" s="61">
        <f t="shared" si="32"/>
        <v>0</v>
      </c>
      <c r="AZ89" s="61">
        <f t="shared" si="32"/>
        <v>0</v>
      </c>
      <c r="BA89" s="61">
        <f t="shared" si="33"/>
        <v>0</v>
      </c>
      <c r="BJ89" s="61">
        <f t="shared" si="20"/>
        <v>0</v>
      </c>
      <c r="BK89" s="61">
        <f t="shared" si="21"/>
        <v>0</v>
      </c>
      <c r="BV89" s="61">
        <f t="shared" si="34"/>
        <v>0</v>
      </c>
      <c r="BW89" s="61">
        <f t="shared" si="23"/>
        <v>0</v>
      </c>
      <c r="CJ89" s="61">
        <f t="shared" si="35"/>
        <v>0</v>
      </c>
      <c r="CU89" s="61">
        <f t="shared" si="40"/>
        <v>0</v>
      </c>
      <c r="CV89" s="61">
        <f t="shared" si="40"/>
        <v>0</v>
      </c>
      <c r="CX89" s="61">
        <f t="shared" si="41"/>
        <v>0</v>
      </c>
      <c r="EP89" s="61">
        <f t="shared" si="36"/>
        <v>0</v>
      </c>
      <c r="EQ89" s="61">
        <f t="shared" si="36"/>
        <v>0</v>
      </c>
      <c r="ER89" s="61">
        <f t="shared" si="36"/>
        <v>0</v>
      </c>
      <c r="ES89" s="61">
        <f t="shared" si="36"/>
        <v>0</v>
      </c>
      <c r="ET89" s="61">
        <f t="shared" si="37"/>
        <v>0</v>
      </c>
      <c r="EX89" s="61">
        <f t="shared" si="38"/>
        <v>0</v>
      </c>
      <c r="EZ89" s="61">
        <f t="shared" si="38"/>
        <v>0</v>
      </c>
      <c r="FN89" s="61">
        <f t="shared" si="28"/>
        <v>87</v>
      </c>
    </row>
    <row r="90" spans="1:170" ht="16.8" x14ac:dyDescent="0.3">
      <c r="A90" s="70">
        <f>'BASE MAESTRA'!B96</f>
        <v>88</v>
      </c>
      <c r="C90" s="61">
        <f t="shared" si="29"/>
        <v>0</v>
      </c>
      <c r="U90" s="61">
        <f t="shared" si="30"/>
        <v>0</v>
      </c>
      <c r="Z90" s="61">
        <f t="shared" si="31"/>
        <v>0</v>
      </c>
      <c r="AG90" s="61">
        <f t="shared" si="39"/>
        <v>0</v>
      </c>
      <c r="AH90" s="61">
        <f t="shared" si="39"/>
        <v>0</v>
      </c>
      <c r="AX90" s="61">
        <f t="shared" si="32"/>
        <v>0</v>
      </c>
      <c r="AY90" s="61">
        <f t="shared" si="32"/>
        <v>0</v>
      </c>
      <c r="AZ90" s="61">
        <f t="shared" si="32"/>
        <v>0</v>
      </c>
      <c r="BA90" s="61">
        <f t="shared" si="33"/>
        <v>0</v>
      </c>
      <c r="BJ90" s="61">
        <f t="shared" si="20"/>
        <v>0</v>
      </c>
      <c r="BK90" s="61">
        <f t="shared" si="21"/>
        <v>0</v>
      </c>
      <c r="BV90" s="61">
        <f t="shared" si="34"/>
        <v>0</v>
      </c>
      <c r="BW90" s="61">
        <f t="shared" si="23"/>
        <v>0</v>
      </c>
      <c r="CJ90" s="61">
        <f t="shared" si="35"/>
        <v>0</v>
      </c>
      <c r="CU90" s="61">
        <f t="shared" si="40"/>
        <v>0</v>
      </c>
      <c r="CV90" s="61">
        <f t="shared" si="40"/>
        <v>0</v>
      </c>
      <c r="CX90" s="61">
        <f t="shared" si="41"/>
        <v>0</v>
      </c>
      <c r="EP90" s="61">
        <f t="shared" si="36"/>
        <v>0</v>
      </c>
      <c r="EQ90" s="61">
        <f t="shared" si="36"/>
        <v>0</v>
      </c>
      <c r="ER90" s="61">
        <f t="shared" si="36"/>
        <v>0</v>
      </c>
      <c r="ES90" s="61">
        <f t="shared" si="36"/>
        <v>0</v>
      </c>
      <c r="ET90" s="61">
        <f t="shared" si="37"/>
        <v>0</v>
      </c>
      <c r="EX90" s="61">
        <f t="shared" si="38"/>
        <v>0</v>
      </c>
      <c r="EZ90" s="61">
        <f t="shared" si="38"/>
        <v>0</v>
      </c>
      <c r="FN90" s="61">
        <f t="shared" si="28"/>
        <v>88</v>
      </c>
    </row>
    <row r="91" spans="1:170" ht="16.8" x14ac:dyDescent="0.3">
      <c r="A91" s="70">
        <f>'BASE MAESTRA'!B97</f>
        <v>89</v>
      </c>
      <c r="C91" s="61">
        <f t="shared" si="29"/>
        <v>0</v>
      </c>
      <c r="U91" s="61">
        <f t="shared" si="30"/>
        <v>0</v>
      </c>
      <c r="Z91" s="61">
        <f t="shared" si="31"/>
        <v>0</v>
      </c>
      <c r="AG91" s="61">
        <f t="shared" si="39"/>
        <v>0</v>
      </c>
      <c r="AH91" s="61">
        <f t="shared" si="39"/>
        <v>0</v>
      </c>
      <c r="AX91" s="61">
        <f t="shared" si="32"/>
        <v>0</v>
      </c>
      <c r="AY91" s="61">
        <f t="shared" si="32"/>
        <v>0</v>
      </c>
      <c r="AZ91" s="61">
        <f t="shared" si="32"/>
        <v>0</v>
      </c>
      <c r="BA91" s="61">
        <f t="shared" si="33"/>
        <v>0</v>
      </c>
      <c r="BJ91" s="61">
        <f t="shared" si="20"/>
        <v>0</v>
      </c>
      <c r="BK91" s="61">
        <f t="shared" si="21"/>
        <v>0</v>
      </c>
      <c r="BV91" s="61">
        <f t="shared" si="34"/>
        <v>0</v>
      </c>
      <c r="BW91" s="61">
        <f t="shared" si="23"/>
        <v>0</v>
      </c>
      <c r="CJ91" s="61">
        <f t="shared" si="35"/>
        <v>0</v>
      </c>
      <c r="CU91" s="61">
        <f t="shared" si="40"/>
        <v>0</v>
      </c>
      <c r="CV91" s="61">
        <f t="shared" si="40"/>
        <v>0</v>
      </c>
      <c r="CX91" s="61">
        <f t="shared" si="41"/>
        <v>0</v>
      </c>
      <c r="EP91" s="61">
        <f t="shared" si="36"/>
        <v>0</v>
      </c>
      <c r="EQ91" s="61">
        <f t="shared" si="36"/>
        <v>0</v>
      </c>
      <c r="ER91" s="61">
        <f t="shared" si="36"/>
        <v>0</v>
      </c>
      <c r="ES91" s="61">
        <f t="shared" si="36"/>
        <v>0</v>
      </c>
      <c r="ET91" s="61">
        <f t="shared" si="37"/>
        <v>0</v>
      </c>
      <c r="EX91" s="61">
        <f t="shared" si="38"/>
        <v>0</v>
      </c>
      <c r="EZ91" s="61">
        <f t="shared" si="38"/>
        <v>0</v>
      </c>
      <c r="FN91" s="61">
        <f t="shared" si="28"/>
        <v>89</v>
      </c>
    </row>
    <row r="92" spans="1:170" ht="16.8" x14ac:dyDescent="0.3">
      <c r="A92" s="70">
        <f>'BASE MAESTRA'!B98</f>
        <v>90</v>
      </c>
      <c r="C92" s="61">
        <f t="shared" si="29"/>
        <v>0</v>
      </c>
      <c r="U92" s="61">
        <f t="shared" si="30"/>
        <v>0</v>
      </c>
      <c r="Z92" s="61">
        <f t="shared" si="31"/>
        <v>0</v>
      </c>
      <c r="AG92" s="61">
        <f t="shared" si="39"/>
        <v>0</v>
      </c>
      <c r="AH92" s="61">
        <f t="shared" si="39"/>
        <v>0</v>
      </c>
      <c r="AX92" s="61">
        <f t="shared" si="32"/>
        <v>0</v>
      </c>
      <c r="AY92" s="61">
        <f t="shared" si="32"/>
        <v>0</v>
      </c>
      <c r="AZ92" s="61">
        <f t="shared" si="32"/>
        <v>0</v>
      </c>
      <c r="BA92" s="61">
        <f t="shared" si="33"/>
        <v>0</v>
      </c>
      <c r="BJ92" s="61">
        <f t="shared" si="20"/>
        <v>0</v>
      </c>
      <c r="BK92" s="61">
        <f t="shared" si="21"/>
        <v>0</v>
      </c>
      <c r="BV92" s="61">
        <f t="shared" si="34"/>
        <v>0</v>
      </c>
      <c r="BW92" s="61">
        <f t="shared" si="23"/>
        <v>0</v>
      </c>
      <c r="CJ92" s="61">
        <f t="shared" si="35"/>
        <v>0</v>
      </c>
      <c r="CU92" s="61">
        <f t="shared" si="40"/>
        <v>0</v>
      </c>
      <c r="CV92" s="61">
        <f t="shared" si="40"/>
        <v>0</v>
      </c>
      <c r="CX92" s="61">
        <f t="shared" si="41"/>
        <v>0</v>
      </c>
      <c r="EP92" s="61">
        <f t="shared" si="36"/>
        <v>0</v>
      </c>
      <c r="EQ92" s="61">
        <f t="shared" si="36"/>
        <v>0</v>
      </c>
      <c r="ER92" s="61">
        <f t="shared" si="36"/>
        <v>0</v>
      </c>
      <c r="ES92" s="61">
        <f t="shared" si="36"/>
        <v>0</v>
      </c>
      <c r="ET92" s="61">
        <f t="shared" si="37"/>
        <v>0</v>
      </c>
      <c r="EX92" s="61">
        <f t="shared" si="38"/>
        <v>0</v>
      </c>
      <c r="EZ92" s="61">
        <f t="shared" si="38"/>
        <v>0</v>
      </c>
      <c r="FN92" s="61">
        <f t="shared" si="28"/>
        <v>90</v>
      </c>
    </row>
    <row r="93" spans="1:170" ht="16.8" x14ac:dyDescent="0.3">
      <c r="A93" s="70">
        <f>'BASE MAESTRA'!B99</f>
        <v>91</v>
      </c>
      <c r="C93" s="61">
        <f t="shared" si="29"/>
        <v>0</v>
      </c>
      <c r="U93" s="61">
        <f t="shared" si="30"/>
        <v>0</v>
      </c>
      <c r="Z93" s="61">
        <f t="shared" si="31"/>
        <v>0</v>
      </c>
      <c r="AG93" s="61">
        <f t="shared" si="39"/>
        <v>0</v>
      </c>
      <c r="AH93" s="61">
        <f t="shared" si="39"/>
        <v>0</v>
      </c>
      <c r="AX93" s="61">
        <f t="shared" si="32"/>
        <v>0</v>
      </c>
      <c r="AY93" s="61">
        <f t="shared" si="32"/>
        <v>0</v>
      </c>
      <c r="AZ93" s="61">
        <f t="shared" si="32"/>
        <v>0</v>
      </c>
      <c r="BA93" s="61">
        <f t="shared" si="33"/>
        <v>0</v>
      </c>
      <c r="BJ93" s="61">
        <f t="shared" si="20"/>
        <v>0</v>
      </c>
      <c r="BK93" s="61">
        <f t="shared" si="21"/>
        <v>0</v>
      </c>
      <c r="BV93" s="61">
        <f t="shared" si="34"/>
        <v>0</v>
      </c>
      <c r="BW93" s="61">
        <f t="shared" si="23"/>
        <v>0</v>
      </c>
      <c r="CJ93" s="61">
        <f t="shared" si="35"/>
        <v>0</v>
      </c>
      <c r="CU93" s="61">
        <f t="shared" si="40"/>
        <v>0</v>
      </c>
      <c r="CV93" s="61">
        <f t="shared" si="40"/>
        <v>0</v>
      </c>
      <c r="CX93" s="61">
        <f t="shared" si="41"/>
        <v>0</v>
      </c>
      <c r="EP93" s="61">
        <f t="shared" si="36"/>
        <v>0</v>
      </c>
      <c r="EQ93" s="61">
        <f t="shared" si="36"/>
        <v>0</v>
      </c>
      <c r="ER93" s="61">
        <f t="shared" si="36"/>
        <v>0</v>
      </c>
      <c r="ES93" s="61">
        <f t="shared" si="36"/>
        <v>0</v>
      </c>
      <c r="ET93" s="61">
        <f t="shared" si="37"/>
        <v>0</v>
      </c>
      <c r="EX93" s="61">
        <f t="shared" si="38"/>
        <v>0</v>
      </c>
      <c r="EZ93" s="61">
        <f t="shared" si="38"/>
        <v>0</v>
      </c>
      <c r="FN93" s="61">
        <f t="shared" si="28"/>
        <v>91</v>
      </c>
    </row>
    <row r="94" spans="1:170" ht="16.8" x14ac:dyDescent="0.3">
      <c r="A94" s="70">
        <f>'BASE MAESTRA'!B100</f>
        <v>92</v>
      </c>
      <c r="C94" s="61">
        <f t="shared" si="29"/>
        <v>0</v>
      </c>
      <c r="U94" s="61">
        <f t="shared" si="30"/>
        <v>0</v>
      </c>
      <c r="Z94" s="61">
        <f t="shared" si="31"/>
        <v>0</v>
      </c>
      <c r="AG94" s="61">
        <f t="shared" si="39"/>
        <v>0</v>
      </c>
      <c r="AH94" s="61">
        <f t="shared" si="39"/>
        <v>0</v>
      </c>
      <c r="AX94" s="61">
        <f t="shared" si="32"/>
        <v>0</v>
      </c>
      <c r="AY94" s="61">
        <f t="shared" si="32"/>
        <v>0</v>
      </c>
      <c r="AZ94" s="61">
        <f t="shared" si="32"/>
        <v>0</v>
      </c>
      <c r="BA94" s="61">
        <f t="shared" si="33"/>
        <v>0</v>
      </c>
      <c r="BJ94" s="61">
        <f t="shared" si="20"/>
        <v>0</v>
      </c>
      <c r="BK94" s="61">
        <f t="shared" si="21"/>
        <v>0</v>
      </c>
      <c r="BV94" s="61">
        <f t="shared" si="34"/>
        <v>0</v>
      </c>
      <c r="BW94" s="61">
        <f t="shared" si="23"/>
        <v>0</v>
      </c>
      <c r="CJ94" s="61">
        <f t="shared" si="35"/>
        <v>0</v>
      </c>
      <c r="CU94" s="61">
        <f t="shared" si="40"/>
        <v>0</v>
      </c>
      <c r="CV94" s="61">
        <f t="shared" si="40"/>
        <v>0</v>
      </c>
      <c r="CX94" s="61">
        <f t="shared" si="41"/>
        <v>0</v>
      </c>
      <c r="EP94" s="61">
        <f t="shared" si="36"/>
        <v>0</v>
      </c>
      <c r="EQ94" s="61">
        <f t="shared" si="36"/>
        <v>0</v>
      </c>
      <c r="ER94" s="61">
        <f t="shared" si="36"/>
        <v>0</v>
      </c>
      <c r="ES94" s="61">
        <f t="shared" si="36"/>
        <v>0</v>
      </c>
      <c r="ET94" s="61">
        <f t="shared" si="37"/>
        <v>0</v>
      </c>
      <c r="EX94" s="61">
        <f t="shared" si="38"/>
        <v>0</v>
      </c>
      <c r="EZ94" s="61">
        <f t="shared" si="38"/>
        <v>0</v>
      </c>
      <c r="FN94" s="61">
        <f t="shared" si="28"/>
        <v>92</v>
      </c>
    </row>
    <row r="95" spans="1:170" ht="16.8" x14ac:dyDescent="0.3">
      <c r="A95" s="70">
        <f>'BASE MAESTRA'!B101</f>
        <v>93</v>
      </c>
      <c r="C95" s="61">
        <f t="shared" si="29"/>
        <v>0</v>
      </c>
      <c r="U95" s="61">
        <f t="shared" si="30"/>
        <v>0</v>
      </c>
      <c r="Z95" s="61">
        <f t="shared" si="31"/>
        <v>0</v>
      </c>
      <c r="AG95" s="61">
        <f t="shared" si="39"/>
        <v>0</v>
      </c>
      <c r="AH95" s="61">
        <f t="shared" si="39"/>
        <v>0</v>
      </c>
      <c r="AX95" s="61">
        <f t="shared" si="32"/>
        <v>0</v>
      </c>
      <c r="AY95" s="61">
        <f t="shared" si="32"/>
        <v>0</v>
      </c>
      <c r="AZ95" s="61">
        <f t="shared" si="32"/>
        <v>0</v>
      </c>
      <c r="BA95" s="61">
        <f t="shared" si="33"/>
        <v>0</v>
      </c>
      <c r="BJ95" s="61">
        <f t="shared" si="20"/>
        <v>0</v>
      </c>
      <c r="BK95" s="61">
        <f t="shared" si="21"/>
        <v>0</v>
      </c>
      <c r="BV95" s="61">
        <f t="shared" si="34"/>
        <v>0</v>
      </c>
      <c r="BW95" s="61">
        <f t="shared" si="23"/>
        <v>0</v>
      </c>
      <c r="CJ95" s="61">
        <f t="shared" si="35"/>
        <v>0</v>
      </c>
      <c r="CU95" s="61">
        <f t="shared" si="40"/>
        <v>0</v>
      </c>
      <c r="CV95" s="61">
        <f t="shared" si="40"/>
        <v>0</v>
      </c>
      <c r="CX95" s="61">
        <f t="shared" si="41"/>
        <v>0</v>
      </c>
      <c r="EP95" s="61">
        <f t="shared" si="36"/>
        <v>0</v>
      </c>
      <c r="EQ95" s="61">
        <f t="shared" si="36"/>
        <v>0</v>
      </c>
      <c r="ER95" s="61">
        <f t="shared" si="36"/>
        <v>0</v>
      </c>
      <c r="ES95" s="61">
        <f t="shared" si="36"/>
        <v>0</v>
      </c>
      <c r="ET95" s="61">
        <f t="shared" si="37"/>
        <v>0</v>
      </c>
      <c r="EX95" s="61">
        <f t="shared" si="38"/>
        <v>0</v>
      </c>
      <c r="EZ95" s="61">
        <f t="shared" si="38"/>
        <v>0</v>
      </c>
      <c r="FN95" s="61">
        <f t="shared" si="28"/>
        <v>93</v>
      </c>
    </row>
    <row r="96" spans="1:170" ht="16.8" x14ac:dyDescent="0.3">
      <c r="A96" s="70">
        <f>'BASE MAESTRA'!B102</f>
        <v>94</v>
      </c>
      <c r="C96" s="61">
        <f t="shared" si="29"/>
        <v>0</v>
      </c>
      <c r="U96" s="61">
        <f t="shared" si="30"/>
        <v>0</v>
      </c>
      <c r="Z96" s="61">
        <f t="shared" si="31"/>
        <v>0</v>
      </c>
      <c r="AG96" s="61">
        <f t="shared" si="39"/>
        <v>0</v>
      </c>
      <c r="AH96" s="61">
        <f t="shared" si="39"/>
        <v>0</v>
      </c>
      <c r="AX96" s="61">
        <f t="shared" si="32"/>
        <v>0</v>
      </c>
      <c r="AY96" s="61">
        <f t="shared" si="32"/>
        <v>0</v>
      </c>
      <c r="AZ96" s="61">
        <f t="shared" si="32"/>
        <v>0</v>
      </c>
      <c r="BA96" s="61">
        <f t="shared" si="33"/>
        <v>0</v>
      </c>
      <c r="BJ96" s="61">
        <f t="shared" si="20"/>
        <v>0</v>
      </c>
      <c r="BK96" s="61">
        <f t="shared" si="21"/>
        <v>0</v>
      </c>
      <c r="BV96" s="61">
        <f t="shared" si="34"/>
        <v>0</v>
      </c>
      <c r="BW96" s="61">
        <f t="shared" si="23"/>
        <v>0</v>
      </c>
      <c r="CJ96" s="61">
        <f t="shared" si="35"/>
        <v>0</v>
      </c>
      <c r="CU96" s="61">
        <f t="shared" si="40"/>
        <v>0</v>
      </c>
      <c r="CV96" s="61">
        <f t="shared" si="40"/>
        <v>0</v>
      </c>
      <c r="CX96" s="61">
        <f t="shared" si="41"/>
        <v>0</v>
      </c>
      <c r="EP96" s="61">
        <f t="shared" si="36"/>
        <v>0</v>
      </c>
      <c r="EQ96" s="61">
        <f t="shared" si="36"/>
        <v>0</v>
      </c>
      <c r="ER96" s="61">
        <f t="shared" si="36"/>
        <v>0</v>
      </c>
      <c r="ES96" s="61">
        <f t="shared" si="36"/>
        <v>0</v>
      </c>
      <c r="ET96" s="61">
        <f t="shared" si="37"/>
        <v>0</v>
      </c>
      <c r="EX96" s="61">
        <f t="shared" si="38"/>
        <v>0</v>
      </c>
      <c r="EZ96" s="61">
        <f t="shared" si="38"/>
        <v>0</v>
      </c>
      <c r="FN96" s="61">
        <f t="shared" si="28"/>
        <v>94</v>
      </c>
    </row>
    <row r="97" spans="1:170" ht="16.8" x14ac:dyDescent="0.3">
      <c r="A97" s="70">
        <f>'BASE MAESTRA'!B103</f>
        <v>95</v>
      </c>
      <c r="C97" s="61">
        <f t="shared" si="29"/>
        <v>0</v>
      </c>
      <c r="U97" s="61">
        <f t="shared" si="30"/>
        <v>0</v>
      </c>
      <c r="Z97" s="61">
        <f t="shared" si="31"/>
        <v>0</v>
      </c>
      <c r="AG97" s="61">
        <f t="shared" si="39"/>
        <v>0</v>
      </c>
      <c r="AH97" s="61">
        <f t="shared" si="39"/>
        <v>0</v>
      </c>
      <c r="AX97" s="61">
        <f t="shared" si="32"/>
        <v>0</v>
      </c>
      <c r="AY97" s="61">
        <f t="shared" si="32"/>
        <v>0</v>
      </c>
      <c r="AZ97" s="61">
        <f t="shared" si="32"/>
        <v>0</v>
      </c>
      <c r="BA97" s="61">
        <f t="shared" si="33"/>
        <v>0</v>
      </c>
      <c r="BJ97" s="61">
        <f t="shared" si="20"/>
        <v>0</v>
      </c>
      <c r="BK97" s="61">
        <f t="shared" si="21"/>
        <v>0</v>
      </c>
      <c r="BV97" s="61">
        <f t="shared" si="34"/>
        <v>0</v>
      </c>
      <c r="BW97" s="61">
        <f t="shared" si="23"/>
        <v>0</v>
      </c>
      <c r="CJ97" s="61">
        <f t="shared" si="35"/>
        <v>0</v>
      </c>
      <c r="CU97" s="61">
        <f t="shared" si="40"/>
        <v>0</v>
      </c>
      <c r="CV97" s="61">
        <f t="shared" si="40"/>
        <v>0</v>
      </c>
      <c r="CX97" s="61">
        <f t="shared" si="41"/>
        <v>0</v>
      </c>
      <c r="EP97" s="61">
        <f t="shared" si="36"/>
        <v>0</v>
      </c>
      <c r="EQ97" s="61">
        <f t="shared" si="36"/>
        <v>0</v>
      </c>
      <c r="ER97" s="61">
        <f t="shared" si="36"/>
        <v>0</v>
      </c>
      <c r="ES97" s="61">
        <f t="shared" si="36"/>
        <v>0</v>
      </c>
      <c r="ET97" s="61">
        <f t="shared" si="37"/>
        <v>0</v>
      </c>
      <c r="EX97" s="61">
        <f t="shared" si="38"/>
        <v>0</v>
      </c>
      <c r="EZ97" s="61">
        <f t="shared" si="38"/>
        <v>0</v>
      </c>
      <c r="FN97" s="61">
        <f t="shared" si="28"/>
        <v>95</v>
      </c>
    </row>
    <row r="98" spans="1:170" ht="16.8" x14ac:dyDescent="0.3">
      <c r="A98" s="70">
        <f>'BASE MAESTRA'!B104</f>
        <v>96</v>
      </c>
      <c r="C98" s="61">
        <f t="shared" si="29"/>
        <v>0</v>
      </c>
      <c r="U98" s="61">
        <f t="shared" si="30"/>
        <v>0</v>
      </c>
      <c r="Z98" s="61">
        <f t="shared" si="31"/>
        <v>0</v>
      </c>
      <c r="AG98" s="61">
        <f t="shared" si="39"/>
        <v>0</v>
      </c>
      <c r="AH98" s="61">
        <f t="shared" si="39"/>
        <v>0</v>
      </c>
      <c r="AX98" s="61">
        <f t="shared" si="32"/>
        <v>0</v>
      </c>
      <c r="AY98" s="61">
        <f t="shared" si="32"/>
        <v>0</v>
      </c>
      <c r="AZ98" s="61">
        <f t="shared" si="32"/>
        <v>0</v>
      </c>
      <c r="BA98" s="61">
        <f t="shared" si="33"/>
        <v>0</v>
      </c>
      <c r="BJ98" s="61">
        <f t="shared" si="20"/>
        <v>0</v>
      </c>
      <c r="BK98" s="61">
        <f t="shared" si="21"/>
        <v>0</v>
      </c>
      <c r="BV98" s="61">
        <f t="shared" si="34"/>
        <v>0</v>
      </c>
      <c r="BW98" s="61">
        <f t="shared" si="23"/>
        <v>0</v>
      </c>
      <c r="CJ98" s="61">
        <f t="shared" si="35"/>
        <v>0</v>
      </c>
      <c r="CU98" s="61">
        <f t="shared" si="40"/>
        <v>0</v>
      </c>
      <c r="CV98" s="61">
        <f t="shared" si="40"/>
        <v>0</v>
      </c>
      <c r="CX98" s="61">
        <f t="shared" si="41"/>
        <v>0</v>
      </c>
      <c r="EP98" s="61">
        <f t="shared" si="36"/>
        <v>0</v>
      </c>
      <c r="EQ98" s="61">
        <f t="shared" si="36"/>
        <v>0</v>
      </c>
      <c r="ER98" s="61">
        <f t="shared" si="36"/>
        <v>0</v>
      </c>
      <c r="ES98" s="61">
        <f t="shared" si="36"/>
        <v>0</v>
      </c>
      <c r="ET98" s="61">
        <f t="shared" si="37"/>
        <v>0</v>
      </c>
      <c r="EX98" s="61">
        <f t="shared" si="38"/>
        <v>0</v>
      </c>
      <c r="EZ98" s="61">
        <f t="shared" si="38"/>
        <v>0</v>
      </c>
      <c r="FN98" s="61">
        <f t="shared" si="28"/>
        <v>96</v>
      </c>
    </row>
    <row r="99" spans="1:170" ht="16.8" x14ac:dyDescent="0.3">
      <c r="A99" s="70">
        <f>'BASE MAESTRA'!B105</f>
        <v>97</v>
      </c>
      <c r="C99" s="61">
        <f t="shared" si="29"/>
        <v>0</v>
      </c>
      <c r="U99" s="61">
        <f t="shared" si="30"/>
        <v>0</v>
      </c>
      <c r="Z99" s="61">
        <f t="shared" si="31"/>
        <v>0</v>
      </c>
      <c r="AG99" s="61">
        <f t="shared" si="39"/>
        <v>0</v>
      </c>
      <c r="AH99" s="61">
        <f t="shared" si="39"/>
        <v>0</v>
      </c>
      <c r="AX99" s="61">
        <f t="shared" si="32"/>
        <v>0</v>
      </c>
      <c r="AY99" s="61">
        <f t="shared" si="32"/>
        <v>0</v>
      </c>
      <c r="AZ99" s="61">
        <f t="shared" si="32"/>
        <v>0</v>
      </c>
      <c r="BA99" s="61">
        <f t="shared" si="33"/>
        <v>0</v>
      </c>
      <c r="BJ99" s="61">
        <f t="shared" ref="BJ99:BJ162" si="42">VLOOKUP($A99,DatosEspecies,BJ$2,FALSE)</f>
        <v>0</v>
      </c>
      <c r="BK99" s="61">
        <f t="shared" ref="BK99:BK162" si="43">VLOOKUP($A99,DatosEspecies,BK$2,FALSE)</f>
        <v>0</v>
      </c>
      <c r="BV99" s="61">
        <f t="shared" ref="BV99:BV130" si="44">VLOOKUP($A99,DatosEspecies,BV$2,FALSE)</f>
        <v>0</v>
      </c>
      <c r="BW99" s="61">
        <f t="shared" ref="BW99:BW162" si="45">VLOOKUP($A99,DatosEspecies,BW$2,FALSE)</f>
        <v>0</v>
      </c>
      <c r="CJ99" s="61">
        <f t="shared" si="35"/>
        <v>0</v>
      </c>
      <c r="CU99" s="61">
        <f t="shared" si="40"/>
        <v>0</v>
      </c>
      <c r="CV99" s="61">
        <f t="shared" si="40"/>
        <v>0</v>
      </c>
      <c r="CX99" s="61">
        <f t="shared" si="41"/>
        <v>0</v>
      </c>
      <c r="EP99" s="61">
        <f t="shared" si="36"/>
        <v>0</v>
      </c>
      <c r="EQ99" s="61">
        <f t="shared" si="36"/>
        <v>0</v>
      </c>
      <c r="ER99" s="61">
        <f t="shared" si="36"/>
        <v>0</v>
      </c>
      <c r="ES99" s="61">
        <f t="shared" si="36"/>
        <v>0</v>
      </c>
      <c r="ET99" s="61">
        <f t="shared" si="37"/>
        <v>0</v>
      </c>
      <c r="EX99" s="61">
        <f t="shared" si="38"/>
        <v>0</v>
      </c>
      <c r="EZ99" s="61">
        <f t="shared" si="38"/>
        <v>0</v>
      </c>
      <c r="FN99" s="61">
        <f t="shared" si="28"/>
        <v>97</v>
      </c>
    </row>
    <row r="100" spans="1:170" ht="16.8" x14ac:dyDescent="0.3">
      <c r="A100" s="70">
        <f>'BASE MAESTRA'!B106</f>
        <v>98</v>
      </c>
      <c r="C100" s="61">
        <f t="shared" si="29"/>
        <v>0</v>
      </c>
      <c r="U100" s="61">
        <f t="shared" si="30"/>
        <v>0</v>
      </c>
      <c r="Z100" s="61">
        <f t="shared" si="31"/>
        <v>0</v>
      </c>
      <c r="AG100" s="61">
        <f t="shared" si="39"/>
        <v>0</v>
      </c>
      <c r="AH100" s="61">
        <f t="shared" si="39"/>
        <v>0</v>
      </c>
      <c r="AX100" s="61">
        <f t="shared" si="32"/>
        <v>0</v>
      </c>
      <c r="AY100" s="61">
        <f t="shared" si="32"/>
        <v>0</v>
      </c>
      <c r="AZ100" s="61">
        <f t="shared" si="32"/>
        <v>0</v>
      </c>
      <c r="BA100" s="61">
        <f t="shared" si="33"/>
        <v>0</v>
      </c>
      <c r="BJ100" s="61">
        <f t="shared" si="42"/>
        <v>0</v>
      </c>
      <c r="BK100" s="61">
        <f t="shared" si="43"/>
        <v>0</v>
      </c>
      <c r="BV100" s="61">
        <f t="shared" si="44"/>
        <v>0</v>
      </c>
      <c r="BW100" s="61">
        <f t="shared" si="45"/>
        <v>0</v>
      </c>
      <c r="CJ100" s="61">
        <f t="shared" si="35"/>
        <v>0</v>
      </c>
      <c r="CU100" s="61">
        <f t="shared" si="40"/>
        <v>0</v>
      </c>
      <c r="CV100" s="61">
        <f t="shared" si="40"/>
        <v>0</v>
      </c>
      <c r="CX100" s="61">
        <f t="shared" si="41"/>
        <v>0</v>
      </c>
      <c r="EP100" s="61">
        <f t="shared" si="36"/>
        <v>0</v>
      </c>
      <c r="EQ100" s="61">
        <f t="shared" si="36"/>
        <v>0</v>
      </c>
      <c r="ER100" s="61">
        <f t="shared" si="36"/>
        <v>0</v>
      </c>
      <c r="ES100" s="61">
        <f t="shared" si="36"/>
        <v>0</v>
      </c>
      <c r="ET100" s="61">
        <f t="shared" si="37"/>
        <v>0</v>
      </c>
      <c r="EX100" s="61">
        <f t="shared" si="38"/>
        <v>0</v>
      </c>
      <c r="EZ100" s="61">
        <f t="shared" si="38"/>
        <v>0</v>
      </c>
      <c r="FN100" s="61">
        <f t="shared" si="28"/>
        <v>98</v>
      </c>
    </row>
    <row r="101" spans="1:170" ht="16.8" x14ac:dyDescent="0.3">
      <c r="A101" s="70">
        <f>'BASE MAESTRA'!B107</f>
        <v>99</v>
      </c>
      <c r="C101" s="61">
        <f t="shared" si="29"/>
        <v>0</v>
      </c>
      <c r="U101" s="61">
        <f t="shared" si="30"/>
        <v>0</v>
      </c>
      <c r="Z101" s="61">
        <f t="shared" si="31"/>
        <v>0</v>
      </c>
      <c r="AG101" s="61">
        <f t="shared" si="39"/>
        <v>0</v>
      </c>
      <c r="AH101" s="61">
        <f t="shared" si="39"/>
        <v>0</v>
      </c>
      <c r="AX101" s="61">
        <f t="shared" si="32"/>
        <v>0</v>
      </c>
      <c r="AY101" s="61">
        <f t="shared" si="32"/>
        <v>0</v>
      </c>
      <c r="AZ101" s="61">
        <f t="shared" si="32"/>
        <v>0</v>
      </c>
      <c r="BA101" s="61">
        <f t="shared" si="33"/>
        <v>0</v>
      </c>
      <c r="BJ101" s="61">
        <f t="shared" si="42"/>
        <v>0</v>
      </c>
      <c r="BK101" s="61">
        <f t="shared" si="43"/>
        <v>0</v>
      </c>
      <c r="BV101" s="61">
        <f t="shared" si="44"/>
        <v>0</v>
      </c>
      <c r="BW101" s="61">
        <f t="shared" si="45"/>
        <v>0</v>
      </c>
      <c r="CJ101" s="61">
        <f t="shared" si="35"/>
        <v>0</v>
      </c>
      <c r="CU101" s="61">
        <f t="shared" si="40"/>
        <v>0</v>
      </c>
      <c r="CV101" s="61">
        <f t="shared" si="40"/>
        <v>0</v>
      </c>
      <c r="CX101" s="61">
        <f t="shared" si="41"/>
        <v>0</v>
      </c>
      <c r="EP101" s="61">
        <f t="shared" si="36"/>
        <v>0</v>
      </c>
      <c r="EQ101" s="61">
        <f t="shared" si="36"/>
        <v>0</v>
      </c>
      <c r="ER101" s="61">
        <f t="shared" si="36"/>
        <v>0</v>
      </c>
      <c r="ES101" s="61">
        <f t="shared" si="36"/>
        <v>0</v>
      </c>
      <c r="ET101" s="61">
        <f t="shared" si="37"/>
        <v>0</v>
      </c>
      <c r="EX101" s="61">
        <f t="shared" si="38"/>
        <v>0</v>
      </c>
      <c r="EZ101" s="61">
        <f t="shared" si="38"/>
        <v>0</v>
      </c>
      <c r="FN101" s="61">
        <f t="shared" si="28"/>
        <v>99</v>
      </c>
    </row>
    <row r="102" spans="1:170" ht="16.8" x14ac:dyDescent="0.3">
      <c r="A102" s="70">
        <f>'BASE MAESTRA'!B108</f>
        <v>100</v>
      </c>
      <c r="C102" s="61">
        <f t="shared" si="29"/>
        <v>0</v>
      </c>
      <c r="U102" s="61">
        <f t="shared" si="30"/>
        <v>0</v>
      </c>
      <c r="Z102" s="61">
        <f t="shared" si="31"/>
        <v>0</v>
      </c>
      <c r="AG102" s="61">
        <f t="shared" si="39"/>
        <v>0</v>
      </c>
      <c r="AH102" s="61">
        <f t="shared" si="39"/>
        <v>0</v>
      </c>
      <c r="AX102" s="61">
        <f t="shared" si="32"/>
        <v>0</v>
      </c>
      <c r="AY102" s="61">
        <f t="shared" si="32"/>
        <v>0</v>
      </c>
      <c r="AZ102" s="61">
        <f t="shared" si="32"/>
        <v>0</v>
      </c>
      <c r="BA102" s="61">
        <f t="shared" si="33"/>
        <v>0</v>
      </c>
      <c r="BJ102" s="61">
        <f t="shared" si="42"/>
        <v>0</v>
      </c>
      <c r="BK102" s="61">
        <f t="shared" si="43"/>
        <v>0</v>
      </c>
      <c r="BV102" s="61">
        <f t="shared" si="44"/>
        <v>0</v>
      </c>
      <c r="BW102" s="61">
        <f t="shared" si="45"/>
        <v>0</v>
      </c>
      <c r="CJ102" s="61">
        <f t="shared" si="35"/>
        <v>0</v>
      </c>
      <c r="CU102" s="61">
        <f t="shared" si="40"/>
        <v>0</v>
      </c>
      <c r="CV102" s="61">
        <f t="shared" si="40"/>
        <v>0</v>
      </c>
      <c r="CX102" s="61">
        <f t="shared" si="41"/>
        <v>0</v>
      </c>
      <c r="EP102" s="61">
        <f t="shared" si="36"/>
        <v>0</v>
      </c>
      <c r="EQ102" s="61">
        <f t="shared" si="36"/>
        <v>0</v>
      </c>
      <c r="ER102" s="61">
        <f t="shared" si="36"/>
        <v>0</v>
      </c>
      <c r="ES102" s="61">
        <f t="shared" si="36"/>
        <v>0</v>
      </c>
      <c r="ET102" s="61">
        <f t="shared" si="37"/>
        <v>0</v>
      </c>
      <c r="EX102" s="61">
        <f t="shared" si="38"/>
        <v>0</v>
      </c>
      <c r="EZ102" s="61">
        <f t="shared" si="38"/>
        <v>0</v>
      </c>
      <c r="FN102" s="61">
        <f t="shared" si="28"/>
        <v>100</v>
      </c>
    </row>
    <row r="103" spans="1:170" ht="16.8" x14ac:dyDescent="0.3">
      <c r="A103" s="70">
        <f>'BASE MAESTRA'!B109</f>
        <v>101</v>
      </c>
      <c r="C103" s="61">
        <f t="shared" si="29"/>
        <v>0</v>
      </c>
      <c r="U103" s="61">
        <f t="shared" si="30"/>
        <v>0</v>
      </c>
      <c r="Z103" s="61">
        <f t="shared" si="31"/>
        <v>0</v>
      </c>
      <c r="AG103" s="61">
        <f t="shared" si="39"/>
        <v>0</v>
      </c>
      <c r="AH103" s="61">
        <f t="shared" si="39"/>
        <v>0</v>
      </c>
      <c r="AX103" s="61">
        <f t="shared" si="32"/>
        <v>0</v>
      </c>
      <c r="AY103" s="61">
        <f t="shared" si="32"/>
        <v>0</v>
      </c>
      <c r="AZ103" s="61">
        <f t="shared" si="32"/>
        <v>0</v>
      </c>
      <c r="BA103" s="61">
        <f t="shared" si="33"/>
        <v>0</v>
      </c>
      <c r="BJ103" s="61">
        <f t="shared" si="42"/>
        <v>0</v>
      </c>
      <c r="BK103" s="61">
        <f t="shared" si="43"/>
        <v>0</v>
      </c>
      <c r="BV103" s="61">
        <f t="shared" si="44"/>
        <v>0</v>
      </c>
      <c r="BW103" s="61">
        <f t="shared" si="45"/>
        <v>0</v>
      </c>
      <c r="CJ103" s="61">
        <f t="shared" si="35"/>
        <v>0</v>
      </c>
      <c r="CU103" s="61">
        <f t="shared" si="40"/>
        <v>0</v>
      </c>
      <c r="CV103" s="61">
        <f t="shared" si="40"/>
        <v>0</v>
      </c>
      <c r="CX103" s="61">
        <f t="shared" si="41"/>
        <v>0</v>
      </c>
      <c r="EP103" s="61">
        <f t="shared" si="36"/>
        <v>0</v>
      </c>
      <c r="EQ103" s="61">
        <f t="shared" si="36"/>
        <v>0</v>
      </c>
      <c r="ER103" s="61">
        <f t="shared" si="36"/>
        <v>0</v>
      </c>
      <c r="ES103" s="61">
        <f t="shared" si="36"/>
        <v>0</v>
      </c>
      <c r="ET103" s="61">
        <f t="shared" si="37"/>
        <v>0</v>
      </c>
      <c r="EX103" s="61">
        <f t="shared" si="38"/>
        <v>0</v>
      </c>
      <c r="EZ103" s="61">
        <f t="shared" si="38"/>
        <v>0</v>
      </c>
      <c r="FN103" s="61">
        <f t="shared" si="28"/>
        <v>101</v>
      </c>
    </row>
    <row r="104" spans="1:170" ht="16.8" x14ac:dyDescent="0.3">
      <c r="A104" s="70">
        <f>'BASE MAESTRA'!B110</f>
        <v>102</v>
      </c>
      <c r="C104" s="61">
        <f t="shared" si="29"/>
        <v>0</v>
      </c>
      <c r="U104" s="61">
        <f t="shared" si="30"/>
        <v>0</v>
      </c>
      <c r="Z104" s="61">
        <f t="shared" si="31"/>
        <v>0</v>
      </c>
      <c r="AG104" s="61">
        <f t="shared" si="39"/>
        <v>0</v>
      </c>
      <c r="AH104" s="61">
        <f t="shared" si="39"/>
        <v>0</v>
      </c>
      <c r="AX104" s="61">
        <f t="shared" si="32"/>
        <v>0</v>
      </c>
      <c r="AY104" s="61">
        <f t="shared" si="32"/>
        <v>0</v>
      </c>
      <c r="AZ104" s="61">
        <f t="shared" si="32"/>
        <v>0</v>
      </c>
      <c r="BA104" s="61">
        <f t="shared" si="33"/>
        <v>0</v>
      </c>
      <c r="BJ104" s="61">
        <f t="shared" si="42"/>
        <v>0</v>
      </c>
      <c r="BK104" s="61">
        <f t="shared" si="43"/>
        <v>0</v>
      </c>
      <c r="BV104" s="61">
        <f t="shared" si="44"/>
        <v>0</v>
      </c>
      <c r="BW104" s="61">
        <f t="shared" si="45"/>
        <v>0</v>
      </c>
      <c r="CJ104" s="61">
        <f t="shared" si="35"/>
        <v>0</v>
      </c>
      <c r="CU104" s="61">
        <f t="shared" si="40"/>
        <v>0</v>
      </c>
      <c r="CV104" s="61">
        <f t="shared" si="40"/>
        <v>0</v>
      </c>
      <c r="CX104" s="61">
        <f t="shared" si="41"/>
        <v>0</v>
      </c>
      <c r="EP104" s="61">
        <f t="shared" si="36"/>
        <v>0</v>
      </c>
      <c r="EQ104" s="61">
        <f t="shared" si="36"/>
        <v>0</v>
      </c>
      <c r="ER104" s="61">
        <f t="shared" si="36"/>
        <v>0</v>
      </c>
      <c r="ES104" s="61">
        <f t="shared" si="36"/>
        <v>0</v>
      </c>
      <c r="ET104" s="61">
        <f t="shared" si="37"/>
        <v>0</v>
      </c>
      <c r="EX104" s="61">
        <f t="shared" si="38"/>
        <v>0</v>
      </c>
      <c r="EZ104" s="61">
        <f t="shared" si="38"/>
        <v>0</v>
      </c>
      <c r="FN104" s="61">
        <f t="shared" si="28"/>
        <v>102</v>
      </c>
    </row>
    <row r="105" spans="1:170" ht="16.8" x14ac:dyDescent="0.3">
      <c r="A105" s="70">
        <f>'BASE MAESTRA'!B111</f>
        <v>103</v>
      </c>
      <c r="C105" s="61">
        <f t="shared" si="29"/>
        <v>0</v>
      </c>
      <c r="U105" s="61">
        <f t="shared" si="30"/>
        <v>0</v>
      </c>
      <c r="Z105" s="61">
        <f t="shared" si="31"/>
        <v>0</v>
      </c>
      <c r="AG105" s="61">
        <f t="shared" si="39"/>
        <v>0</v>
      </c>
      <c r="AH105" s="61">
        <f t="shared" si="39"/>
        <v>0</v>
      </c>
      <c r="AX105" s="61">
        <f t="shared" si="32"/>
        <v>0</v>
      </c>
      <c r="AY105" s="61">
        <f t="shared" si="32"/>
        <v>0</v>
      </c>
      <c r="AZ105" s="61">
        <f t="shared" si="32"/>
        <v>0</v>
      </c>
      <c r="BA105" s="61">
        <f t="shared" si="33"/>
        <v>0</v>
      </c>
      <c r="BJ105" s="61">
        <f t="shared" si="42"/>
        <v>0</v>
      </c>
      <c r="BK105" s="61">
        <f t="shared" si="43"/>
        <v>0</v>
      </c>
      <c r="BV105" s="61">
        <f t="shared" si="44"/>
        <v>0</v>
      </c>
      <c r="BW105" s="61">
        <f t="shared" si="45"/>
        <v>0</v>
      </c>
      <c r="CJ105" s="61">
        <f t="shared" si="35"/>
        <v>0</v>
      </c>
      <c r="CU105" s="61">
        <f t="shared" si="40"/>
        <v>0</v>
      </c>
      <c r="CV105" s="61">
        <f t="shared" si="40"/>
        <v>0</v>
      </c>
      <c r="CX105" s="61">
        <f t="shared" si="41"/>
        <v>0</v>
      </c>
      <c r="EP105" s="61">
        <f t="shared" si="36"/>
        <v>0</v>
      </c>
      <c r="EQ105" s="61">
        <f t="shared" si="36"/>
        <v>0</v>
      </c>
      <c r="ER105" s="61">
        <f t="shared" si="36"/>
        <v>0</v>
      </c>
      <c r="ES105" s="61">
        <f t="shared" si="36"/>
        <v>0</v>
      </c>
      <c r="ET105" s="61">
        <f t="shared" si="37"/>
        <v>0</v>
      </c>
      <c r="EX105" s="61">
        <f t="shared" si="38"/>
        <v>0</v>
      </c>
      <c r="EZ105" s="61">
        <f t="shared" si="38"/>
        <v>0</v>
      </c>
      <c r="FN105" s="61">
        <f t="shared" si="28"/>
        <v>103</v>
      </c>
    </row>
    <row r="106" spans="1:170" ht="16.8" x14ac:dyDescent="0.3">
      <c r="A106" s="70">
        <f>'BASE MAESTRA'!B112</f>
        <v>104</v>
      </c>
      <c r="C106" s="61">
        <f t="shared" si="29"/>
        <v>0</v>
      </c>
      <c r="U106" s="61">
        <f t="shared" si="30"/>
        <v>0</v>
      </c>
      <c r="Z106" s="61">
        <f t="shared" si="31"/>
        <v>0</v>
      </c>
      <c r="AG106" s="61">
        <f t="shared" si="39"/>
        <v>0</v>
      </c>
      <c r="AH106" s="61">
        <f t="shared" si="39"/>
        <v>0</v>
      </c>
      <c r="AX106" s="61">
        <f t="shared" si="32"/>
        <v>0</v>
      </c>
      <c r="AY106" s="61">
        <f t="shared" si="32"/>
        <v>0</v>
      </c>
      <c r="AZ106" s="61">
        <f t="shared" si="32"/>
        <v>0</v>
      </c>
      <c r="BA106" s="61">
        <f t="shared" si="33"/>
        <v>0</v>
      </c>
      <c r="BJ106" s="61">
        <f t="shared" si="42"/>
        <v>0</v>
      </c>
      <c r="BK106" s="61">
        <f t="shared" si="43"/>
        <v>0</v>
      </c>
      <c r="BV106" s="61">
        <f t="shared" si="44"/>
        <v>0</v>
      </c>
      <c r="BW106" s="61">
        <f t="shared" si="45"/>
        <v>0</v>
      </c>
      <c r="CJ106" s="61">
        <f t="shared" si="35"/>
        <v>0</v>
      </c>
      <c r="CU106" s="61">
        <f t="shared" si="40"/>
        <v>0</v>
      </c>
      <c r="CV106" s="61">
        <f t="shared" si="40"/>
        <v>0</v>
      </c>
      <c r="CX106" s="61">
        <f t="shared" si="41"/>
        <v>0</v>
      </c>
      <c r="EP106" s="61">
        <f t="shared" si="36"/>
        <v>0</v>
      </c>
      <c r="EQ106" s="61">
        <f t="shared" si="36"/>
        <v>0</v>
      </c>
      <c r="ER106" s="61">
        <f t="shared" si="36"/>
        <v>0</v>
      </c>
      <c r="ES106" s="61">
        <f t="shared" si="36"/>
        <v>0</v>
      </c>
      <c r="ET106" s="61">
        <f t="shared" si="37"/>
        <v>0</v>
      </c>
      <c r="EX106" s="61">
        <f t="shared" si="38"/>
        <v>0</v>
      </c>
      <c r="EZ106" s="61">
        <f t="shared" si="38"/>
        <v>0</v>
      </c>
      <c r="FN106" s="61">
        <f t="shared" si="28"/>
        <v>104</v>
      </c>
    </row>
    <row r="107" spans="1:170" ht="16.8" x14ac:dyDescent="0.3">
      <c r="A107" s="70">
        <f>'BASE MAESTRA'!B113</f>
        <v>105</v>
      </c>
      <c r="C107" s="61">
        <f t="shared" si="29"/>
        <v>0</v>
      </c>
      <c r="U107" s="61">
        <f t="shared" si="30"/>
        <v>0</v>
      </c>
      <c r="Z107" s="61">
        <f t="shared" si="31"/>
        <v>0</v>
      </c>
      <c r="AG107" s="61">
        <f t="shared" si="39"/>
        <v>0</v>
      </c>
      <c r="AH107" s="61">
        <f t="shared" si="39"/>
        <v>0</v>
      </c>
      <c r="AX107" s="61">
        <f t="shared" si="32"/>
        <v>0</v>
      </c>
      <c r="AY107" s="61">
        <f t="shared" si="32"/>
        <v>0</v>
      </c>
      <c r="AZ107" s="61">
        <f t="shared" si="32"/>
        <v>0</v>
      </c>
      <c r="BA107" s="61">
        <f t="shared" si="33"/>
        <v>0</v>
      </c>
      <c r="BJ107" s="61">
        <f t="shared" si="42"/>
        <v>0</v>
      </c>
      <c r="BK107" s="61">
        <f t="shared" si="43"/>
        <v>0</v>
      </c>
      <c r="BV107" s="61">
        <f t="shared" si="44"/>
        <v>0</v>
      </c>
      <c r="BW107" s="61">
        <f t="shared" si="45"/>
        <v>0</v>
      </c>
      <c r="CJ107" s="61">
        <f t="shared" si="35"/>
        <v>0</v>
      </c>
      <c r="CU107" s="61">
        <f t="shared" si="40"/>
        <v>0</v>
      </c>
      <c r="CV107" s="61">
        <f t="shared" si="40"/>
        <v>0</v>
      </c>
      <c r="CX107" s="61">
        <f t="shared" si="41"/>
        <v>0</v>
      </c>
      <c r="EP107" s="61">
        <f t="shared" si="36"/>
        <v>0</v>
      </c>
      <c r="EQ107" s="61">
        <f t="shared" si="36"/>
        <v>0</v>
      </c>
      <c r="ER107" s="61">
        <f t="shared" si="36"/>
        <v>0</v>
      </c>
      <c r="ES107" s="61">
        <f t="shared" si="36"/>
        <v>0</v>
      </c>
      <c r="ET107" s="61">
        <f t="shared" si="37"/>
        <v>0</v>
      </c>
      <c r="EX107" s="61">
        <f t="shared" si="38"/>
        <v>0</v>
      </c>
      <c r="EZ107" s="61">
        <f t="shared" si="38"/>
        <v>0</v>
      </c>
      <c r="FN107" s="61">
        <f t="shared" si="28"/>
        <v>105</v>
      </c>
    </row>
    <row r="108" spans="1:170" ht="16.8" x14ac:dyDescent="0.3">
      <c r="A108" s="70">
        <f>'BASE MAESTRA'!B114</f>
        <v>106</v>
      </c>
      <c r="C108" s="61">
        <f t="shared" si="29"/>
        <v>0</v>
      </c>
      <c r="U108" s="61">
        <f t="shared" si="30"/>
        <v>0</v>
      </c>
      <c r="Z108" s="61">
        <f t="shared" si="31"/>
        <v>0</v>
      </c>
      <c r="AG108" s="61">
        <f t="shared" si="39"/>
        <v>0</v>
      </c>
      <c r="AH108" s="61">
        <f t="shared" si="39"/>
        <v>0</v>
      </c>
      <c r="AX108" s="61">
        <f t="shared" si="32"/>
        <v>0</v>
      </c>
      <c r="AY108" s="61">
        <f t="shared" si="32"/>
        <v>0</v>
      </c>
      <c r="AZ108" s="61">
        <f t="shared" si="32"/>
        <v>0</v>
      </c>
      <c r="BA108" s="61">
        <f t="shared" si="33"/>
        <v>0</v>
      </c>
      <c r="BJ108" s="61">
        <f t="shared" si="42"/>
        <v>0</v>
      </c>
      <c r="BK108" s="61">
        <f t="shared" si="43"/>
        <v>0</v>
      </c>
      <c r="BV108" s="61">
        <f t="shared" si="44"/>
        <v>0</v>
      </c>
      <c r="BW108" s="61">
        <f t="shared" si="45"/>
        <v>0</v>
      </c>
      <c r="CJ108" s="61">
        <f t="shared" si="35"/>
        <v>0</v>
      </c>
      <c r="CU108" s="61">
        <f t="shared" si="40"/>
        <v>0</v>
      </c>
      <c r="CV108" s="61">
        <f t="shared" si="40"/>
        <v>0</v>
      </c>
      <c r="CX108" s="61">
        <f t="shared" si="41"/>
        <v>0</v>
      </c>
      <c r="EP108" s="61">
        <f t="shared" si="36"/>
        <v>0</v>
      </c>
      <c r="EQ108" s="61">
        <f t="shared" si="36"/>
        <v>0</v>
      </c>
      <c r="ER108" s="61">
        <f t="shared" si="36"/>
        <v>0</v>
      </c>
      <c r="ES108" s="61">
        <f t="shared" si="36"/>
        <v>0</v>
      </c>
      <c r="ET108" s="61">
        <f t="shared" si="37"/>
        <v>0</v>
      </c>
      <c r="EX108" s="61">
        <f t="shared" si="38"/>
        <v>0</v>
      </c>
      <c r="EZ108" s="61">
        <f t="shared" si="38"/>
        <v>0</v>
      </c>
      <c r="FN108" s="61">
        <f t="shared" si="28"/>
        <v>106</v>
      </c>
    </row>
    <row r="109" spans="1:170" ht="16.8" x14ac:dyDescent="0.3">
      <c r="A109" s="70">
        <f>'BASE MAESTRA'!B115</f>
        <v>107</v>
      </c>
      <c r="C109" s="61">
        <f t="shared" si="29"/>
        <v>0</v>
      </c>
      <c r="U109" s="61">
        <f t="shared" si="30"/>
        <v>0</v>
      </c>
      <c r="Z109" s="61">
        <f t="shared" si="31"/>
        <v>0</v>
      </c>
      <c r="AG109" s="61">
        <f t="shared" si="39"/>
        <v>0</v>
      </c>
      <c r="AH109" s="61">
        <f t="shared" si="39"/>
        <v>0</v>
      </c>
      <c r="AX109" s="61">
        <f t="shared" si="32"/>
        <v>0</v>
      </c>
      <c r="AY109" s="61">
        <f t="shared" si="32"/>
        <v>0</v>
      </c>
      <c r="AZ109" s="61">
        <f t="shared" si="32"/>
        <v>0</v>
      </c>
      <c r="BA109" s="61">
        <f t="shared" si="33"/>
        <v>0</v>
      </c>
      <c r="BJ109" s="61">
        <f t="shared" si="42"/>
        <v>0</v>
      </c>
      <c r="BK109" s="61">
        <f t="shared" si="43"/>
        <v>0</v>
      </c>
      <c r="BV109" s="61">
        <f t="shared" si="44"/>
        <v>0</v>
      </c>
      <c r="BW109" s="61">
        <f t="shared" si="45"/>
        <v>0</v>
      </c>
      <c r="CJ109" s="61">
        <f t="shared" si="35"/>
        <v>0</v>
      </c>
      <c r="CU109" s="61">
        <f t="shared" si="40"/>
        <v>0</v>
      </c>
      <c r="CV109" s="61">
        <f t="shared" si="40"/>
        <v>0</v>
      </c>
      <c r="CX109" s="61">
        <f t="shared" si="41"/>
        <v>0</v>
      </c>
      <c r="EP109" s="61">
        <f t="shared" si="36"/>
        <v>0</v>
      </c>
      <c r="EQ109" s="61">
        <f t="shared" si="36"/>
        <v>0</v>
      </c>
      <c r="ER109" s="61">
        <f t="shared" si="36"/>
        <v>0</v>
      </c>
      <c r="ES109" s="61">
        <f t="shared" si="36"/>
        <v>0</v>
      </c>
      <c r="ET109" s="61">
        <f t="shared" si="37"/>
        <v>0</v>
      </c>
      <c r="EX109" s="61">
        <f t="shared" si="38"/>
        <v>0</v>
      </c>
      <c r="EZ109" s="61">
        <f t="shared" si="38"/>
        <v>0</v>
      </c>
      <c r="FN109" s="61">
        <f t="shared" si="28"/>
        <v>107</v>
      </c>
    </row>
    <row r="110" spans="1:170" ht="16.8" x14ac:dyDescent="0.3">
      <c r="A110" s="70">
        <f>'BASE MAESTRA'!B116</f>
        <v>108</v>
      </c>
      <c r="C110" s="61">
        <f t="shared" si="29"/>
        <v>0</v>
      </c>
      <c r="U110" s="61">
        <f t="shared" si="30"/>
        <v>0</v>
      </c>
      <c r="Z110" s="61">
        <f t="shared" si="31"/>
        <v>0</v>
      </c>
      <c r="AG110" s="61">
        <f t="shared" si="39"/>
        <v>0</v>
      </c>
      <c r="AH110" s="61">
        <f t="shared" si="39"/>
        <v>0</v>
      </c>
      <c r="AX110" s="61">
        <f t="shared" si="32"/>
        <v>0</v>
      </c>
      <c r="AY110" s="61">
        <f t="shared" si="32"/>
        <v>0</v>
      </c>
      <c r="AZ110" s="61">
        <f t="shared" si="32"/>
        <v>0</v>
      </c>
      <c r="BA110" s="61">
        <f t="shared" si="33"/>
        <v>0</v>
      </c>
      <c r="BJ110" s="61">
        <f t="shared" si="42"/>
        <v>0</v>
      </c>
      <c r="BK110" s="61">
        <f t="shared" si="43"/>
        <v>0</v>
      </c>
      <c r="BV110" s="61">
        <f t="shared" si="44"/>
        <v>0</v>
      </c>
      <c r="BW110" s="61">
        <f t="shared" si="45"/>
        <v>0</v>
      </c>
      <c r="CJ110" s="61">
        <f t="shared" si="35"/>
        <v>0</v>
      </c>
      <c r="CU110" s="61">
        <f t="shared" si="40"/>
        <v>0</v>
      </c>
      <c r="CV110" s="61">
        <f t="shared" si="40"/>
        <v>0</v>
      </c>
      <c r="CX110" s="61">
        <f t="shared" si="41"/>
        <v>0</v>
      </c>
      <c r="EP110" s="61">
        <f t="shared" si="36"/>
        <v>0</v>
      </c>
      <c r="EQ110" s="61">
        <f t="shared" si="36"/>
        <v>0</v>
      </c>
      <c r="ER110" s="61">
        <f t="shared" si="36"/>
        <v>0</v>
      </c>
      <c r="ES110" s="61">
        <f t="shared" si="36"/>
        <v>0</v>
      </c>
      <c r="ET110" s="61">
        <f t="shared" si="37"/>
        <v>0</v>
      </c>
      <c r="EX110" s="61">
        <f t="shared" si="38"/>
        <v>0</v>
      </c>
      <c r="EZ110" s="61">
        <f t="shared" si="38"/>
        <v>0</v>
      </c>
      <c r="FN110" s="61">
        <f t="shared" si="28"/>
        <v>108</v>
      </c>
    </row>
    <row r="111" spans="1:170" ht="16.8" x14ac:dyDescent="0.3">
      <c r="A111" s="70">
        <f>'BASE MAESTRA'!B117</f>
        <v>109</v>
      </c>
      <c r="C111" s="61">
        <f t="shared" si="29"/>
        <v>0</v>
      </c>
      <c r="U111" s="61">
        <f t="shared" si="30"/>
        <v>0</v>
      </c>
      <c r="Z111" s="61">
        <f t="shared" si="31"/>
        <v>0</v>
      </c>
      <c r="AG111" s="61">
        <f t="shared" si="39"/>
        <v>0</v>
      </c>
      <c r="AH111" s="61">
        <f t="shared" si="39"/>
        <v>0</v>
      </c>
      <c r="AX111" s="61">
        <f t="shared" si="32"/>
        <v>0</v>
      </c>
      <c r="AY111" s="61">
        <f t="shared" si="32"/>
        <v>0</v>
      </c>
      <c r="AZ111" s="61">
        <f t="shared" si="32"/>
        <v>0</v>
      </c>
      <c r="BA111" s="61">
        <f t="shared" si="33"/>
        <v>0</v>
      </c>
      <c r="BJ111" s="61">
        <f t="shared" si="42"/>
        <v>0</v>
      </c>
      <c r="BK111" s="61">
        <f t="shared" si="43"/>
        <v>0</v>
      </c>
      <c r="BV111" s="61">
        <f t="shared" si="44"/>
        <v>0</v>
      </c>
      <c r="BW111" s="61">
        <f t="shared" si="45"/>
        <v>0</v>
      </c>
      <c r="CJ111" s="61">
        <f t="shared" si="35"/>
        <v>0</v>
      </c>
      <c r="CU111" s="61">
        <f t="shared" si="40"/>
        <v>0</v>
      </c>
      <c r="CV111" s="61">
        <f t="shared" si="40"/>
        <v>0</v>
      </c>
      <c r="CX111" s="61">
        <f t="shared" si="41"/>
        <v>0</v>
      </c>
      <c r="EP111" s="61">
        <f t="shared" si="36"/>
        <v>0</v>
      </c>
      <c r="EQ111" s="61">
        <f t="shared" si="36"/>
        <v>0</v>
      </c>
      <c r="ER111" s="61">
        <f t="shared" si="36"/>
        <v>0</v>
      </c>
      <c r="ES111" s="61">
        <f t="shared" si="36"/>
        <v>0</v>
      </c>
      <c r="ET111" s="61">
        <f t="shared" si="37"/>
        <v>0</v>
      </c>
      <c r="EX111" s="61">
        <f t="shared" si="38"/>
        <v>0</v>
      </c>
      <c r="EZ111" s="61">
        <f t="shared" si="38"/>
        <v>0</v>
      </c>
      <c r="FN111" s="61">
        <f t="shared" si="28"/>
        <v>109</v>
      </c>
    </row>
    <row r="112" spans="1:170" ht="16.8" x14ac:dyDescent="0.3">
      <c r="A112" s="70">
        <f>'BASE MAESTRA'!B118</f>
        <v>110</v>
      </c>
      <c r="C112" s="61">
        <f t="shared" si="29"/>
        <v>0</v>
      </c>
      <c r="U112" s="61">
        <f t="shared" si="30"/>
        <v>0</v>
      </c>
      <c r="Z112" s="61">
        <f t="shared" si="31"/>
        <v>0</v>
      </c>
      <c r="AG112" s="61">
        <f t="shared" si="39"/>
        <v>0</v>
      </c>
      <c r="AH112" s="61">
        <f t="shared" si="39"/>
        <v>0</v>
      </c>
      <c r="AX112" s="61">
        <f t="shared" si="32"/>
        <v>0</v>
      </c>
      <c r="AY112" s="61">
        <f t="shared" si="32"/>
        <v>0</v>
      </c>
      <c r="AZ112" s="61">
        <f t="shared" si="32"/>
        <v>0</v>
      </c>
      <c r="BA112" s="61">
        <f t="shared" si="33"/>
        <v>0</v>
      </c>
      <c r="BJ112" s="61">
        <f t="shared" si="42"/>
        <v>0</v>
      </c>
      <c r="BK112" s="61">
        <f t="shared" si="43"/>
        <v>0</v>
      </c>
      <c r="BV112" s="61">
        <f t="shared" si="44"/>
        <v>0</v>
      </c>
      <c r="BW112" s="61">
        <f t="shared" si="45"/>
        <v>0</v>
      </c>
      <c r="CJ112" s="61">
        <f t="shared" si="35"/>
        <v>0</v>
      </c>
      <c r="CU112" s="61">
        <f t="shared" si="40"/>
        <v>0</v>
      </c>
      <c r="CV112" s="61">
        <f t="shared" si="40"/>
        <v>0</v>
      </c>
      <c r="CX112" s="61">
        <f t="shared" si="41"/>
        <v>0</v>
      </c>
      <c r="EP112" s="61">
        <f t="shared" si="36"/>
        <v>0</v>
      </c>
      <c r="EQ112" s="61">
        <f t="shared" si="36"/>
        <v>0</v>
      </c>
      <c r="ER112" s="61">
        <f t="shared" si="36"/>
        <v>0</v>
      </c>
      <c r="ES112" s="61">
        <f t="shared" si="36"/>
        <v>0</v>
      </c>
      <c r="ET112" s="61">
        <f t="shared" si="37"/>
        <v>0</v>
      </c>
      <c r="EX112" s="61">
        <f t="shared" si="38"/>
        <v>0</v>
      </c>
      <c r="EZ112" s="61">
        <f t="shared" si="38"/>
        <v>0</v>
      </c>
      <c r="FN112" s="61">
        <f t="shared" si="28"/>
        <v>110</v>
      </c>
    </row>
    <row r="113" spans="1:170" ht="16.8" x14ac:dyDescent="0.3">
      <c r="A113" s="70">
        <f>'BASE MAESTRA'!B119</f>
        <v>111</v>
      </c>
      <c r="C113" s="61">
        <f t="shared" si="29"/>
        <v>0</v>
      </c>
      <c r="U113" s="61">
        <f t="shared" si="30"/>
        <v>0</v>
      </c>
      <c r="Z113" s="61">
        <f t="shared" si="31"/>
        <v>0</v>
      </c>
      <c r="AG113" s="61">
        <f t="shared" si="39"/>
        <v>0</v>
      </c>
      <c r="AH113" s="61">
        <f t="shared" si="39"/>
        <v>0</v>
      </c>
      <c r="AX113" s="61">
        <f t="shared" si="32"/>
        <v>0</v>
      </c>
      <c r="AY113" s="61">
        <f t="shared" si="32"/>
        <v>0</v>
      </c>
      <c r="AZ113" s="61">
        <f t="shared" si="32"/>
        <v>0</v>
      </c>
      <c r="BA113" s="61">
        <f t="shared" si="33"/>
        <v>0</v>
      </c>
      <c r="BJ113" s="61">
        <f t="shared" si="42"/>
        <v>0</v>
      </c>
      <c r="BK113" s="61">
        <f t="shared" si="43"/>
        <v>0</v>
      </c>
      <c r="BV113" s="61">
        <f t="shared" si="44"/>
        <v>0</v>
      </c>
      <c r="BW113" s="61">
        <f t="shared" si="45"/>
        <v>0</v>
      </c>
      <c r="CJ113" s="61">
        <f t="shared" si="35"/>
        <v>0</v>
      </c>
      <c r="CU113" s="61">
        <f t="shared" si="40"/>
        <v>0</v>
      </c>
      <c r="CV113" s="61">
        <f t="shared" si="40"/>
        <v>0</v>
      </c>
      <c r="CX113" s="61">
        <f t="shared" si="41"/>
        <v>0</v>
      </c>
      <c r="EP113" s="61">
        <f t="shared" si="36"/>
        <v>0</v>
      </c>
      <c r="EQ113" s="61">
        <f t="shared" si="36"/>
        <v>0</v>
      </c>
      <c r="ER113" s="61">
        <f t="shared" si="36"/>
        <v>0</v>
      </c>
      <c r="ES113" s="61">
        <f t="shared" si="36"/>
        <v>0</v>
      </c>
      <c r="ET113" s="61">
        <f t="shared" si="37"/>
        <v>0</v>
      </c>
      <c r="EX113" s="61">
        <f t="shared" si="38"/>
        <v>0</v>
      </c>
      <c r="EZ113" s="61">
        <f t="shared" si="38"/>
        <v>0</v>
      </c>
      <c r="FN113" s="61">
        <f t="shared" si="28"/>
        <v>111</v>
      </c>
    </row>
    <row r="114" spans="1:170" ht="16.8" x14ac:dyDescent="0.3">
      <c r="A114" s="70">
        <f>'BASE MAESTRA'!B120</f>
        <v>112</v>
      </c>
      <c r="C114" s="61">
        <f t="shared" si="29"/>
        <v>0</v>
      </c>
      <c r="U114" s="61">
        <f t="shared" si="30"/>
        <v>0</v>
      </c>
      <c r="Z114" s="61">
        <f t="shared" si="31"/>
        <v>0</v>
      </c>
      <c r="AG114" s="61">
        <f t="shared" si="39"/>
        <v>0</v>
      </c>
      <c r="AH114" s="61">
        <f t="shared" si="39"/>
        <v>0</v>
      </c>
      <c r="AX114" s="61">
        <f t="shared" si="32"/>
        <v>0</v>
      </c>
      <c r="AY114" s="61">
        <f t="shared" si="32"/>
        <v>0</v>
      </c>
      <c r="AZ114" s="61">
        <f t="shared" si="32"/>
        <v>0</v>
      </c>
      <c r="BA114" s="61">
        <f t="shared" si="33"/>
        <v>0</v>
      </c>
      <c r="BJ114" s="61">
        <f t="shared" si="42"/>
        <v>0</v>
      </c>
      <c r="BK114" s="61">
        <f t="shared" si="43"/>
        <v>0</v>
      </c>
      <c r="BV114" s="61">
        <f t="shared" si="44"/>
        <v>0</v>
      </c>
      <c r="BW114" s="61">
        <f t="shared" si="45"/>
        <v>0</v>
      </c>
      <c r="CJ114" s="61">
        <f t="shared" si="35"/>
        <v>0</v>
      </c>
      <c r="CU114" s="61">
        <f t="shared" si="40"/>
        <v>0</v>
      </c>
      <c r="CV114" s="61">
        <f t="shared" si="40"/>
        <v>0</v>
      </c>
      <c r="CX114" s="61">
        <f t="shared" si="41"/>
        <v>0</v>
      </c>
      <c r="EP114" s="61">
        <f t="shared" si="36"/>
        <v>0</v>
      </c>
      <c r="EQ114" s="61">
        <f t="shared" si="36"/>
        <v>0</v>
      </c>
      <c r="ER114" s="61">
        <f t="shared" si="36"/>
        <v>0</v>
      </c>
      <c r="ES114" s="61">
        <f t="shared" si="36"/>
        <v>0</v>
      </c>
      <c r="ET114" s="61">
        <f t="shared" si="37"/>
        <v>0</v>
      </c>
      <c r="EX114" s="61">
        <f t="shared" si="38"/>
        <v>0</v>
      </c>
      <c r="EZ114" s="61">
        <f t="shared" si="38"/>
        <v>0</v>
      </c>
      <c r="FN114" s="61">
        <f t="shared" si="28"/>
        <v>112</v>
      </c>
    </row>
    <row r="115" spans="1:170" ht="16.8" x14ac:dyDescent="0.3">
      <c r="A115" s="70">
        <f>'BASE MAESTRA'!B121</f>
        <v>113</v>
      </c>
      <c r="C115" s="61">
        <f t="shared" si="29"/>
        <v>0</v>
      </c>
      <c r="U115" s="61">
        <f t="shared" si="30"/>
        <v>0</v>
      </c>
      <c r="Z115" s="61">
        <f t="shared" si="31"/>
        <v>0</v>
      </c>
      <c r="AG115" s="61">
        <f t="shared" si="39"/>
        <v>0</v>
      </c>
      <c r="AH115" s="61">
        <f t="shared" si="39"/>
        <v>0</v>
      </c>
      <c r="AX115" s="61">
        <f t="shared" si="32"/>
        <v>0</v>
      </c>
      <c r="AY115" s="61">
        <f t="shared" si="32"/>
        <v>0</v>
      </c>
      <c r="AZ115" s="61">
        <f t="shared" si="32"/>
        <v>0</v>
      </c>
      <c r="BA115" s="61">
        <f t="shared" si="33"/>
        <v>0</v>
      </c>
      <c r="BJ115" s="61">
        <f t="shared" si="42"/>
        <v>0</v>
      </c>
      <c r="BK115" s="61">
        <f t="shared" si="43"/>
        <v>0</v>
      </c>
      <c r="BV115" s="61">
        <f t="shared" si="44"/>
        <v>0</v>
      </c>
      <c r="BW115" s="61">
        <f t="shared" si="45"/>
        <v>0</v>
      </c>
      <c r="CJ115" s="61">
        <f t="shared" si="35"/>
        <v>0</v>
      </c>
      <c r="CU115" s="61">
        <f t="shared" si="40"/>
        <v>0</v>
      </c>
      <c r="CV115" s="61">
        <f t="shared" si="40"/>
        <v>0</v>
      </c>
      <c r="CX115" s="61">
        <f t="shared" si="41"/>
        <v>0</v>
      </c>
      <c r="EP115" s="61">
        <f t="shared" si="36"/>
        <v>0</v>
      </c>
      <c r="EQ115" s="61">
        <f t="shared" si="36"/>
        <v>0</v>
      </c>
      <c r="ER115" s="61">
        <f t="shared" si="36"/>
        <v>0</v>
      </c>
      <c r="ES115" s="61">
        <f t="shared" si="36"/>
        <v>0</v>
      </c>
      <c r="ET115" s="61">
        <f t="shared" si="37"/>
        <v>0</v>
      </c>
      <c r="EX115" s="61">
        <f t="shared" si="38"/>
        <v>0</v>
      </c>
      <c r="EZ115" s="61">
        <f t="shared" si="38"/>
        <v>0</v>
      </c>
      <c r="FN115" s="61">
        <f t="shared" si="28"/>
        <v>113</v>
      </c>
    </row>
    <row r="116" spans="1:170" ht="16.8" x14ac:dyDescent="0.3">
      <c r="A116" s="70">
        <f>'BASE MAESTRA'!B122</f>
        <v>114</v>
      </c>
      <c r="C116" s="61">
        <f t="shared" si="29"/>
        <v>0</v>
      </c>
      <c r="U116" s="61">
        <f t="shared" si="30"/>
        <v>0</v>
      </c>
      <c r="Z116" s="61">
        <f t="shared" si="31"/>
        <v>0</v>
      </c>
      <c r="AG116" s="61">
        <f t="shared" si="39"/>
        <v>0</v>
      </c>
      <c r="AH116" s="61">
        <f t="shared" si="39"/>
        <v>0</v>
      </c>
      <c r="AX116" s="61">
        <f t="shared" si="32"/>
        <v>0</v>
      </c>
      <c r="AY116" s="61">
        <f t="shared" si="32"/>
        <v>0</v>
      </c>
      <c r="AZ116" s="61">
        <f t="shared" si="32"/>
        <v>0</v>
      </c>
      <c r="BA116" s="61">
        <f t="shared" si="33"/>
        <v>0</v>
      </c>
      <c r="BJ116" s="61">
        <f t="shared" si="42"/>
        <v>0</v>
      </c>
      <c r="BK116" s="61">
        <f t="shared" si="43"/>
        <v>0</v>
      </c>
      <c r="BV116" s="61">
        <f t="shared" si="44"/>
        <v>0</v>
      </c>
      <c r="BW116" s="61">
        <f t="shared" si="45"/>
        <v>0</v>
      </c>
      <c r="CJ116" s="61">
        <f t="shared" si="35"/>
        <v>0</v>
      </c>
      <c r="CU116" s="61">
        <f t="shared" si="40"/>
        <v>0</v>
      </c>
      <c r="CV116" s="61">
        <f t="shared" si="40"/>
        <v>0</v>
      </c>
      <c r="CX116" s="61">
        <f t="shared" si="41"/>
        <v>0</v>
      </c>
      <c r="EP116" s="61">
        <f t="shared" si="36"/>
        <v>0</v>
      </c>
      <c r="EQ116" s="61">
        <f t="shared" si="36"/>
        <v>0</v>
      </c>
      <c r="ER116" s="61">
        <f t="shared" si="36"/>
        <v>0</v>
      </c>
      <c r="ES116" s="61">
        <f t="shared" si="36"/>
        <v>0</v>
      </c>
      <c r="ET116" s="61">
        <f t="shared" si="37"/>
        <v>0</v>
      </c>
      <c r="EX116" s="61">
        <f t="shared" si="38"/>
        <v>0</v>
      </c>
      <c r="EZ116" s="61">
        <f t="shared" si="38"/>
        <v>0</v>
      </c>
      <c r="FN116" s="61">
        <f t="shared" si="28"/>
        <v>114</v>
      </c>
    </row>
    <row r="117" spans="1:170" ht="16.8" x14ac:dyDescent="0.3">
      <c r="A117" s="70">
        <f>'BASE MAESTRA'!B123</f>
        <v>115</v>
      </c>
      <c r="C117" s="61">
        <f t="shared" si="29"/>
        <v>0</v>
      </c>
      <c r="U117" s="61">
        <f t="shared" si="30"/>
        <v>0</v>
      </c>
      <c r="Z117" s="61">
        <f t="shared" si="31"/>
        <v>0</v>
      </c>
      <c r="AG117" s="61">
        <f t="shared" si="39"/>
        <v>0</v>
      </c>
      <c r="AH117" s="61">
        <f t="shared" si="39"/>
        <v>0</v>
      </c>
      <c r="AX117" s="61">
        <f t="shared" si="32"/>
        <v>0</v>
      </c>
      <c r="AY117" s="61">
        <f t="shared" si="32"/>
        <v>0</v>
      </c>
      <c r="AZ117" s="61">
        <f t="shared" si="32"/>
        <v>0</v>
      </c>
      <c r="BA117" s="61">
        <f t="shared" si="33"/>
        <v>0</v>
      </c>
      <c r="BJ117" s="61">
        <f t="shared" si="42"/>
        <v>0</v>
      </c>
      <c r="BK117" s="61">
        <f t="shared" si="43"/>
        <v>0</v>
      </c>
      <c r="BV117" s="61">
        <f t="shared" si="44"/>
        <v>0</v>
      </c>
      <c r="BW117" s="61">
        <f t="shared" si="45"/>
        <v>0</v>
      </c>
      <c r="CJ117" s="61">
        <f t="shared" si="35"/>
        <v>0</v>
      </c>
      <c r="CU117" s="61">
        <f t="shared" si="40"/>
        <v>0</v>
      </c>
      <c r="CV117" s="61">
        <f t="shared" si="40"/>
        <v>0</v>
      </c>
      <c r="CX117" s="61">
        <f t="shared" si="41"/>
        <v>0</v>
      </c>
      <c r="EP117" s="61">
        <f t="shared" si="36"/>
        <v>0</v>
      </c>
      <c r="EQ117" s="61">
        <f t="shared" si="36"/>
        <v>0</v>
      </c>
      <c r="ER117" s="61">
        <f t="shared" si="36"/>
        <v>0</v>
      </c>
      <c r="ES117" s="61">
        <f t="shared" si="36"/>
        <v>0</v>
      </c>
      <c r="ET117" s="61">
        <f t="shared" si="37"/>
        <v>0</v>
      </c>
      <c r="EX117" s="61">
        <f t="shared" si="38"/>
        <v>0</v>
      </c>
      <c r="EZ117" s="61">
        <f t="shared" si="38"/>
        <v>0</v>
      </c>
      <c r="FN117" s="61">
        <f t="shared" si="28"/>
        <v>115</v>
      </c>
    </row>
    <row r="118" spans="1:170" ht="16.8" x14ac:dyDescent="0.3">
      <c r="A118" s="70">
        <f>'BASE MAESTRA'!B124</f>
        <v>116</v>
      </c>
      <c r="C118" s="61">
        <f t="shared" si="29"/>
        <v>0</v>
      </c>
      <c r="U118" s="61">
        <f t="shared" si="30"/>
        <v>0</v>
      </c>
      <c r="Z118" s="61">
        <f t="shared" si="31"/>
        <v>0</v>
      </c>
      <c r="AG118" s="61">
        <f t="shared" si="39"/>
        <v>0</v>
      </c>
      <c r="AH118" s="61">
        <f t="shared" si="39"/>
        <v>0</v>
      </c>
      <c r="AX118" s="61">
        <f t="shared" si="32"/>
        <v>0</v>
      </c>
      <c r="AY118" s="61">
        <f t="shared" si="32"/>
        <v>0</v>
      </c>
      <c r="AZ118" s="61">
        <f t="shared" si="32"/>
        <v>0</v>
      </c>
      <c r="BA118" s="61">
        <f t="shared" si="33"/>
        <v>0</v>
      </c>
      <c r="BJ118" s="61">
        <f t="shared" si="42"/>
        <v>0</v>
      </c>
      <c r="BK118" s="61">
        <f t="shared" si="43"/>
        <v>0</v>
      </c>
      <c r="BV118" s="61">
        <f t="shared" si="44"/>
        <v>0</v>
      </c>
      <c r="BW118" s="61">
        <f t="shared" si="45"/>
        <v>0</v>
      </c>
      <c r="CJ118" s="61">
        <f t="shared" si="35"/>
        <v>0</v>
      </c>
      <c r="CU118" s="61">
        <f t="shared" si="40"/>
        <v>0</v>
      </c>
      <c r="CV118" s="61">
        <f t="shared" si="40"/>
        <v>0</v>
      </c>
      <c r="CX118" s="61">
        <f t="shared" si="41"/>
        <v>0</v>
      </c>
      <c r="EP118" s="61">
        <f t="shared" si="36"/>
        <v>0</v>
      </c>
      <c r="EQ118" s="61">
        <f t="shared" si="36"/>
        <v>0</v>
      </c>
      <c r="ER118" s="61">
        <f t="shared" si="36"/>
        <v>0</v>
      </c>
      <c r="ES118" s="61">
        <f t="shared" si="36"/>
        <v>0</v>
      </c>
      <c r="ET118" s="61">
        <f t="shared" si="37"/>
        <v>0</v>
      </c>
      <c r="EX118" s="61">
        <f t="shared" si="38"/>
        <v>0</v>
      </c>
      <c r="EZ118" s="61">
        <f t="shared" si="38"/>
        <v>0</v>
      </c>
      <c r="FN118" s="61">
        <f t="shared" si="28"/>
        <v>116</v>
      </c>
    </row>
    <row r="119" spans="1:170" ht="16.8" x14ac:dyDescent="0.3">
      <c r="A119" s="70">
        <f>'BASE MAESTRA'!B125</f>
        <v>117</v>
      </c>
      <c r="C119" s="61">
        <f t="shared" si="29"/>
        <v>0</v>
      </c>
      <c r="U119" s="61">
        <f t="shared" si="30"/>
        <v>0</v>
      </c>
      <c r="Z119" s="61">
        <f t="shared" si="31"/>
        <v>0</v>
      </c>
      <c r="AG119" s="61">
        <f t="shared" si="39"/>
        <v>0</v>
      </c>
      <c r="AH119" s="61">
        <f t="shared" si="39"/>
        <v>0</v>
      </c>
      <c r="AX119" s="61">
        <f t="shared" si="32"/>
        <v>0</v>
      </c>
      <c r="AY119" s="61">
        <f t="shared" si="32"/>
        <v>0</v>
      </c>
      <c r="AZ119" s="61">
        <f t="shared" si="32"/>
        <v>0</v>
      </c>
      <c r="BA119" s="61">
        <f t="shared" si="33"/>
        <v>0</v>
      </c>
      <c r="BJ119" s="61">
        <f t="shared" si="42"/>
        <v>0</v>
      </c>
      <c r="BK119" s="61">
        <f t="shared" si="43"/>
        <v>0</v>
      </c>
      <c r="BV119" s="61">
        <f t="shared" si="44"/>
        <v>0</v>
      </c>
      <c r="BW119" s="61">
        <f t="shared" si="45"/>
        <v>0</v>
      </c>
      <c r="CJ119" s="61">
        <f t="shared" si="35"/>
        <v>0</v>
      </c>
      <c r="CU119" s="61">
        <f t="shared" si="40"/>
        <v>0</v>
      </c>
      <c r="CV119" s="61">
        <f t="shared" si="40"/>
        <v>0</v>
      </c>
      <c r="CX119" s="61">
        <f t="shared" si="41"/>
        <v>0</v>
      </c>
      <c r="EP119" s="61">
        <f t="shared" si="36"/>
        <v>0</v>
      </c>
      <c r="EQ119" s="61">
        <f t="shared" si="36"/>
        <v>0</v>
      </c>
      <c r="ER119" s="61">
        <f t="shared" si="36"/>
        <v>0</v>
      </c>
      <c r="ES119" s="61">
        <f t="shared" si="36"/>
        <v>0</v>
      </c>
      <c r="ET119" s="61">
        <f t="shared" si="37"/>
        <v>0</v>
      </c>
      <c r="EX119" s="61">
        <f t="shared" si="38"/>
        <v>0</v>
      </c>
      <c r="EZ119" s="61">
        <f t="shared" si="38"/>
        <v>0</v>
      </c>
      <c r="FN119" s="61">
        <f t="shared" si="28"/>
        <v>117</v>
      </c>
    </row>
    <row r="120" spans="1:170" ht="16.8" x14ac:dyDescent="0.3">
      <c r="A120" s="70">
        <f>'BASE MAESTRA'!B126</f>
        <v>118</v>
      </c>
      <c r="C120" s="61">
        <f t="shared" si="29"/>
        <v>0</v>
      </c>
      <c r="U120" s="61">
        <f t="shared" si="30"/>
        <v>0</v>
      </c>
      <c r="Z120" s="61">
        <f t="shared" si="31"/>
        <v>0</v>
      </c>
      <c r="AG120" s="61">
        <f t="shared" si="39"/>
        <v>0</v>
      </c>
      <c r="AH120" s="61">
        <f t="shared" si="39"/>
        <v>0</v>
      </c>
      <c r="AX120" s="61">
        <f t="shared" si="32"/>
        <v>0</v>
      </c>
      <c r="AY120" s="61">
        <f t="shared" si="32"/>
        <v>0</v>
      </c>
      <c r="AZ120" s="61">
        <f t="shared" si="32"/>
        <v>0</v>
      </c>
      <c r="BA120" s="61">
        <f t="shared" si="33"/>
        <v>0</v>
      </c>
      <c r="BJ120" s="61">
        <f t="shared" si="42"/>
        <v>0</v>
      </c>
      <c r="BK120" s="61">
        <f t="shared" si="43"/>
        <v>0</v>
      </c>
      <c r="BV120" s="61">
        <f t="shared" si="44"/>
        <v>0</v>
      </c>
      <c r="BW120" s="61">
        <f t="shared" si="45"/>
        <v>0</v>
      </c>
      <c r="CJ120" s="61">
        <f t="shared" si="35"/>
        <v>0</v>
      </c>
      <c r="CU120" s="61">
        <f t="shared" si="40"/>
        <v>0</v>
      </c>
      <c r="CV120" s="61">
        <f t="shared" si="40"/>
        <v>0</v>
      </c>
      <c r="CX120" s="61">
        <f t="shared" si="41"/>
        <v>0</v>
      </c>
      <c r="EP120" s="61">
        <f t="shared" si="36"/>
        <v>0</v>
      </c>
      <c r="EQ120" s="61">
        <f t="shared" si="36"/>
        <v>0</v>
      </c>
      <c r="ER120" s="61">
        <f t="shared" si="36"/>
        <v>0</v>
      </c>
      <c r="ES120" s="61">
        <f t="shared" si="36"/>
        <v>0</v>
      </c>
      <c r="ET120" s="61">
        <f t="shared" si="37"/>
        <v>0</v>
      </c>
      <c r="EX120" s="61">
        <f t="shared" si="38"/>
        <v>0</v>
      </c>
      <c r="EZ120" s="61">
        <f t="shared" si="38"/>
        <v>0</v>
      </c>
      <c r="FN120" s="61">
        <f t="shared" si="28"/>
        <v>118</v>
      </c>
    </row>
    <row r="121" spans="1:170" ht="16.8" x14ac:dyDescent="0.3">
      <c r="A121" s="70">
        <f>'BASE MAESTRA'!B127</f>
        <v>119</v>
      </c>
      <c r="C121" s="61">
        <f t="shared" si="29"/>
        <v>0</v>
      </c>
      <c r="U121" s="61">
        <f t="shared" si="30"/>
        <v>0</v>
      </c>
      <c r="Z121" s="61">
        <f t="shared" si="31"/>
        <v>0</v>
      </c>
      <c r="AG121" s="61">
        <f t="shared" si="39"/>
        <v>0</v>
      </c>
      <c r="AH121" s="61">
        <f t="shared" si="39"/>
        <v>0</v>
      </c>
      <c r="AX121" s="61">
        <f t="shared" si="32"/>
        <v>0</v>
      </c>
      <c r="AY121" s="61">
        <f t="shared" si="32"/>
        <v>0</v>
      </c>
      <c r="AZ121" s="61">
        <f t="shared" si="32"/>
        <v>0</v>
      </c>
      <c r="BA121" s="61">
        <f t="shared" si="33"/>
        <v>0</v>
      </c>
      <c r="BJ121" s="61">
        <f t="shared" si="42"/>
        <v>0</v>
      </c>
      <c r="BK121" s="61">
        <f t="shared" si="43"/>
        <v>0</v>
      </c>
      <c r="BV121" s="61">
        <f t="shared" si="44"/>
        <v>0</v>
      </c>
      <c r="BW121" s="61">
        <f t="shared" si="45"/>
        <v>0</v>
      </c>
      <c r="CJ121" s="61">
        <f t="shared" si="35"/>
        <v>0</v>
      </c>
      <c r="CU121" s="61">
        <f t="shared" si="40"/>
        <v>0</v>
      </c>
      <c r="CV121" s="61">
        <f t="shared" si="40"/>
        <v>0</v>
      </c>
      <c r="CX121" s="61">
        <f t="shared" si="41"/>
        <v>0</v>
      </c>
      <c r="EP121" s="61">
        <f t="shared" si="36"/>
        <v>0</v>
      </c>
      <c r="EQ121" s="61">
        <f t="shared" si="36"/>
        <v>0</v>
      </c>
      <c r="ER121" s="61">
        <f t="shared" si="36"/>
        <v>0</v>
      </c>
      <c r="ES121" s="61">
        <f t="shared" si="36"/>
        <v>0</v>
      </c>
      <c r="ET121" s="61">
        <f t="shared" si="37"/>
        <v>0</v>
      </c>
      <c r="EX121" s="61">
        <f t="shared" si="38"/>
        <v>0</v>
      </c>
      <c r="EZ121" s="61">
        <f t="shared" si="38"/>
        <v>0</v>
      </c>
      <c r="FN121" s="61">
        <f t="shared" si="28"/>
        <v>119</v>
      </c>
    </row>
    <row r="122" spans="1:170" ht="16.8" x14ac:dyDescent="0.3">
      <c r="A122" s="70">
        <f>'BASE MAESTRA'!B128</f>
        <v>120</v>
      </c>
      <c r="C122" s="61">
        <f t="shared" si="29"/>
        <v>0</v>
      </c>
      <c r="U122" s="61">
        <f t="shared" si="30"/>
        <v>0</v>
      </c>
      <c r="Z122" s="61">
        <f t="shared" si="31"/>
        <v>0</v>
      </c>
      <c r="AG122" s="61">
        <f t="shared" si="39"/>
        <v>0</v>
      </c>
      <c r="AH122" s="61">
        <f t="shared" si="39"/>
        <v>0</v>
      </c>
      <c r="AX122" s="61">
        <f t="shared" si="32"/>
        <v>0</v>
      </c>
      <c r="AY122" s="61">
        <f t="shared" si="32"/>
        <v>0</v>
      </c>
      <c r="AZ122" s="61">
        <f t="shared" si="32"/>
        <v>0</v>
      </c>
      <c r="BA122" s="61">
        <f t="shared" si="33"/>
        <v>0</v>
      </c>
      <c r="BJ122" s="61">
        <f t="shared" si="42"/>
        <v>0</v>
      </c>
      <c r="BK122" s="61">
        <f t="shared" si="43"/>
        <v>0</v>
      </c>
      <c r="BV122" s="61">
        <f t="shared" si="44"/>
        <v>0</v>
      </c>
      <c r="BW122" s="61">
        <f t="shared" si="45"/>
        <v>0</v>
      </c>
      <c r="CJ122" s="61">
        <f t="shared" si="35"/>
        <v>0</v>
      </c>
      <c r="CU122" s="61">
        <f t="shared" si="40"/>
        <v>0</v>
      </c>
      <c r="CV122" s="61">
        <f t="shared" si="40"/>
        <v>0</v>
      </c>
      <c r="CX122" s="61">
        <f t="shared" si="41"/>
        <v>0</v>
      </c>
      <c r="EP122" s="61">
        <f t="shared" si="36"/>
        <v>0</v>
      </c>
      <c r="EQ122" s="61">
        <f t="shared" si="36"/>
        <v>0</v>
      </c>
      <c r="ER122" s="61">
        <f t="shared" si="36"/>
        <v>0</v>
      </c>
      <c r="ES122" s="61">
        <f t="shared" si="36"/>
        <v>0</v>
      </c>
      <c r="ET122" s="61">
        <f t="shared" si="37"/>
        <v>0</v>
      </c>
      <c r="EX122" s="61">
        <f t="shared" si="38"/>
        <v>0</v>
      </c>
      <c r="EZ122" s="61">
        <f t="shared" si="38"/>
        <v>0</v>
      </c>
      <c r="FN122" s="61">
        <f t="shared" si="28"/>
        <v>120</v>
      </c>
    </row>
    <row r="123" spans="1:170" ht="16.8" x14ac:dyDescent="0.3">
      <c r="A123" s="70">
        <f>'BASE MAESTRA'!B129</f>
        <v>121</v>
      </c>
      <c r="C123" s="61">
        <f t="shared" si="29"/>
        <v>0</v>
      </c>
      <c r="U123" s="61">
        <f t="shared" si="30"/>
        <v>0</v>
      </c>
      <c r="Z123" s="61">
        <f t="shared" si="31"/>
        <v>0</v>
      </c>
      <c r="AG123" s="61">
        <f t="shared" si="39"/>
        <v>0</v>
      </c>
      <c r="AH123" s="61">
        <f t="shared" si="39"/>
        <v>0</v>
      </c>
      <c r="AX123" s="61">
        <f t="shared" si="32"/>
        <v>0</v>
      </c>
      <c r="AY123" s="61">
        <f t="shared" si="32"/>
        <v>0</v>
      </c>
      <c r="AZ123" s="61">
        <f t="shared" si="32"/>
        <v>0</v>
      </c>
      <c r="BA123" s="61">
        <f t="shared" si="33"/>
        <v>0</v>
      </c>
      <c r="BJ123" s="61">
        <f t="shared" si="42"/>
        <v>0</v>
      </c>
      <c r="BK123" s="61">
        <f t="shared" si="43"/>
        <v>0</v>
      </c>
      <c r="BV123" s="61">
        <f t="shared" si="44"/>
        <v>0</v>
      </c>
      <c r="BW123" s="61">
        <f t="shared" si="45"/>
        <v>0</v>
      </c>
      <c r="CJ123" s="61">
        <f t="shared" si="35"/>
        <v>0</v>
      </c>
      <c r="CU123" s="61">
        <f t="shared" si="40"/>
        <v>0</v>
      </c>
      <c r="CV123" s="61">
        <f t="shared" si="40"/>
        <v>0</v>
      </c>
      <c r="CX123" s="61">
        <f t="shared" si="41"/>
        <v>0</v>
      </c>
      <c r="EP123" s="61">
        <f t="shared" si="36"/>
        <v>0</v>
      </c>
      <c r="EQ123" s="61">
        <f t="shared" si="36"/>
        <v>0</v>
      </c>
      <c r="ER123" s="61">
        <f t="shared" si="36"/>
        <v>0</v>
      </c>
      <c r="ES123" s="61">
        <f t="shared" si="36"/>
        <v>0</v>
      </c>
      <c r="ET123" s="61">
        <f t="shared" si="37"/>
        <v>0</v>
      </c>
      <c r="EX123" s="61">
        <f t="shared" si="38"/>
        <v>0</v>
      </c>
      <c r="EZ123" s="61">
        <f t="shared" si="38"/>
        <v>0</v>
      </c>
      <c r="FN123" s="61">
        <f t="shared" si="28"/>
        <v>121</v>
      </c>
    </row>
    <row r="124" spans="1:170" ht="16.8" x14ac:dyDescent="0.3">
      <c r="A124" s="70">
        <f>'BASE MAESTRA'!B130</f>
        <v>122</v>
      </c>
      <c r="C124" s="61">
        <f t="shared" si="29"/>
        <v>0</v>
      </c>
      <c r="U124" s="61">
        <f t="shared" si="30"/>
        <v>0</v>
      </c>
      <c r="Z124" s="61">
        <f t="shared" si="31"/>
        <v>0</v>
      </c>
      <c r="AG124" s="61">
        <f t="shared" si="39"/>
        <v>0</v>
      </c>
      <c r="AH124" s="61">
        <f t="shared" si="39"/>
        <v>0</v>
      </c>
      <c r="AX124" s="61">
        <f t="shared" si="32"/>
        <v>0</v>
      </c>
      <c r="AY124" s="61">
        <f t="shared" si="32"/>
        <v>0</v>
      </c>
      <c r="AZ124" s="61">
        <f t="shared" si="32"/>
        <v>0</v>
      </c>
      <c r="BA124" s="61">
        <f t="shared" si="33"/>
        <v>0</v>
      </c>
      <c r="BJ124" s="61">
        <f t="shared" si="42"/>
        <v>0</v>
      </c>
      <c r="BK124" s="61">
        <f t="shared" si="43"/>
        <v>0</v>
      </c>
      <c r="BV124" s="61">
        <f t="shared" si="44"/>
        <v>0</v>
      </c>
      <c r="BW124" s="61">
        <f t="shared" si="45"/>
        <v>0</v>
      </c>
      <c r="CJ124" s="61">
        <f t="shared" si="35"/>
        <v>0</v>
      </c>
      <c r="CU124" s="61">
        <f t="shared" si="40"/>
        <v>0</v>
      </c>
      <c r="CV124" s="61">
        <f t="shared" si="40"/>
        <v>0</v>
      </c>
      <c r="CX124" s="61">
        <f t="shared" si="41"/>
        <v>0</v>
      </c>
      <c r="EP124" s="61">
        <f t="shared" si="36"/>
        <v>0</v>
      </c>
      <c r="EQ124" s="61">
        <f t="shared" si="36"/>
        <v>0</v>
      </c>
      <c r="ER124" s="61">
        <f t="shared" si="36"/>
        <v>0</v>
      </c>
      <c r="ES124" s="61">
        <f t="shared" si="36"/>
        <v>0</v>
      </c>
      <c r="ET124" s="61">
        <f t="shared" si="37"/>
        <v>0</v>
      </c>
      <c r="EX124" s="61">
        <f t="shared" si="38"/>
        <v>0</v>
      </c>
      <c r="EZ124" s="61">
        <f t="shared" si="38"/>
        <v>0</v>
      </c>
      <c r="FN124" s="61">
        <f t="shared" si="28"/>
        <v>122</v>
      </c>
    </row>
    <row r="125" spans="1:170" ht="16.8" x14ac:dyDescent="0.3">
      <c r="A125" s="70">
        <f>'BASE MAESTRA'!B131</f>
        <v>123</v>
      </c>
      <c r="C125" s="61">
        <f t="shared" si="29"/>
        <v>0</v>
      </c>
      <c r="U125" s="61">
        <f t="shared" si="30"/>
        <v>0</v>
      </c>
      <c r="Z125" s="61">
        <f t="shared" si="31"/>
        <v>0</v>
      </c>
      <c r="AG125" s="61">
        <f t="shared" si="39"/>
        <v>0</v>
      </c>
      <c r="AH125" s="61">
        <f t="shared" si="39"/>
        <v>0</v>
      </c>
      <c r="AX125" s="61">
        <f t="shared" si="32"/>
        <v>0</v>
      </c>
      <c r="AY125" s="61">
        <f t="shared" si="32"/>
        <v>0</v>
      </c>
      <c r="AZ125" s="61">
        <f t="shared" si="32"/>
        <v>0</v>
      </c>
      <c r="BA125" s="61">
        <f t="shared" si="33"/>
        <v>0</v>
      </c>
      <c r="BJ125" s="61">
        <f t="shared" si="42"/>
        <v>0</v>
      </c>
      <c r="BK125" s="61">
        <f t="shared" si="43"/>
        <v>0</v>
      </c>
      <c r="BV125" s="61">
        <f t="shared" si="44"/>
        <v>0</v>
      </c>
      <c r="BW125" s="61">
        <f t="shared" si="45"/>
        <v>0</v>
      </c>
      <c r="CJ125" s="61">
        <f t="shared" si="35"/>
        <v>0</v>
      </c>
      <c r="CU125" s="61">
        <f t="shared" si="40"/>
        <v>0</v>
      </c>
      <c r="CV125" s="61">
        <f t="shared" si="40"/>
        <v>0</v>
      </c>
      <c r="CX125" s="61">
        <f t="shared" si="41"/>
        <v>0</v>
      </c>
      <c r="EP125" s="61">
        <f t="shared" si="36"/>
        <v>0</v>
      </c>
      <c r="EQ125" s="61">
        <f t="shared" si="36"/>
        <v>0</v>
      </c>
      <c r="ER125" s="61">
        <f t="shared" si="36"/>
        <v>0</v>
      </c>
      <c r="ES125" s="61">
        <f t="shared" si="36"/>
        <v>0</v>
      </c>
      <c r="ET125" s="61">
        <f t="shared" si="37"/>
        <v>0</v>
      </c>
      <c r="EX125" s="61">
        <f t="shared" si="38"/>
        <v>0</v>
      </c>
      <c r="EZ125" s="61">
        <f t="shared" si="38"/>
        <v>0</v>
      </c>
      <c r="FN125" s="61">
        <f t="shared" si="28"/>
        <v>123</v>
      </c>
    </row>
    <row r="126" spans="1:170" ht="16.8" x14ac:dyDescent="0.3">
      <c r="A126" s="70">
        <f>'BASE MAESTRA'!B132</f>
        <v>124</v>
      </c>
      <c r="C126" s="61">
        <f t="shared" si="29"/>
        <v>0</v>
      </c>
      <c r="U126" s="61">
        <f t="shared" si="30"/>
        <v>0</v>
      </c>
      <c r="Z126" s="61">
        <f t="shared" si="31"/>
        <v>0</v>
      </c>
      <c r="AG126" s="61">
        <f t="shared" si="39"/>
        <v>0</v>
      </c>
      <c r="AH126" s="61">
        <f t="shared" si="39"/>
        <v>0</v>
      </c>
      <c r="AX126" s="61">
        <f t="shared" si="32"/>
        <v>0</v>
      </c>
      <c r="AY126" s="61">
        <f t="shared" si="32"/>
        <v>0</v>
      </c>
      <c r="AZ126" s="61">
        <f t="shared" si="32"/>
        <v>0</v>
      </c>
      <c r="BA126" s="61">
        <f t="shared" si="33"/>
        <v>0</v>
      </c>
      <c r="BJ126" s="61">
        <f t="shared" si="42"/>
        <v>0</v>
      </c>
      <c r="BK126" s="61">
        <f t="shared" si="43"/>
        <v>0</v>
      </c>
      <c r="BV126" s="61">
        <f t="shared" si="44"/>
        <v>0</v>
      </c>
      <c r="BW126" s="61">
        <f t="shared" si="45"/>
        <v>0</v>
      </c>
      <c r="CJ126" s="61">
        <f t="shared" si="35"/>
        <v>0</v>
      </c>
      <c r="CU126" s="61">
        <f t="shared" si="40"/>
        <v>0</v>
      </c>
      <c r="CV126" s="61">
        <f t="shared" si="40"/>
        <v>0</v>
      </c>
      <c r="CX126" s="61">
        <f t="shared" si="41"/>
        <v>0</v>
      </c>
      <c r="EP126" s="61">
        <f t="shared" si="36"/>
        <v>0</v>
      </c>
      <c r="EQ126" s="61">
        <f t="shared" si="36"/>
        <v>0</v>
      </c>
      <c r="ER126" s="61">
        <f t="shared" si="36"/>
        <v>0</v>
      </c>
      <c r="ES126" s="61">
        <f t="shared" si="36"/>
        <v>0</v>
      </c>
      <c r="ET126" s="61">
        <f t="shared" si="37"/>
        <v>0</v>
      </c>
      <c r="EX126" s="61">
        <f t="shared" si="38"/>
        <v>0</v>
      </c>
      <c r="EZ126" s="61">
        <f t="shared" si="38"/>
        <v>0</v>
      </c>
      <c r="FN126" s="61">
        <f t="shared" si="28"/>
        <v>124</v>
      </c>
    </row>
    <row r="127" spans="1:170" ht="16.8" x14ac:dyDescent="0.3">
      <c r="A127" s="70">
        <f>'BASE MAESTRA'!B133</f>
        <v>125</v>
      </c>
      <c r="C127" s="61">
        <f t="shared" si="29"/>
        <v>0</v>
      </c>
      <c r="U127" s="61">
        <f t="shared" si="30"/>
        <v>0</v>
      </c>
      <c r="Z127" s="61">
        <f t="shared" si="31"/>
        <v>0</v>
      </c>
      <c r="AG127" s="61">
        <f t="shared" si="39"/>
        <v>0</v>
      </c>
      <c r="AH127" s="61">
        <f t="shared" si="39"/>
        <v>0</v>
      </c>
      <c r="AX127" s="61">
        <f t="shared" si="32"/>
        <v>0</v>
      </c>
      <c r="AY127" s="61">
        <f t="shared" si="32"/>
        <v>0</v>
      </c>
      <c r="AZ127" s="61">
        <f t="shared" si="32"/>
        <v>0</v>
      </c>
      <c r="BA127" s="61">
        <f t="shared" si="33"/>
        <v>0</v>
      </c>
      <c r="BJ127" s="61">
        <f t="shared" si="42"/>
        <v>0</v>
      </c>
      <c r="BK127" s="61">
        <f t="shared" si="43"/>
        <v>0</v>
      </c>
      <c r="BV127" s="61">
        <f t="shared" si="44"/>
        <v>0</v>
      </c>
      <c r="BW127" s="61">
        <f t="shared" si="45"/>
        <v>0</v>
      </c>
      <c r="CJ127" s="61">
        <f t="shared" si="35"/>
        <v>0</v>
      </c>
      <c r="CU127" s="61">
        <f t="shared" si="40"/>
        <v>0</v>
      </c>
      <c r="CV127" s="61">
        <f t="shared" si="40"/>
        <v>0</v>
      </c>
      <c r="CX127" s="61">
        <f t="shared" si="41"/>
        <v>0</v>
      </c>
      <c r="EP127" s="61">
        <f t="shared" si="36"/>
        <v>0</v>
      </c>
      <c r="EQ127" s="61">
        <f t="shared" si="36"/>
        <v>0</v>
      </c>
      <c r="ER127" s="61">
        <f t="shared" si="36"/>
        <v>0</v>
      </c>
      <c r="ES127" s="61">
        <f t="shared" si="36"/>
        <v>0</v>
      </c>
      <c r="ET127" s="61">
        <f t="shared" si="37"/>
        <v>0</v>
      </c>
      <c r="EX127" s="61">
        <f t="shared" si="38"/>
        <v>0</v>
      </c>
      <c r="EZ127" s="61">
        <f t="shared" si="38"/>
        <v>0</v>
      </c>
      <c r="FN127" s="61">
        <f t="shared" si="28"/>
        <v>125</v>
      </c>
    </row>
    <row r="128" spans="1:170" ht="16.8" x14ac:dyDescent="0.3">
      <c r="A128" s="70">
        <f>'BASE MAESTRA'!B134</f>
        <v>126</v>
      </c>
      <c r="C128" s="61">
        <f t="shared" si="29"/>
        <v>0</v>
      </c>
      <c r="U128" s="61">
        <f t="shared" si="30"/>
        <v>0</v>
      </c>
      <c r="Z128" s="61">
        <f t="shared" si="31"/>
        <v>0</v>
      </c>
      <c r="AG128" s="61">
        <f t="shared" si="39"/>
        <v>0</v>
      </c>
      <c r="AH128" s="61">
        <f t="shared" si="39"/>
        <v>0</v>
      </c>
      <c r="AX128" s="61">
        <f t="shared" si="32"/>
        <v>0</v>
      </c>
      <c r="AY128" s="61">
        <f t="shared" si="32"/>
        <v>0</v>
      </c>
      <c r="AZ128" s="61">
        <f t="shared" si="32"/>
        <v>0</v>
      </c>
      <c r="BA128" s="61">
        <f t="shared" si="33"/>
        <v>0</v>
      </c>
      <c r="BJ128" s="61">
        <f t="shared" si="42"/>
        <v>0</v>
      </c>
      <c r="BK128" s="61">
        <f t="shared" si="43"/>
        <v>0</v>
      </c>
      <c r="BV128" s="61">
        <f t="shared" si="44"/>
        <v>0</v>
      </c>
      <c r="BW128" s="61">
        <f t="shared" si="45"/>
        <v>0</v>
      </c>
      <c r="CJ128" s="61">
        <f t="shared" si="35"/>
        <v>0</v>
      </c>
      <c r="CU128" s="61">
        <f t="shared" si="40"/>
        <v>0</v>
      </c>
      <c r="CV128" s="61">
        <f t="shared" si="40"/>
        <v>0</v>
      </c>
      <c r="CX128" s="61">
        <f t="shared" si="41"/>
        <v>0</v>
      </c>
      <c r="EP128" s="61">
        <f t="shared" si="36"/>
        <v>0</v>
      </c>
      <c r="EQ128" s="61">
        <f t="shared" si="36"/>
        <v>0</v>
      </c>
      <c r="ER128" s="61">
        <f t="shared" si="36"/>
        <v>0</v>
      </c>
      <c r="ES128" s="61">
        <f t="shared" si="36"/>
        <v>0</v>
      </c>
      <c r="ET128" s="61">
        <f t="shared" si="37"/>
        <v>0</v>
      </c>
      <c r="EX128" s="61">
        <f t="shared" si="38"/>
        <v>0</v>
      </c>
      <c r="EZ128" s="61">
        <f t="shared" si="38"/>
        <v>0</v>
      </c>
      <c r="FN128" s="61">
        <f t="shared" si="28"/>
        <v>126</v>
      </c>
    </row>
    <row r="129" spans="1:170" ht="16.8" x14ac:dyDescent="0.3">
      <c r="A129" s="70">
        <f>'BASE MAESTRA'!B135</f>
        <v>127</v>
      </c>
      <c r="C129" s="61">
        <f t="shared" si="29"/>
        <v>0</v>
      </c>
      <c r="U129" s="61">
        <f t="shared" si="30"/>
        <v>0</v>
      </c>
      <c r="Z129" s="61">
        <f t="shared" si="31"/>
        <v>0</v>
      </c>
      <c r="AG129" s="61">
        <f t="shared" si="39"/>
        <v>0</v>
      </c>
      <c r="AH129" s="61">
        <f t="shared" si="39"/>
        <v>0</v>
      </c>
      <c r="AX129" s="61">
        <f t="shared" si="32"/>
        <v>0</v>
      </c>
      <c r="AY129" s="61">
        <f t="shared" si="32"/>
        <v>0</v>
      </c>
      <c r="AZ129" s="61">
        <f t="shared" si="32"/>
        <v>0</v>
      </c>
      <c r="BA129" s="61">
        <f t="shared" si="33"/>
        <v>0</v>
      </c>
      <c r="BJ129" s="61">
        <f t="shared" si="42"/>
        <v>0</v>
      </c>
      <c r="BK129" s="61">
        <f t="shared" si="43"/>
        <v>0</v>
      </c>
      <c r="BV129" s="61">
        <f t="shared" si="44"/>
        <v>0</v>
      </c>
      <c r="BW129" s="61">
        <f t="shared" si="45"/>
        <v>0</v>
      </c>
      <c r="CJ129" s="61">
        <f t="shared" si="35"/>
        <v>0</v>
      </c>
      <c r="CU129" s="61">
        <f t="shared" si="40"/>
        <v>0</v>
      </c>
      <c r="CV129" s="61">
        <f t="shared" si="40"/>
        <v>0</v>
      </c>
      <c r="CX129" s="61">
        <f t="shared" si="41"/>
        <v>0</v>
      </c>
      <c r="EP129" s="61">
        <f t="shared" si="36"/>
        <v>0</v>
      </c>
      <c r="EQ129" s="61">
        <f t="shared" si="36"/>
        <v>0</v>
      </c>
      <c r="ER129" s="61">
        <f t="shared" si="36"/>
        <v>0</v>
      </c>
      <c r="ES129" s="61">
        <f t="shared" si="36"/>
        <v>0</v>
      </c>
      <c r="ET129" s="61">
        <f t="shared" si="37"/>
        <v>0</v>
      </c>
      <c r="EX129" s="61">
        <f t="shared" si="38"/>
        <v>0</v>
      </c>
      <c r="EZ129" s="61">
        <f t="shared" si="38"/>
        <v>0</v>
      </c>
      <c r="FN129" s="61">
        <f t="shared" si="28"/>
        <v>127</v>
      </c>
    </row>
    <row r="130" spans="1:170" ht="16.8" x14ac:dyDescent="0.3">
      <c r="A130" s="70">
        <f>'BASE MAESTRA'!B136</f>
        <v>128</v>
      </c>
      <c r="C130" s="61">
        <f t="shared" si="29"/>
        <v>0</v>
      </c>
      <c r="U130" s="61">
        <f t="shared" si="30"/>
        <v>0</v>
      </c>
      <c r="Z130" s="61">
        <f t="shared" si="31"/>
        <v>0</v>
      </c>
      <c r="AG130" s="61">
        <f t="shared" si="39"/>
        <v>0</v>
      </c>
      <c r="AH130" s="61">
        <f t="shared" si="39"/>
        <v>0</v>
      </c>
      <c r="AX130" s="61">
        <f t="shared" si="32"/>
        <v>0</v>
      </c>
      <c r="AY130" s="61">
        <f t="shared" si="32"/>
        <v>0</v>
      </c>
      <c r="AZ130" s="61">
        <f t="shared" si="32"/>
        <v>0</v>
      </c>
      <c r="BA130" s="61">
        <f t="shared" si="33"/>
        <v>0</v>
      </c>
      <c r="BJ130" s="61">
        <f t="shared" si="42"/>
        <v>0</v>
      </c>
      <c r="BK130" s="61">
        <f t="shared" si="43"/>
        <v>0</v>
      </c>
      <c r="BV130" s="61">
        <f t="shared" si="44"/>
        <v>0</v>
      </c>
      <c r="BW130" s="61">
        <f t="shared" si="45"/>
        <v>0</v>
      </c>
      <c r="CJ130" s="61">
        <f t="shared" si="35"/>
        <v>0</v>
      </c>
      <c r="CU130" s="61">
        <f t="shared" si="40"/>
        <v>0</v>
      </c>
      <c r="CV130" s="61">
        <f t="shared" si="40"/>
        <v>0</v>
      </c>
      <c r="CX130" s="61">
        <f t="shared" si="41"/>
        <v>0</v>
      </c>
      <c r="EP130" s="61">
        <f t="shared" si="36"/>
        <v>0</v>
      </c>
      <c r="EQ130" s="61">
        <f t="shared" si="36"/>
        <v>0</v>
      </c>
      <c r="ER130" s="61">
        <f t="shared" si="36"/>
        <v>0</v>
      </c>
      <c r="ES130" s="61">
        <f t="shared" ref="EP130:ET145" si="46">VLOOKUP($A130,DatosEspecies,ES$2,FALSE)</f>
        <v>0</v>
      </c>
      <c r="ET130" s="61">
        <f t="shared" si="37"/>
        <v>0</v>
      </c>
      <c r="EX130" s="61">
        <f t="shared" si="38"/>
        <v>0</v>
      </c>
      <c r="EZ130" s="61">
        <f t="shared" si="38"/>
        <v>0</v>
      </c>
      <c r="FN130" s="61">
        <f t="shared" ref="FN130:FN138" si="47">A130</f>
        <v>128</v>
      </c>
    </row>
    <row r="131" spans="1:170" ht="16.8" x14ac:dyDescent="0.3">
      <c r="A131" s="70">
        <f>'BASE MAESTRA'!B137</f>
        <v>129</v>
      </c>
      <c r="C131" s="61">
        <f t="shared" ref="C131:C194" si="48">VLOOKUP($A131,DatosEspecies,C$2,FALSE)</f>
        <v>0</v>
      </c>
      <c r="U131" s="61">
        <f t="shared" ref="U131:U194" si="49">VLOOKUP($A131,DatosEspecies,U$2,FALSE)</f>
        <v>0</v>
      </c>
      <c r="Z131" s="61">
        <f t="shared" ref="Z131:Z194" si="50">VLOOKUP($A131,DatosEspecies,Z$2,FALSE)</f>
        <v>0</v>
      </c>
      <c r="AG131" s="61">
        <f t="shared" si="39"/>
        <v>0</v>
      </c>
      <c r="AH131" s="61">
        <f t="shared" si="39"/>
        <v>0</v>
      </c>
      <c r="AX131" s="61">
        <f t="shared" ref="AX131:AZ146" si="51">VLOOKUP($A131,DatosEspecies,AX$2,FALSE)</f>
        <v>0</v>
      </c>
      <c r="AY131" s="61">
        <f t="shared" si="51"/>
        <v>0</v>
      </c>
      <c r="AZ131" s="61">
        <f t="shared" si="51"/>
        <v>0</v>
      </c>
      <c r="BA131" s="61">
        <f t="shared" ref="BA131:BA194" si="52">VLOOKUP($A131,DatosEspecies,BA$2,FALSE)</f>
        <v>0</v>
      </c>
      <c r="BJ131" s="61">
        <f t="shared" si="42"/>
        <v>0</v>
      </c>
      <c r="BK131" s="61">
        <f t="shared" si="43"/>
        <v>0</v>
      </c>
      <c r="BV131" s="61">
        <f t="shared" ref="BV131:BV162" si="53">VLOOKUP($A131,DatosEspecies,BV$2,FALSE)</f>
        <v>0</v>
      </c>
      <c r="BW131" s="61">
        <f t="shared" si="45"/>
        <v>0</v>
      </c>
      <c r="CJ131" s="61">
        <f t="shared" ref="CJ131:CJ194" si="54">VLOOKUP($A131,DatosEspecies,CJ$2,FALSE)</f>
        <v>0</v>
      </c>
      <c r="CU131" s="61">
        <f t="shared" si="40"/>
        <v>0</v>
      </c>
      <c r="CV131" s="61">
        <f t="shared" si="40"/>
        <v>0</v>
      </c>
      <c r="CX131" s="61">
        <f t="shared" si="41"/>
        <v>0</v>
      </c>
      <c r="EP131" s="61">
        <f t="shared" si="46"/>
        <v>0</v>
      </c>
      <c r="EQ131" s="61">
        <f t="shared" si="46"/>
        <v>0</v>
      </c>
      <c r="ER131" s="61">
        <f t="shared" si="46"/>
        <v>0</v>
      </c>
      <c r="ES131" s="61">
        <f t="shared" si="46"/>
        <v>0</v>
      </c>
      <c r="ET131" s="61">
        <f t="shared" si="46"/>
        <v>0</v>
      </c>
      <c r="EX131" s="61">
        <f t="shared" ref="EX131:EZ146" si="55">VLOOKUP($A131,DatosEspecies,EX$2,FALSE)</f>
        <v>0</v>
      </c>
      <c r="EZ131" s="61">
        <f t="shared" si="55"/>
        <v>0</v>
      </c>
      <c r="FN131" s="61">
        <f t="shared" si="47"/>
        <v>129</v>
      </c>
    </row>
    <row r="132" spans="1:170" ht="16.8" x14ac:dyDescent="0.3">
      <c r="A132" s="70">
        <f>'BASE MAESTRA'!B138</f>
        <v>130</v>
      </c>
      <c r="C132" s="61">
        <f t="shared" si="48"/>
        <v>0</v>
      </c>
      <c r="U132" s="61">
        <f t="shared" si="49"/>
        <v>0</v>
      </c>
      <c r="Z132" s="61">
        <f t="shared" si="50"/>
        <v>0</v>
      </c>
      <c r="AG132" s="61">
        <f t="shared" si="39"/>
        <v>0</v>
      </c>
      <c r="AH132" s="61">
        <f t="shared" si="39"/>
        <v>0</v>
      </c>
      <c r="AX132" s="61">
        <f t="shared" si="51"/>
        <v>0</v>
      </c>
      <c r="AY132" s="61">
        <f t="shared" si="51"/>
        <v>0</v>
      </c>
      <c r="AZ132" s="61">
        <f t="shared" si="51"/>
        <v>0</v>
      </c>
      <c r="BA132" s="61">
        <f t="shared" si="52"/>
        <v>0</v>
      </c>
      <c r="BJ132" s="61">
        <f t="shared" si="42"/>
        <v>0</v>
      </c>
      <c r="BK132" s="61">
        <f t="shared" si="43"/>
        <v>0</v>
      </c>
      <c r="BV132" s="61">
        <f t="shared" si="53"/>
        <v>0</v>
      </c>
      <c r="BW132" s="61">
        <f t="shared" si="45"/>
        <v>0</v>
      </c>
      <c r="CJ132" s="61">
        <f t="shared" si="54"/>
        <v>0</v>
      </c>
      <c r="CU132" s="61">
        <f t="shared" si="40"/>
        <v>0</v>
      </c>
      <c r="CV132" s="61">
        <f t="shared" si="40"/>
        <v>0</v>
      </c>
      <c r="CX132" s="61">
        <f t="shared" si="41"/>
        <v>0</v>
      </c>
      <c r="EP132" s="61">
        <f t="shared" si="46"/>
        <v>0</v>
      </c>
      <c r="EQ132" s="61">
        <f t="shared" si="46"/>
        <v>0</v>
      </c>
      <c r="ER132" s="61">
        <f t="shared" si="46"/>
        <v>0</v>
      </c>
      <c r="ES132" s="61">
        <f t="shared" si="46"/>
        <v>0</v>
      </c>
      <c r="ET132" s="61">
        <f t="shared" si="46"/>
        <v>0</v>
      </c>
      <c r="EX132" s="61">
        <f t="shared" si="55"/>
        <v>0</v>
      </c>
      <c r="EZ132" s="61">
        <f t="shared" si="55"/>
        <v>0</v>
      </c>
      <c r="FN132" s="61">
        <f t="shared" si="47"/>
        <v>130</v>
      </c>
    </row>
    <row r="133" spans="1:170" ht="16.8" x14ac:dyDescent="0.3">
      <c r="A133" s="70">
        <f>'BASE MAESTRA'!B139</f>
        <v>131</v>
      </c>
      <c r="C133" s="61">
        <f t="shared" si="48"/>
        <v>0</v>
      </c>
      <c r="U133" s="61">
        <f t="shared" si="49"/>
        <v>0</v>
      </c>
      <c r="Z133" s="61">
        <f t="shared" si="50"/>
        <v>0</v>
      </c>
      <c r="AG133" s="61">
        <f t="shared" si="39"/>
        <v>0</v>
      </c>
      <c r="AH133" s="61">
        <f t="shared" si="39"/>
        <v>0</v>
      </c>
      <c r="AX133" s="61">
        <f t="shared" si="51"/>
        <v>0</v>
      </c>
      <c r="AY133" s="61">
        <f t="shared" si="51"/>
        <v>0</v>
      </c>
      <c r="AZ133" s="61">
        <f t="shared" si="51"/>
        <v>0</v>
      </c>
      <c r="BA133" s="61">
        <f t="shared" si="52"/>
        <v>0</v>
      </c>
      <c r="BJ133" s="61">
        <f t="shared" si="42"/>
        <v>0</v>
      </c>
      <c r="BK133" s="61">
        <f t="shared" si="43"/>
        <v>0</v>
      </c>
      <c r="BV133" s="61">
        <f t="shared" si="53"/>
        <v>0</v>
      </c>
      <c r="BW133" s="61">
        <f t="shared" si="45"/>
        <v>0</v>
      </c>
      <c r="CJ133" s="61">
        <f t="shared" si="54"/>
        <v>0</v>
      </c>
      <c r="CU133" s="61">
        <f t="shared" si="40"/>
        <v>0</v>
      </c>
      <c r="CV133" s="61">
        <f t="shared" si="40"/>
        <v>0</v>
      </c>
      <c r="CX133" s="61">
        <f t="shared" si="41"/>
        <v>0</v>
      </c>
      <c r="EP133" s="61">
        <f t="shared" si="46"/>
        <v>0</v>
      </c>
      <c r="EQ133" s="61">
        <f t="shared" si="46"/>
        <v>0</v>
      </c>
      <c r="ER133" s="61">
        <f t="shared" si="46"/>
        <v>0</v>
      </c>
      <c r="ES133" s="61">
        <f t="shared" si="46"/>
        <v>0</v>
      </c>
      <c r="ET133" s="61">
        <f t="shared" si="46"/>
        <v>0</v>
      </c>
      <c r="EX133" s="61">
        <f t="shared" si="55"/>
        <v>0</v>
      </c>
      <c r="EZ133" s="61">
        <f t="shared" si="55"/>
        <v>0</v>
      </c>
      <c r="FN133" s="61">
        <f t="shared" si="47"/>
        <v>131</v>
      </c>
    </row>
    <row r="134" spans="1:170" ht="16.8" x14ac:dyDescent="0.3">
      <c r="A134" s="70">
        <f>'BASE MAESTRA'!B140</f>
        <v>132</v>
      </c>
      <c r="C134" s="61">
        <f t="shared" si="48"/>
        <v>0</v>
      </c>
      <c r="U134" s="61">
        <f t="shared" si="49"/>
        <v>0</v>
      </c>
      <c r="Z134" s="61">
        <f t="shared" si="50"/>
        <v>0</v>
      </c>
      <c r="AG134" s="61">
        <f t="shared" si="39"/>
        <v>0</v>
      </c>
      <c r="AH134" s="61">
        <f t="shared" si="39"/>
        <v>0</v>
      </c>
      <c r="AX134" s="61">
        <f t="shared" si="51"/>
        <v>0</v>
      </c>
      <c r="AY134" s="61">
        <f t="shared" si="51"/>
        <v>0</v>
      </c>
      <c r="AZ134" s="61">
        <f t="shared" si="51"/>
        <v>0</v>
      </c>
      <c r="BA134" s="61">
        <f t="shared" si="52"/>
        <v>0</v>
      </c>
      <c r="BJ134" s="61">
        <f t="shared" si="42"/>
        <v>0</v>
      </c>
      <c r="BK134" s="61">
        <f t="shared" si="43"/>
        <v>0</v>
      </c>
      <c r="BV134" s="61">
        <f t="shared" si="53"/>
        <v>0</v>
      </c>
      <c r="BW134" s="61">
        <f t="shared" si="45"/>
        <v>0</v>
      </c>
      <c r="CJ134" s="61">
        <f t="shared" si="54"/>
        <v>0</v>
      </c>
      <c r="CU134" s="61">
        <f t="shared" si="40"/>
        <v>0</v>
      </c>
      <c r="CV134" s="61">
        <f t="shared" si="40"/>
        <v>0</v>
      </c>
      <c r="CX134" s="61">
        <f t="shared" si="41"/>
        <v>0</v>
      </c>
      <c r="EP134" s="61">
        <f t="shared" si="46"/>
        <v>0</v>
      </c>
      <c r="EQ134" s="61">
        <f t="shared" si="46"/>
        <v>0</v>
      </c>
      <c r="ER134" s="61">
        <f t="shared" si="46"/>
        <v>0</v>
      </c>
      <c r="ES134" s="61">
        <f t="shared" si="46"/>
        <v>0</v>
      </c>
      <c r="ET134" s="61">
        <f t="shared" si="46"/>
        <v>0</v>
      </c>
      <c r="EX134" s="61">
        <f t="shared" si="55"/>
        <v>0</v>
      </c>
      <c r="EZ134" s="61">
        <f t="shared" si="55"/>
        <v>0</v>
      </c>
      <c r="FN134" s="61">
        <f t="shared" si="47"/>
        <v>132</v>
      </c>
    </row>
    <row r="135" spans="1:170" ht="16.8" x14ac:dyDescent="0.3">
      <c r="A135" s="70">
        <f>'BASE MAESTRA'!B141</f>
        <v>133</v>
      </c>
      <c r="C135" s="61">
        <f t="shared" si="48"/>
        <v>0</v>
      </c>
      <c r="U135" s="61">
        <f t="shared" si="49"/>
        <v>0</v>
      </c>
      <c r="Z135" s="61">
        <f t="shared" si="50"/>
        <v>0</v>
      </c>
      <c r="AG135" s="61">
        <f t="shared" si="39"/>
        <v>0</v>
      </c>
      <c r="AH135" s="61">
        <f t="shared" si="39"/>
        <v>0</v>
      </c>
      <c r="AX135" s="61">
        <f t="shared" si="51"/>
        <v>0</v>
      </c>
      <c r="AY135" s="61">
        <f t="shared" si="51"/>
        <v>0</v>
      </c>
      <c r="AZ135" s="61">
        <f t="shared" si="51"/>
        <v>0</v>
      </c>
      <c r="BA135" s="61">
        <f t="shared" si="52"/>
        <v>0</v>
      </c>
      <c r="BJ135" s="61">
        <f t="shared" si="42"/>
        <v>0</v>
      </c>
      <c r="BK135" s="61">
        <f t="shared" si="43"/>
        <v>0</v>
      </c>
      <c r="BV135" s="61">
        <f t="shared" si="53"/>
        <v>0</v>
      </c>
      <c r="BW135" s="61">
        <f t="shared" si="45"/>
        <v>0</v>
      </c>
      <c r="CJ135" s="61">
        <f t="shared" si="54"/>
        <v>0</v>
      </c>
      <c r="CU135" s="61">
        <f t="shared" si="40"/>
        <v>0</v>
      </c>
      <c r="CV135" s="61">
        <f t="shared" si="40"/>
        <v>0</v>
      </c>
      <c r="CX135" s="61">
        <f t="shared" si="41"/>
        <v>0</v>
      </c>
      <c r="EP135" s="61">
        <f t="shared" si="46"/>
        <v>0</v>
      </c>
      <c r="EQ135" s="61">
        <f t="shared" si="46"/>
        <v>0</v>
      </c>
      <c r="ER135" s="61">
        <f t="shared" si="46"/>
        <v>0</v>
      </c>
      <c r="ES135" s="61">
        <f t="shared" si="46"/>
        <v>0</v>
      </c>
      <c r="ET135" s="61">
        <f t="shared" si="46"/>
        <v>0</v>
      </c>
      <c r="EX135" s="61">
        <f t="shared" si="55"/>
        <v>0</v>
      </c>
      <c r="EZ135" s="61">
        <f t="shared" si="55"/>
        <v>0</v>
      </c>
      <c r="FN135" s="61">
        <f t="shared" si="47"/>
        <v>133</v>
      </c>
    </row>
    <row r="136" spans="1:170" ht="16.8" x14ac:dyDescent="0.3">
      <c r="A136" s="70">
        <f>'BASE MAESTRA'!B142</f>
        <v>134</v>
      </c>
      <c r="C136" s="61">
        <f t="shared" si="48"/>
        <v>0</v>
      </c>
      <c r="U136" s="61">
        <f t="shared" si="49"/>
        <v>0</v>
      </c>
      <c r="Z136" s="61">
        <f t="shared" si="50"/>
        <v>0</v>
      </c>
      <c r="AG136" s="61">
        <f t="shared" si="39"/>
        <v>0</v>
      </c>
      <c r="AH136" s="61">
        <f t="shared" si="39"/>
        <v>0</v>
      </c>
      <c r="AX136" s="61">
        <f t="shared" si="51"/>
        <v>0</v>
      </c>
      <c r="AY136" s="61">
        <f t="shared" si="51"/>
        <v>0</v>
      </c>
      <c r="AZ136" s="61">
        <f t="shared" si="51"/>
        <v>0</v>
      </c>
      <c r="BA136" s="61">
        <f t="shared" si="52"/>
        <v>0</v>
      </c>
      <c r="BJ136" s="61">
        <f t="shared" si="42"/>
        <v>0</v>
      </c>
      <c r="BK136" s="61">
        <f t="shared" si="43"/>
        <v>0</v>
      </c>
      <c r="BV136" s="61">
        <f t="shared" si="53"/>
        <v>0</v>
      </c>
      <c r="BW136" s="61">
        <f t="shared" si="45"/>
        <v>0</v>
      </c>
      <c r="CJ136" s="61">
        <f t="shared" si="54"/>
        <v>0</v>
      </c>
      <c r="CU136" s="61">
        <f t="shared" si="40"/>
        <v>0</v>
      </c>
      <c r="CV136" s="61">
        <f t="shared" si="40"/>
        <v>0</v>
      </c>
      <c r="CX136" s="61">
        <f t="shared" si="41"/>
        <v>0</v>
      </c>
      <c r="EP136" s="61">
        <f t="shared" si="46"/>
        <v>0</v>
      </c>
      <c r="EQ136" s="61">
        <f t="shared" si="46"/>
        <v>0</v>
      </c>
      <c r="ER136" s="61">
        <f t="shared" si="46"/>
        <v>0</v>
      </c>
      <c r="ES136" s="61">
        <f t="shared" si="46"/>
        <v>0</v>
      </c>
      <c r="ET136" s="61">
        <f t="shared" si="46"/>
        <v>0</v>
      </c>
      <c r="EX136" s="61">
        <f t="shared" si="55"/>
        <v>0</v>
      </c>
      <c r="EZ136" s="61">
        <f t="shared" si="55"/>
        <v>0</v>
      </c>
      <c r="FN136" s="61">
        <f t="shared" si="47"/>
        <v>134</v>
      </c>
    </row>
    <row r="137" spans="1:170" ht="16.8" x14ac:dyDescent="0.3">
      <c r="A137" s="70">
        <f>'BASE MAESTRA'!B143</f>
        <v>135</v>
      </c>
      <c r="C137" s="61">
        <f t="shared" si="48"/>
        <v>0</v>
      </c>
      <c r="U137" s="61">
        <f t="shared" si="49"/>
        <v>0</v>
      </c>
      <c r="Z137" s="61">
        <f t="shared" si="50"/>
        <v>0</v>
      </c>
      <c r="AG137" s="61">
        <f t="shared" si="39"/>
        <v>0</v>
      </c>
      <c r="AH137" s="61">
        <f t="shared" si="39"/>
        <v>0</v>
      </c>
      <c r="AX137" s="61">
        <f t="shared" si="51"/>
        <v>0</v>
      </c>
      <c r="AY137" s="61">
        <f t="shared" si="51"/>
        <v>0</v>
      </c>
      <c r="AZ137" s="61">
        <f t="shared" si="51"/>
        <v>0</v>
      </c>
      <c r="BA137" s="61">
        <f t="shared" si="52"/>
        <v>0</v>
      </c>
      <c r="BJ137" s="61">
        <f t="shared" si="42"/>
        <v>0</v>
      </c>
      <c r="BK137" s="61">
        <f t="shared" si="43"/>
        <v>0</v>
      </c>
      <c r="BV137" s="61">
        <f t="shared" si="53"/>
        <v>0</v>
      </c>
      <c r="BW137" s="61">
        <f t="shared" si="45"/>
        <v>0</v>
      </c>
      <c r="CJ137" s="61">
        <f t="shared" si="54"/>
        <v>0</v>
      </c>
      <c r="CU137" s="61">
        <f t="shared" si="40"/>
        <v>0</v>
      </c>
      <c r="CV137" s="61">
        <f t="shared" si="40"/>
        <v>0</v>
      </c>
      <c r="CX137" s="61">
        <f t="shared" si="41"/>
        <v>0</v>
      </c>
      <c r="EP137" s="61">
        <f t="shared" si="46"/>
        <v>0</v>
      </c>
      <c r="EQ137" s="61">
        <f t="shared" si="46"/>
        <v>0</v>
      </c>
      <c r="ER137" s="61">
        <f t="shared" si="46"/>
        <v>0</v>
      </c>
      <c r="ES137" s="61">
        <f t="shared" si="46"/>
        <v>0</v>
      </c>
      <c r="ET137" s="61">
        <f t="shared" si="46"/>
        <v>0</v>
      </c>
      <c r="EX137" s="61">
        <f t="shared" si="55"/>
        <v>0</v>
      </c>
      <c r="EZ137" s="61">
        <f t="shared" si="55"/>
        <v>0</v>
      </c>
      <c r="FN137" s="61">
        <f t="shared" si="47"/>
        <v>135</v>
      </c>
    </row>
    <row r="138" spans="1:170" ht="16.8" x14ac:dyDescent="0.3">
      <c r="A138" s="70">
        <f>'BASE MAESTRA'!B144</f>
        <v>136</v>
      </c>
      <c r="C138" s="61">
        <f t="shared" si="48"/>
        <v>0</v>
      </c>
      <c r="U138" s="61">
        <f t="shared" si="49"/>
        <v>0</v>
      </c>
      <c r="Z138" s="61">
        <f t="shared" si="50"/>
        <v>0</v>
      </c>
      <c r="AG138" s="61">
        <f t="shared" si="39"/>
        <v>0</v>
      </c>
      <c r="AH138" s="61">
        <f t="shared" si="39"/>
        <v>0</v>
      </c>
      <c r="AX138" s="61">
        <f t="shared" si="51"/>
        <v>0</v>
      </c>
      <c r="AY138" s="61">
        <f t="shared" si="51"/>
        <v>0</v>
      </c>
      <c r="AZ138" s="61">
        <f t="shared" si="51"/>
        <v>0</v>
      </c>
      <c r="BA138" s="61">
        <f t="shared" si="52"/>
        <v>0</v>
      </c>
      <c r="BJ138" s="61">
        <f t="shared" si="42"/>
        <v>0</v>
      </c>
      <c r="BK138" s="61">
        <f t="shared" si="43"/>
        <v>0</v>
      </c>
      <c r="BV138" s="61">
        <f t="shared" si="53"/>
        <v>0</v>
      </c>
      <c r="BW138" s="61">
        <f t="shared" si="45"/>
        <v>0</v>
      </c>
      <c r="CJ138" s="61">
        <f t="shared" si="54"/>
        <v>0</v>
      </c>
      <c r="CU138" s="61">
        <f t="shared" si="40"/>
        <v>0</v>
      </c>
      <c r="CV138" s="61">
        <f t="shared" si="40"/>
        <v>0</v>
      </c>
      <c r="CX138" s="61">
        <f t="shared" si="41"/>
        <v>0</v>
      </c>
      <c r="EP138" s="61">
        <f t="shared" si="46"/>
        <v>0</v>
      </c>
      <c r="EQ138" s="61">
        <f t="shared" si="46"/>
        <v>0</v>
      </c>
      <c r="ER138" s="61">
        <f t="shared" si="46"/>
        <v>0</v>
      </c>
      <c r="ES138" s="61">
        <f t="shared" si="46"/>
        <v>0</v>
      </c>
      <c r="ET138" s="61">
        <f t="shared" si="46"/>
        <v>0</v>
      </c>
      <c r="EX138" s="61">
        <f t="shared" si="55"/>
        <v>0</v>
      </c>
      <c r="EZ138" s="61">
        <f t="shared" si="55"/>
        <v>0</v>
      </c>
      <c r="FN138" s="61">
        <f t="shared" si="47"/>
        <v>136</v>
      </c>
    </row>
    <row r="139" spans="1:170" ht="16.8" x14ac:dyDescent="0.3">
      <c r="A139" s="70">
        <f>'BASE MAESTRA'!B145</f>
        <v>137</v>
      </c>
      <c r="C139" s="61">
        <f t="shared" si="48"/>
        <v>0</v>
      </c>
      <c r="U139" s="61">
        <f t="shared" si="49"/>
        <v>0</v>
      </c>
      <c r="Z139" s="61">
        <f t="shared" si="50"/>
        <v>0</v>
      </c>
      <c r="AG139" s="61">
        <f t="shared" si="39"/>
        <v>0</v>
      </c>
      <c r="AH139" s="61">
        <f t="shared" si="39"/>
        <v>0</v>
      </c>
      <c r="AX139" s="61">
        <f t="shared" si="51"/>
        <v>0</v>
      </c>
      <c r="AY139" s="61">
        <f t="shared" si="51"/>
        <v>0</v>
      </c>
      <c r="AZ139" s="61">
        <f t="shared" si="51"/>
        <v>0</v>
      </c>
      <c r="BA139" s="61">
        <f t="shared" si="52"/>
        <v>0</v>
      </c>
      <c r="BJ139" s="61">
        <f t="shared" si="42"/>
        <v>0</v>
      </c>
      <c r="BK139" s="61">
        <f t="shared" si="43"/>
        <v>0</v>
      </c>
      <c r="BV139" s="61">
        <f t="shared" si="53"/>
        <v>0</v>
      </c>
      <c r="BW139" s="61">
        <f t="shared" si="45"/>
        <v>0</v>
      </c>
      <c r="CJ139" s="61">
        <f t="shared" si="54"/>
        <v>0</v>
      </c>
      <c r="CU139" s="61">
        <f t="shared" si="40"/>
        <v>0</v>
      </c>
      <c r="CV139" s="61">
        <f t="shared" si="40"/>
        <v>0</v>
      </c>
      <c r="CX139" s="61">
        <f t="shared" si="41"/>
        <v>0</v>
      </c>
      <c r="EP139" s="61">
        <f t="shared" si="46"/>
        <v>0</v>
      </c>
      <c r="EQ139" s="61">
        <f t="shared" si="46"/>
        <v>0</v>
      </c>
      <c r="ER139" s="61">
        <f t="shared" si="46"/>
        <v>0</v>
      </c>
      <c r="ES139" s="61">
        <f t="shared" si="46"/>
        <v>0</v>
      </c>
      <c r="ET139" s="61">
        <f t="shared" si="46"/>
        <v>0</v>
      </c>
      <c r="EX139" s="61">
        <f t="shared" si="55"/>
        <v>0</v>
      </c>
      <c r="EZ139" s="61">
        <f t="shared" si="55"/>
        <v>0</v>
      </c>
      <c r="FN139" s="61">
        <f t="shared" ref="FN139:FN202" si="56">A139</f>
        <v>137</v>
      </c>
    </row>
    <row r="140" spans="1:170" ht="16.8" x14ac:dyDescent="0.3">
      <c r="A140" s="70">
        <f>'BASE MAESTRA'!B146</f>
        <v>138</v>
      </c>
      <c r="C140" s="61">
        <f t="shared" si="48"/>
        <v>0</v>
      </c>
      <c r="U140" s="61">
        <f t="shared" si="49"/>
        <v>0</v>
      </c>
      <c r="Z140" s="61">
        <f t="shared" si="50"/>
        <v>0</v>
      </c>
      <c r="AG140" s="61">
        <f t="shared" ref="AG140:AH202" si="57">VLOOKUP($A140,DatosEspecies,AG$2,FALSE)</f>
        <v>0</v>
      </c>
      <c r="AH140" s="61">
        <f t="shared" si="57"/>
        <v>0</v>
      </c>
      <c r="AX140" s="61">
        <f t="shared" si="51"/>
        <v>0</v>
      </c>
      <c r="AY140" s="61">
        <f t="shared" si="51"/>
        <v>0</v>
      </c>
      <c r="AZ140" s="61">
        <f t="shared" si="51"/>
        <v>0</v>
      </c>
      <c r="BA140" s="61">
        <f t="shared" si="52"/>
        <v>0</v>
      </c>
      <c r="BJ140" s="61">
        <f t="shared" si="42"/>
        <v>0</v>
      </c>
      <c r="BK140" s="61">
        <f t="shared" si="43"/>
        <v>0</v>
      </c>
      <c r="BV140" s="61">
        <f t="shared" si="53"/>
        <v>0</v>
      </c>
      <c r="BW140" s="61">
        <f t="shared" si="45"/>
        <v>0</v>
      </c>
      <c r="CJ140" s="61">
        <f t="shared" si="54"/>
        <v>0</v>
      </c>
      <c r="CU140" s="61">
        <f t="shared" ref="CU140:CV202" si="58">VLOOKUP($A140,DatosEspecies,CU$2,FALSE)</f>
        <v>0</v>
      </c>
      <c r="CV140" s="61">
        <f t="shared" si="58"/>
        <v>0</v>
      </c>
      <c r="CX140" s="61">
        <f t="shared" si="41"/>
        <v>0</v>
      </c>
      <c r="EP140" s="61">
        <f t="shared" si="46"/>
        <v>0</v>
      </c>
      <c r="EQ140" s="61">
        <f t="shared" si="46"/>
        <v>0</v>
      </c>
      <c r="ER140" s="61">
        <f t="shared" si="46"/>
        <v>0</v>
      </c>
      <c r="ES140" s="61">
        <f t="shared" si="46"/>
        <v>0</v>
      </c>
      <c r="ET140" s="61">
        <f t="shared" si="46"/>
        <v>0</v>
      </c>
      <c r="EX140" s="61">
        <f t="shared" si="55"/>
        <v>0</v>
      </c>
      <c r="EZ140" s="61">
        <f t="shared" si="55"/>
        <v>0</v>
      </c>
      <c r="FN140" s="61">
        <f t="shared" si="56"/>
        <v>138</v>
      </c>
    </row>
    <row r="141" spans="1:170" ht="16.8" x14ac:dyDescent="0.3">
      <c r="A141" s="70">
        <f>'BASE MAESTRA'!B147</f>
        <v>139</v>
      </c>
      <c r="C141" s="61">
        <f t="shared" si="48"/>
        <v>0</v>
      </c>
      <c r="U141" s="61">
        <f t="shared" si="49"/>
        <v>0</v>
      </c>
      <c r="Z141" s="61">
        <f t="shared" si="50"/>
        <v>0</v>
      </c>
      <c r="AG141" s="61">
        <f t="shared" si="57"/>
        <v>0</v>
      </c>
      <c r="AH141" s="61">
        <f t="shared" si="57"/>
        <v>0</v>
      </c>
      <c r="AX141" s="61">
        <f t="shared" si="51"/>
        <v>0</v>
      </c>
      <c r="AY141" s="61">
        <f t="shared" si="51"/>
        <v>0</v>
      </c>
      <c r="AZ141" s="61">
        <f t="shared" si="51"/>
        <v>0</v>
      </c>
      <c r="BA141" s="61">
        <f t="shared" si="52"/>
        <v>0</v>
      </c>
      <c r="BJ141" s="61">
        <f t="shared" si="42"/>
        <v>0</v>
      </c>
      <c r="BK141" s="61">
        <f t="shared" si="43"/>
        <v>0</v>
      </c>
      <c r="BV141" s="61">
        <f t="shared" si="53"/>
        <v>0</v>
      </c>
      <c r="BW141" s="61">
        <f t="shared" si="45"/>
        <v>0</v>
      </c>
      <c r="CJ141" s="61">
        <f t="shared" si="54"/>
        <v>0</v>
      </c>
      <c r="CU141" s="61">
        <f t="shared" si="58"/>
        <v>0</v>
      </c>
      <c r="CV141" s="61">
        <f t="shared" si="58"/>
        <v>0</v>
      </c>
      <c r="CX141" s="61">
        <f t="shared" si="41"/>
        <v>0</v>
      </c>
      <c r="EP141" s="61">
        <f t="shared" si="46"/>
        <v>0</v>
      </c>
      <c r="EQ141" s="61">
        <f t="shared" si="46"/>
        <v>0</v>
      </c>
      <c r="ER141" s="61">
        <f t="shared" si="46"/>
        <v>0</v>
      </c>
      <c r="ES141" s="61">
        <f t="shared" si="46"/>
        <v>0</v>
      </c>
      <c r="ET141" s="61">
        <f t="shared" si="46"/>
        <v>0</v>
      </c>
      <c r="EX141" s="61">
        <f t="shared" si="55"/>
        <v>0</v>
      </c>
      <c r="EZ141" s="61">
        <f t="shared" si="55"/>
        <v>0</v>
      </c>
      <c r="FN141" s="61">
        <f t="shared" si="56"/>
        <v>139</v>
      </c>
    </row>
    <row r="142" spans="1:170" ht="16.8" x14ac:dyDescent="0.3">
      <c r="A142" s="70">
        <f>'BASE MAESTRA'!B148</f>
        <v>140</v>
      </c>
      <c r="C142" s="61">
        <f t="shared" si="48"/>
        <v>0</v>
      </c>
      <c r="U142" s="61">
        <f t="shared" si="49"/>
        <v>0</v>
      </c>
      <c r="Z142" s="61">
        <f t="shared" si="50"/>
        <v>0</v>
      </c>
      <c r="AG142" s="61">
        <f t="shared" si="57"/>
        <v>0</v>
      </c>
      <c r="AH142" s="61">
        <f t="shared" si="57"/>
        <v>0</v>
      </c>
      <c r="AX142" s="61">
        <f t="shared" si="51"/>
        <v>0</v>
      </c>
      <c r="AY142" s="61">
        <f t="shared" si="51"/>
        <v>0</v>
      </c>
      <c r="AZ142" s="61">
        <f t="shared" si="51"/>
        <v>0</v>
      </c>
      <c r="BA142" s="61">
        <f t="shared" si="52"/>
        <v>0</v>
      </c>
      <c r="BJ142" s="61">
        <f t="shared" si="42"/>
        <v>0</v>
      </c>
      <c r="BK142" s="61">
        <f t="shared" si="43"/>
        <v>0</v>
      </c>
      <c r="BV142" s="61">
        <f t="shared" si="53"/>
        <v>0</v>
      </c>
      <c r="BW142" s="61">
        <f t="shared" si="45"/>
        <v>0</v>
      </c>
      <c r="CJ142" s="61">
        <f t="shared" si="54"/>
        <v>0</v>
      </c>
      <c r="CU142" s="61">
        <f t="shared" si="58"/>
        <v>0</v>
      </c>
      <c r="CV142" s="61">
        <f t="shared" si="58"/>
        <v>0</v>
      </c>
      <c r="CX142" s="61">
        <f t="shared" si="41"/>
        <v>0</v>
      </c>
      <c r="EP142" s="61">
        <f t="shared" si="46"/>
        <v>0</v>
      </c>
      <c r="EQ142" s="61">
        <f t="shared" si="46"/>
        <v>0</v>
      </c>
      <c r="ER142" s="61">
        <f t="shared" si="46"/>
        <v>0</v>
      </c>
      <c r="ES142" s="61">
        <f t="shared" si="46"/>
        <v>0</v>
      </c>
      <c r="ET142" s="61">
        <f t="shared" si="46"/>
        <v>0</v>
      </c>
      <c r="EX142" s="61">
        <f t="shared" si="55"/>
        <v>0</v>
      </c>
      <c r="EZ142" s="61">
        <f t="shared" si="55"/>
        <v>0</v>
      </c>
      <c r="FN142" s="61">
        <f t="shared" si="56"/>
        <v>140</v>
      </c>
    </row>
    <row r="143" spans="1:170" ht="16.8" x14ac:dyDescent="0.3">
      <c r="A143" s="70">
        <f>'BASE MAESTRA'!B149</f>
        <v>141</v>
      </c>
      <c r="C143" s="61">
        <f t="shared" si="48"/>
        <v>0</v>
      </c>
      <c r="U143" s="61">
        <f t="shared" si="49"/>
        <v>0</v>
      </c>
      <c r="Z143" s="61">
        <f t="shared" si="50"/>
        <v>0</v>
      </c>
      <c r="AG143" s="61">
        <f t="shared" si="57"/>
        <v>0</v>
      </c>
      <c r="AH143" s="61">
        <f t="shared" si="57"/>
        <v>0</v>
      </c>
      <c r="AX143" s="61">
        <f t="shared" si="51"/>
        <v>0</v>
      </c>
      <c r="AY143" s="61">
        <f t="shared" si="51"/>
        <v>0</v>
      </c>
      <c r="AZ143" s="61">
        <f t="shared" si="51"/>
        <v>0</v>
      </c>
      <c r="BA143" s="61">
        <f t="shared" si="52"/>
        <v>0</v>
      </c>
      <c r="BJ143" s="61">
        <f t="shared" si="42"/>
        <v>0</v>
      </c>
      <c r="BK143" s="61">
        <f t="shared" si="43"/>
        <v>0</v>
      </c>
      <c r="BV143" s="61">
        <f t="shared" si="53"/>
        <v>0</v>
      </c>
      <c r="BW143" s="61">
        <f t="shared" si="45"/>
        <v>0</v>
      </c>
      <c r="CJ143" s="61">
        <f t="shared" si="54"/>
        <v>0</v>
      </c>
      <c r="CU143" s="61">
        <f t="shared" si="58"/>
        <v>0</v>
      </c>
      <c r="CV143" s="61">
        <f t="shared" si="58"/>
        <v>0</v>
      </c>
      <c r="CX143" s="61">
        <f t="shared" si="41"/>
        <v>0</v>
      </c>
      <c r="EP143" s="61">
        <f t="shared" si="46"/>
        <v>0</v>
      </c>
      <c r="EQ143" s="61">
        <f t="shared" si="46"/>
        <v>0</v>
      </c>
      <c r="ER143" s="61">
        <f t="shared" si="46"/>
        <v>0</v>
      </c>
      <c r="ES143" s="61">
        <f t="shared" si="46"/>
        <v>0</v>
      </c>
      <c r="ET143" s="61">
        <f t="shared" si="46"/>
        <v>0</v>
      </c>
      <c r="EX143" s="61">
        <f t="shared" si="55"/>
        <v>0</v>
      </c>
      <c r="EZ143" s="61">
        <f t="shared" si="55"/>
        <v>0</v>
      </c>
      <c r="FN143" s="61">
        <f t="shared" si="56"/>
        <v>141</v>
      </c>
    </row>
    <row r="144" spans="1:170" ht="16.8" x14ac:dyDescent="0.3">
      <c r="A144" s="70">
        <f>'BASE MAESTRA'!B150</f>
        <v>142</v>
      </c>
      <c r="C144" s="61">
        <f t="shared" si="48"/>
        <v>0</v>
      </c>
      <c r="U144" s="61">
        <f t="shared" si="49"/>
        <v>0</v>
      </c>
      <c r="Z144" s="61">
        <f t="shared" si="50"/>
        <v>0</v>
      </c>
      <c r="AG144" s="61">
        <f t="shared" si="57"/>
        <v>0</v>
      </c>
      <c r="AH144" s="61">
        <f t="shared" si="57"/>
        <v>0</v>
      </c>
      <c r="AX144" s="61">
        <f t="shared" si="51"/>
        <v>0</v>
      </c>
      <c r="AY144" s="61">
        <f t="shared" si="51"/>
        <v>0</v>
      </c>
      <c r="AZ144" s="61">
        <f t="shared" si="51"/>
        <v>0</v>
      </c>
      <c r="BA144" s="61">
        <f t="shared" si="52"/>
        <v>0</v>
      </c>
      <c r="BJ144" s="61">
        <f t="shared" si="42"/>
        <v>0</v>
      </c>
      <c r="BK144" s="61">
        <f t="shared" si="43"/>
        <v>0</v>
      </c>
      <c r="BV144" s="61">
        <f t="shared" si="53"/>
        <v>0</v>
      </c>
      <c r="BW144" s="61">
        <f t="shared" si="45"/>
        <v>0</v>
      </c>
      <c r="CJ144" s="61">
        <f t="shared" si="54"/>
        <v>0</v>
      </c>
      <c r="CU144" s="61">
        <f t="shared" si="58"/>
        <v>0</v>
      </c>
      <c r="CV144" s="61">
        <f t="shared" si="58"/>
        <v>0</v>
      </c>
      <c r="CX144" s="61">
        <f t="shared" si="41"/>
        <v>0</v>
      </c>
      <c r="EP144" s="61">
        <f t="shared" si="46"/>
        <v>0</v>
      </c>
      <c r="EQ144" s="61">
        <f t="shared" si="46"/>
        <v>0</v>
      </c>
      <c r="ER144" s="61">
        <f t="shared" si="46"/>
        <v>0</v>
      </c>
      <c r="ES144" s="61">
        <f t="shared" si="46"/>
        <v>0</v>
      </c>
      <c r="ET144" s="61">
        <f t="shared" si="46"/>
        <v>0</v>
      </c>
      <c r="EX144" s="61">
        <f t="shared" si="55"/>
        <v>0</v>
      </c>
      <c r="EZ144" s="61">
        <f t="shared" si="55"/>
        <v>0</v>
      </c>
      <c r="FN144" s="61">
        <f t="shared" si="56"/>
        <v>142</v>
      </c>
    </row>
    <row r="145" spans="1:170" ht="16.8" x14ac:dyDescent="0.3">
      <c r="A145" s="70">
        <f>'BASE MAESTRA'!B151</f>
        <v>143</v>
      </c>
      <c r="C145" s="61">
        <f t="shared" si="48"/>
        <v>0</v>
      </c>
      <c r="U145" s="61">
        <f t="shared" si="49"/>
        <v>0</v>
      </c>
      <c r="Z145" s="61">
        <f t="shared" si="50"/>
        <v>0</v>
      </c>
      <c r="AG145" s="61">
        <f t="shared" si="57"/>
        <v>0</v>
      </c>
      <c r="AH145" s="61">
        <f t="shared" si="57"/>
        <v>0</v>
      </c>
      <c r="AX145" s="61">
        <f t="shared" si="51"/>
        <v>0</v>
      </c>
      <c r="AY145" s="61">
        <f t="shared" si="51"/>
        <v>0</v>
      </c>
      <c r="AZ145" s="61">
        <f t="shared" si="51"/>
        <v>0</v>
      </c>
      <c r="BA145" s="61">
        <f t="shared" si="52"/>
        <v>0</v>
      </c>
      <c r="BJ145" s="61">
        <f t="shared" si="42"/>
        <v>0</v>
      </c>
      <c r="BK145" s="61">
        <f t="shared" si="43"/>
        <v>0</v>
      </c>
      <c r="BV145" s="61">
        <f t="shared" si="53"/>
        <v>0</v>
      </c>
      <c r="BW145" s="61">
        <f t="shared" si="45"/>
        <v>0</v>
      </c>
      <c r="CJ145" s="61">
        <f t="shared" si="54"/>
        <v>0</v>
      </c>
      <c r="CU145" s="61">
        <f t="shared" si="58"/>
        <v>0</v>
      </c>
      <c r="CV145" s="61">
        <f t="shared" si="58"/>
        <v>0</v>
      </c>
      <c r="CX145" s="61">
        <f t="shared" si="41"/>
        <v>0</v>
      </c>
      <c r="EP145" s="61">
        <f t="shared" si="46"/>
        <v>0</v>
      </c>
      <c r="EQ145" s="61">
        <f t="shared" si="46"/>
        <v>0</v>
      </c>
      <c r="ER145" s="61">
        <f t="shared" si="46"/>
        <v>0</v>
      </c>
      <c r="ES145" s="61">
        <f t="shared" si="46"/>
        <v>0</v>
      </c>
      <c r="ET145" s="61">
        <f t="shared" si="46"/>
        <v>0</v>
      </c>
      <c r="EX145" s="61">
        <f t="shared" si="55"/>
        <v>0</v>
      </c>
      <c r="EZ145" s="61">
        <f t="shared" si="55"/>
        <v>0</v>
      </c>
      <c r="FN145" s="61">
        <f t="shared" si="56"/>
        <v>143</v>
      </c>
    </row>
    <row r="146" spans="1:170" ht="16.8" x14ac:dyDescent="0.3">
      <c r="A146" s="70">
        <f>'BASE MAESTRA'!B152</f>
        <v>144</v>
      </c>
      <c r="C146" s="61">
        <f t="shared" si="48"/>
        <v>0</v>
      </c>
      <c r="U146" s="61">
        <f t="shared" si="49"/>
        <v>0</v>
      </c>
      <c r="Z146" s="61">
        <f t="shared" si="50"/>
        <v>0</v>
      </c>
      <c r="AG146" s="61">
        <f t="shared" si="57"/>
        <v>0</v>
      </c>
      <c r="AH146" s="61">
        <f t="shared" si="57"/>
        <v>0</v>
      </c>
      <c r="AX146" s="61">
        <f t="shared" si="51"/>
        <v>0</v>
      </c>
      <c r="AY146" s="61">
        <f t="shared" si="51"/>
        <v>0</v>
      </c>
      <c r="AZ146" s="61">
        <f t="shared" si="51"/>
        <v>0</v>
      </c>
      <c r="BA146" s="61">
        <f t="shared" si="52"/>
        <v>0</v>
      </c>
      <c r="BJ146" s="61">
        <f t="shared" si="42"/>
        <v>0</v>
      </c>
      <c r="BK146" s="61">
        <f t="shared" si="43"/>
        <v>0</v>
      </c>
      <c r="BV146" s="61">
        <f t="shared" si="53"/>
        <v>0</v>
      </c>
      <c r="BW146" s="61">
        <f t="shared" si="45"/>
        <v>0</v>
      </c>
      <c r="CJ146" s="61">
        <f t="shared" si="54"/>
        <v>0</v>
      </c>
      <c r="CU146" s="61">
        <f t="shared" si="58"/>
        <v>0</v>
      </c>
      <c r="CV146" s="61">
        <f t="shared" si="58"/>
        <v>0</v>
      </c>
      <c r="CX146" s="61">
        <f t="shared" si="41"/>
        <v>0</v>
      </c>
      <c r="EP146" s="61">
        <f t="shared" ref="EP146:ES202" si="59">VLOOKUP($A146,DatosEspecies,EP$2,FALSE)</f>
        <v>0</v>
      </c>
      <c r="EQ146" s="61">
        <f t="shared" si="59"/>
        <v>0</v>
      </c>
      <c r="ER146" s="61">
        <f t="shared" si="59"/>
        <v>0</v>
      </c>
      <c r="ES146" s="61">
        <f t="shared" si="59"/>
        <v>0</v>
      </c>
      <c r="ET146" s="61">
        <f t="shared" ref="ET146:ET202" si="60">VLOOKUP($A146,DatosEspecies,ET$2,FALSE)</f>
        <v>0</v>
      </c>
      <c r="EX146" s="61">
        <f t="shared" si="55"/>
        <v>0</v>
      </c>
      <c r="EZ146" s="61">
        <f t="shared" si="55"/>
        <v>0</v>
      </c>
      <c r="FN146" s="61">
        <f t="shared" si="56"/>
        <v>144</v>
      </c>
    </row>
    <row r="147" spans="1:170" ht="16.8" x14ac:dyDescent="0.3">
      <c r="A147" s="70">
        <f>'BASE MAESTRA'!B153</f>
        <v>145</v>
      </c>
      <c r="C147" s="61">
        <f t="shared" si="48"/>
        <v>0</v>
      </c>
      <c r="U147" s="61">
        <f t="shared" si="49"/>
        <v>0</v>
      </c>
      <c r="Z147" s="61">
        <f t="shared" si="50"/>
        <v>0</v>
      </c>
      <c r="AG147" s="61">
        <f t="shared" si="57"/>
        <v>0</v>
      </c>
      <c r="AH147" s="61">
        <f t="shared" si="57"/>
        <v>0</v>
      </c>
      <c r="AX147" s="61">
        <f t="shared" ref="AX147:AZ202" si="61">VLOOKUP($A147,DatosEspecies,AX$2,FALSE)</f>
        <v>0</v>
      </c>
      <c r="AY147" s="61">
        <f t="shared" si="61"/>
        <v>0</v>
      </c>
      <c r="AZ147" s="61">
        <f t="shared" si="61"/>
        <v>0</v>
      </c>
      <c r="BA147" s="61">
        <f t="shared" si="52"/>
        <v>0</v>
      </c>
      <c r="BJ147" s="61">
        <f t="shared" si="42"/>
        <v>0</v>
      </c>
      <c r="BK147" s="61">
        <f t="shared" si="43"/>
        <v>0</v>
      </c>
      <c r="BV147" s="61">
        <f t="shared" si="53"/>
        <v>0</v>
      </c>
      <c r="BW147" s="61">
        <f t="shared" si="45"/>
        <v>0</v>
      </c>
      <c r="CJ147" s="61">
        <f t="shared" si="54"/>
        <v>0</v>
      </c>
      <c r="CU147" s="61">
        <f t="shared" si="58"/>
        <v>0</v>
      </c>
      <c r="CV147" s="61">
        <f t="shared" si="58"/>
        <v>0</v>
      </c>
      <c r="CX147" s="61">
        <f t="shared" si="41"/>
        <v>0</v>
      </c>
      <c r="EP147" s="61">
        <f t="shared" si="59"/>
        <v>0</v>
      </c>
      <c r="EQ147" s="61">
        <f t="shared" si="59"/>
        <v>0</v>
      </c>
      <c r="ER147" s="61">
        <f t="shared" si="59"/>
        <v>0</v>
      </c>
      <c r="ES147" s="61">
        <f t="shared" si="59"/>
        <v>0</v>
      </c>
      <c r="ET147" s="61">
        <f t="shared" si="60"/>
        <v>0</v>
      </c>
      <c r="EX147" s="61">
        <f t="shared" ref="EX147:EZ202" si="62">VLOOKUP($A147,DatosEspecies,EX$2,FALSE)</f>
        <v>0</v>
      </c>
      <c r="EZ147" s="61">
        <f t="shared" si="62"/>
        <v>0</v>
      </c>
      <c r="FN147" s="61">
        <f t="shared" si="56"/>
        <v>145</v>
      </c>
    </row>
    <row r="148" spans="1:170" ht="16.8" x14ac:dyDescent="0.3">
      <c r="A148" s="70">
        <f>'BASE MAESTRA'!B154</f>
        <v>146</v>
      </c>
      <c r="C148" s="61">
        <f t="shared" si="48"/>
        <v>0</v>
      </c>
      <c r="U148" s="61">
        <f t="shared" si="49"/>
        <v>0</v>
      </c>
      <c r="Z148" s="61">
        <f t="shared" si="50"/>
        <v>0</v>
      </c>
      <c r="AG148" s="61">
        <f t="shared" si="57"/>
        <v>0</v>
      </c>
      <c r="AH148" s="61">
        <f t="shared" si="57"/>
        <v>0</v>
      </c>
      <c r="AX148" s="61">
        <f t="shared" si="61"/>
        <v>0</v>
      </c>
      <c r="AY148" s="61">
        <f t="shared" si="61"/>
        <v>0</v>
      </c>
      <c r="AZ148" s="61">
        <f t="shared" si="61"/>
        <v>0</v>
      </c>
      <c r="BA148" s="61">
        <f t="shared" si="52"/>
        <v>0</v>
      </c>
      <c r="BJ148" s="61">
        <f t="shared" si="42"/>
        <v>0</v>
      </c>
      <c r="BK148" s="61">
        <f t="shared" si="43"/>
        <v>0</v>
      </c>
      <c r="BV148" s="61">
        <f t="shared" si="53"/>
        <v>0</v>
      </c>
      <c r="BW148" s="61">
        <f t="shared" si="45"/>
        <v>0</v>
      </c>
      <c r="CJ148" s="61">
        <f t="shared" si="54"/>
        <v>0</v>
      </c>
      <c r="CU148" s="61">
        <f t="shared" si="58"/>
        <v>0</v>
      </c>
      <c r="CV148" s="61">
        <f t="shared" si="58"/>
        <v>0</v>
      </c>
      <c r="CX148" s="61">
        <f t="shared" si="41"/>
        <v>0</v>
      </c>
      <c r="EP148" s="61">
        <f t="shared" si="59"/>
        <v>0</v>
      </c>
      <c r="EQ148" s="61">
        <f t="shared" si="59"/>
        <v>0</v>
      </c>
      <c r="ER148" s="61">
        <f t="shared" si="59"/>
        <v>0</v>
      </c>
      <c r="ES148" s="61">
        <f t="shared" si="59"/>
        <v>0</v>
      </c>
      <c r="ET148" s="61">
        <f t="shared" si="60"/>
        <v>0</v>
      </c>
      <c r="EX148" s="61">
        <f t="shared" si="62"/>
        <v>0</v>
      </c>
      <c r="EZ148" s="61">
        <f t="shared" si="62"/>
        <v>0</v>
      </c>
      <c r="FN148" s="61">
        <f t="shared" si="56"/>
        <v>146</v>
      </c>
    </row>
    <row r="149" spans="1:170" ht="16.8" x14ac:dyDescent="0.3">
      <c r="A149" s="70">
        <f>'BASE MAESTRA'!B155</f>
        <v>147</v>
      </c>
      <c r="C149" s="61">
        <f t="shared" si="48"/>
        <v>0</v>
      </c>
      <c r="U149" s="61">
        <f t="shared" si="49"/>
        <v>0</v>
      </c>
      <c r="Z149" s="61">
        <f t="shared" si="50"/>
        <v>0</v>
      </c>
      <c r="AG149" s="61">
        <f t="shared" si="57"/>
        <v>0</v>
      </c>
      <c r="AH149" s="61">
        <f t="shared" si="57"/>
        <v>0</v>
      </c>
      <c r="AX149" s="61">
        <f t="shared" si="61"/>
        <v>0</v>
      </c>
      <c r="AY149" s="61">
        <f t="shared" si="61"/>
        <v>0</v>
      </c>
      <c r="AZ149" s="61">
        <f t="shared" si="61"/>
        <v>0</v>
      </c>
      <c r="BA149" s="61">
        <f t="shared" si="52"/>
        <v>0</v>
      </c>
      <c r="BJ149" s="61">
        <f t="shared" si="42"/>
        <v>0</v>
      </c>
      <c r="BK149" s="61">
        <f t="shared" si="43"/>
        <v>0</v>
      </c>
      <c r="BV149" s="61">
        <f t="shared" si="53"/>
        <v>0</v>
      </c>
      <c r="BW149" s="61">
        <f t="shared" si="45"/>
        <v>0</v>
      </c>
      <c r="CJ149" s="61">
        <f t="shared" si="54"/>
        <v>0</v>
      </c>
      <c r="CU149" s="61">
        <f t="shared" si="58"/>
        <v>0</v>
      </c>
      <c r="CV149" s="61">
        <f t="shared" si="58"/>
        <v>0</v>
      </c>
      <c r="CX149" s="61">
        <f t="shared" si="41"/>
        <v>0</v>
      </c>
      <c r="EP149" s="61">
        <f t="shared" si="59"/>
        <v>0</v>
      </c>
      <c r="EQ149" s="61">
        <f t="shared" si="59"/>
        <v>0</v>
      </c>
      <c r="ER149" s="61">
        <f t="shared" si="59"/>
        <v>0</v>
      </c>
      <c r="ES149" s="61">
        <f t="shared" si="59"/>
        <v>0</v>
      </c>
      <c r="ET149" s="61">
        <f t="shared" si="60"/>
        <v>0</v>
      </c>
      <c r="EX149" s="61">
        <f t="shared" si="62"/>
        <v>0</v>
      </c>
      <c r="EZ149" s="61">
        <f t="shared" si="62"/>
        <v>0</v>
      </c>
      <c r="FN149" s="61">
        <f t="shared" si="56"/>
        <v>147</v>
      </c>
    </row>
    <row r="150" spans="1:170" ht="16.8" x14ac:dyDescent="0.3">
      <c r="A150" s="70">
        <f>'BASE MAESTRA'!B156</f>
        <v>148</v>
      </c>
      <c r="C150" s="61">
        <f t="shared" si="48"/>
        <v>0</v>
      </c>
      <c r="U150" s="61">
        <f t="shared" si="49"/>
        <v>0</v>
      </c>
      <c r="Z150" s="61">
        <f t="shared" si="50"/>
        <v>0</v>
      </c>
      <c r="AG150" s="61">
        <f t="shared" si="57"/>
        <v>0</v>
      </c>
      <c r="AH150" s="61">
        <f t="shared" si="57"/>
        <v>0</v>
      </c>
      <c r="AX150" s="61">
        <f t="shared" si="61"/>
        <v>0</v>
      </c>
      <c r="AY150" s="61">
        <f t="shared" si="61"/>
        <v>0</v>
      </c>
      <c r="AZ150" s="61">
        <f t="shared" si="61"/>
        <v>0</v>
      </c>
      <c r="BA150" s="61">
        <f t="shared" si="52"/>
        <v>0</v>
      </c>
      <c r="BJ150" s="61">
        <f t="shared" si="42"/>
        <v>0</v>
      </c>
      <c r="BK150" s="61">
        <f t="shared" si="43"/>
        <v>0</v>
      </c>
      <c r="BV150" s="61">
        <f t="shared" si="53"/>
        <v>0</v>
      </c>
      <c r="BW150" s="61">
        <f t="shared" si="45"/>
        <v>0</v>
      </c>
      <c r="CJ150" s="61">
        <f t="shared" si="54"/>
        <v>0</v>
      </c>
      <c r="CU150" s="61">
        <f t="shared" si="58"/>
        <v>0</v>
      </c>
      <c r="CV150" s="61">
        <f t="shared" si="58"/>
        <v>0</v>
      </c>
      <c r="CX150" s="61">
        <f t="shared" si="41"/>
        <v>0</v>
      </c>
      <c r="EP150" s="61">
        <f t="shared" si="59"/>
        <v>0</v>
      </c>
      <c r="EQ150" s="61">
        <f t="shared" si="59"/>
        <v>0</v>
      </c>
      <c r="ER150" s="61">
        <f t="shared" si="59"/>
        <v>0</v>
      </c>
      <c r="ES150" s="61">
        <f t="shared" si="59"/>
        <v>0</v>
      </c>
      <c r="ET150" s="61">
        <f t="shared" si="60"/>
        <v>0</v>
      </c>
      <c r="EX150" s="61">
        <f t="shared" si="62"/>
        <v>0</v>
      </c>
      <c r="EZ150" s="61">
        <f t="shared" si="62"/>
        <v>0</v>
      </c>
      <c r="FN150" s="61">
        <f t="shared" si="56"/>
        <v>148</v>
      </c>
    </row>
    <row r="151" spans="1:170" ht="16.8" x14ac:dyDescent="0.3">
      <c r="A151" s="70">
        <f>'BASE MAESTRA'!B157</f>
        <v>149</v>
      </c>
      <c r="C151" s="61">
        <f t="shared" si="48"/>
        <v>0</v>
      </c>
      <c r="U151" s="61">
        <f t="shared" si="49"/>
        <v>0</v>
      </c>
      <c r="Z151" s="61">
        <f t="shared" si="50"/>
        <v>0</v>
      </c>
      <c r="AG151" s="61">
        <f t="shared" si="57"/>
        <v>0</v>
      </c>
      <c r="AH151" s="61">
        <f t="shared" si="57"/>
        <v>0</v>
      </c>
      <c r="AX151" s="61">
        <f t="shared" si="61"/>
        <v>0</v>
      </c>
      <c r="AY151" s="61">
        <f t="shared" si="61"/>
        <v>0</v>
      </c>
      <c r="AZ151" s="61">
        <f t="shared" si="61"/>
        <v>0</v>
      </c>
      <c r="BA151" s="61">
        <f t="shared" si="52"/>
        <v>0</v>
      </c>
      <c r="BJ151" s="61">
        <f t="shared" si="42"/>
        <v>0</v>
      </c>
      <c r="BK151" s="61">
        <f t="shared" si="43"/>
        <v>0</v>
      </c>
      <c r="BV151" s="61">
        <f t="shared" si="53"/>
        <v>0</v>
      </c>
      <c r="BW151" s="61">
        <f t="shared" si="45"/>
        <v>0</v>
      </c>
      <c r="CJ151" s="61">
        <f t="shared" si="54"/>
        <v>0</v>
      </c>
      <c r="CU151" s="61">
        <f t="shared" si="58"/>
        <v>0</v>
      </c>
      <c r="CV151" s="61">
        <f t="shared" si="58"/>
        <v>0</v>
      </c>
      <c r="CX151" s="61">
        <f t="shared" ref="CX151:CX202" si="63">VLOOKUP($A151,DatosEspecies,CX$2,FALSE)</f>
        <v>0</v>
      </c>
      <c r="EP151" s="61">
        <f t="shared" si="59"/>
        <v>0</v>
      </c>
      <c r="EQ151" s="61">
        <f t="shared" si="59"/>
        <v>0</v>
      </c>
      <c r="ER151" s="61">
        <f t="shared" si="59"/>
        <v>0</v>
      </c>
      <c r="ES151" s="61">
        <f t="shared" si="59"/>
        <v>0</v>
      </c>
      <c r="ET151" s="61">
        <f t="shared" si="60"/>
        <v>0</v>
      </c>
      <c r="EX151" s="61">
        <f t="shared" si="62"/>
        <v>0</v>
      </c>
      <c r="EZ151" s="61">
        <f t="shared" si="62"/>
        <v>0</v>
      </c>
      <c r="FN151" s="61">
        <f t="shared" si="56"/>
        <v>149</v>
      </c>
    </row>
    <row r="152" spans="1:170" ht="16.8" x14ac:dyDescent="0.3">
      <c r="A152" s="70">
        <f>'BASE MAESTRA'!B158</f>
        <v>150</v>
      </c>
      <c r="C152" s="61">
        <f t="shared" si="48"/>
        <v>0</v>
      </c>
      <c r="U152" s="61">
        <f t="shared" si="49"/>
        <v>0</v>
      </c>
      <c r="Z152" s="61">
        <f t="shared" si="50"/>
        <v>0</v>
      </c>
      <c r="AG152" s="61">
        <f t="shared" si="57"/>
        <v>0</v>
      </c>
      <c r="AH152" s="61">
        <f t="shared" si="57"/>
        <v>0</v>
      </c>
      <c r="AX152" s="61">
        <f t="shared" si="61"/>
        <v>0</v>
      </c>
      <c r="AY152" s="61">
        <f t="shared" si="61"/>
        <v>0</v>
      </c>
      <c r="AZ152" s="61">
        <f t="shared" si="61"/>
        <v>0</v>
      </c>
      <c r="BA152" s="61">
        <f t="shared" si="52"/>
        <v>0</v>
      </c>
      <c r="BJ152" s="61">
        <f t="shared" si="42"/>
        <v>0</v>
      </c>
      <c r="BK152" s="61">
        <f t="shared" si="43"/>
        <v>0</v>
      </c>
      <c r="BV152" s="61">
        <f t="shared" si="53"/>
        <v>0</v>
      </c>
      <c r="BW152" s="61">
        <f t="shared" si="45"/>
        <v>0</v>
      </c>
      <c r="CJ152" s="61">
        <f t="shared" si="54"/>
        <v>0</v>
      </c>
      <c r="CU152" s="61">
        <f t="shared" si="58"/>
        <v>0</v>
      </c>
      <c r="CV152" s="61">
        <f t="shared" si="58"/>
        <v>0</v>
      </c>
      <c r="CX152" s="61">
        <f t="shared" si="63"/>
        <v>0</v>
      </c>
      <c r="EP152" s="61">
        <f t="shared" si="59"/>
        <v>0</v>
      </c>
      <c r="EQ152" s="61">
        <f t="shared" si="59"/>
        <v>0</v>
      </c>
      <c r="ER152" s="61">
        <f t="shared" si="59"/>
        <v>0</v>
      </c>
      <c r="ES152" s="61">
        <f t="shared" si="59"/>
        <v>0</v>
      </c>
      <c r="ET152" s="61">
        <f t="shared" si="60"/>
        <v>0</v>
      </c>
      <c r="EX152" s="61">
        <f t="shared" si="62"/>
        <v>0</v>
      </c>
      <c r="EZ152" s="61">
        <f t="shared" si="62"/>
        <v>0</v>
      </c>
      <c r="FN152" s="61">
        <f t="shared" si="56"/>
        <v>150</v>
      </c>
    </row>
    <row r="153" spans="1:170" ht="16.8" x14ac:dyDescent="0.3">
      <c r="A153" s="70">
        <f>'BASE MAESTRA'!B159</f>
        <v>151</v>
      </c>
      <c r="C153" s="61">
        <f t="shared" si="48"/>
        <v>0</v>
      </c>
      <c r="U153" s="61">
        <f t="shared" si="49"/>
        <v>0</v>
      </c>
      <c r="Z153" s="61">
        <f t="shared" si="50"/>
        <v>0</v>
      </c>
      <c r="AG153" s="61">
        <f t="shared" si="57"/>
        <v>0</v>
      </c>
      <c r="AH153" s="61">
        <f t="shared" si="57"/>
        <v>0</v>
      </c>
      <c r="AX153" s="61">
        <f t="shared" si="61"/>
        <v>0</v>
      </c>
      <c r="AY153" s="61">
        <f t="shared" si="61"/>
        <v>0</v>
      </c>
      <c r="AZ153" s="61">
        <f t="shared" si="61"/>
        <v>0</v>
      </c>
      <c r="BA153" s="61">
        <f t="shared" si="52"/>
        <v>0</v>
      </c>
      <c r="BJ153" s="61">
        <f t="shared" si="42"/>
        <v>0</v>
      </c>
      <c r="BK153" s="61">
        <f t="shared" si="43"/>
        <v>0</v>
      </c>
      <c r="BV153" s="61">
        <f t="shared" si="53"/>
        <v>0</v>
      </c>
      <c r="BW153" s="61">
        <f t="shared" si="45"/>
        <v>0</v>
      </c>
      <c r="CJ153" s="61">
        <f t="shared" si="54"/>
        <v>0</v>
      </c>
      <c r="CU153" s="61">
        <f t="shared" si="58"/>
        <v>0</v>
      </c>
      <c r="CV153" s="61">
        <f t="shared" si="58"/>
        <v>0</v>
      </c>
      <c r="CX153" s="61">
        <f t="shared" si="63"/>
        <v>0</v>
      </c>
      <c r="EP153" s="61">
        <f t="shared" si="59"/>
        <v>0</v>
      </c>
      <c r="EQ153" s="61">
        <f t="shared" si="59"/>
        <v>0</v>
      </c>
      <c r="ER153" s="61">
        <f t="shared" si="59"/>
        <v>0</v>
      </c>
      <c r="ES153" s="61">
        <f t="shared" si="59"/>
        <v>0</v>
      </c>
      <c r="ET153" s="61">
        <f t="shared" si="60"/>
        <v>0</v>
      </c>
      <c r="EX153" s="61">
        <f t="shared" si="62"/>
        <v>0</v>
      </c>
      <c r="EZ153" s="61">
        <f t="shared" si="62"/>
        <v>0</v>
      </c>
      <c r="FN153" s="61">
        <f t="shared" si="56"/>
        <v>151</v>
      </c>
    </row>
    <row r="154" spans="1:170" ht="16.8" x14ac:dyDescent="0.3">
      <c r="A154" s="70">
        <f>'BASE MAESTRA'!B160</f>
        <v>152</v>
      </c>
      <c r="C154" s="61">
        <f t="shared" si="48"/>
        <v>0</v>
      </c>
      <c r="U154" s="61">
        <f t="shared" si="49"/>
        <v>0</v>
      </c>
      <c r="Z154" s="61">
        <f t="shared" si="50"/>
        <v>0</v>
      </c>
      <c r="AG154" s="61">
        <f t="shared" si="57"/>
        <v>0</v>
      </c>
      <c r="AH154" s="61">
        <f t="shared" si="57"/>
        <v>0</v>
      </c>
      <c r="AX154" s="61">
        <f t="shared" si="61"/>
        <v>0</v>
      </c>
      <c r="AY154" s="61">
        <f t="shared" si="61"/>
        <v>0</v>
      </c>
      <c r="AZ154" s="61">
        <f t="shared" si="61"/>
        <v>0</v>
      </c>
      <c r="BA154" s="61">
        <f t="shared" si="52"/>
        <v>0</v>
      </c>
      <c r="BJ154" s="61">
        <f t="shared" si="42"/>
        <v>0</v>
      </c>
      <c r="BK154" s="61">
        <f t="shared" si="43"/>
        <v>0</v>
      </c>
      <c r="BV154" s="61">
        <f t="shared" si="53"/>
        <v>0</v>
      </c>
      <c r="BW154" s="61">
        <f t="shared" si="45"/>
        <v>0</v>
      </c>
      <c r="CJ154" s="61">
        <f t="shared" si="54"/>
        <v>0</v>
      </c>
      <c r="CU154" s="61">
        <f t="shared" si="58"/>
        <v>0</v>
      </c>
      <c r="CV154" s="61">
        <f t="shared" si="58"/>
        <v>0</v>
      </c>
      <c r="CX154" s="61">
        <f t="shared" si="63"/>
        <v>0</v>
      </c>
      <c r="EP154" s="61">
        <f t="shared" si="59"/>
        <v>0</v>
      </c>
      <c r="EQ154" s="61">
        <f t="shared" si="59"/>
        <v>0</v>
      </c>
      <c r="ER154" s="61">
        <f t="shared" si="59"/>
        <v>0</v>
      </c>
      <c r="ES154" s="61">
        <f t="shared" si="59"/>
        <v>0</v>
      </c>
      <c r="ET154" s="61">
        <f t="shared" si="60"/>
        <v>0</v>
      </c>
      <c r="EX154" s="61">
        <f t="shared" si="62"/>
        <v>0</v>
      </c>
      <c r="EZ154" s="61">
        <f t="shared" si="62"/>
        <v>0</v>
      </c>
      <c r="FN154" s="61">
        <f t="shared" si="56"/>
        <v>152</v>
      </c>
    </row>
    <row r="155" spans="1:170" ht="16.8" x14ac:dyDescent="0.3">
      <c r="A155" s="70">
        <f>'BASE MAESTRA'!B161</f>
        <v>153</v>
      </c>
      <c r="C155" s="61">
        <f t="shared" si="48"/>
        <v>0</v>
      </c>
      <c r="U155" s="61">
        <f t="shared" si="49"/>
        <v>0</v>
      </c>
      <c r="Z155" s="61">
        <f t="shared" si="50"/>
        <v>0</v>
      </c>
      <c r="AG155" s="61">
        <f t="shared" si="57"/>
        <v>0</v>
      </c>
      <c r="AH155" s="61">
        <f t="shared" si="57"/>
        <v>0</v>
      </c>
      <c r="AX155" s="61">
        <f t="shared" si="61"/>
        <v>0</v>
      </c>
      <c r="AY155" s="61">
        <f t="shared" si="61"/>
        <v>0</v>
      </c>
      <c r="AZ155" s="61">
        <f t="shared" si="61"/>
        <v>0</v>
      </c>
      <c r="BA155" s="61">
        <f t="shared" si="52"/>
        <v>0</v>
      </c>
      <c r="BJ155" s="61">
        <f t="shared" si="42"/>
        <v>0</v>
      </c>
      <c r="BK155" s="61">
        <f t="shared" si="43"/>
        <v>0</v>
      </c>
      <c r="BV155" s="61">
        <f t="shared" si="53"/>
        <v>0</v>
      </c>
      <c r="BW155" s="61">
        <f t="shared" si="45"/>
        <v>0</v>
      </c>
      <c r="CJ155" s="61">
        <f t="shared" si="54"/>
        <v>0</v>
      </c>
      <c r="CU155" s="61">
        <f t="shared" si="58"/>
        <v>0</v>
      </c>
      <c r="CV155" s="61">
        <f t="shared" si="58"/>
        <v>0</v>
      </c>
      <c r="CX155" s="61">
        <f t="shared" si="63"/>
        <v>0</v>
      </c>
      <c r="EP155" s="61">
        <f t="shared" si="59"/>
        <v>0</v>
      </c>
      <c r="EQ155" s="61">
        <f t="shared" si="59"/>
        <v>0</v>
      </c>
      <c r="ER155" s="61">
        <f t="shared" si="59"/>
        <v>0</v>
      </c>
      <c r="ES155" s="61">
        <f t="shared" si="59"/>
        <v>0</v>
      </c>
      <c r="ET155" s="61">
        <f t="shared" si="60"/>
        <v>0</v>
      </c>
      <c r="EX155" s="61">
        <f t="shared" si="62"/>
        <v>0</v>
      </c>
      <c r="EZ155" s="61">
        <f t="shared" si="62"/>
        <v>0</v>
      </c>
      <c r="FN155" s="61">
        <f t="shared" si="56"/>
        <v>153</v>
      </c>
    </row>
    <row r="156" spans="1:170" ht="16.8" x14ac:dyDescent="0.3">
      <c r="A156" s="70">
        <f>'BASE MAESTRA'!B162</f>
        <v>154</v>
      </c>
      <c r="C156" s="61">
        <f t="shared" si="48"/>
        <v>0</v>
      </c>
      <c r="U156" s="61">
        <f t="shared" si="49"/>
        <v>0</v>
      </c>
      <c r="Z156" s="61">
        <f t="shared" si="50"/>
        <v>0</v>
      </c>
      <c r="AG156" s="61">
        <f t="shared" si="57"/>
        <v>0</v>
      </c>
      <c r="AH156" s="61">
        <f t="shared" si="57"/>
        <v>0</v>
      </c>
      <c r="AX156" s="61">
        <f t="shared" si="61"/>
        <v>0</v>
      </c>
      <c r="AY156" s="61">
        <f t="shared" si="61"/>
        <v>0</v>
      </c>
      <c r="AZ156" s="61">
        <f t="shared" si="61"/>
        <v>0</v>
      </c>
      <c r="BA156" s="61">
        <f t="shared" si="52"/>
        <v>0</v>
      </c>
      <c r="BJ156" s="61">
        <f t="shared" si="42"/>
        <v>0</v>
      </c>
      <c r="BK156" s="61">
        <f t="shared" si="43"/>
        <v>0</v>
      </c>
      <c r="BV156" s="61">
        <f t="shared" si="53"/>
        <v>0</v>
      </c>
      <c r="BW156" s="61">
        <f t="shared" si="45"/>
        <v>0</v>
      </c>
      <c r="CJ156" s="61">
        <f t="shared" si="54"/>
        <v>0</v>
      </c>
      <c r="CU156" s="61">
        <f t="shared" si="58"/>
        <v>0</v>
      </c>
      <c r="CV156" s="61">
        <f t="shared" si="58"/>
        <v>0</v>
      </c>
      <c r="CX156" s="61">
        <f t="shared" si="63"/>
        <v>0</v>
      </c>
      <c r="EP156" s="61">
        <f t="shared" si="59"/>
        <v>0</v>
      </c>
      <c r="EQ156" s="61">
        <f t="shared" si="59"/>
        <v>0</v>
      </c>
      <c r="ER156" s="61">
        <f t="shared" si="59"/>
        <v>0</v>
      </c>
      <c r="ES156" s="61">
        <f t="shared" si="59"/>
        <v>0</v>
      </c>
      <c r="ET156" s="61">
        <f t="shared" si="60"/>
        <v>0</v>
      </c>
      <c r="EX156" s="61">
        <f t="shared" si="62"/>
        <v>0</v>
      </c>
      <c r="EZ156" s="61">
        <f t="shared" si="62"/>
        <v>0</v>
      </c>
      <c r="FN156" s="61">
        <f t="shared" si="56"/>
        <v>154</v>
      </c>
    </row>
    <row r="157" spans="1:170" ht="16.8" x14ac:dyDescent="0.3">
      <c r="A157" s="70">
        <f>'BASE MAESTRA'!B163</f>
        <v>155</v>
      </c>
      <c r="C157" s="61">
        <f t="shared" si="48"/>
        <v>0</v>
      </c>
      <c r="U157" s="61">
        <f t="shared" si="49"/>
        <v>0</v>
      </c>
      <c r="Z157" s="61">
        <f t="shared" si="50"/>
        <v>0</v>
      </c>
      <c r="AG157" s="61">
        <f t="shared" si="57"/>
        <v>0</v>
      </c>
      <c r="AH157" s="61">
        <f t="shared" si="57"/>
        <v>0</v>
      </c>
      <c r="AX157" s="61">
        <f t="shared" si="61"/>
        <v>0</v>
      </c>
      <c r="AY157" s="61">
        <f t="shared" si="61"/>
        <v>0</v>
      </c>
      <c r="AZ157" s="61">
        <f t="shared" si="61"/>
        <v>0</v>
      </c>
      <c r="BA157" s="61">
        <f t="shared" si="52"/>
        <v>0</v>
      </c>
      <c r="BJ157" s="61">
        <f t="shared" si="42"/>
        <v>0</v>
      </c>
      <c r="BK157" s="61">
        <f t="shared" si="43"/>
        <v>0</v>
      </c>
      <c r="BV157" s="61">
        <f t="shared" si="53"/>
        <v>0</v>
      </c>
      <c r="BW157" s="61">
        <f t="shared" si="45"/>
        <v>0</v>
      </c>
      <c r="CJ157" s="61">
        <f t="shared" si="54"/>
        <v>0</v>
      </c>
      <c r="CU157" s="61">
        <f t="shared" si="58"/>
        <v>0</v>
      </c>
      <c r="CV157" s="61">
        <f t="shared" si="58"/>
        <v>0</v>
      </c>
      <c r="CX157" s="61">
        <f t="shared" si="63"/>
        <v>0</v>
      </c>
      <c r="EP157" s="61">
        <f t="shared" si="59"/>
        <v>0</v>
      </c>
      <c r="EQ157" s="61">
        <f t="shared" si="59"/>
        <v>0</v>
      </c>
      <c r="ER157" s="61">
        <f t="shared" si="59"/>
        <v>0</v>
      </c>
      <c r="ES157" s="61">
        <f t="shared" si="59"/>
        <v>0</v>
      </c>
      <c r="ET157" s="61">
        <f t="shared" si="60"/>
        <v>0</v>
      </c>
      <c r="EX157" s="61">
        <f t="shared" si="62"/>
        <v>0</v>
      </c>
      <c r="EZ157" s="61">
        <f t="shared" si="62"/>
        <v>0</v>
      </c>
      <c r="FN157" s="61">
        <f t="shared" si="56"/>
        <v>155</v>
      </c>
    </row>
    <row r="158" spans="1:170" ht="16.8" x14ac:dyDescent="0.3">
      <c r="A158" s="70">
        <f>'BASE MAESTRA'!B164</f>
        <v>156</v>
      </c>
      <c r="C158" s="61">
        <f t="shared" si="48"/>
        <v>0</v>
      </c>
      <c r="U158" s="61">
        <f t="shared" si="49"/>
        <v>0</v>
      </c>
      <c r="Z158" s="61">
        <f t="shared" si="50"/>
        <v>0</v>
      </c>
      <c r="AG158" s="61">
        <f t="shared" si="57"/>
        <v>0</v>
      </c>
      <c r="AH158" s="61">
        <f t="shared" si="57"/>
        <v>0</v>
      </c>
      <c r="AX158" s="61">
        <f t="shared" si="61"/>
        <v>0</v>
      </c>
      <c r="AY158" s="61">
        <f t="shared" si="61"/>
        <v>0</v>
      </c>
      <c r="AZ158" s="61">
        <f t="shared" si="61"/>
        <v>0</v>
      </c>
      <c r="BA158" s="61">
        <f t="shared" si="52"/>
        <v>0</v>
      </c>
      <c r="BJ158" s="61">
        <f t="shared" si="42"/>
        <v>0</v>
      </c>
      <c r="BK158" s="61">
        <f t="shared" si="43"/>
        <v>0</v>
      </c>
      <c r="BV158" s="61">
        <f t="shared" si="53"/>
        <v>0</v>
      </c>
      <c r="BW158" s="61">
        <f t="shared" si="45"/>
        <v>0</v>
      </c>
      <c r="CJ158" s="61">
        <f t="shared" si="54"/>
        <v>0</v>
      </c>
      <c r="CU158" s="61">
        <f t="shared" si="58"/>
        <v>0</v>
      </c>
      <c r="CV158" s="61">
        <f t="shared" si="58"/>
        <v>0</v>
      </c>
      <c r="CX158" s="61">
        <f t="shared" si="63"/>
        <v>0</v>
      </c>
      <c r="EP158" s="61">
        <f t="shared" si="59"/>
        <v>0</v>
      </c>
      <c r="EQ158" s="61">
        <f t="shared" si="59"/>
        <v>0</v>
      </c>
      <c r="ER158" s="61">
        <f t="shared" si="59"/>
        <v>0</v>
      </c>
      <c r="ES158" s="61">
        <f t="shared" si="59"/>
        <v>0</v>
      </c>
      <c r="ET158" s="61">
        <f t="shared" si="60"/>
        <v>0</v>
      </c>
      <c r="EX158" s="61">
        <f t="shared" si="62"/>
        <v>0</v>
      </c>
      <c r="EZ158" s="61">
        <f t="shared" si="62"/>
        <v>0</v>
      </c>
      <c r="FN158" s="61">
        <f t="shared" si="56"/>
        <v>156</v>
      </c>
    </row>
    <row r="159" spans="1:170" ht="16.8" x14ac:dyDescent="0.3">
      <c r="A159" s="70">
        <f>'BASE MAESTRA'!B165</f>
        <v>157</v>
      </c>
      <c r="C159" s="61">
        <f t="shared" si="48"/>
        <v>0</v>
      </c>
      <c r="U159" s="61">
        <f t="shared" si="49"/>
        <v>0</v>
      </c>
      <c r="Z159" s="61">
        <f t="shared" si="50"/>
        <v>0</v>
      </c>
      <c r="AG159" s="61">
        <f t="shared" si="57"/>
        <v>0</v>
      </c>
      <c r="AH159" s="61">
        <f t="shared" si="57"/>
        <v>0</v>
      </c>
      <c r="AX159" s="61">
        <f t="shared" si="61"/>
        <v>0</v>
      </c>
      <c r="AY159" s="61">
        <f t="shared" si="61"/>
        <v>0</v>
      </c>
      <c r="AZ159" s="61">
        <f t="shared" si="61"/>
        <v>0</v>
      </c>
      <c r="BA159" s="61">
        <f t="shared" si="52"/>
        <v>0</v>
      </c>
      <c r="BJ159" s="61">
        <f t="shared" si="42"/>
        <v>0</v>
      </c>
      <c r="BK159" s="61">
        <f t="shared" si="43"/>
        <v>0</v>
      </c>
      <c r="BV159" s="61">
        <f t="shared" si="53"/>
        <v>0</v>
      </c>
      <c r="BW159" s="61">
        <f t="shared" si="45"/>
        <v>0</v>
      </c>
      <c r="CJ159" s="61">
        <f t="shared" si="54"/>
        <v>0</v>
      </c>
      <c r="CU159" s="61">
        <f t="shared" si="58"/>
        <v>0</v>
      </c>
      <c r="CV159" s="61">
        <f t="shared" si="58"/>
        <v>0</v>
      </c>
      <c r="CX159" s="61">
        <f t="shared" si="63"/>
        <v>0</v>
      </c>
      <c r="EP159" s="61">
        <f t="shared" si="59"/>
        <v>0</v>
      </c>
      <c r="EQ159" s="61">
        <f t="shared" si="59"/>
        <v>0</v>
      </c>
      <c r="ER159" s="61">
        <f t="shared" si="59"/>
        <v>0</v>
      </c>
      <c r="ES159" s="61">
        <f t="shared" si="59"/>
        <v>0</v>
      </c>
      <c r="ET159" s="61">
        <f t="shared" si="60"/>
        <v>0</v>
      </c>
      <c r="EX159" s="61">
        <f t="shared" si="62"/>
        <v>0</v>
      </c>
      <c r="EZ159" s="61">
        <f t="shared" si="62"/>
        <v>0</v>
      </c>
      <c r="FN159" s="61">
        <f t="shared" si="56"/>
        <v>157</v>
      </c>
    </row>
    <row r="160" spans="1:170" ht="16.8" x14ac:dyDescent="0.3">
      <c r="A160" s="70">
        <f>'BASE MAESTRA'!B166</f>
        <v>158</v>
      </c>
      <c r="C160" s="61">
        <f t="shared" si="48"/>
        <v>0</v>
      </c>
      <c r="U160" s="61">
        <f t="shared" si="49"/>
        <v>0</v>
      </c>
      <c r="Z160" s="61">
        <f t="shared" si="50"/>
        <v>0</v>
      </c>
      <c r="AG160" s="61">
        <f t="shared" si="57"/>
        <v>0</v>
      </c>
      <c r="AH160" s="61">
        <f t="shared" si="57"/>
        <v>0</v>
      </c>
      <c r="AX160" s="61">
        <f t="shared" si="61"/>
        <v>0</v>
      </c>
      <c r="AY160" s="61">
        <f t="shared" si="61"/>
        <v>0</v>
      </c>
      <c r="AZ160" s="61">
        <f t="shared" si="61"/>
        <v>0</v>
      </c>
      <c r="BA160" s="61">
        <f t="shared" si="52"/>
        <v>0</v>
      </c>
      <c r="BJ160" s="61">
        <f t="shared" si="42"/>
        <v>0</v>
      </c>
      <c r="BK160" s="61">
        <f t="shared" si="43"/>
        <v>0</v>
      </c>
      <c r="BV160" s="61">
        <f t="shared" si="53"/>
        <v>0</v>
      </c>
      <c r="BW160" s="61">
        <f t="shared" si="45"/>
        <v>0</v>
      </c>
      <c r="CJ160" s="61">
        <f t="shared" si="54"/>
        <v>0</v>
      </c>
      <c r="CU160" s="61">
        <f t="shared" si="58"/>
        <v>0</v>
      </c>
      <c r="CV160" s="61">
        <f t="shared" si="58"/>
        <v>0</v>
      </c>
      <c r="CX160" s="61">
        <f t="shared" si="63"/>
        <v>0</v>
      </c>
      <c r="EP160" s="61">
        <f t="shared" si="59"/>
        <v>0</v>
      </c>
      <c r="EQ160" s="61">
        <f t="shared" si="59"/>
        <v>0</v>
      </c>
      <c r="ER160" s="61">
        <f t="shared" si="59"/>
        <v>0</v>
      </c>
      <c r="ES160" s="61">
        <f t="shared" si="59"/>
        <v>0</v>
      </c>
      <c r="ET160" s="61">
        <f t="shared" si="60"/>
        <v>0</v>
      </c>
      <c r="EX160" s="61">
        <f t="shared" si="62"/>
        <v>0</v>
      </c>
      <c r="EZ160" s="61">
        <f t="shared" si="62"/>
        <v>0</v>
      </c>
      <c r="FN160" s="61">
        <f t="shared" si="56"/>
        <v>158</v>
      </c>
    </row>
    <row r="161" spans="1:170" ht="16.8" x14ac:dyDescent="0.3">
      <c r="A161" s="70">
        <f>'BASE MAESTRA'!B167</f>
        <v>159</v>
      </c>
      <c r="C161" s="61">
        <f t="shared" si="48"/>
        <v>0</v>
      </c>
      <c r="U161" s="61">
        <f t="shared" si="49"/>
        <v>0</v>
      </c>
      <c r="Z161" s="61">
        <f t="shared" si="50"/>
        <v>0</v>
      </c>
      <c r="AG161" s="61">
        <f t="shared" si="57"/>
        <v>0</v>
      </c>
      <c r="AH161" s="61">
        <f t="shared" si="57"/>
        <v>0</v>
      </c>
      <c r="AX161" s="61">
        <f t="shared" si="61"/>
        <v>0</v>
      </c>
      <c r="AY161" s="61">
        <f t="shared" si="61"/>
        <v>0</v>
      </c>
      <c r="AZ161" s="61">
        <f t="shared" si="61"/>
        <v>0</v>
      </c>
      <c r="BA161" s="61">
        <f t="shared" si="52"/>
        <v>0</v>
      </c>
      <c r="BJ161" s="61">
        <f t="shared" si="42"/>
        <v>0</v>
      </c>
      <c r="BK161" s="61">
        <f t="shared" si="43"/>
        <v>0</v>
      </c>
      <c r="BV161" s="61">
        <f t="shared" si="53"/>
        <v>0</v>
      </c>
      <c r="BW161" s="61">
        <f t="shared" si="45"/>
        <v>0</v>
      </c>
      <c r="CJ161" s="61">
        <f t="shared" si="54"/>
        <v>0</v>
      </c>
      <c r="CU161" s="61">
        <f t="shared" si="58"/>
        <v>0</v>
      </c>
      <c r="CV161" s="61">
        <f t="shared" si="58"/>
        <v>0</v>
      </c>
      <c r="CX161" s="61">
        <f t="shared" si="63"/>
        <v>0</v>
      </c>
      <c r="EP161" s="61">
        <f t="shared" si="59"/>
        <v>0</v>
      </c>
      <c r="EQ161" s="61">
        <f t="shared" si="59"/>
        <v>0</v>
      </c>
      <c r="ER161" s="61">
        <f t="shared" si="59"/>
        <v>0</v>
      </c>
      <c r="ES161" s="61">
        <f t="shared" si="59"/>
        <v>0</v>
      </c>
      <c r="ET161" s="61">
        <f t="shared" si="60"/>
        <v>0</v>
      </c>
      <c r="EX161" s="61">
        <f t="shared" si="62"/>
        <v>0</v>
      </c>
      <c r="EZ161" s="61">
        <f t="shared" si="62"/>
        <v>0</v>
      </c>
      <c r="FN161" s="61">
        <f t="shared" si="56"/>
        <v>159</v>
      </c>
    </row>
    <row r="162" spans="1:170" ht="16.8" x14ac:dyDescent="0.3">
      <c r="A162" s="70">
        <f>'BASE MAESTRA'!B168</f>
        <v>160</v>
      </c>
      <c r="C162" s="61">
        <f t="shared" si="48"/>
        <v>0</v>
      </c>
      <c r="U162" s="61">
        <f t="shared" si="49"/>
        <v>0</v>
      </c>
      <c r="Z162" s="61">
        <f t="shared" si="50"/>
        <v>0</v>
      </c>
      <c r="AG162" s="61">
        <f t="shared" si="57"/>
        <v>0</v>
      </c>
      <c r="AH162" s="61">
        <f t="shared" si="57"/>
        <v>0</v>
      </c>
      <c r="AX162" s="61">
        <f t="shared" si="61"/>
        <v>0</v>
      </c>
      <c r="AY162" s="61">
        <f t="shared" si="61"/>
        <v>0</v>
      </c>
      <c r="AZ162" s="61">
        <f t="shared" si="61"/>
        <v>0</v>
      </c>
      <c r="BA162" s="61">
        <f t="shared" si="52"/>
        <v>0</v>
      </c>
      <c r="BJ162" s="61">
        <f t="shared" si="42"/>
        <v>0</v>
      </c>
      <c r="BK162" s="61">
        <f t="shared" si="43"/>
        <v>0</v>
      </c>
      <c r="BV162" s="61">
        <f t="shared" si="53"/>
        <v>0</v>
      </c>
      <c r="BW162" s="61">
        <f t="shared" si="45"/>
        <v>0</v>
      </c>
      <c r="CJ162" s="61">
        <f t="shared" si="54"/>
        <v>0</v>
      </c>
      <c r="CU162" s="61">
        <f t="shared" si="58"/>
        <v>0</v>
      </c>
      <c r="CV162" s="61">
        <f t="shared" si="58"/>
        <v>0</v>
      </c>
      <c r="CX162" s="61">
        <f t="shared" si="63"/>
        <v>0</v>
      </c>
      <c r="EP162" s="61">
        <f t="shared" si="59"/>
        <v>0</v>
      </c>
      <c r="EQ162" s="61">
        <f t="shared" si="59"/>
        <v>0</v>
      </c>
      <c r="ER162" s="61">
        <f t="shared" si="59"/>
        <v>0</v>
      </c>
      <c r="ES162" s="61">
        <f t="shared" si="59"/>
        <v>0</v>
      </c>
      <c r="ET162" s="61">
        <f t="shared" si="60"/>
        <v>0</v>
      </c>
      <c r="EX162" s="61">
        <f t="shared" si="62"/>
        <v>0</v>
      </c>
      <c r="EZ162" s="61">
        <f t="shared" si="62"/>
        <v>0</v>
      </c>
      <c r="FN162" s="61">
        <f t="shared" si="56"/>
        <v>160</v>
      </c>
    </row>
    <row r="163" spans="1:170" ht="16.8" x14ac:dyDescent="0.3">
      <c r="A163" s="70">
        <f>'BASE MAESTRA'!B169</f>
        <v>161</v>
      </c>
      <c r="C163" s="61">
        <f t="shared" si="48"/>
        <v>0</v>
      </c>
      <c r="U163" s="61">
        <f t="shared" si="49"/>
        <v>0</v>
      </c>
      <c r="Z163" s="61">
        <f t="shared" si="50"/>
        <v>0</v>
      </c>
      <c r="AG163" s="61">
        <f t="shared" si="57"/>
        <v>0</v>
      </c>
      <c r="AH163" s="61">
        <f t="shared" si="57"/>
        <v>0</v>
      </c>
      <c r="AX163" s="61">
        <f t="shared" si="61"/>
        <v>0</v>
      </c>
      <c r="AY163" s="61">
        <f t="shared" si="61"/>
        <v>0</v>
      </c>
      <c r="AZ163" s="61">
        <f t="shared" si="61"/>
        <v>0</v>
      </c>
      <c r="BA163" s="61">
        <f t="shared" si="52"/>
        <v>0</v>
      </c>
      <c r="BJ163" s="61">
        <f t="shared" ref="BJ163:BJ202" si="64">VLOOKUP($A163,DatosEspecies,BJ$2,FALSE)</f>
        <v>0</v>
      </c>
      <c r="BK163" s="61">
        <f t="shared" ref="BK163:BK202" si="65">VLOOKUP($A163,DatosEspecies,BK$2,FALSE)</f>
        <v>0</v>
      </c>
      <c r="BV163" s="61">
        <f t="shared" ref="BV163:BV194" si="66">VLOOKUP($A163,DatosEspecies,BV$2,FALSE)</f>
        <v>0</v>
      </c>
      <c r="BW163" s="61">
        <f t="shared" ref="BW163:BW202" si="67">VLOOKUP($A163,DatosEspecies,BW$2,FALSE)</f>
        <v>0</v>
      </c>
      <c r="CJ163" s="61">
        <f t="shared" si="54"/>
        <v>0</v>
      </c>
      <c r="CU163" s="61">
        <f t="shared" si="58"/>
        <v>0</v>
      </c>
      <c r="CV163" s="61">
        <f t="shared" si="58"/>
        <v>0</v>
      </c>
      <c r="CX163" s="61">
        <f t="shared" si="63"/>
        <v>0</v>
      </c>
      <c r="EP163" s="61">
        <f t="shared" si="59"/>
        <v>0</v>
      </c>
      <c r="EQ163" s="61">
        <f t="shared" si="59"/>
        <v>0</v>
      </c>
      <c r="ER163" s="61">
        <f t="shared" si="59"/>
        <v>0</v>
      </c>
      <c r="ES163" s="61">
        <f t="shared" si="59"/>
        <v>0</v>
      </c>
      <c r="ET163" s="61">
        <f t="shared" si="60"/>
        <v>0</v>
      </c>
      <c r="EX163" s="61">
        <f t="shared" si="62"/>
        <v>0</v>
      </c>
      <c r="EZ163" s="61">
        <f t="shared" si="62"/>
        <v>0</v>
      </c>
      <c r="FN163" s="61">
        <f t="shared" si="56"/>
        <v>161</v>
      </c>
    </row>
    <row r="164" spans="1:170" ht="16.8" x14ac:dyDescent="0.3">
      <c r="A164" s="70">
        <f>'BASE MAESTRA'!B170</f>
        <v>162</v>
      </c>
      <c r="C164" s="61">
        <f t="shared" si="48"/>
        <v>0</v>
      </c>
      <c r="U164" s="61">
        <f t="shared" si="49"/>
        <v>0</v>
      </c>
      <c r="Z164" s="61">
        <f t="shared" si="50"/>
        <v>0</v>
      </c>
      <c r="AG164" s="61">
        <f t="shared" si="57"/>
        <v>0</v>
      </c>
      <c r="AH164" s="61">
        <f t="shared" si="57"/>
        <v>0</v>
      </c>
      <c r="AX164" s="61">
        <f t="shared" si="61"/>
        <v>0</v>
      </c>
      <c r="AY164" s="61">
        <f t="shared" si="61"/>
        <v>0</v>
      </c>
      <c r="AZ164" s="61">
        <f t="shared" si="61"/>
        <v>0</v>
      </c>
      <c r="BA164" s="61">
        <f t="shared" si="52"/>
        <v>0</v>
      </c>
      <c r="BJ164" s="61">
        <f t="shared" si="64"/>
        <v>0</v>
      </c>
      <c r="BK164" s="61">
        <f t="shared" si="65"/>
        <v>0</v>
      </c>
      <c r="BV164" s="61">
        <f t="shared" si="66"/>
        <v>0</v>
      </c>
      <c r="BW164" s="61">
        <f t="shared" si="67"/>
        <v>0</v>
      </c>
      <c r="CJ164" s="61">
        <f t="shared" si="54"/>
        <v>0</v>
      </c>
      <c r="CU164" s="61">
        <f t="shared" si="58"/>
        <v>0</v>
      </c>
      <c r="CV164" s="61">
        <f t="shared" si="58"/>
        <v>0</v>
      </c>
      <c r="CX164" s="61">
        <f t="shared" si="63"/>
        <v>0</v>
      </c>
      <c r="EP164" s="61">
        <f t="shared" si="59"/>
        <v>0</v>
      </c>
      <c r="EQ164" s="61">
        <f t="shared" si="59"/>
        <v>0</v>
      </c>
      <c r="ER164" s="61">
        <f t="shared" si="59"/>
        <v>0</v>
      </c>
      <c r="ES164" s="61">
        <f t="shared" si="59"/>
        <v>0</v>
      </c>
      <c r="ET164" s="61">
        <f t="shared" si="60"/>
        <v>0</v>
      </c>
      <c r="EX164" s="61">
        <f t="shared" si="62"/>
        <v>0</v>
      </c>
      <c r="EZ164" s="61">
        <f t="shared" si="62"/>
        <v>0</v>
      </c>
      <c r="FN164" s="61">
        <f t="shared" si="56"/>
        <v>162</v>
      </c>
    </row>
    <row r="165" spans="1:170" ht="16.8" x14ac:dyDescent="0.3">
      <c r="A165" s="70">
        <f>'BASE MAESTRA'!B171</f>
        <v>163</v>
      </c>
      <c r="C165" s="61">
        <f t="shared" si="48"/>
        <v>0</v>
      </c>
      <c r="U165" s="61">
        <f t="shared" si="49"/>
        <v>0</v>
      </c>
      <c r="Z165" s="61">
        <f t="shared" si="50"/>
        <v>0</v>
      </c>
      <c r="AG165" s="61">
        <f t="shared" si="57"/>
        <v>0</v>
      </c>
      <c r="AH165" s="61">
        <f t="shared" si="57"/>
        <v>0</v>
      </c>
      <c r="AX165" s="61">
        <f t="shared" si="61"/>
        <v>0</v>
      </c>
      <c r="AY165" s="61">
        <f t="shared" si="61"/>
        <v>0</v>
      </c>
      <c r="AZ165" s="61">
        <f t="shared" si="61"/>
        <v>0</v>
      </c>
      <c r="BA165" s="61">
        <f t="shared" si="52"/>
        <v>0</v>
      </c>
      <c r="BJ165" s="61">
        <f t="shared" si="64"/>
        <v>0</v>
      </c>
      <c r="BK165" s="61">
        <f t="shared" si="65"/>
        <v>0</v>
      </c>
      <c r="BV165" s="61">
        <f t="shared" si="66"/>
        <v>0</v>
      </c>
      <c r="BW165" s="61">
        <f t="shared" si="67"/>
        <v>0</v>
      </c>
      <c r="CJ165" s="61">
        <f t="shared" si="54"/>
        <v>0</v>
      </c>
      <c r="CU165" s="61">
        <f t="shared" si="58"/>
        <v>0</v>
      </c>
      <c r="CV165" s="61">
        <f t="shared" si="58"/>
        <v>0</v>
      </c>
      <c r="CX165" s="61">
        <f t="shared" si="63"/>
        <v>0</v>
      </c>
      <c r="EP165" s="61">
        <f t="shared" si="59"/>
        <v>0</v>
      </c>
      <c r="EQ165" s="61">
        <f t="shared" si="59"/>
        <v>0</v>
      </c>
      <c r="ER165" s="61">
        <f t="shared" si="59"/>
        <v>0</v>
      </c>
      <c r="ES165" s="61">
        <f t="shared" si="59"/>
        <v>0</v>
      </c>
      <c r="ET165" s="61">
        <f t="shared" si="60"/>
        <v>0</v>
      </c>
      <c r="EX165" s="61">
        <f t="shared" si="62"/>
        <v>0</v>
      </c>
      <c r="EZ165" s="61">
        <f t="shared" si="62"/>
        <v>0</v>
      </c>
      <c r="FN165" s="61">
        <f t="shared" si="56"/>
        <v>163</v>
      </c>
    </row>
    <row r="166" spans="1:170" ht="16.8" x14ac:dyDescent="0.3">
      <c r="A166" s="70">
        <f>'BASE MAESTRA'!B172</f>
        <v>164</v>
      </c>
      <c r="C166" s="61">
        <f t="shared" si="48"/>
        <v>0</v>
      </c>
      <c r="U166" s="61">
        <f t="shared" si="49"/>
        <v>0</v>
      </c>
      <c r="Z166" s="61">
        <f t="shared" si="50"/>
        <v>0</v>
      </c>
      <c r="AG166" s="61">
        <f t="shared" si="57"/>
        <v>0</v>
      </c>
      <c r="AH166" s="61">
        <f t="shared" si="57"/>
        <v>0</v>
      </c>
      <c r="AX166" s="61">
        <f t="shared" si="61"/>
        <v>0</v>
      </c>
      <c r="AY166" s="61">
        <f t="shared" si="61"/>
        <v>0</v>
      </c>
      <c r="AZ166" s="61">
        <f t="shared" si="61"/>
        <v>0</v>
      </c>
      <c r="BA166" s="61">
        <f t="shared" si="52"/>
        <v>0</v>
      </c>
      <c r="BJ166" s="61">
        <f t="shared" si="64"/>
        <v>0</v>
      </c>
      <c r="BK166" s="61">
        <f t="shared" si="65"/>
        <v>0</v>
      </c>
      <c r="BV166" s="61">
        <f t="shared" si="66"/>
        <v>0</v>
      </c>
      <c r="BW166" s="61">
        <f t="shared" si="67"/>
        <v>0</v>
      </c>
      <c r="CJ166" s="61">
        <f t="shared" si="54"/>
        <v>0</v>
      </c>
      <c r="CU166" s="61">
        <f t="shared" si="58"/>
        <v>0</v>
      </c>
      <c r="CV166" s="61">
        <f t="shared" si="58"/>
        <v>0</v>
      </c>
      <c r="CX166" s="61">
        <f t="shared" si="63"/>
        <v>0</v>
      </c>
      <c r="EP166" s="61">
        <f t="shared" si="59"/>
        <v>0</v>
      </c>
      <c r="EQ166" s="61">
        <f t="shared" si="59"/>
        <v>0</v>
      </c>
      <c r="ER166" s="61">
        <f t="shared" si="59"/>
        <v>0</v>
      </c>
      <c r="ES166" s="61">
        <f t="shared" si="59"/>
        <v>0</v>
      </c>
      <c r="ET166" s="61">
        <f t="shared" si="60"/>
        <v>0</v>
      </c>
      <c r="EX166" s="61">
        <f t="shared" si="62"/>
        <v>0</v>
      </c>
      <c r="EZ166" s="61">
        <f t="shared" si="62"/>
        <v>0</v>
      </c>
      <c r="FN166" s="61">
        <f t="shared" si="56"/>
        <v>164</v>
      </c>
    </row>
    <row r="167" spans="1:170" ht="16.8" x14ac:dyDescent="0.3">
      <c r="A167" s="70">
        <f>'BASE MAESTRA'!B173</f>
        <v>165</v>
      </c>
      <c r="C167" s="61">
        <f t="shared" si="48"/>
        <v>0</v>
      </c>
      <c r="U167" s="61">
        <f t="shared" si="49"/>
        <v>0</v>
      </c>
      <c r="Z167" s="61">
        <f t="shared" si="50"/>
        <v>0</v>
      </c>
      <c r="AG167" s="61">
        <f t="shared" si="57"/>
        <v>0</v>
      </c>
      <c r="AH167" s="61">
        <f t="shared" si="57"/>
        <v>0</v>
      </c>
      <c r="AX167" s="61">
        <f t="shared" si="61"/>
        <v>0</v>
      </c>
      <c r="AY167" s="61">
        <f t="shared" si="61"/>
        <v>0</v>
      </c>
      <c r="AZ167" s="61">
        <f t="shared" si="61"/>
        <v>0</v>
      </c>
      <c r="BA167" s="61">
        <f t="shared" si="52"/>
        <v>0</v>
      </c>
      <c r="BJ167" s="61">
        <f t="shared" si="64"/>
        <v>0</v>
      </c>
      <c r="BK167" s="61">
        <f t="shared" si="65"/>
        <v>0</v>
      </c>
      <c r="BV167" s="61">
        <f t="shared" si="66"/>
        <v>0</v>
      </c>
      <c r="BW167" s="61">
        <f t="shared" si="67"/>
        <v>0</v>
      </c>
      <c r="CJ167" s="61">
        <f t="shared" si="54"/>
        <v>0</v>
      </c>
      <c r="CU167" s="61">
        <f t="shared" si="58"/>
        <v>0</v>
      </c>
      <c r="CV167" s="61">
        <f t="shared" si="58"/>
        <v>0</v>
      </c>
      <c r="CX167" s="61">
        <f t="shared" si="63"/>
        <v>0</v>
      </c>
      <c r="EP167" s="61">
        <f t="shared" si="59"/>
        <v>0</v>
      </c>
      <c r="EQ167" s="61">
        <f t="shared" si="59"/>
        <v>0</v>
      </c>
      <c r="ER167" s="61">
        <f t="shared" si="59"/>
        <v>0</v>
      </c>
      <c r="ES167" s="61">
        <f t="shared" si="59"/>
        <v>0</v>
      </c>
      <c r="ET167" s="61">
        <f t="shared" si="60"/>
        <v>0</v>
      </c>
      <c r="EX167" s="61">
        <f t="shared" si="62"/>
        <v>0</v>
      </c>
      <c r="EZ167" s="61">
        <f t="shared" si="62"/>
        <v>0</v>
      </c>
      <c r="FN167" s="61">
        <f t="shared" si="56"/>
        <v>165</v>
      </c>
    </row>
    <row r="168" spans="1:170" ht="16.8" x14ac:dyDescent="0.3">
      <c r="A168" s="70">
        <f>'BASE MAESTRA'!B174</f>
        <v>166</v>
      </c>
      <c r="C168" s="61">
        <f t="shared" si="48"/>
        <v>0</v>
      </c>
      <c r="U168" s="61">
        <f t="shared" si="49"/>
        <v>0</v>
      </c>
      <c r="Z168" s="61">
        <f t="shared" si="50"/>
        <v>0</v>
      </c>
      <c r="AG168" s="61">
        <f t="shared" si="57"/>
        <v>0</v>
      </c>
      <c r="AH168" s="61">
        <f t="shared" si="57"/>
        <v>0</v>
      </c>
      <c r="AX168" s="61">
        <f t="shared" si="61"/>
        <v>0</v>
      </c>
      <c r="AY168" s="61">
        <f t="shared" si="61"/>
        <v>0</v>
      </c>
      <c r="AZ168" s="61">
        <f t="shared" si="61"/>
        <v>0</v>
      </c>
      <c r="BA168" s="61">
        <f t="shared" si="52"/>
        <v>0</v>
      </c>
      <c r="BJ168" s="61">
        <f t="shared" si="64"/>
        <v>0</v>
      </c>
      <c r="BK168" s="61">
        <f t="shared" si="65"/>
        <v>0</v>
      </c>
      <c r="BV168" s="61">
        <f t="shared" si="66"/>
        <v>0</v>
      </c>
      <c r="BW168" s="61">
        <f t="shared" si="67"/>
        <v>0</v>
      </c>
      <c r="CJ168" s="61">
        <f t="shared" si="54"/>
        <v>0</v>
      </c>
      <c r="CU168" s="61">
        <f t="shared" si="58"/>
        <v>0</v>
      </c>
      <c r="CV168" s="61">
        <f t="shared" si="58"/>
        <v>0</v>
      </c>
      <c r="CX168" s="61">
        <f t="shared" si="63"/>
        <v>0</v>
      </c>
      <c r="EP168" s="61">
        <f t="shared" si="59"/>
        <v>0</v>
      </c>
      <c r="EQ168" s="61">
        <f t="shared" si="59"/>
        <v>0</v>
      </c>
      <c r="ER168" s="61">
        <f t="shared" si="59"/>
        <v>0</v>
      </c>
      <c r="ES168" s="61">
        <f t="shared" si="59"/>
        <v>0</v>
      </c>
      <c r="ET168" s="61">
        <f t="shared" si="60"/>
        <v>0</v>
      </c>
      <c r="EX168" s="61">
        <f t="shared" si="62"/>
        <v>0</v>
      </c>
      <c r="EZ168" s="61">
        <f t="shared" si="62"/>
        <v>0</v>
      </c>
      <c r="FN168" s="61">
        <f t="shared" si="56"/>
        <v>166</v>
      </c>
    </row>
    <row r="169" spans="1:170" ht="16.8" x14ac:dyDescent="0.3">
      <c r="A169" s="70">
        <f>'BASE MAESTRA'!B175</f>
        <v>167</v>
      </c>
      <c r="C169" s="61">
        <f t="shared" si="48"/>
        <v>0</v>
      </c>
      <c r="U169" s="61">
        <f t="shared" si="49"/>
        <v>0</v>
      </c>
      <c r="Z169" s="61">
        <f t="shared" si="50"/>
        <v>0</v>
      </c>
      <c r="AG169" s="61">
        <f t="shared" si="57"/>
        <v>0</v>
      </c>
      <c r="AH169" s="61">
        <f t="shared" si="57"/>
        <v>0</v>
      </c>
      <c r="AX169" s="61">
        <f t="shared" si="61"/>
        <v>0</v>
      </c>
      <c r="AY169" s="61">
        <f t="shared" si="61"/>
        <v>0</v>
      </c>
      <c r="AZ169" s="61">
        <f t="shared" si="61"/>
        <v>0</v>
      </c>
      <c r="BA169" s="61">
        <f t="shared" si="52"/>
        <v>0</v>
      </c>
      <c r="BJ169" s="61">
        <f t="shared" si="64"/>
        <v>0</v>
      </c>
      <c r="BK169" s="61">
        <f t="shared" si="65"/>
        <v>0</v>
      </c>
      <c r="BV169" s="61">
        <f t="shared" si="66"/>
        <v>0</v>
      </c>
      <c r="BW169" s="61">
        <f t="shared" si="67"/>
        <v>0</v>
      </c>
      <c r="CJ169" s="61">
        <f t="shared" si="54"/>
        <v>0</v>
      </c>
      <c r="CU169" s="61">
        <f t="shared" si="58"/>
        <v>0</v>
      </c>
      <c r="CV169" s="61">
        <f t="shared" si="58"/>
        <v>0</v>
      </c>
      <c r="CX169" s="61">
        <f t="shared" si="63"/>
        <v>0</v>
      </c>
      <c r="EP169" s="61">
        <f t="shared" si="59"/>
        <v>0</v>
      </c>
      <c r="EQ169" s="61">
        <f t="shared" si="59"/>
        <v>0</v>
      </c>
      <c r="ER169" s="61">
        <f t="shared" si="59"/>
        <v>0</v>
      </c>
      <c r="ES169" s="61">
        <f t="shared" si="59"/>
        <v>0</v>
      </c>
      <c r="ET169" s="61">
        <f t="shared" si="60"/>
        <v>0</v>
      </c>
      <c r="EX169" s="61">
        <f t="shared" si="62"/>
        <v>0</v>
      </c>
      <c r="EZ169" s="61">
        <f t="shared" si="62"/>
        <v>0</v>
      </c>
      <c r="FN169" s="61">
        <f t="shared" si="56"/>
        <v>167</v>
      </c>
    </row>
    <row r="170" spans="1:170" ht="16.8" x14ac:dyDescent="0.3">
      <c r="A170" s="70">
        <f>'BASE MAESTRA'!B176</f>
        <v>168</v>
      </c>
      <c r="C170" s="61">
        <f t="shared" si="48"/>
        <v>0</v>
      </c>
      <c r="U170" s="61">
        <f t="shared" si="49"/>
        <v>0</v>
      </c>
      <c r="Z170" s="61">
        <f t="shared" si="50"/>
        <v>0</v>
      </c>
      <c r="AG170" s="61">
        <f t="shared" si="57"/>
        <v>0</v>
      </c>
      <c r="AH170" s="61">
        <f t="shared" si="57"/>
        <v>0</v>
      </c>
      <c r="AX170" s="61">
        <f t="shared" si="61"/>
        <v>0</v>
      </c>
      <c r="AY170" s="61">
        <f t="shared" si="61"/>
        <v>0</v>
      </c>
      <c r="AZ170" s="61">
        <f t="shared" si="61"/>
        <v>0</v>
      </c>
      <c r="BA170" s="61">
        <f t="shared" si="52"/>
        <v>0</v>
      </c>
      <c r="BJ170" s="61">
        <f t="shared" si="64"/>
        <v>0</v>
      </c>
      <c r="BK170" s="61">
        <f t="shared" si="65"/>
        <v>0</v>
      </c>
      <c r="BV170" s="61">
        <f t="shared" si="66"/>
        <v>0</v>
      </c>
      <c r="BW170" s="61">
        <f t="shared" si="67"/>
        <v>0</v>
      </c>
      <c r="CJ170" s="61">
        <f t="shared" si="54"/>
        <v>0</v>
      </c>
      <c r="CU170" s="61">
        <f t="shared" si="58"/>
        <v>0</v>
      </c>
      <c r="CV170" s="61">
        <f t="shared" si="58"/>
        <v>0</v>
      </c>
      <c r="CX170" s="61">
        <f t="shared" si="63"/>
        <v>0</v>
      </c>
      <c r="EP170" s="61">
        <f t="shared" si="59"/>
        <v>0</v>
      </c>
      <c r="EQ170" s="61">
        <f t="shared" si="59"/>
        <v>0</v>
      </c>
      <c r="ER170" s="61">
        <f t="shared" si="59"/>
        <v>0</v>
      </c>
      <c r="ES170" s="61">
        <f t="shared" si="59"/>
        <v>0</v>
      </c>
      <c r="ET170" s="61">
        <f t="shared" si="60"/>
        <v>0</v>
      </c>
      <c r="EX170" s="61">
        <f t="shared" si="62"/>
        <v>0</v>
      </c>
      <c r="EZ170" s="61">
        <f t="shared" si="62"/>
        <v>0</v>
      </c>
      <c r="FN170" s="61">
        <f t="shared" si="56"/>
        <v>168</v>
      </c>
    </row>
    <row r="171" spans="1:170" ht="16.8" x14ac:dyDescent="0.3">
      <c r="A171" s="70">
        <f>'BASE MAESTRA'!B177</f>
        <v>169</v>
      </c>
      <c r="C171" s="61">
        <f t="shared" si="48"/>
        <v>0</v>
      </c>
      <c r="U171" s="61">
        <f t="shared" si="49"/>
        <v>0</v>
      </c>
      <c r="Z171" s="61">
        <f t="shared" si="50"/>
        <v>0</v>
      </c>
      <c r="AG171" s="61">
        <f t="shared" si="57"/>
        <v>0</v>
      </c>
      <c r="AH171" s="61">
        <f t="shared" si="57"/>
        <v>0</v>
      </c>
      <c r="AX171" s="61">
        <f t="shared" si="61"/>
        <v>0</v>
      </c>
      <c r="AY171" s="61">
        <f t="shared" si="61"/>
        <v>0</v>
      </c>
      <c r="AZ171" s="61">
        <f t="shared" si="61"/>
        <v>0</v>
      </c>
      <c r="BA171" s="61">
        <f t="shared" si="52"/>
        <v>0</v>
      </c>
      <c r="BJ171" s="61">
        <f t="shared" si="64"/>
        <v>0</v>
      </c>
      <c r="BK171" s="61">
        <f t="shared" si="65"/>
        <v>0</v>
      </c>
      <c r="BV171" s="61">
        <f t="shared" si="66"/>
        <v>0</v>
      </c>
      <c r="BW171" s="61">
        <f t="shared" si="67"/>
        <v>0</v>
      </c>
      <c r="CJ171" s="61">
        <f t="shared" si="54"/>
        <v>0</v>
      </c>
      <c r="CU171" s="61">
        <f t="shared" si="58"/>
        <v>0</v>
      </c>
      <c r="CV171" s="61">
        <f t="shared" si="58"/>
        <v>0</v>
      </c>
      <c r="CX171" s="61">
        <f t="shared" si="63"/>
        <v>0</v>
      </c>
      <c r="EP171" s="61">
        <f t="shared" si="59"/>
        <v>0</v>
      </c>
      <c r="EQ171" s="61">
        <f t="shared" si="59"/>
        <v>0</v>
      </c>
      <c r="ER171" s="61">
        <f t="shared" si="59"/>
        <v>0</v>
      </c>
      <c r="ES171" s="61">
        <f t="shared" si="59"/>
        <v>0</v>
      </c>
      <c r="ET171" s="61">
        <f t="shared" si="60"/>
        <v>0</v>
      </c>
      <c r="EX171" s="61">
        <f t="shared" si="62"/>
        <v>0</v>
      </c>
      <c r="EZ171" s="61">
        <f t="shared" si="62"/>
        <v>0</v>
      </c>
      <c r="FN171" s="61">
        <f t="shared" si="56"/>
        <v>169</v>
      </c>
    </row>
    <row r="172" spans="1:170" ht="16.8" x14ac:dyDescent="0.3">
      <c r="A172" s="70">
        <f>'BASE MAESTRA'!B178</f>
        <v>170</v>
      </c>
      <c r="C172" s="61">
        <f t="shared" si="48"/>
        <v>0</v>
      </c>
      <c r="U172" s="61">
        <f t="shared" si="49"/>
        <v>0</v>
      </c>
      <c r="Z172" s="61">
        <f t="shared" si="50"/>
        <v>0</v>
      </c>
      <c r="AG172" s="61">
        <f t="shared" si="57"/>
        <v>0</v>
      </c>
      <c r="AH172" s="61">
        <f t="shared" si="57"/>
        <v>0</v>
      </c>
      <c r="AX172" s="61">
        <f t="shared" si="61"/>
        <v>0</v>
      </c>
      <c r="AY172" s="61">
        <f t="shared" si="61"/>
        <v>0</v>
      </c>
      <c r="AZ172" s="61">
        <f t="shared" si="61"/>
        <v>0</v>
      </c>
      <c r="BA172" s="61">
        <f t="shared" si="52"/>
        <v>0</v>
      </c>
      <c r="BJ172" s="61">
        <f t="shared" si="64"/>
        <v>0</v>
      </c>
      <c r="BK172" s="61">
        <f t="shared" si="65"/>
        <v>0</v>
      </c>
      <c r="BV172" s="61">
        <f t="shared" si="66"/>
        <v>0</v>
      </c>
      <c r="BW172" s="61">
        <f t="shared" si="67"/>
        <v>0</v>
      </c>
      <c r="CJ172" s="61">
        <f t="shared" si="54"/>
        <v>0</v>
      </c>
      <c r="CU172" s="61">
        <f t="shared" si="58"/>
        <v>0</v>
      </c>
      <c r="CV172" s="61">
        <f t="shared" si="58"/>
        <v>0</v>
      </c>
      <c r="CX172" s="61">
        <f t="shared" si="63"/>
        <v>0</v>
      </c>
      <c r="EP172" s="61">
        <f t="shared" si="59"/>
        <v>0</v>
      </c>
      <c r="EQ172" s="61">
        <f t="shared" si="59"/>
        <v>0</v>
      </c>
      <c r="ER172" s="61">
        <f t="shared" si="59"/>
        <v>0</v>
      </c>
      <c r="ES172" s="61">
        <f t="shared" si="59"/>
        <v>0</v>
      </c>
      <c r="ET172" s="61">
        <f t="shared" si="60"/>
        <v>0</v>
      </c>
      <c r="EX172" s="61">
        <f t="shared" si="62"/>
        <v>0</v>
      </c>
      <c r="EZ172" s="61">
        <f t="shared" si="62"/>
        <v>0</v>
      </c>
      <c r="FN172" s="61">
        <f t="shared" si="56"/>
        <v>170</v>
      </c>
    </row>
    <row r="173" spans="1:170" ht="16.8" x14ac:dyDescent="0.3">
      <c r="A173" s="70">
        <f>'BASE MAESTRA'!B179</f>
        <v>171</v>
      </c>
      <c r="C173" s="61">
        <f t="shared" si="48"/>
        <v>0</v>
      </c>
      <c r="U173" s="61">
        <f t="shared" si="49"/>
        <v>0</v>
      </c>
      <c r="Z173" s="61">
        <f t="shared" si="50"/>
        <v>0</v>
      </c>
      <c r="AG173" s="61">
        <f t="shared" si="57"/>
        <v>0</v>
      </c>
      <c r="AH173" s="61">
        <f t="shared" si="57"/>
        <v>0</v>
      </c>
      <c r="AX173" s="61">
        <f t="shared" si="61"/>
        <v>0</v>
      </c>
      <c r="AY173" s="61">
        <f t="shared" si="61"/>
        <v>0</v>
      </c>
      <c r="AZ173" s="61">
        <f t="shared" si="61"/>
        <v>0</v>
      </c>
      <c r="BA173" s="61">
        <f t="shared" si="52"/>
        <v>0</v>
      </c>
      <c r="BJ173" s="61">
        <f t="shared" si="64"/>
        <v>0</v>
      </c>
      <c r="BK173" s="61">
        <f t="shared" si="65"/>
        <v>0</v>
      </c>
      <c r="BV173" s="61">
        <f t="shared" si="66"/>
        <v>0</v>
      </c>
      <c r="BW173" s="61">
        <f t="shared" si="67"/>
        <v>0</v>
      </c>
      <c r="CJ173" s="61">
        <f t="shared" si="54"/>
        <v>0</v>
      </c>
      <c r="CU173" s="61">
        <f t="shared" si="58"/>
        <v>0</v>
      </c>
      <c r="CV173" s="61">
        <f t="shared" si="58"/>
        <v>0</v>
      </c>
      <c r="CX173" s="61">
        <f t="shared" si="63"/>
        <v>0</v>
      </c>
      <c r="EP173" s="61">
        <f t="shared" si="59"/>
        <v>0</v>
      </c>
      <c r="EQ173" s="61">
        <f t="shared" si="59"/>
        <v>0</v>
      </c>
      <c r="ER173" s="61">
        <f t="shared" si="59"/>
        <v>0</v>
      </c>
      <c r="ES173" s="61">
        <f t="shared" si="59"/>
        <v>0</v>
      </c>
      <c r="ET173" s="61">
        <f t="shared" si="60"/>
        <v>0</v>
      </c>
      <c r="EX173" s="61">
        <f t="shared" si="62"/>
        <v>0</v>
      </c>
      <c r="EZ173" s="61">
        <f t="shared" si="62"/>
        <v>0</v>
      </c>
      <c r="FN173" s="61">
        <f t="shared" si="56"/>
        <v>171</v>
      </c>
    </row>
    <row r="174" spans="1:170" ht="16.8" x14ac:dyDescent="0.3">
      <c r="A174" s="70">
        <f>'BASE MAESTRA'!B180</f>
        <v>172</v>
      </c>
      <c r="C174" s="61">
        <f t="shared" si="48"/>
        <v>0</v>
      </c>
      <c r="U174" s="61">
        <f t="shared" si="49"/>
        <v>0</v>
      </c>
      <c r="Z174" s="61">
        <f t="shared" si="50"/>
        <v>0</v>
      </c>
      <c r="AG174" s="61">
        <f t="shared" si="57"/>
        <v>0</v>
      </c>
      <c r="AH174" s="61">
        <f t="shared" si="57"/>
        <v>0</v>
      </c>
      <c r="AX174" s="61">
        <f t="shared" si="61"/>
        <v>0</v>
      </c>
      <c r="AY174" s="61">
        <f t="shared" si="61"/>
        <v>0</v>
      </c>
      <c r="AZ174" s="61">
        <f t="shared" si="61"/>
        <v>0</v>
      </c>
      <c r="BA174" s="61">
        <f t="shared" si="52"/>
        <v>0</v>
      </c>
      <c r="BJ174" s="61">
        <f t="shared" si="64"/>
        <v>0</v>
      </c>
      <c r="BK174" s="61">
        <f t="shared" si="65"/>
        <v>0</v>
      </c>
      <c r="BV174" s="61">
        <f t="shared" si="66"/>
        <v>0</v>
      </c>
      <c r="BW174" s="61">
        <f t="shared" si="67"/>
        <v>0</v>
      </c>
      <c r="CJ174" s="61">
        <f t="shared" si="54"/>
        <v>0</v>
      </c>
      <c r="CU174" s="61">
        <f t="shared" si="58"/>
        <v>0</v>
      </c>
      <c r="CV174" s="61">
        <f t="shared" si="58"/>
        <v>0</v>
      </c>
      <c r="CX174" s="61">
        <f t="shared" si="63"/>
        <v>0</v>
      </c>
      <c r="EP174" s="61">
        <f t="shared" si="59"/>
        <v>0</v>
      </c>
      <c r="EQ174" s="61">
        <f t="shared" si="59"/>
        <v>0</v>
      </c>
      <c r="ER174" s="61">
        <f t="shared" si="59"/>
        <v>0</v>
      </c>
      <c r="ES174" s="61">
        <f t="shared" si="59"/>
        <v>0</v>
      </c>
      <c r="ET174" s="61">
        <f t="shared" si="60"/>
        <v>0</v>
      </c>
      <c r="EX174" s="61">
        <f t="shared" si="62"/>
        <v>0</v>
      </c>
      <c r="EZ174" s="61">
        <f t="shared" si="62"/>
        <v>0</v>
      </c>
      <c r="FN174" s="61">
        <f t="shared" si="56"/>
        <v>172</v>
      </c>
    </row>
    <row r="175" spans="1:170" ht="16.8" x14ac:dyDescent="0.3">
      <c r="A175" s="70">
        <f>'BASE MAESTRA'!B181</f>
        <v>173</v>
      </c>
      <c r="C175" s="61">
        <f t="shared" si="48"/>
        <v>0</v>
      </c>
      <c r="U175" s="61">
        <f t="shared" si="49"/>
        <v>0</v>
      </c>
      <c r="Z175" s="61">
        <f t="shared" si="50"/>
        <v>0</v>
      </c>
      <c r="AG175" s="61">
        <f t="shared" si="57"/>
        <v>0</v>
      </c>
      <c r="AH175" s="61">
        <f t="shared" si="57"/>
        <v>0</v>
      </c>
      <c r="AX175" s="61">
        <f t="shared" si="61"/>
        <v>0</v>
      </c>
      <c r="AY175" s="61">
        <f t="shared" si="61"/>
        <v>0</v>
      </c>
      <c r="AZ175" s="61">
        <f t="shared" si="61"/>
        <v>0</v>
      </c>
      <c r="BA175" s="61">
        <f t="shared" si="52"/>
        <v>0</v>
      </c>
      <c r="BJ175" s="61">
        <f t="shared" si="64"/>
        <v>0</v>
      </c>
      <c r="BK175" s="61">
        <f t="shared" si="65"/>
        <v>0</v>
      </c>
      <c r="BV175" s="61">
        <f t="shared" si="66"/>
        <v>0</v>
      </c>
      <c r="BW175" s="61">
        <f t="shared" si="67"/>
        <v>0</v>
      </c>
      <c r="CJ175" s="61">
        <f t="shared" si="54"/>
        <v>0</v>
      </c>
      <c r="CU175" s="61">
        <f t="shared" si="58"/>
        <v>0</v>
      </c>
      <c r="CV175" s="61">
        <f t="shared" si="58"/>
        <v>0</v>
      </c>
      <c r="CX175" s="61">
        <f t="shared" si="63"/>
        <v>0</v>
      </c>
      <c r="EP175" s="61">
        <f t="shared" si="59"/>
        <v>0</v>
      </c>
      <c r="EQ175" s="61">
        <f t="shared" si="59"/>
        <v>0</v>
      </c>
      <c r="ER175" s="61">
        <f t="shared" si="59"/>
        <v>0</v>
      </c>
      <c r="ES175" s="61">
        <f t="shared" si="59"/>
        <v>0</v>
      </c>
      <c r="ET175" s="61">
        <f t="shared" si="60"/>
        <v>0</v>
      </c>
      <c r="EX175" s="61">
        <f t="shared" si="62"/>
        <v>0</v>
      </c>
      <c r="EZ175" s="61">
        <f t="shared" si="62"/>
        <v>0</v>
      </c>
      <c r="FN175" s="61">
        <f t="shared" si="56"/>
        <v>173</v>
      </c>
    </row>
    <row r="176" spans="1:170" ht="16.8" x14ac:dyDescent="0.3">
      <c r="A176" s="70">
        <f>'BASE MAESTRA'!B182</f>
        <v>174</v>
      </c>
      <c r="C176" s="61">
        <f t="shared" si="48"/>
        <v>0</v>
      </c>
      <c r="U176" s="61">
        <f t="shared" si="49"/>
        <v>0</v>
      </c>
      <c r="Z176" s="61">
        <f t="shared" si="50"/>
        <v>0</v>
      </c>
      <c r="AG176" s="61">
        <f t="shared" si="57"/>
        <v>0</v>
      </c>
      <c r="AH176" s="61">
        <f t="shared" si="57"/>
        <v>0</v>
      </c>
      <c r="AX176" s="61">
        <f t="shared" si="61"/>
        <v>0</v>
      </c>
      <c r="AY176" s="61">
        <f t="shared" si="61"/>
        <v>0</v>
      </c>
      <c r="AZ176" s="61">
        <f t="shared" si="61"/>
        <v>0</v>
      </c>
      <c r="BA176" s="61">
        <f t="shared" si="52"/>
        <v>0</v>
      </c>
      <c r="BJ176" s="61">
        <f t="shared" si="64"/>
        <v>0</v>
      </c>
      <c r="BK176" s="61">
        <f t="shared" si="65"/>
        <v>0</v>
      </c>
      <c r="BV176" s="61">
        <f t="shared" si="66"/>
        <v>0</v>
      </c>
      <c r="BW176" s="61">
        <f t="shared" si="67"/>
        <v>0</v>
      </c>
      <c r="CJ176" s="61">
        <f t="shared" si="54"/>
        <v>0</v>
      </c>
      <c r="CU176" s="61">
        <f t="shared" si="58"/>
        <v>0</v>
      </c>
      <c r="CV176" s="61">
        <f t="shared" si="58"/>
        <v>0</v>
      </c>
      <c r="CX176" s="61">
        <f t="shared" si="63"/>
        <v>0</v>
      </c>
      <c r="EP176" s="61">
        <f t="shared" si="59"/>
        <v>0</v>
      </c>
      <c r="EQ176" s="61">
        <f t="shared" si="59"/>
        <v>0</v>
      </c>
      <c r="ER176" s="61">
        <f t="shared" si="59"/>
        <v>0</v>
      </c>
      <c r="ES176" s="61">
        <f t="shared" si="59"/>
        <v>0</v>
      </c>
      <c r="ET176" s="61">
        <f t="shared" si="60"/>
        <v>0</v>
      </c>
      <c r="EX176" s="61">
        <f t="shared" si="62"/>
        <v>0</v>
      </c>
      <c r="EZ176" s="61">
        <f t="shared" si="62"/>
        <v>0</v>
      </c>
      <c r="FN176" s="61">
        <f t="shared" si="56"/>
        <v>174</v>
      </c>
    </row>
    <row r="177" spans="1:170" ht="16.8" x14ac:dyDescent="0.3">
      <c r="A177" s="70">
        <f>'BASE MAESTRA'!B183</f>
        <v>175</v>
      </c>
      <c r="C177" s="61">
        <f t="shared" si="48"/>
        <v>0</v>
      </c>
      <c r="U177" s="61">
        <f t="shared" si="49"/>
        <v>0</v>
      </c>
      <c r="Z177" s="61">
        <f t="shared" si="50"/>
        <v>0</v>
      </c>
      <c r="AG177" s="61">
        <f t="shared" si="57"/>
        <v>0</v>
      </c>
      <c r="AH177" s="61">
        <f t="shared" si="57"/>
        <v>0</v>
      </c>
      <c r="AX177" s="61">
        <f t="shared" si="61"/>
        <v>0</v>
      </c>
      <c r="AY177" s="61">
        <f t="shared" si="61"/>
        <v>0</v>
      </c>
      <c r="AZ177" s="61">
        <f t="shared" si="61"/>
        <v>0</v>
      </c>
      <c r="BA177" s="61">
        <f t="shared" si="52"/>
        <v>0</v>
      </c>
      <c r="BJ177" s="61">
        <f t="shared" si="64"/>
        <v>0</v>
      </c>
      <c r="BK177" s="61">
        <f t="shared" si="65"/>
        <v>0</v>
      </c>
      <c r="BV177" s="61">
        <f t="shared" si="66"/>
        <v>0</v>
      </c>
      <c r="BW177" s="61">
        <f t="shared" si="67"/>
        <v>0</v>
      </c>
      <c r="CJ177" s="61">
        <f t="shared" si="54"/>
        <v>0</v>
      </c>
      <c r="CU177" s="61">
        <f t="shared" si="58"/>
        <v>0</v>
      </c>
      <c r="CV177" s="61">
        <f t="shared" si="58"/>
        <v>0</v>
      </c>
      <c r="CX177" s="61">
        <f t="shared" si="63"/>
        <v>0</v>
      </c>
      <c r="EP177" s="61">
        <f t="shared" si="59"/>
        <v>0</v>
      </c>
      <c r="EQ177" s="61">
        <f t="shared" si="59"/>
        <v>0</v>
      </c>
      <c r="ER177" s="61">
        <f t="shared" si="59"/>
        <v>0</v>
      </c>
      <c r="ES177" s="61">
        <f t="shared" si="59"/>
        <v>0</v>
      </c>
      <c r="ET177" s="61">
        <f t="shared" si="60"/>
        <v>0</v>
      </c>
      <c r="EX177" s="61">
        <f t="shared" si="62"/>
        <v>0</v>
      </c>
      <c r="EZ177" s="61">
        <f t="shared" si="62"/>
        <v>0</v>
      </c>
      <c r="FN177" s="61">
        <f t="shared" si="56"/>
        <v>175</v>
      </c>
    </row>
    <row r="178" spans="1:170" ht="16.8" x14ac:dyDescent="0.3">
      <c r="A178" s="70">
        <f>'BASE MAESTRA'!B184</f>
        <v>176</v>
      </c>
      <c r="C178" s="61">
        <f t="shared" si="48"/>
        <v>0</v>
      </c>
      <c r="U178" s="61">
        <f t="shared" si="49"/>
        <v>0</v>
      </c>
      <c r="Z178" s="61">
        <f t="shared" si="50"/>
        <v>0</v>
      </c>
      <c r="AG178" s="61">
        <f t="shared" si="57"/>
        <v>0</v>
      </c>
      <c r="AH178" s="61">
        <f t="shared" si="57"/>
        <v>0</v>
      </c>
      <c r="AX178" s="61">
        <f t="shared" si="61"/>
        <v>0</v>
      </c>
      <c r="AY178" s="61">
        <f t="shared" si="61"/>
        <v>0</v>
      </c>
      <c r="AZ178" s="61">
        <f t="shared" si="61"/>
        <v>0</v>
      </c>
      <c r="BA178" s="61">
        <f t="shared" si="52"/>
        <v>0</v>
      </c>
      <c r="BJ178" s="61">
        <f t="shared" si="64"/>
        <v>0</v>
      </c>
      <c r="BK178" s="61">
        <f t="shared" si="65"/>
        <v>0</v>
      </c>
      <c r="BV178" s="61">
        <f t="shared" si="66"/>
        <v>0</v>
      </c>
      <c r="BW178" s="61">
        <f t="shared" si="67"/>
        <v>0</v>
      </c>
      <c r="CJ178" s="61">
        <f t="shared" si="54"/>
        <v>0</v>
      </c>
      <c r="CU178" s="61">
        <f t="shared" si="58"/>
        <v>0</v>
      </c>
      <c r="CV178" s="61">
        <f t="shared" si="58"/>
        <v>0</v>
      </c>
      <c r="CX178" s="61">
        <f t="shared" si="63"/>
        <v>0</v>
      </c>
      <c r="EP178" s="61">
        <f t="shared" si="59"/>
        <v>0</v>
      </c>
      <c r="EQ178" s="61">
        <f t="shared" si="59"/>
        <v>0</v>
      </c>
      <c r="ER178" s="61">
        <f t="shared" si="59"/>
        <v>0</v>
      </c>
      <c r="ES178" s="61">
        <f t="shared" si="59"/>
        <v>0</v>
      </c>
      <c r="ET178" s="61">
        <f t="shared" si="60"/>
        <v>0</v>
      </c>
      <c r="EX178" s="61">
        <f t="shared" si="62"/>
        <v>0</v>
      </c>
      <c r="EZ178" s="61">
        <f t="shared" si="62"/>
        <v>0</v>
      </c>
      <c r="FN178" s="61">
        <f t="shared" si="56"/>
        <v>176</v>
      </c>
    </row>
    <row r="179" spans="1:170" ht="16.8" x14ac:dyDescent="0.3">
      <c r="A179" s="70">
        <f>'BASE MAESTRA'!B185</f>
        <v>177</v>
      </c>
      <c r="C179" s="61">
        <f t="shared" si="48"/>
        <v>0</v>
      </c>
      <c r="U179" s="61">
        <f t="shared" si="49"/>
        <v>0</v>
      </c>
      <c r="Z179" s="61">
        <f t="shared" si="50"/>
        <v>0</v>
      </c>
      <c r="AG179" s="61">
        <f t="shared" si="57"/>
        <v>0</v>
      </c>
      <c r="AH179" s="61">
        <f t="shared" si="57"/>
        <v>0</v>
      </c>
      <c r="AX179" s="61">
        <f t="shared" si="61"/>
        <v>0</v>
      </c>
      <c r="AY179" s="61">
        <f t="shared" si="61"/>
        <v>0</v>
      </c>
      <c r="AZ179" s="61">
        <f t="shared" si="61"/>
        <v>0</v>
      </c>
      <c r="BA179" s="61">
        <f t="shared" si="52"/>
        <v>0</v>
      </c>
      <c r="BJ179" s="61">
        <f t="shared" si="64"/>
        <v>0</v>
      </c>
      <c r="BK179" s="61">
        <f t="shared" si="65"/>
        <v>0</v>
      </c>
      <c r="BV179" s="61">
        <f t="shared" si="66"/>
        <v>0</v>
      </c>
      <c r="BW179" s="61">
        <f t="shared" si="67"/>
        <v>0</v>
      </c>
      <c r="CJ179" s="61">
        <f t="shared" si="54"/>
        <v>0</v>
      </c>
      <c r="CU179" s="61">
        <f t="shared" si="58"/>
        <v>0</v>
      </c>
      <c r="CV179" s="61">
        <f t="shared" si="58"/>
        <v>0</v>
      </c>
      <c r="CX179" s="61">
        <f t="shared" si="63"/>
        <v>0</v>
      </c>
      <c r="EP179" s="61">
        <f t="shared" si="59"/>
        <v>0</v>
      </c>
      <c r="EQ179" s="61">
        <f t="shared" si="59"/>
        <v>0</v>
      </c>
      <c r="ER179" s="61">
        <f t="shared" si="59"/>
        <v>0</v>
      </c>
      <c r="ES179" s="61">
        <f t="shared" si="59"/>
        <v>0</v>
      </c>
      <c r="ET179" s="61">
        <f t="shared" si="60"/>
        <v>0</v>
      </c>
      <c r="EX179" s="61">
        <f t="shared" si="62"/>
        <v>0</v>
      </c>
      <c r="EZ179" s="61">
        <f t="shared" si="62"/>
        <v>0</v>
      </c>
      <c r="FN179" s="61">
        <f t="shared" si="56"/>
        <v>177</v>
      </c>
    </row>
    <row r="180" spans="1:170" ht="16.8" x14ac:dyDescent="0.3">
      <c r="A180" s="70">
        <f>'BASE MAESTRA'!B186</f>
        <v>178</v>
      </c>
      <c r="C180" s="61">
        <f t="shared" si="48"/>
        <v>0</v>
      </c>
      <c r="U180" s="61">
        <f t="shared" si="49"/>
        <v>0</v>
      </c>
      <c r="Z180" s="61">
        <f t="shared" si="50"/>
        <v>0</v>
      </c>
      <c r="AG180" s="61">
        <f t="shared" si="57"/>
        <v>0</v>
      </c>
      <c r="AH180" s="61">
        <f t="shared" si="57"/>
        <v>0</v>
      </c>
      <c r="AX180" s="61">
        <f t="shared" si="61"/>
        <v>0</v>
      </c>
      <c r="AY180" s="61">
        <f t="shared" si="61"/>
        <v>0</v>
      </c>
      <c r="AZ180" s="61">
        <f t="shared" si="61"/>
        <v>0</v>
      </c>
      <c r="BA180" s="61">
        <f t="shared" si="52"/>
        <v>0</v>
      </c>
      <c r="BJ180" s="61">
        <f t="shared" si="64"/>
        <v>0</v>
      </c>
      <c r="BK180" s="61">
        <f t="shared" si="65"/>
        <v>0</v>
      </c>
      <c r="BV180" s="61">
        <f t="shared" si="66"/>
        <v>0</v>
      </c>
      <c r="BW180" s="61">
        <f t="shared" si="67"/>
        <v>0</v>
      </c>
      <c r="CJ180" s="61">
        <f t="shared" si="54"/>
        <v>0</v>
      </c>
      <c r="CU180" s="61">
        <f t="shared" si="58"/>
        <v>0</v>
      </c>
      <c r="CV180" s="61">
        <f t="shared" si="58"/>
        <v>0</v>
      </c>
      <c r="CX180" s="61">
        <f t="shared" si="63"/>
        <v>0</v>
      </c>
      <c r="EP180" s="61">
        <f t="shared" si="59"/>
        <v>0</v>
      </c>
      <c r="EQ180" s="61">
        <f t="shared" si="59"/>
        <v>0</v>
      </c>
      <c r="ER180" s="61">
        <f t="shared" si="59"/>
        <v>0</v>
      </c>
      <c r="ES180" s="61">
        <f t="shared" si="59"/>
        <v>0</v>
      </c>
      <c r="ET180" s="61">
        <f t="shared" si="60"/>
        <v>0</v>
      </c>
      <c r="EX180" s="61">
        <f t="shared" si="62"/>
        <v>0</v>
      </c>
      <c r="EZ180" s="61">
        <f t="shared" si="62"/>
        <v>0</v>
      </c>
      <c r="FN180" s="61">
        <f t="shared" si="56"/>
        <v>178</v>
      </c>
    </row>
    <row r="181" spans="1:170" ht="16.8" x14ac:dyDescent="0.3">
      <c r="A181" s="70">
        <f>'BASE MAESTRA'!B187</f>
        <v>179</v>
      </c>
      <c r="C181" s="61">
        <f t="shared" si="48"/>
        <v>0</v>
      </c>
      <c r="U181" s="61">
        <f t="shared" si="49"/>
        <v>0</v>
      </c>
      <c r="Z181" s="61">
        <f t="shared" si="50"/>
        <v>0</v>
      </c>
      <c r="AG181" s="61">
        <f t="shared" si="57"/>
        <v>0</v>
      </c>
      <c r="AH181" s="61">
        <f t="shared" si="57"/>
        <v>0</v>
      </c>
      <c r="AX181" s="61">
        <f t="shared" si="61"/>
        <v>0</v>
      </c>
      <c r="AY181" s="61">
        <f t="shared" si="61"/>
        <v>0</v>
      </c>
      <c r="AZ181" s="61">
        <f t="shared" si="61"/>
        <v>0</v>
      </c>
      <c r="BA181" s="61">
        <f t="shared" si="52"/>
        <v>0</v>
      </c>
      <c r="BJ181" s="61">
        <f t="shared" si="64"/>
        <v>0</v>
      </c>
      <c r="BK181" s="61">
        <f t="shared" si="65"/>
        <v>0</v>
      </c>
      <c r="BV181" s="61">
        <f t="shared" si="66"/>
        <v>0</v>
      </c>
      <c r="BW181" s="61">
        <f t="shared" si="67"/>
        <v>0</v>
      </c>
      <c r="CJ181" s="61">
        <f t="shared" si="54"/>
        <v>0</v>
      </c>
      <c r="CU181" s="61">
        <f t="shared" si="58"/>
        <v>0</v>
      </c>
      <c r="CV181" s="61">
        <f t="shared" si="58"/>
        <v>0</v>
      </c>
      <c r="CX181" s="61">
        <f t="shared" si="63"/>
        <v>0</v>
      </c>
      <c r="EP181" s="61">
        <f t="shared" si="59"/>
        <v>0</v>
      </c>
      <c r="EQ181" s="61">
        <f t="shared" si="59"/>
        <v>0</v>
      </c>
      <c r="ER181" s="61">
        <f t="shared" si="59"/>
        <v>0</v>
      </c>
      <c r="ES181" s="61">
        <f t="shared" si="59"/>
        <v>0</v>
      </c>
      <c r="ET181" s="61">
        <f t="shared" si="60"/>
        <v>0</v>
      </c>
      <c r="EX181" s="61">
        <f t="shared" si="62"/>
        <v>0</v>
      </c>
      <c r="EZ181" s="61">
        <f t="shared" si="62"/>
        <v>0</v>
      </c>
      <c r="FN181" s="61">
        <f t="shared" si="56"/>
        <v>179</v>
      </c>
    </row>
    <row r="182" spans="1:170" ht="16.8" x14ac:dyDescent="0.3">
      <c r="A182" s="70">
        <f>'BASE MAESTRA'!B188</f>
        <v>180</v>
      </c>
      <c r="C182" s="61">
        <f t="shared" si="48"/>
        <v>0</v>
      </c>
      <c r="U182" s="61">
        <f t="shared" si="49"/>
        <v>0</v>
      </c>
      <c r="Z182" s="61">
        <f t="shared" si="50"/>
        <v>0</v>
      </c>
      <c r="AG182" s="61">
        <f t="shared" si="57"/>
        <v>0</v>
      </c>
      <c r="AH182" s="61">
        <f t="shared" si="57"/>
        <v>0</v>
      </c>
      <c r="AX182" s="61">
        <f t="shared" si="61"/>
        <v>0</v>
      </c>
      <c r="AY182" s="61">
        <f t="shared" si="61"/>
        <v>0</v>
      </c>
      <c r="AZ182" s="61">
        <f t="shared" si="61"/>
        <v>0</v>
      </c>
      <c r="BA182" s="61">
        <f t="shared" si="52"/>
        <v>0</v>
      </c>
      <c r="BJ182" s="61">
        <f t="shared" si="64"/>
        <v>0</v>
      </c>
      <c r="BK182" s="61">
        <f t="shared" si="65"/>
        <v>0</v>
      </c>
      <c r="BV182" s="61">
        <f t="shared" si="66"/>
        <v>0</v>
      </c>
      <c r="BW182" s="61">
        <f t="shared" si="67"/>
        <v>0</v>
      </c>
      <c r="CJ182" s="61">
        <f t="shared" si="54"/>
        <v>0</v>
      </c>
      <c r="CU182" s="61">
        <f t="shared" si="58"/>
        <v>0</v>
      </c>
      <c r="CV182" s="61">
        <f t="shared" si="58"/>
        <v>0</v>
      </c>
      <c r="CX182" s="61">
        <f t="shared" si="63"/>
        <v>0</v>
      </c>
      <c r="EP182" s="61">
        <f t="shared" si="59"/>
        <v>0</v>
      </c>
      <c r="EQ182" s="61">
        <f t="shared" si="59"/>
        <v>0</v>
      </c>
      <c r="ER182" s="61">
        <f t="shared" si="59"/>
        <v>0</v>
      </c>
      <c r="ES182" s="61">
        <f t="shared" si="59"/>
        <v>0</v>
      </c>
      <c r="ET182" s="61">
        <f t="shared" si="60"/>
        <v>0</v>
      </c>
      <c r="EX182" s="61">
        <f t="shared" si="62"/>
        <v>0</v>
      </c>
      <c r="EZ182" s="61">
        <f t="shared" si="62"/>
        <v>0</v>
      </c>
      <c r="FN182" s="61">
        <f t="shared" si="56"/>
        <v>180</v>
      </c>
    </row>
    <row r="183" spans="1:170" ht="16.8" x14ac:dyDescent="0.3">
      <c r="A183" s="70">
        <f>'BASE MAESTRA'!B189</f>
        <v>181</v>
      </c>
      <c r="C183" s="61">
        <f t="shared" si="48"/>
        <v>0</v>
      </c>
      <c r="U183" s="61">
        <f t="shared" si="49"/>
        <v>0</v>
      </c>
      <c r="Z183" s="61">
        <f t="shared" si="50"/>
        <v>0</v>
      </c>
      <c r="AG183" s="61">
        <f t="shared" si="57"/>
        <v>0</v>
      </c>
      <c r="AH183" s="61">
        <f t="shared" si="57"/>
        <v>0</v>
      </c>
      <c r="AX183" s="61">
        <f t="shared" si="61"/>
        <v>0</v>
      </c>
      <c r="AY183" s="61">
        <f t="shared" si="61"/>
        <v>0</v>
      </c>
      <c r="AZ183" s="61">
        <f t="shared" si="61"/>
        <v>0</v>
      </c>
      <c r="BA183" s="61">
        <f t="shared" si="52"/>
        <v>0</v>
      </c>
      <c r="BJ183" s="61">
        <f t="shared" si="64"/>
        <v>0</v>
      </c>
      <c r="BK183" s="61">
        <f t="shared" si="65"/>
        <v>0</v>
      </c>
      <c r="BV183" s="61">
        <f t="shared" si="66"/>
        <v>0</v>
      </c>
      <c r="BW183" s="61">
        <f t="shared" si="67"/>
        <v>0</v>
      </c>
      <c r="CJ183" s="61">
        <f t="shared" si="54"/>
        <v>0</v>
      </c>
      <c r="CU183" s="61">
        <f t="shared" si="58"/>
        <v>0</v>
      </c>
      <c r="CV183" s="61">
        <f t="shared" si="58"/>
        <v>0</v>
      </c>
      <c r="CX183" s="61">
        <f t="shared" si="63"/>
        <v>0</v>
      </c>
      <c r="EP183" s="61">
        <f t="shared" si="59"/>
        <v>0</v>
      </c>
      <c r="EQ183" s="61">
        <f t="shared" si="59"/>
        <v>0</v>
      </c>
      <c r="ER183" s="61">
        <f t="shared" si="59"/>
        <v>0</v>
      </c>
      <c r="ES183" s="61">
        <f t="shared" si="59"/>
        <v>0</v>
      </c>
      <c r="ET183" s="61">
        <f t="shared" si="60"/>
        <v>0</v>
      </c>
      <c r="EX183" s="61">
        <f t="shared" si="62"/>
        <v>0</v>
      </c>
      <c r="EZ183" s="61">
        <f t="shared" si="62"/>
        <v>0</v>
      </c>
      <c r="FN183" s="61">
        <f t="shared" si="56"/>
        <v>181</v>
      </c>
    </row>
    <row r="184" spans="1:170" ht="16.8" x14ac:dyDescent="0.3">
      <c r="A184" s="70">
        <f>'BASE MAESTRA'!B190</f>
        <v>182</v>
      </c>
      <c r="C184" s="61">
        <f t="shared" si="48"/>
        <v>0</v>
      </c>
      <c r="U184" s="61">
        <f t="shared" si="49"/>
        <v>0</v>
      </c>
      <c r="Z184" s="61">
        <f t="shared" si="50"/>
        <v>0</v>
      </c>
      <c r="AG184" s="61">
        <f t="shared" si="57"/>
        <v>0</v>
      </c>
      <c r="AH184" s="61">
        <f t="shared" si="57"/>
        <v>0</v>
      </c>
      <c r="AX184" s="61">
        <f t="shared" si="61"/>
        <v>0</v>
      </c>
      <c r="AY184" s="61">
        <f t="shared" si="61"/>
        <v>0</v>
      </c>
      <c r="AZ184" s="61">
        <f t="shared" si="61"/>
        <v>0</v>
      </c>
      <c r="BA184" s="61">
        <f t="shared" si="52"/>
        <v>0</v>
      </c>
      <c r="BJ184" s="61">
        <f t="shared" si="64"/>
        <v>0</v>
      </c>
      <c r="BK184" s="61">
        <f t="shared" si="65"/>
        <v>0</v>
      </c>
      <c r="BV184" s="61">
        <f t="shared" si="66"/>
        <v>0</v>
      </c>
      <c r="BW184" s="61">
        <f t="shared" si="67"/>
        <v>0</v>
      </c>
      <c r="CJ184" s="61">
        <f t="shared" si="54"/>
        <v>0</v>
      </c>
      <c r="CU184" s="61">
        <f t="shared" si="58"/>
        <v>0</v>
      </c>
      <c r="CV184" s="61">
        <f t="shared" si="58"/>
        <v>0</v>
      </c>
      <c r="CX184" s="61">
        <f t="shared" si="63"/>
        <v>0</v>
      </c>
      <c r="EP184" s="61">
        <f t="shared" si="59"/>
        <v>0</v>
      </c>
      <c r="EQ184" s="61">
        <f t="shared" si="59"/>
        <v>0</v>
      </c>
      <c r="ER184" s="61">
        <f t="shared" si="59"/>
        <v>0</v>
      </c>
      <c r="ES184" s="61">
        <f t="shared" si="59"/>
        <v>0</v>
      </c>
      <c r="ET184" s="61">
        <f t="shared" si="60"/>
        <v>0</v>
      </c>
      <c r="EX184" s="61">
        <f t="shared" si="62"/>
        <v>0</v>
      </c>
      <c r="EZ184" s="61">
        <f t="shared" si="62"/>
        <v>0</v>
      </c>
      <c r="FN184" s="61">
        <f t="shared" si="56"/>
        <v>182</v>
      </c>
    </row>
    <row r="185" spans="1:170" ht="16.8" x14ac:dyDescent="0.3">
      <c r="A185" s="70">
        <f>'BASE MAESTRA'!B191</f>
        <v>183</v>
      </c>
      <c r="C185" s="61">
        <f t="shared" si="48"/>
        <v>0</v>
      </c>
      <c r="U185" s="61">
        <f t="shared" si="49"/>
        <v>0</v>
      </c>
      <c r="Z185" s="61">
        <f t="shared" si="50"/>
        <v>0</v>
      </c>
      <c r="AG185" s="61">
        <f t="shared" si="57"/>
        <v>0</v>
      </c>
      <c r="AH185" s="61">
        <f t="shared" si="57"/>
        <v>0</v>
      </c>
      <c r="AX185" s="61">
        <f t="shared" si="61"/>
        <v>0</v>
      </c>
      <c r="AY185" s="61">
        <f t="shared" si="61"/>
        <v>0</v>
      </c>
      <c r="AZ185" s="61">
        <f t="shared" si="61"/>
        <v>0</v>
      </c>
      <c r="BA185" s="61">
        <f t="shared" si="52"/>
        <v>0</v>
      </c>
      <c r="BJ185" s="61">
        <f t="shared" si="64"/>
        <v>0</v>
      </c>
      <c r="BK185" s="61">
        <f t="shared" si="65"/>
        <v>0</v>
      </c>
      <c r="BV185" s="61">
        <f t="shared" si="66"/>
        <v>0</v>
      </c>
      <c r="BW185" s="61">
        <f t="shared" si="67"/>
        <v>0</v>
      </c>
      <c r="CJ185" s="61">
        <f t="shared" si="54"/>
        <v>0</v>
      </c>
      <c r="CU185" s="61">
        <f t="shared" si="58"/>
        <v>0</v>
      </c>
      <c r="CV185" s="61">
        <f t="shared" si="58"/>
        <v>0</v>
      </c>
      <c r="CX185" s="61">
        <f t="shared" si="63"/>
        <v>0</v>
      </c>
      <c r="EP185" s="61">
        <f t="shared" si="59"/>
        <v>0</v>
      </c>
      <c r="EQ185" s="61">
        <f t="shared" si="59"/>
        <v>0</v>
      </c>
      <c r="ER185" s="61">
        <f t="shared" si="59"/>
        <v>0</v>
      </c>
      <c r="ES185" s="61">
        <f t="shared" si="59"/>
        <v>0</v>
      </c>
      <c r="ET185" s="61">
        <f t="shared" si="60"/>
        <v>0</v>
      </c>
      <c r="EX185" s="61">
        <f t="shared" si="62"/>
        <v>0</v>
      </c>
      <c r="EZ185" s="61">
        <f t="shared" si="62"/>
        <v>0</v>
      </c>
      <c r="FN185" s="61">
        <f t="shared" si="56"/>
        <v>183</v>
      </c>
    </row>
    <row r="186" spans="1:170" ht="16.8" x14ac:dyDescent="0.3">
      <c r="A186" s="70">
        <f>'BASE MAESTRA'!B192</f>
        <v>184</v>
      </c>
      <c r="C186" s="61">
        <f t="shared" si="48"/>
        <v>0</v>
      </c>
      <c r="U186" s="61">
        <f t="shared" si="49"/>
        <v>0</v>
      </c>
      <c r="Z186" s="61">
        <f t="shared" si="50"/>
        <v>0</v>
      </c>
      <c r="AG186" s="61">
        <f t="shared" si="57"/>
        <v>0</v>
      </c>
      <c r="AH186" s="61">
        <f t="shared" si="57"/>
        <v>0</v>
      </c>
      <c r="AX186" s="61">
        <f t="shared" si="61"/>
        <v>0</v>
      </c>
      <c r="AY186" s="61">
        <f t="shared" si="61"/>
        <v>0</v>
      </c>
      <c r="AZ186" s="61">
        <f t="shared" si="61"/>
        <v>0</v>
      </c>
      <c r="BA186" s="61">
        <f t="shared" si="52"/>
        <v>0</v>
      </c>
      <c r="BJ186" s="61">
        <f t="shared" si="64"/>
        <v>0</v>
      </c>
      <c r="BK186" s="61">
        <f t="shared" si="65"/>
        <v>0</v>
      </c>
      <c r="BV186" s="61">
        <f t="shared" si="66"/>
        <v>0</v>
      </c>
      <c r="BW186" s="61">
        <f t="shared" si="67"/>
        <v>0</v>
      </c>
      <c r="CJ186" s="61">
        <f t="shared" si="54"/>
        <v>0</v>
      </c>
      <c r="CU186" s="61">
        <f t="shared" si="58"/>
        <v>0</v>
      </c>
      <c r="CV186" s="61">
        <f t="shared" si="58"/>
        <v>0</v>
      </c>
      <c r="CX186" s="61">
        <f t="shared" si="63"/>
        <v>0</v>
      </c>
      <c r="EP186" s="61">
        <f t="shared" si="59"/>
        <v>0</v>
      </c>
      <c r="EQ186" s="61">
        <f t="shared" si="59"/>
        <v>0</v>
      </c>
      <c r="ER186" s="61">
        <f t="shared" si="59"/>
        <v>0</v>
      </c>
      <c r="ES186" s="61">
        <f t="shared" si="59"/>
        <v>0</v>
      </c>
      <c r="ET186" s="61">
        <f t="shared" si="60"/>
        <v>0</v>
      </c>
      <c r="EX186" s="61">
        <f t="shared" si="62"/>
        <v>0</v>
      </c>
      <c r="EZ186" s="61">
        <f t="shared" si="62"/>
        <v>0</v>
      </c>
      <c r="FN186" s="61">
        <f t="shared" si="56"/>
        <v>184</v>
      </c>
    </row>
    <row r="187" spans="1:170" ht="16.8" x14ac:dyDescent="0.3">
      <c r="A187" s="70">
        <f>'BASE MAESTRA'!B193</f>
        <v>185</v>
      </c>
      <c r="C187" s="61">
        <f t="shared" si="48"/>
        <v>0</v>
      </c>
      <c r="U187" s="61">
        <f t="shared" si="49"/>
        <v>0</v>
      </c>
      <c r="Z187" s="61">
        <f t="shared" si="50"/>
        <v>0</v>
      </c>
      <c r="AG187" s="61">
        <f t="shared" si="57"/>
        <v>0</v>
      </c>
      <c r="AH187" s="61">
        <f t="shared" si="57"/>
        <v>0</v>
      </c>
      <c r="AX187" s="61">
        <f t="shared" si="61"/>
        <v>0</v>
      </c>
      <c r="AY187" s="61">
        <f t="shared" si="61"/>
        <v>0</v>
      </c>
      <c r="AZ187" s="61">
        <f t="shared" si="61"/>
        <v>0</v>
      </c>
      <c r="BA187" s="61">
        <f t="shared" si="52"/>
        <v>0</v>
      </c>
      <c r="BJ187" s="61">
        <f t="shared" si="64"/>
        <v>0</v>
      </c>
      <c r="BK187" s="61">
        <f t="shared" si="65"/>
        <v>0</v>
      </c>
      <c r="BV187" s="61">
        <f t="shared" si="66"/>
        <v>0</v>
      </c>
      <c r="BW187" s="61">
        <f t="shared" si="67"/>
        <v>0</v>
      </c>
      <c r="CJ187" s="61">
        <f t="shared" si="54"/>
        <v>0</v>
      </c>
      <c r="CU187" s="61">
        <f t="shared" si="58"/>
        <v>0</v>
      </c>
      <c r="CV187" s="61">
        <f t="shared" si="58"/>
        <v>0</v>
      </c>
      <c r="CX187" s="61">
        <f t="shared" si="63"/>
        <v>0</v>
      </c>
      <c r="EP187" s="61">
        <f t="shared" si="59"/>
        <v>0</v>
      </c>
      <c r="EQ187" s="61">
        <f t="shared" si="59"/>
        <v>0</v>
      </c>
      <c r="ER187" s="61">
        <f t="shared" si="59"/>
        <v>0</v>
      </c>
      <c r="ES187" s="61">
        <f t="shared" si="59"/>
        <v>0</v>
      </c>
      <c r="ET187" s="61">
        <f t="shared" si="60"/>
        <v>0</v>
      </c>
      <c r="EX187" s="61">
        <f t="shared" si="62"/>
        <v>0</v>
      </c>
      <c r="EZ187" s="61">
        <f t="shared" si="62"/>
        <v>0</v>
      </c>
      <c r="FN187" s="61">
        <f t="shared" si="56"/>
        <v>185</v>
      </c>
    </row>
    <row r="188" spans="1:170" ht="16.8" x14ac:dyDescent="0.3">
      <c r="A188" s="70">
        <f>'BASE MAESTRA'!B194</f>
        <v>186</v>
      </c>
      <c r="C188" s="61">
        <f t="shared" si="48"/>
        <v>0</v>
      </c>
      <c r="U188" s="61">
        <f t="shared" si="49"/>
        <v>0</v>
      </c>
      <c r="Z188" s="61">
        <f t="shared" si="50"/>
        <v>0</v>
      </c>
      <c r="AG188" s="61">
        <f t="shared" si="57"/>
        <v>0</v>
      </c>
      <c r="AH188" s="61">
        <f t="shared" si="57"/>
        <v>0</v>
      </c>
      <c r="AX188" s="61">
        <f t="shared" si="61"/>
        <v>0</v>
      </c>
      <c r="AY188" s="61">
        <f t="shared" si="61"/>
        <v>0</v>
      </c>
      <c r="AZ188" s="61">
        <f t="shared" si="61"/>
        <v>0</v>
      </c>
      <c r="BA188" s="61">
        <f t="shared" si="52"/>
        <v>0</v>
      </c>
      <c r="BJ188" s="61">
        <f t="shared" si="64"/>
        <v>0</v>
      </c>
      <c r="BK188" s="61">
        <f t="shared" si="65"/>
        <v>0</v>
      </c>
      <c r="BV188" s="61">
        <f t="shared" si="66"/>
        <v>0</v>
      </c>
      <c r="BW188" s="61">
        <f t="shared" si="67"/>
        <v>0</v>
      </c>
      <c r="CJ188" s="61">
        <f t="shared" si="54"/>
        <v>0</v>
      </c>
      <c r="CU188" s="61">
        <f t="shared" si="58"/>
        <v>0</v>
      </c>
      <c r="CV188" s="61">
        <f t="shared" si="58"/>
        <v>0</v>
      </c>
      <c r="CX188" s="61">
        <f t="shared" si="63"/>
        <v>0</v>
      </c>
      <c r="EP188" s="61">
        <f t="shared" si="59"/>
        <v>0</v>
      </c>
      <c r="EQ188" s="61">
        <f t="shared" si="59"/>
        <v>0</v>
      </c>
      <c r="ER188" s="61">
        <f t="shared" si="59"/>
        <v>0</v>
      </c>
      <c r="ES188" s="61">
        <f t="shared" si="59"/>
        <v>0</v>
      </c>
      <c r="ET188" s="61">
        <f t="shared" si="60"/>
        <v>0</v>
      </c>
      <c r="EX188" s="61">
        <f t="shared" si="62"/>
        <v>0</v>
      </c>
      <c r="EZ188" s="61">
        <f t="shared" si="62"/>
        <v>0</v>
      </c>
      <c r="FN188" s="61">
        <f t="shared" si="56"/>
        <v>186</v>
      </c>
    </row>
    <row r="189" spans="1:170" ht="16.8" x14ac:dyDescent="0.3">
      <c r="A189" s="70">
        <f>'BASE MAESTRA'!B195</f>
        <v>187</v>
      </c>
      <c r="C189" s="61">
        <f t="shared" si="48"/>
        <v>0</v>
      </c>
      <c r="U189" s="61">
        <f t="shared" si="49"/>
        <v>0</v>
      </c>
      <c r="Z189" s="61">
        <f t="shared" si="50"/>
        <v>0</v>
      </c>
      <c r="AG189" s="61">
        <f t="shared" si="57"/>
        <v>0</v>
      </c>
      <c r="AH189" s="61">
        <f t="shared" si="57"/>
        <v>0</v>
      </c>
      <c r="AX189" s="61">
        <f t="shared" si="61"/>
        <v>0</v>
      </c>
      <c r="AY189" s="61">
        <f t="shared" si="61"/>
        <v>0</v>
      </c>
      <c r="AZ189" s="61">
        <f t="shared" si="61"/>
        <v>0</v>
      </c>
      <c r="BA189" s="61">
        <f t="shared" si="52"/>
        <v>0</v>
      </c>
      <c r="BJ189" s="61">
        <f t="shared" si="64"/>
        <v>0</v>
      </c>
      <c r="BK189" s="61">
        <f t="shared" si="65"/>
        <v>0</v>
      </c>
      <c r="BV189" s="61">
        <f t="shared" si="66"/>
        <v>0</v>
      </c>
      <c r="BW189" s="61">
        <f t="shared" si="67"/>
        <v>0</v>
      </c>
      <c r="CJ189" s="61">
        <f t="shared" si="54"/>
        <v>0</v>
      </c>
      <c r="CU189" s="61">
        <f t="shared" si="58"/>
        <v>0</v>
      </c>
      <c r="CV189" s="61">
        <f t="shared" si="58"/>
        <v>0</v>
      </c>
      <c r="CX189" s="61">
        <f t="shared" si="63"/>
        <v>0</v>
      </c>
      <c r="EP189" s="61">
        <f t="shared" si="59"/>
        <v>0</v>
      </c>
      <c r="EQ189" s="61">
        <f t="shared" si="59"/>
        <v>0</v>
      </c>
      <c r="ER189" s="61">
        <f t="shared" si="59"/>
        <v>0</v>
      </c>
      <c r="ES189" s="61">
        <f t="shared" si="59"/>
        <v>0</v>
      </c>
      <c r="ET189" s="61">
        <f t="shared" si="60"/>
        <v>0</v>
      </c>
      <c r="EX189" s="61">
        <f t="shared" si="62"/>
        <v>0</v>
      </c>
      <c r="EZ189" s="61">
        <f t="shared" si="62"/>
        <v>0</v>
      </c>
      <c r="FN189" s="61">
        <f t="shared" si="56"/>
        <v>187</v>
      </c>
    </row>
    <row r="190" spans="1:170" ht="16.8" x14ac:dyDescent="0.3">
      <c r="A190" s="70">
        <f>'BASE MAESTRA'!B196</f>
        <v>188</v>
      </c>
      <c r="C190" s="61">
        <f t="shared" si="48"/>
        <v>0</v>
      </c>
      <c r="U190" s="61">
        <f t="shared" si="49"/>
        <v>0</v>
      </c>
      <c r="Z190" s="61">
        <f t="shared" si="50"/>
        <v>0</v>
      </c>
      <c r="AG190" s="61">
        <f t="shared" si="57"/>
        <v>0</v>
      </c>
      <c r="AH190" s="61">
        <f t="shared" si="57"/>
        <v>0</v>
      </c>
      <c r="AX190" s="61">
        <f t="shared" si="61"/>
        <v>0</v>
      </c>
      <c r="AY190" s="61">
        <f t="shared" si="61"/>
        <v>0</v>
      </c>
      <c r="AZ190" s="61">
        <f t="shared" si="61"/>
        <v>0</v>
      </c>
      <c r="BA190" s="61">
        <f t="shared" si="52"/>
        <v>0</v>
      </c>
      <c r="BJ190" s="61">
        <f t="shared" si="64"/>
        <v>0</v>
      </c>
      <c r="BK190" s="61">
        <f t="shared" si="65"/>
        <v>0</v>
      </c>
      <c r="BV190" s="61">
        <f t="shared" si="66"/>
        <v>0</v>
      </c>
      <c r="BW190" s="61">
        <f t="shared" si="67"/>
        <v>0</v>
      </c>
      <c r="CJ190" s="61">
        <f t="shared" si="54"/>
        <v>0</v>
      </c>
      <c r="CU190" s="61">
        <f t="shared" si="58"/>
        <v>0</v>
      </c>
      <c r="CV190" s="61">
        <f t="shared" si="58"/>
        <v>0</v>
      </c>
      <c r="CX190" s="61">
        <f t="shared" si="63"/>
        <v>0</v>
      </c>
      <c r="EP190" s="61">
        <f t="shared" si="59"/>
        <v>0</v>
      </c>
      <c r="EQ190" s="61">
        <f t="shared" si="59"/>
        <v>0</v>
      </c>
      <c r="ER190" s="61">
        <f t="shared" si="59"/>
        <v>0</v>
      </c>
      <c r="ES190" s="61">
        <f t="shared" si="59"/>
        <v>0</v>
      </c>
      <c r="ET190" s="61">
        <f t="shared" si="60"/>
        <v>0</v>
      </c>
      <c r="EX190" s="61">
        <f t="shared" si="62"/>
        <v>0</v>
      </c>
      <c r="EZ190" s="61">
        <f t="shared" si="62"/>
        <v>0</v>
      </c>
      <c r="FN190" s="61">
        <f t="shared" si="56"/>
        <v>188</v>
      </c>
    </row>
    <row r="191" spans="1:170" ht="16.8" x14ac:dyDescent="0.3">
      <c r="A191" s="70">
        <f>'BASE MAESTRA'!B197</f>
        <v>189</v>
      </c>
      <c r="C191" s="61">
        <f t="shared" si="48"/>
        <v>0</v>
      </c>
      <c r="U191" s="61">
        <f t="shared" si="49"/>
        <v>0</v>
      </c>
      <c r="Z191" s="61">
        <f t="shared" si="50"/>
        <v>0</v>
      </c>
      <c r="AG191" s="61">
        <f t="shared" si="57"/>
        <v>0</v>
      </c>
      <c r="AH191" s="61">
        <f t="shared" si="57"/>
        <v>0</v>
      </c>
      <c r="AX191" s="61">
        <f t="shared" si="61"/>
        <v>0</v>
      </c>
      <c r="AY191" s="61">
        <f t="shared" si="61"/>
        <v>0</v>
      </c>
      <c r="AZ191" s="61">
        <f t="shared" si="61"/>
        <v>0</v>
      </c>
      <c r="BA191" s="61">
        <f t="shared" si="52"/>
        <v>0</v>
      </c>
      <c r="BJ191" s="61">
        <f t="shared" si="64"/>
        <v>0</v>
      </c>
      <c r="BK191" s="61">
        <f t="shared" si="65"/>
        <v>0</v>
      </c>
      <c r="BV191" s="61">
        <f t="shared" si="66"/>
        <v>0</v>
      </c>
      <c r="BW191" s="61">
        <f t="shared" si="67"/>
        <v>0</v>
      </c>
      <c r="CJ191" s="61">
        <f t="shared" si="54"/>
        <v>0</v>
      </c>
      <c r="CU191" s="61">
        <f t="shared" si="58"/>
        <v>0</v>
      </c>
      <c r="CV191" s="61">
        <f t="shared" si="58"/>
        <v>0</v>
      </c>
      <c r="CX191" s="61">
        <f t="shared" si="63"/>
        <v>0</v>
      </c>
      <c r="EP191" s="61">
        <f t="shared" si="59"/>
        <v>0</v>
      </c>
      <c r="EQ191" s="61">
        <f t="shared" si="59"/>
        <v>0</v>
      </c>
      <c r="ER191" s="61">
        <f t="shared" si="59"/>
        <v>0</v>
      </c>
      <c r="ES191" s="61">
        <f t="shared" si="59"/>
        <v>0</v>
      </c>
      <c r="ET191" s="61">
        <f t="shared" si="60"/>
        <v>0</v>
      </c>
      <c r="EX191" s="61">
        <f t="shared" si="62"/>
        <v>0</v>
      </c>
      <c r="EZ191" s="61">
        <f t="shared" si="62"/>
        <v>0</v>
      </c>
      <c r="FN191" s="61">
        <f t="shared" si="56"/>
        <v>189</v>
      </c>
    </row>
    <row r="192" spans="1:170" ht="16.8" x14ac:dyDescent="0.3">
      <c r="A192" s="70">
        <f>'BASE MAESTRA'!B198</f>
        <v>190</v>
      </c>
      <c r="C192" s="61">
        <f t="shared" si="48"/>
        <v>0</v>
      </c>
      <c r="U192" s="61">
        <f t="shared" si="49"/>
        <v>0</v>
      </c>
      <c r="Z192" s="61">
        <f t="shared" si="50"/>
        <v>0</v>
      </c>
      <c r="AG192" s="61">
        <f t="shared" si="57"/>
        <v>0</v>
      </c>
      <c r="AH192" s="61">
        <f t="shared" si="57"/>
        <v>0</v>
      </c>
      <c r="AX192" s="61">
        <f t="shared" si="61"/>
        <v>0</v>
      </c>
      <c r="AY192" s="61">
        <f t="shared" si="61"/>
        <v>0</v>
      </c>
      <c r="AZ192" s="61">
        <f t="shared" si="61"/>
        <v>0</v>
      </c>
      <c r="BA192" s="61">
        <f t="shared" si="52"/>
        <v>0</v>
      </c>
      <c r="BJ192" s="61">
        <f t="shared" si="64"/>
        <v>0</v>
      </c>
      <c r="BK192" s="61">
        <f t="shared" si="65"/>
        <v>0</v>
      </c>
      <c r="BV192" s="61">
        <f t="shared" si="66"/>
        <v>0</v>
      </c>
      <c r="BW192" s="61">
        <f t="shared" si="67"/>
        <v>0</v>
      </c>
      <c r="CJ192" s="61">
        <f t="shared" si="54"/>
        <v>0</v>
      </c>
      <c r="CU192" s="61">
        <f t="shared" si="58"/>
        <v>0</v>
      </c>
      <c r="CV192" s="61">
        <f t="shared" si="58"/>
        <v>0</v>
      </c>
      <c r="CX192" s="61">
        <f t="shared" si="63"/>
        <v>0</v>
      </c>
      <c r="EP192" s="61">
        <f t="shared" si="59"/>
        <v>0</v>
      </c>
      <c r="EQ192" s="61">
        <f t="shared" si="59"/>
        <v>0</v>
      </c>
      <c r="ER192" s="61">
        <f t="shared" si="59"/>
        <v>0</v>
      </c>
      <c r="ES192" s="61">
        <f t="shared" si="59"/>
        <v>0</v>
      </c>
      <c r="ET192" s="61">
        <f t="shared" si="60"/>
        <v>0</v>
      </c>
      <c r="EX192" s="61">
        <f t="shared" si="62"/>
        <v>0</v>
      </c>
      <c r="EZ192" s="61">
        <f t="shared" si="62"/>
        <v>0</v>
      </c>
      <c r="FN192" s="61">
        <f t="shared" si="56"/>
        <v>190</v>
      </c>
    </row>
    <row r="193" spans="1:170" ht="16.8" x14ac:dyDescent="0.3">
      <c r="A193" s="70">
        <f>'BASE MAESTRA'!B199</f>
        <v>191</v>
      </c>
      <c r="C193" s="61">
        <f t="shared" si="48"/>
        <v>0</v>
      </c>
      <c r="U193" s="61">
        <f t="shared" si="49"/>
        <v>0</v>
      </c>
      <c r="Z193" s="61">
        <f t="shared" si="50"/>
        <v>0</v>
      </c>
      <c r="AG193" s="61">
        <f t="shared" si="57"/>
        <v>0</v>
      </c>
      <c r="AH193" s="61">
        <f t="shared" si="57"/>
        <v>0</v>
      </c>
      <c r="AX193" s="61">
        <f t="shared" si="61"/>
        <v>0</v>
      </c>
      <c r="AY193" s="61">
        <f t="shared" si="61"/>
        <v>0</v>
      </c>
      <c r="AZ193" s="61">
        <f t="shared" si="61"/>
        <v>0</v>
      </c>
      <c r="BA193" s="61">
        <f t="shared" si="52"/>
        <v>0</v>
      </c>
      <c r="BJ193" s="61">
        <f t="shared" si="64"/>
        <v>0</v>
      </c>
      <c r="BK193" s="61">
        <f t="shared" si="65"/>
        <v>0</v>
      </c>
      <c r="BV193" s="61">
        <f t="shared" si="66"/>
        <v>0</v>
      </c>
      <c r="BW193" s="61">
        <f t="shared" si="67"/>
        <v>0</v>
      </c>
      <c r="CJ193" s="61">
        <f t="shared" si="54"/>
        <v>0</v>
      </c>
      <c r="CU193" s="61">
        <f t="shared" si="58"/>
        <v>0</v>
      </c>
      <c r="CV193" s="61">
        <f t="shared" si="58"/>
        <v>0</v>
      </c>
      <c r="CX193" s="61">
        <f t="shared" si="63"/>
        <v>0</v>
      </c>
      <c r="EP193" s="61">
        <f t="shared" si="59"/>
        <v>0</v>
      </c>
      <c r="EQ193" s="61">
        <f t="shared" si="59"/>
        <v>0</v>
      </c>
      <c r="ER193" s="61">
        <f t="shared" si="59"/>
        <v>0</v>
      </c>
      <c r="ES193" s="61">
        <f t="shared" si="59"/>
        <v>0</v>
      </c>
      <c r="ET193" s="61">
        <f t="shared" si="60"/>
        <v>0</v>
      </c>
      <c r="EX193" s="61">
        <f t="shared" si="62"/>
        <v>0</v>
      </c>
      <c r="EZ193" s="61">
        <f t="shared" si="62"/>
        <v>0</v>
      </c>
      <c r="FN193" s="61">
        <f t="shared" si="56"/>
        <v>191</v>
      </c>
    </row>
    <row r="194" spans="1:170" ht="16.8" x14ac:dyDescent="0.3">
      <c r="A194" s="70">
        <f>'BASE MAESTRA'!B200</f>
        <v>192</v>
      </c>
      <c r="C194" s="61">
        <f t="shared" si="48"/>
        <v>0</v>
      </c>
      <c r="U194" s="61">
        <f t="shared" si="49"/>
        <v>0</v>
      </c>
      <c r="Z194" s="61">
        <f t="shared" si="50"/>
        <v>0</v>
      </c>
      <c r="AG194" s="61">
        <f t="shared" si="57"/>
        <v>0</v>
      </c>
      <c r="AH194" s="61">
        <f t="shared" si="57"/>
        <v>0</v>
      </c>
      <c r="AX194" s="61">
        <f t="shared" si="61"/>
        <v>0</v>
      </c>
      <c r="AY194" s="61">
        <f t="shared" si="61"/>
        <v>0</v>
      </c>
      <c r="AZ194" s="61">
        <f t="shared" si="61"/>
        <v>0</v>
      </c>
      <c r="BA194" s="61">
        <f t="shared" si="52"/>
        <v>0</v>
      </c>
      <c r="BJ194" s="61">
        <f t="shared" si="64"/>
        <v>0</v>
      </c>
      <c r="BK194" s="61">
        <f t="shared" si="65"/>
        <v>0</v>
      </c>
      <c r="BV194" s="61">
        <f t="shared" si="66"/>
        <v>0</v>
      </c>
      <c r="BW194" s="61">
        <f t="shared" si="67"/>
        <v>0</v>
      </c>
      <c r="CJ194" s="61">
        <f t="shared" si="54"/>
        <v>0</v>
      </c>
      <c r="CU194" s="61">
        <f t="shared" si="58"/>
        <v>0</v>
      </c>
      <c r="CV194" s="61">
        <f t="shared" si="58"/>
        <v>0</v>
      </c>
      <c r="CX194" s="61">
        <f t="shared" si="63"/>
        <v>0</v>
      </c>
      <c r="EP194" s="61">
        <f t="shared" si="59"/>
        <v>0</v>
      </c>
      <c r="EQ194" s="61">
        <f t="shared" si="59"/>
        <v>0</v>
      </c>
      <c r="ER194" s="61">
        <f t="shared" si="59"/>
        <v>0</v>
      </c>
      <c r="ES194" s="61">
        <f t="shared" si="59"/>
        <v>0</v>
      </c>
      <c r="ET194" s="61">
        <f t="shared" si="60"/>
        <v>0</v>
      </c>
      <c r="EX194" s="61">
        <f t="shared" si="62"/>
        <v>0</v>
      </c>
      <c r="EZ194" s="61">
        <f t="shared" si="62"/>
        <v>0</v>
      </c>
      <c r="FN194" s="61">
        <f t="shared" si="56"/>
        <v>192</v>
      </c>
    </row>
    <row r="195" spans="1:170" ht="16.8" x14ac:dyDescent="0.3">
      <c r="A195" s="70">
        <f>'BASE MAESTRA'!B201</f>
        <v>193</v>
      </c>
      <c r="C195" s="61">
        <f t="shared" ref="C195:C202" si="68">VLOOKUP($A195,DatosEspecies,C$2,FALSE)</f>
        <v>0</v>
      </c>
      <c r="U195" s="61">
        <f t="shared" ref="U195:U202" si="69">VLOOKUP($A195,DatosEspecies,U$2,FALSE)</f>
        <v>0</v>
      </c>
      <c r="Z195" s="61">
        <f t="shared" ref="Z195:Z202" si="70">VLOOKUP($A195,DatosEspecies,Z$2,FALSE)</f>
        <v>0</v>
      </c>
      <c r="AG195" s="61">
        <f t="shared" si="57"/>
        <v>0</v>
      </c>
      <c r="AH195" s="61">
        <f t="shared" si="57"/>
        <v>0</v>
      </c>
      <c r="AX195" s="61">
        <f t="shared" si="61"/>
        <v>0</v>
      </c>
      <c r="AY195" s="61">
        <f t="shared" si="61"/>
        <v>0</v>
      </c>
      <c r="AZ195" s="61">
        <f t="shared" si="61"/>
        <v>0</v>
      </c>
      <c r="BA195" s="61">
        <f t="shared" ref="BA195:BA202" si="71">VLOOKUP($A195,DatosEspecies,BA$2,FALSE)</f>
        <v>0</v>
      </c>
      <c r="BJ195" s="61">
        <f t="shared" si="64"/>
        <v>0</v>
      </c>
      <c r="BK195" s="61">
        <f t="shared" si="65"/>
        <v>0</v>
      </c>
      <c r="BV195" s="61">
        <f t="shared" ref="BV195:BV202" si="72">VLOOKUP($A195,DatosEspecies,BV$2,FALSE)</f>
        <v>0</v>
      </c>
      <c r="BW195" s="61">
        <f t="shared" si="67"/>
        <v>0</v>
      </c>
      <c r="CJ195" s="61">
        <f t="shared" ref="CJ195:CJ202" si="73">VLOOKUP($A195,DatosEspecies,CJ$2,FALSE)</f>
        <v>0</v>
      </c>
      <c r="CU195" s="61">
        <f t="shared" si="58"/>
        <v>0</v>
      </c>
      <c r="CV195" s="61">
        <f t="shared" si="58"/>
        <v>0</v>
      </c>
      <c r="CX195" s="61">
        <f t="shared" si="63"/>
        <v>0</v>
      </c>
      <c r="EP195" s="61">
        <f t="shared" si="59"/>
        <v>0</v>
      </c>
      <c r="EQ195" s="61">
        <f t="shared" si="59"/>
        <v>0</v>
      </c>
      <c r="ER195" s="61">
        <f t="shared" si="59"/>
        <v>0</v>
      </c>
      <c r="ES195" s="61">
        <f t="shared" si="59"/>
        <v>0</v>
      </c>
      <c r="ET195" s="61">
        <f t="shared" si="60"/>
        <v>0</v>
      </c>
      <c r="EX195" s="61">
        <f t="shared" si="62"/>
        <v>0</v>
      </c>
      <c r="EZ195" s="61">
        <f t="shared" si="62"/>
        <v>0</v>
      </c>
      <c r="FN195" s="61">
        <f t="shared" si="56"/>
        <v>193</v>
      </c>
    </row>
    <row r="196" spans="1:170" ht="16.8" x14ac:dyDescent="0.3">
      <c r="A196" s="70">
        <f>'BASE MAESTRA'!B202</f>
        <v>194</v>
      </c>
      <c r="C196" s="61">
        <f t="shared" si="68"/>
        <v>0</v>
      </c>
      <c r="U196" s="61">
        <f t="shared" si="69"/>
        <v>0</v>
      </c>
      <c r="Z196" s="61">
        <f t="shared" si="70"/>
        <v>0</v>
      </c>
      <c r="AG196" s="61">
        <f t="shared" si="57"/>
        <v>0</v>
      </c>
      <c r="AH196" s="61">
        <f t="shared" si="57"/>
        <v>0</v>
      </c>
      <c r="AX196" s="61">
        <f t="shared" si="61"/>
        <v>0</v>
      </c>
      <c r="AY196" s="61">
        <f t="shared" si="61"/>
        <v>0</v>
      </c>
      <c r="AZ196" s="61">
        <f t="shared" si="61"/>
        <v>0</v>
      </c>
      <c r="BA196" s="61">
        <f t="shared" si="71"/>
        <v>0</v>
      </c>
      <c r="BJ196" s="61">
        <f t="shared" si="64"/>
        <v>0</v>
      </c>
      <c r="BK196" s="61">
        <f t="shared" si="65"/>
        <v>0</v>
      </c>
      <c r="BV196" s="61">
        <f t="shared" si="72"/>
        <v>0</v>
      </c>
      <c r="BW196" s="61">
        <f t="shared" si="67"/>
        <v>0</v>
      </c>
      <c r="CJ196" s="61">
        <f t="shared" si="73"/>
        <v>0</v>
      </c>
      <c r="CU196" s="61">
        <f t="shared" si="58"/>
        <v>0</v>
      </c>
      <c r="CV196" s="61">
        <f t="shared" si="58"/>
        <v>0</v>
      </c>
      <c r="CX196" s="61">
        <f t="shared" si="63"/>
        <v>0</v>
      </c>
      <c r="EP196" s="61">
        <f t="shared" si="59"/>
        <v>0</v>
      </c>
      <c r="EQ196" s="61">
        <f t="shared" si="59"/>
        <v>0</v>
      </c>
      <c r="ER196" s="61">
        <f t="shared" si="59"/>
        <v>0</v>
      </c>
      <c r="ES196" s="61">
        <f t="shared" si="59"/>
        <v>0</v>
      </c>
      <c r="ET196" s="61">
        <f t="shared" si="60"/>
        <v>0</v>
      </c>
      <c r="EX196" s="61">
        <f t="shared" si="62"/>
        <v>0</v>
      </c>
      <c r="EZ196" s="61">
        <f t="shared" si="62"/>
        <v>0</v>
      </c>
      <c r="FN196" s="61">
        <f t="shared" si="56"/>
        <v>194</v>
      </c>
    </row>
    <row r="197" spans="1:170" ht="16.8" x14ac:dyDescent="0.3">
      <c r="A197" s="70">
        <f>'BASE MAESTRA'!B203</f>
        <v>195</v>
      </c>
      <c r="C197" s="61">
        <f t="shared" si="68"/>
        <v>0</v>
      </c>
      <c r="U197" s="61">
        <f t="shared" si="69"/>
        <v>0</v>
      </c>
      <c r="Z197" s="61">
        <f t="shared" si="70"/>
        <v>0</v>
      </c>
      <c r="AG197" s="61">
        <f t="shared" si="57"/>
        <v>0</v>
      </c>
      <c r="AH197" s="61">
        <f t="shared" si="57"/>
        <v>0</v>
      </c>
      <c r="AX197" s="61">
        <f t="shared" si="61"/>
        <v>0</v>
      </c>
      <c r="AY197" s="61">
        <f t="shared" si="61"/>
        <v>0</v>
      </c>
      <c r="AZ197" s="61">
        <f t="shared" si="61"/>
        <v>0</v>
      </c>
      <c r="BA197" s="61">
        <f t="shared" si="71"/>
        <v>0</v>
      </c>
      <c r="BJ197" s="61">
        <f t="shared" si="64"/>
        <v>0</v>
      </c>
      <c r="BK197" s="61">
        <f t="shared" si="65"/>
        <v>0</v>
      </c>
      <c r="BV197" s="61">
        <f t="shared" si="72"/>
        <v>0</v>
      </c>
      <c r="BW197" s="61">
        <f t="shared" si="67"/>
        <v>0</v>
      </c>
      <c r="CJ197" s="61">
        <f t="shared" si="73"/>
        <v>0</v>
      </c>
      <c r="CU197" s="61">
        <f t="shared" si="58"/>
        <v>0</v>
      </c>
      <c r="CV197" s="61">
        <f t="shared" si="58"/>
        <v>0</v>
      </c>
      <c r="CX197" s="61">
        <f t="shared" si="63"/>
        <v>0</v>
      </c>
      <c r="EP197" s="61">
        <f t="shared" si="59"/>
        <v>0</v>
      </c>
      <c r="EQ197" s="61">
        <f t="shared" si="59"/>
        <v>0</v>
      </c>
      <c r="ER197" s="61">
        <f t="shared" si="59"/>
        <v>0</v>
      </c>
      <c r="ES197" s="61">
        <f t="shared" si="59"/>
        <v>0</v>
      </c>
      <c r="ET197" s="61">
        <f t="shared" si="60"/>
        <v>0</v>
      </c>
      <c r="EX197" s="61">
        <f t="shared" si="62"/>
        <v>0</v>
      </c>
      <c r="EZ197" s="61">
        <f t="shared" si="62"/>
        <v>0</v>
      </c>
      <c r="FN197" s="61">
        <f t="shared" si="56"/>
        <v>195</v>
      </c>
    </row>
    <row r="198" spans="1:170" ht="16.8" x14ac:dyDescent="0.3">
      <c r="A198" s="70">
        <f>'BASE MAESTRA'!B204</f>
        <v>196</v>
      </c>
      <c r="C198" s="61">
        <f t="shared" si="68"/>
        <v>0</v>
      </c>
      <c r="U198" s="61">
        <f t="shared" si="69"/>
        <v>0</v>
      </c>
      <c r="Z198" s="61">
        <f t="shared" si="70"/>
        <v>0</v>
      </c>
      <c r="AG198" s="61">
        <f t="shared" si="57"/>
        <v>0</v>
      </c>
      <c r="AH198" s="61">
        <f t="shared" si="57"/>
        <v>0</v>
      </c>
      <c r="AX198" s="61">
        <f t="shared" si="61"/>
        <v>0</v>
      </c>
      <c r="AY198" s="61">
        <f t="shared" si="61"/>
        <v>0</v>
      </c>
      <c r="AZ198" s="61">
        <f t="shared" si="61"/>
        <v>0</v>
      </c>
      <c r="BA198" s="61">
        <f t="shared" si="71"/>
        <v>0</v>
      </c>
      <c r="BJ198" s="61">
        <f t="shared" si="64"/>
        <v>0</v>
      </c>
      <c r="BK198" s="61">
        <f t="shared" si="65"/>
        <v>0</v>
      </c>
      <c r="BV198" s="61">
        <f t="shared" si="72"/>
        <v>0</v>
      </c>
      <c r="BW198" s="61">
        <f t="shared" si="67"/>
        <v>0</v>
      </c>
      <c r="CJ198" s="61">
        <f t="shared" si="73"/>
        <v>0</v>
      </c>
      <c r="CU198" s="61">
        <f t="shared" si="58"/>
        <v>0</v>
      </c>
      <c r="CV198" s="61">
        <f t="shared" si="58"/>
        <v>0</v>
      </c>
      <c r="CX198" s="61">
        <f t="shared" si="63"/>
        <v>0</v>
      </c>
      <c r="EP198" s="61">
        <f t="shared" si="59"/>
        <v>0</v>
      </c>
      <c r="EQ198" s="61">
        <f t="shared" si="59"/>
        <v>0</v>
      </c>
      <c r="ER198" s="61">
        <f t="shared" si="59"/>
        <v>0</v>
      </c>
      <c r="ES198" s="61">
        <f t="shared" si="59"/>
        <v>0</v>
      </c>
      <c r="ET198" s="61">
        <f t="shared" si="60"/>
        <v>0</v>
      </c>
      <c r="EX198" s="61">
        <f t="shared" si="62"/>
        <v>0</v>
      </c>
      <c r="EZ198" s="61">
        <f t="shared" si="62"/>
        <v>0</v>
      </c>
      <c r="FN198" s="61">
        <f t="shared" si="56"/>
        <v>196</v>
      </c>
    </row>
    <row r="199" spans="1:170" ht="16.8" x14ac:dyDescent="0.3">
      <c r="A199" s="70">
        <f>'BASE MAESTRA'!B205</f>
        <v>197</v>
      </c>
      <c r="C199" s="61">
        <f t="shared" si="68"/>
        <v>0</v>
      </c>
      <c r="U199" s="61">
        <f t="shared" si="69"/>
        <v>0</v>
      </c>
      <c r="Z199" s="61">
        <f t="shared" si="70"/>
        <v>0</v>
      </c>
      <c r="AG199" s="61">
        <f t="shared" si="57"/>
        <v>0</v>
      </c>
      <c r="AH199" s="61">
        <f t="shared" si="57"/>
        <v>0</v>
      </c>
      <c r="AX199" s="61">
        <f t="shared" si="61"/>
        <v>0</v>
      </c>
      <c r="AY199" s="61">
        <f t="shared" si="61"/>
        <v>0</v>
      </c>
      <c r="AZ199" s="61">
        <f t="shared" si="61"/>
        <v>0</v>
      </c>
      <c r="BA199" s="61">
        <f t="shared" si="71"/>
        <v>0</v>
      </c>
      <c r="BJ199" s="61">
        <f t="shared" si="64"/>
        <v>0</v>
      </c>
      <c r="BK199" s="61">
        <f t="shared" si="65"/>
        <v>0</v>
      </c>
      <c r="BV199" s="61">
        <f t="shared" si="72"/>
        <v>0</v>
      </c>
      <c r="BW199" s="61">
        <f t="shared" si="67"/>
        <v>0</v>
      </c>
      <c r="CJ199" s="61">
        <f t="shared" si="73"/>
        <v>0</v>
      </c>
      <c r="CU199" s="61">
        <f t="shared" si="58"/>
        <v>0</v>
      </c>
      <c r="CV199" s="61">
        <f t="shared" si="58"/>
        <v>0</v>
      </c>
      <c r="CX199" s="61">
        <f t="shared" si="63"/>
        <v>0</v>
      </c>
      <c r="EP199" s="61">
        <f t="shared" si="59"/>
        <v>0</v>
      </c>
      <c r="EQ199" s="61">
        <f t="shared" si="59"/>
        <v>0</v>
      </c>
      <c r="ER199" s="61">
        <f t="shared" si="59"/>
        <v>0</v>
      </c>
      <c r="ES199" s="61">
        <f t="shared" si="59"/>
        <v>0</v>
      </c>
      <c r="ET199" s="61">
        <f t="shared" si="60"/>
        <v>0</v>
      </c>
      <c r="EX199" s="61">
        <f t="shared" si="62"/>
        <v>0</v>
      </c>
      <c r="EZ199" s="61">
        <f t="shared" si="62"/>
        <v>0</v>
      </c>
      <c r="FN199" s="61">
        <f t="shared" si="56"/>
        <v>197</v>
      </c>
    </row>
    <row r="200" spans="1:170" ht="16.8" x14ac:dyDescent="0.3">
      <c r="A200" s="70">
        <f>'BASE MAESTRA'!B206</f>
        <v>198</v>
      </c>
      <c r="C200" s="61">
        <f t="shared" si="68"/>
        <v>0</v>
      </c>
      <c r="U200" s="61">
        <f t="shared" si="69"/>
        <v>0</v>
      </c>
      <c r="Z200" s="61">
        <f t="shared" si="70"/>
        <v>0</v>
      </c>
      <c r="AG200" s="61">
        <f t="shared" si="57"/>
        <v>0</v>
      </c>
      <c r="AH200" s="61">
        <f t="shared" si="57"/>
        <v>0</v>
      </c>
      <c r="AX200" s="61">
        <f t="shared" si="61"/>
        <v>0</v>
      </c>
      <c r="AY200" s="61">
        <f t="shared" si="61"/>
        <v>0</v>
      </c>
      <c r="AZ200" s="61">
        <f t="shared" si="61"/>
        <v>0</v>
      </c>
      <c r="BA200" s="61">
        <f t="shared" si="71"/>
        <v>0</v>
      </c>
      <c r="BJ200" s="61">
        <f t="shared" si="64"/>
        <v>0</v>
      </c>
      <c r="BK200" s="61">
        <f t="shared" si="65"/>
        <v>0</v>
      </c>
      <c r="BV200" s="61">
        <f t="shared" si="72"/>
        <v>0</v>
      </c>
      <c r="BW200" s="61">
        <f t="shared" si="67"/>
        <v>0</v>
      </c>
      <c r="CJ200" s="61">
        <f t="shared" si="73"/>
        <v>0</v>
      </c>
      <c r="CU200" s="61">
        <f t="shared" si="58"/>
        <v>0</v>
      </c>
      <c r="CV200" s="61">
        <f t="shared" si="58"/>
        <v>0</v>
      </c>
      <c r="CX200" s="61">
        <f t="shared" si="63"/>
        <v>0</v>
      </c>
      <c r="EP200" s="61">
        <f t="shared" si="59"/>
        <v>0</v>
      </c>
      <c r="EQ200" s="61">
        <f t="shared" si="59"/>
        <v>0</v>
      </c>
      <c r="ER200" s="61">
        <f t="shared" si="59"/>
        <v>0</v>
      </c>
      <c r="ES200" s="61">
        <f t="shared" si="59"/>
        <v>0</v>
      </c>
      <c r="ET200" s="61">
        <f t="shared" si="60"/>
        <v>0</v>
      </c>
      <c r="EX200" s="61">
        <f t="shared" si="62"/>
        <v>0</v>
      </c>
      <c r="EZ200" s="61">
        <f t="shared" si="62"/>
        <v>0</v>
      </c>
      <c r="FN200" s="61">
        <f t="shared" si="56"/>
        <v>198</v>
      </c>
    </row>
    <row r="201" spans="1:170" ht="16.8" x14ac:dyDescent="0.3">
      <c r="A201" s="70">
        <f>'BASE MAESTRA'!B207</f>
        <v>199</v>
      </c>
      <c r="C201" s="61">
        <f t="shared" si="68"/>
        <v>0</v>
      </c>
      <c r="U201" s="61">
        <f t="shared" si="69"/>
        <v>0</v>
      </c>
      <c r="Z201" s="61">
        <f t="shared" si="70"/>
        <v>0</v>
      </c>
      <c r="AG201" s="61">
        <f t="shared" si="57"/>
        <v>0</v>
      </c>
      <c r="AH201" s="61">
        <f t="shared" si="57"/>
        <v>0</v>
      </c>
      <c r="AX201" s="61">
        <f t="shared" si="61"/>
        <v>0</v>
      </c>
      <c r="AY201" s="61">
        <f t="shared" si="61"/>
        <v>0</v>
      </c>
      <c r="AZ201" s="61">
        <f t="shared" si="61"/>
        <v>0</v>
      </c>
      <c r="BA201" s="61">
        <f t="shared" si="71"/>
        <v>0</v>
      </c>
      <c r="BJ201" s="61">
        <f t="shared" si="64"/>
        <v>0</v>
      </c>
      <c r="BK201" s="61">
        <f t="shared" si="65"/>
        <v>0</v>
      </c>
      <c r="BV201" s="61">
        <f t="shared" si="72"/>
        <v>0</v>
      </c>
      <c r="BW201" s="61">
        <f t="shared" si="67"/>
        <v>0</v>
      </c>
      <c r="CJ201" s="61">
        <f t="shared" si="73"/>
        <v>0</v>
      </c>
      <c r="CU201" s="61">
        <f t="shared" si="58"/>
        <v>0</v>
      </c>
      <c r="CV201" s="61">
        <f t="shared" si="58"/>
        <v>0</v>
      </c>
      <c r="CX201" s="61">
        <f t="shared" si="63"/>
        <v>0</v>
      </c>
      <c r="EP201" s="61">
        <f t="shared" si="59"/>
        <v>0</v>
      </c>
      <c r="EQ201" s="61">
        <f t="shared" si="59"/>
        <v>0</v>
      </c>
      <c r="ER201" s="61">
        <f t="shared" si="59"/>
        <v>0</v>
      </c>
      <c r="ES201" s="61">
        <f t="shared" si="59"/>
        <v>0</v>
      </c>
      <c r="ET201" s="61">
        <f t="shared" si="60"/>
        <v>0</v>
      </c>
      <c r="EX201" s="61">
        <f t="shared" si="62"/>
        <v>0</v>
      </c>
      <c r="EZ201" s="61">
        <f t="shared" si="62"/>
        <v>0</v>
      </c>
      <c r="FN201" s="61">
        <f t="shared" si="56"/>
        <v>199</v>
      </c>
    </row>
    <row r="202" spans="1:170" ht="16.8" x14ac:dyDescent="0.3">
      <c r="A202" s="70">
        <f>'BASE MAESTRA'!B208</f>
        <v>200</v>
      </c>
      <c r="C202" s="61">
        <f t="shared" si="68"/>
        <v>0</v>
      </c>
      <c r="U202" s="61">
        <f t="shared" si="69"/>
        <v>0</v>
      </c>
      <c r="Z202" s="61">
        <f t="shared" si="70"/>
        <v>0</v>
      </c>
      <c r="AG202" s="61">
        <f t="shared" si="57"/>
        <v>0</v>
      </c>
      <c r="AH202" s="61">
        <f t="shared" si="57"/>
        <v>0</v>
      </c>
      <c r="AX202" s="61">
        <f t="shared" si="61"/>
        <v>0</v>
      </c>
      <c r="AY202" s="61">
        <f t="shared" si="61"/>
        <v>0</v>
      </c>
      <c r="AZ202" s="61">
        <f t="shared" si="61"/>
        <v>0</v>
      </c>
      <c r="BA202" s="61">
        <f t="shared" si="71"/>
        <v>0</v>
      </c>
      <c r="BJ202" s="61">
        <f t="shared" si="64"/>
        <v>0</v>
      </c>
      <c r="BK202" s="61">
        <f t="shared" si="65"/>
        <v>0</v>
      </c>
      <c r="BV202" s="61">
        <f t="shared" si="72"/>
        <v>0</v>
      </c>
      <c r="BW202" s="61">
        <f t="shared" si="67"/>
        <v>0</v>
      </c>
      <c r="CJ202" s="61">
        <f t="shared" si="73"/>
        <v>0</v>
      </c>
      <c r="CU202" s="61">
        <f t="shared" si="58"/>
        <v>0</v>
      </c>
      <c r="CV202" s="61">
        <f t="shared" si="58"/>
        <v>0</v>
      </c>
      <c r="CX202" s="61">
        <f t="shared" si="63"/>
        <v>0</v>
      </c>
      <c r="EP202" s="61">
        <f t="shared" si="59"/>
        <v>0</v>
      </c>
      <c r="EQ202" s="61">
        <f t="shared" si="59"/>
        <v>0</v>
      </c>
      <c r="ER202" s="61">
        <f t="shared" si="59"/>
        <v>0</v>
      </c>
      <c r="ES202" s="61">
        <f t="shared" si="59"/>
        <v>0</v>
      </c>
      <c r="ET202" s="61">
        <f t="shared" si="60"/>
        <v>0</v>
      </c>
      <c r="EX202" s="61">
        <f t="shared" si="62"/>
        <v>0</v>
      </c>
      <c r="EZ202" s="61">
        <f t="shared" si="62"/>
        <v>0</v>
      </c>
      <c r="FN202" s="61">
        <f t="shared" si="56"/>
        <v>200</v>
      </c>
    </row>
  </sheetData>
  <autoFilter ref="A1:FN138" xr:uid="{00000000-0009-0000-0000-000005000000}"/>
  <customSheetViews>
    <customSheetView guid="{03A28D0E-D221-430C-9036-787CFB666EE7}" showAutoFilter="1" topLeftCell="CL1">
      <selection activeCell="CW3" sqref="CW3"/>
      <pageMargins left="0.7" right="0.7" top="0.75" bottom="0.75" header="0.3" footer="0.3"/>
      <pageSetup orientation="portrait" r:id="rId1"/>
      <autoFilter ref="A1:FN138" xr:uid="{D7568E26-1E87-46DC-95D0-CD0E02B95009}"/>
    </customSheetView>
  </customSheetViews>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202"/>
  <sheetViews>
    <sheetView zoomScale="90" zoomScaleNormal="90" workbookViewId="0"/>
  </sheetViews>
  <sheetFormatPr defaultColWidth="10.6640625" defaultRowHeight="13.8" x14ac:dyDescent="0.3"/>
  <cols>
    <col min="1" max="1" width="10.77734375" style="60" bestFit="1" customWidth="1"/>
    <col min="2" max="11" width="10.77734375" style="61" bestFit="1" customWidth="1"/>
    <col min="12" max="12" width="15" style="61" customWidth="1"/>
    <col min="13" max="13" width="11.77734375" style="61" bestFit="1" customWidth="1"/>
    <col min="14" max="14" width="10.6640625" style="61"/>
    <col min="15" max="15" width="10.77734375" style="61" bestFit="1" customWidth="1"/>
    <col min="16" max="16" width="10.6640625" style="61"/>
    <col min="17" max="17" width="10.77734375" style="61" bestFit="1" customWidth="1"/>
    <col min="18" max="18" width="10.6640625" style="61"/>
    <col min="19" max="19" width="10.77734375" style="61" bestFit="1" customWidth="1"/>
    <col min="20" max="21" width="10.6640625" style="61"/>
    <col min="22" max="22" width="10.77734375" style="61" bestFit="1" customWidth="1"/>
    <col min="23" max="23" width="10.6640625" style="61"/>
    <col min="24" max="24" width="11.77734375" style="61" bestFit="1" customWidth="1"/>
    <col min="25" max="25" width="10.77734375" style="61" bestFit="1" customWidth="1"/>
    <col min="26" max="26" width="10.44140625" style="61" customWidth="1"/>
    <col min="27" max="27" width="14.6640625" style="61" customWidth="1"/>
    <col min="28" max="29" width="10.77734375" style="61" bestFit="1" customWidth="1"/>
    <col min="30" max="16384" width="10.6640625" style="61"/>
  </cols>
  <sheetData>
    <row r="1" spans="1:29" s="59" customFormat="1" ht="67.95" customHeight="1" x14ac:dyDescent="0.3">
      <c r="A1" s="57" t="s">
        <v>310</v>
      </c>
      <c r="B1" s="59" t="s">
        <v>203</v>
      </c>
      <c r="C1" s="59" t="s">
        <v>204</v>
      </c>
      <c r="D1" s="59" t="s">
        <v>205</v>
      </c>
      <c r="E1" s="59" t="s">
        <v>206</v>
      </c>
      <c r="F1" s="59" t="s">
        <v>207</v>
      </c>
      <c r="G1" s="59" t="s">
        <v>208</v>
      </c>
      <c r="H1" s="59" t="s">
        <v>209</v>
      </c>
      <c r="I1" s="59" t="s">
        <v>210</v>
      </c>
      <c r="J1" s="59" t="s">
        <v>211</v>
      </c>
      <c r="K1" s="59" t="s">
        <v>212</v>
      </c>
      <c r="L1" s="59" t="s">
        <v>213</v>
      </c>
      <c r="M1" s="59" t="s">
        <v>214</v>
      </c>
      <c r="N1" s="59" t="s">
        <v>215</v>
      </c>
      <c r="O1" s="59" t="s">
        <v>216</v>
      </c>
      <c r="P1" s="59" t="s">
        <v>217</v>
      </c>
      <c r="Q1" s="59" t="s">
        <v>218</v>
      </c>
      <c r="R1" s="59" t="s">
        <v>219</v>
      </c>
      <c r="S1" s="59" t="s">
        <v>220</v>
      </c>
      <c r="T1" s="59" t="s">
        <v>221</v>
      </c>
      <c r="U1" s="59" t="s">
        <v>222</v>
      </c>
      <c r="V1" s="59" t="s">
        <v>223</v>
      </c>
      <c r="W1" s="59" t="s">
        <v>224</v>
      </c>
      <c r="X1" s="59" t="s">
        <v>225</v>
      </c>
      <c r="Y1" s="59" t="s">
        <v>226</v>
      </c>
      <c r="Z1" s="59" t="s">
        <v>227</v>
      </c>
      <c r="AA1" s="59" t="s">
        <v>228</v>
      </c>
      <c r="AB1" s="59" t="s">
        <v>229</v>
      </c>
      <c r="AC1" s="59" t="s">
        <v>8</v>
      </c>
    </row>
    <row r="2" spans="1:29" s="62" customFormat="1" ht="31.2" customHeight="1" x14ac:dyDescent="0.3">
      <c r="A2" s="57" t="s">
        <v>323</v>
      </c>
      <c r="B2" s="57">
        <f t="shared" ref="B2:AC2" si="0">VLOOKUP(B1,CamposSIS,2,FALSE)</f>
        <v>32</v>
      </c>
      <c r="C2" s="57">
        <f t="shared" si="0"/>
        <v>73</v>
      </c>
      <c r="D2" s="57">
        <f t="shared" si="0"/>
        <v>40</v>
      </c>
      <c r="E2" s="57">
        <f t="shared" si="0"/>
        <v>34</v>
      </c>
      <c r="F2" s="57">
        <f t="shared" si="0"/>
        <v>62</v>
      </c>
      <c r="G2" s="57">
        <f t="shared" si="0"/>
        <v>71</v>
      </c>
      <c r="H2" s="57">
        <f t="shared" si="0"/>
        <v>33</v>
      </c>
      <c r="I2" s="57">
        <f t="shared" si="0"/>
        <v>87</v>
      </c>
      <c r="J2" s="57">
        <f t="shared" si="0"/>
        <v>83</v>
      </c>
      <c r="K2" s="57">
        <f t="shared" si="0"/>
        <v>84</v>
      </c>
      <c r="L2" s="57">
        <f t="shared" si="0"/>
        <v>82</v>
      </c>
      <c r="M2" s="57">
        <f t="shared" si="0"/>
        <v>80</v>
      </c>
      <c r="N2" s="57">
        <f t="shared" si="0"/>
        <v>81</v>
      </c>
      <c r="O2" s="57"/>
      <c r="P2" s="57"/>
      <c r="Q2" s="57">
        <f t="shared" si="0"/>
        <v>85</v>
      </c>
      <c r="R2" s="57"/>
      <c r="S2" s="57">
        <f t="shared" si="0"/>
        <v>86</v>
      </c>
      <c r="T2" s="57"/>
      <c r="U2" s="57">
        <f t="shared" si="0"/>
        <v>95</v>
      </c>
      <c r="V2" s="57"/>
      <c r="W2" s="57"/>
      <c r="X2" s="57">
        <f t="shared" si="0"/>
        <v>93</v>
      </c>
      <c r="Y2" s="57">
        <f t="shared" si="0"/>
        <v>35</v>
      </c>
      <c r="Z2" s="57">
        <f t="shared" si="0"/>
        <v>63</v>
      </c>
      <c r="AA2" s="57">
        <f t="shared" si="0"/>
        <v>21</v>
      </c>
      <c r="AB2" s="57">
        <f t="shared" si="0"/>
        <v>88</v>
      </c>
      <c r="AC2" s="57">
        <f t="shared" si="0"/>
        <v>1</v>
      </c>
    </row>
    <row r="3" spans="1:29" ht="16.8" x14ac:dyDescent="0.3">
      <c r="A3" s="70" t="str">
        <f>'BASE MAESTRA'!B7</f>
        <v>3</v>
      </c>
      <c r="B3" s="61" t="str">
        <f t="shared" ref="B3:N18" si="1">VLOOKUP($A3,DatosEspecies,B$2,FALSE)</f>
        <v>Neotropical</v>
      </c>
      <c r="C3" s="61">
        <f t="shared" si="1"/>
        <v>0</v>
      </c>
      <c r="D3" s="61" t="str">
        <f t="shared" si="1"/>
        <v>La especie ocurre en hábitats de bosques húmedos en tierras bajas (elevación menor a 1.000 msnm), y en bosques de tierras altas (elevación mayor a 1000 msnm) (Sanín et at. 2023). La especie está fertil todo el año (Sanín et at. 2023), y posiblemente es dispersada por viento. No se cuenta con información publicada sobre la ecología de la especie. El área de hábitat calculada tiene un valor de 160.527 km2.</v>
      </c>
      <c r="E3" s="61" t="str">
        <f t="shared" si="1"/>
        <v>Done</v>
      </c>
      <c r="F3" s="61">
        <f t="shared" si="1"/>
        <v>0</v>
      </c>
      <c r="G3" s="61">
        <f t="shared" si="1"/>
        <v>0</v>
      </c>
      <c r="H3" s="61" t="str">
        <f t="shared" si="1"/>
        <v>En Colombia, la especie se ha registrado en los departamentos Caquetá, Chocó y la Amazonía.</v>
      </c>
      <c r="I3" s="61">
        <f t="shared" si="1"/>
        <v>0</v>
      </c>
      <c r="J3" s="61">
        <f t="shared" si="1"/>
        <v>0</v>
      </c>
      <c r="K3" s="61">
        <f t="shared" si="1"/>
        <v>0</v>
      </c>
      <c r="L3" s="61">
        <f t="shared" si="1"/>
        <v>0</v>
      </c>
      <c r="M3" s="61">
        <f t="shared" si="1"/>
        <v>0</v>
      </c>
      <c r="N3" s="61">
        <f>VLOOKUP($A3,DatosEspecies,N$2,FALSE)</f>
        <v>0</v>
      </c>
      <c r="Q3" s="61">
        <f t="shared" ref="Q3:Q66" si="2">VLOOKUP($A3,DatosEspecies,Q$2,FALSE)</f>
        <v>0</v>
      </c>
      <c r="S3" s="61">
        <f t="shared" ref="S3:U33" si="3">VLOOKUP($A3,DatosEspecies,S$2,FALSE)</f>
        <v>0</v>
      </c>
      <c r="U3" s="61">
        <f t="shared" si="3"/>
        <v>0</v>
      </c>
      <c r="X3" s="61">
        <f t="shared" ref="X3:X17" si="4">VLOOKUP($A3,DatosEspecies,X$2,FALSE)</f>
        <v>0</v>
      </c>
      <c r="Y3" s="61" t="str">
        <f t="shared" ref="Y3:AC11" si="5">VLOOKUP($A3,DatosEspecies,Y$2,FALSE)</f>
        <v>Terrestrial</v>
      </c>
      <c r="Z3" s="61">
        <f t="shared" si="5"/>
        <v>0</v>
      </c>
      <c r="AA3" s="61" t="str">
        <f t="shared" si="5"/>
        <v>En Perú se utiliza para infecciones renales, hepáticas y uterinas (D. Sanín 2023)</v>
      </c>
      <c r="AB3" s="61">
        <f t="shared" si="5"/>
        <v>0</v>
      </c>
      <c r="AC3" s="61" t="str">
        <f t="shared" si="5"/>
        <v>3</v>
      </c>
    </row>
    <row r="4" spans="1:29" ht="16.8" x14ac:dyDescent="0.3">
      <c r="A4" s="70" t="str">
        <f>'BASE MAESTRA'!B8</f>
        <v>4</v>
      </c>
      <c r="B4" s="61" t="str">
        <f t="shared" si="1"/>
        <v>Neotropical</v>
      </c>
      <c r="C4" s="61">
        <f t="shared" si="1"/>
        <v>0</v>
      </c>
      <c r="D4" s="61" t="str">
        <f t="shared" si="1"/>
        <v>La especie ocurre en hábitats de bosques húmedos en tierras bajas (elevación menor a 1.000 msnm), y en bosques de tierras altas (elevación mayor a 1000 msnm) (Sanín et at. 2023). La especie está fertil todo el año (Sanín et at. 2023), y posiblemente es dispersada por viento. No se cuenta con información publicada sobre la ecología de la especie. El área de hábitat calculada tiene un valor de 6.141 km2.</v>
      </c>
      <c r="E4" s="61" t="str">
        <f t="shared" si="1"/>
        <v>Done</v>
      </c>
      <c r="F4" s="61" t="str">
        <f t="shared" si="1"/>
        <v>N/A</v>
      </c>
      <c r="G4" s="61">
        <f t="shared" si="1"/>
        <v>0</v>
      </c>
      <c r="H4" s="61" t="str">
        <f t="shared" si="1"/>
        <v>En Colombia, la especie se ha registrado en los departametos Magdalena, Meta y Guaviare, principalmente en zonas expuestas de las tierras bajas, en bosques que van de húmedos a secos.</v>
      </c>
      <c r="I4" s="61">
        <f t="shared" si="1"/>
        <v>0</v>
      </c>
      <c r="J4" s="61">
        <f t="shared" si="1"/>
        <v>0</v>
      </c>
      <c r="K4" s="61">
        <f t="shared" si="1"/>
        <v>0</v>
      </c>
      <c r="L4" s="61">
        <f t="shared" si="1"/>
        <v>0</v>
      </c>
      <c r="M4" s="61">
        <f t="shared" si="1"/>
        <v>0</v>
      </c>
      <c r="N4" s="61">
        <f t="shared" si="1"/>
        <v>0</v>
      </c>
      <c r="Q4" s="61">
        <f t="shared" si="2"/>
        <v>0</v>
      </c>
      <c r="S4" s="61">
        <f t="shared" si="3"/>
        <v>0</v>
      </c>
      <c r="U4" s="61">
        <f t="shared" si="3"/>
        <v>0</v>
      </c>
      <c r="X4" s="61">
        <f t="shared" si="4"/>
        <v>0</v>
      </c>
      <c r="Y4" s="61" t="str">
        <f t="shared" si="5"/>
        <v>Terrestrial</v>
      </c>
      <c r="Z4" s="61" t="str">
        <f t="shared" si="5"/>
        <v>N/A</v>
      </c>
      <c r="AA4" s="61" t="str">
        <f t="shared" si="5"/>
        <v>Lengua de ciervo in Lambayeque, Peru (Esposto s.n., USM). No se han reportado usos para la especie.</v>
      </c>
      <c r="AB4" s="61">
        <f t="shared" si="5"/>
        <v>0</v>
      </c>
      <c r="AC4" s="61" t="str">
        <f t="shared" si="5"/>
        <v>4</v>
      </c>
    </row>
    <row r="5" spans="1:29" ht="16.8" x14ac:dyDescent="0.3">
      <c r="A5" s="70" t="str">
        <f>'BASE MAESTRA'!B10</f>
        <v>6</v>
      </c>
      <c r="B5" s="61" t="str">
        <f t="shared" si="1"/>
        <v>Neotropical</v>
      </c>
      <c r="C5" s="61">
        <f t="shared" si="1"/>
        <v>0</v>
      </c>
      <c r="D5" s="61" t="str">
        <f t="shared" si="1"/>
        <v>La especie ocurre en hábitats de bosques húmedos en tierras altas (elevación mayor a 1000 msnm) (Sanín et at. 2023).La especie está fértil en enero, marzo, mayo, julio, agosto, septiembre y noviembre (Sanín et at. 2023), y posiblemente es dispersada por viento. No se cuenta con información publicada sobre la ecología de la especie. El área de hábitat calculada tiene un valor de 17.325 km2.</v>
      </c>
      <c r="E5" s="61" t="str">
        <f t="shared" si="1"/>
        <v>Done</v>
      </c>
      <c r="F5" s="61" t="str">
        <f t="shared" si="1"/>
        <v>N/A</v>
      </c>
      <c r="G5" s="61">
        <f t="shared" si="1"/>
        <v>0</v>
      </c>
      <c r="H5" s="61" t="str">
        <f t="shared" si="1"/>
        <v>En Colombia, la especie se distribuye en las regiones de los Andes. Se ha registrado en los departamentos Caquetá, Chocó, Huila y Nariño.</v>
      </c>
      <c r="I5" s="61">
        <f t="shared" si="1"/>
        <v>0</v>
      </c>
      <c r="J5" s="61">
        <f t="shared" si="1"/>
        <v>0</v>
      </c>
      <c r="K5" s="61">
        <f t="shared" si="1"/>
        <v>0</v>
      </c>
      <c r="L5" s="61">
        <f t="shared" si="1"/>
        <v>0</v>
      </c>
      <c r="M5" s="61">
        <f t="shared" si="1"/>
        <v>0</v>
      </c>
      <c r="N5" s="61">
        <f t="shared" si="1"/>
        <v>0</v>
      </c>
      <c r="Q5" s="61">
        <f t="shared" si="2"/>
        <v>0</v>
      </c>
      <c r="S5" s="61">
        <f t="shared" si="3"/>
        <v>0</v>
      </c>
      <c r="U5" s="61">
        <f t="shared" si="3"/>
        <v>0</v>
      </c>
      <c r="X5" s="61">
        <f t="shared" si="4"/>
        <v>0</v>
      </c>
      <c r="Y5" s="61" t="str">
        <f t="shared" si="5"/>
        <v>Terrestrial</v>
      </c>
      <c r="Z5" s="61" t="str">
        <f t="shared" si="5"/>
        <v>N/A</v>
      </c>
      <c r="AA5" s="61" t="str">
        <f t="shared" si="5"/>
        <v>No se han reportado usos para la especie.</v>
      </c>
      <c r="AB5" s="61">
        <f t="shared" si="5"/>
        <v>0</v>
      </c>
      <c r="AC5" s="61" t="str">
        <f t="shared" si="5"/>
        <v>6</v>
      </c>
    </row>
    <row r="6" spans="1:29" ht="16.8" x14ac:dyDescent="0.3">
      <c r="A6" s="70" t="str">
        <f>'BASE MAESTRA'!B11</f>
        <v>7</v>
      </c>
      <c r="B6" s="61" t="str">
        <f t="shared" si="1"/>
        <v>Neotropical</v>
      </c>
      <c r="C6" s="61">
        <f t="shared" si="1"/>
        <v>0</v>
      </c>
      <c r="D6" s="61" t="str">
        <f t="shared" si="1"/>
        <v>La especie ocurre en hábitats de bosques húmedos en tierras bajas (elevación menor a 1.000 msnm), y en bosques de tierras altas (elevación mayor a 1000 msnm) (Sanín et at. 2023). La especie está fertil todo el año (Sanín et at. 2023), y posiblemente es dispersada por viento. No se cuenta con información publicada sobre la ecología de la especie. El área de hábitat calculada tiene un valor de 93.249 km2.</v>
      </c>
      <c r="E6" s="61" t="str">
        <f t="shared" si="1"/>
        <v>Done</v>
      </c>
      <c r="F6" s="61">
        <f t="shared" si="1"/>
        <v>0</v>
      </c>
      <c r="G6" s="61">
        <f t="shared" si="1"/>
        <v>0</v>
      </c>
      <c r="H6" s="61" t="str">
        <f t="shared" si="1"/>
        <v>En Colombia, la especie se ha registrado en los departamentos Antioquia, Caldas, Cauca, Chocó, Cundinamarca, Huila, Nariño, Quindío y Valle del Cauca; principalmente como epífita en bosques alterados de las tierras bajas y en bosques húmedos.</v>
      </c>
      <c r="I6" s="61">
        <f t="shared" si="1"/>
        <v>0</v>
      </c>
      <c r="J6" s="61">
        <f t="shared" si="1"/>
        <v>0</v>
      </c>
      <c r="K6" s="61">
        <f t="shared" si="1"/>
        <v>0</v>
      </c>
      <c r="L6" s="61">
        <f t="shared" si="1"/>
        <v>0</v>
      </c>
      <c r="M6" s="61">
        <f t="shared" si="1"/>
        <v>0</v>
      </c>
      <c r="N6" s="61">
        <f t="shared" si="1"/>
        <v>0</v>
      </c>
      <c r="Q6" s="61">
        <f t="shared" si="2"/>
        <v>0</v>
      </c>
      <c r="S6" s="61">
        <f t="shared" si="3"/>
        <v>0</v>
      </c>
      <c r="U6" s="61">
        <f t="shared" si="3"/>
        <v>0</v>
      </c>
      <c r="X6" s="61">
        <f t="shared" si="4"/>
        <v>0</v>
      </c>
      <c r="Y6" s="61" t="str">
        <f t="shared" si="5"/>
        <v>Terrestrial</v>
      </c>
      <c r="Z6" s="61">
        <f t="shared" si="5"/>
        <v>0</v>
      </c>
      <c r="AA6" s="61" t="str">
        <f t="shared" si="5"/>
        <v>En Guatemala, el rizoma se utiliza para tratar los dolores de cabeza, aplicando en la frente la infusión realizada con este</v>
      </c>
      <c r="AB6" s="61">
        <f t="shared" si="5"/>
        <v>0</v>
      </c>
      <c r="AC6" s="61" t="str">
        <f t="shared" si="5"/>
        <v>7</v>
      </c>
    </row>
    <row r="7" spans="1:29" ht="16.8" x14ac:dyDescent="0.3">
      <c r="A7" s="70" t="str">
        <f>'BASE MAESTRA'!B12</f>
        <v>8</v>
      </c>
      <c r="B7" s="61" t="str">
        <f t="shared" si="1"/>
        <v>Neotropical</v>
      </c>
      <c r="C7" s="61">
        <f t="shared" si="1"/>
        <v>0</v>
      </c>
      <c r="D7" s="61" t="str">
        <f t="shared" si="1"/>
        <v>La especie ocurre en hábitats de bosques húmedos en tierras altas (elevación mayor a 1000 msnm) (Sanín et at. 2023). La especie está fertil todo el año (Sanín et at. 2023), y posiblemente es dispersada por viento. No se cuenta con información publicada sobre la ecología de la especie. El área de hábitat calculada tiene un valor de 35.614 km2.</v>
      </c>
      <c r="E7" s="61" t="str">
        <f t="shared" si="1"/>
        <v>Done</v>
      </c>
      <c r="F7" s="61">
        <f t="shared" si="1"/>
        <v>0</v>
      </c>
      <c r="G7" s="61">
        <f t="shared" si="1"/>
        <v>0</v>
      </c>
      <c r="H7" s="61" t="str">
        <f t="shared" si="1"/>
        <v>En Colombia, la especie se ha registrado en los departamentos de Antioquia, Caldas, Cauca, Cundinamarca, Huila, Nariño, Norte de Santander, Putumayo, Quindío, Risaralda, Santander y Tolima; en bosques de alta montaña y subpáramos.</v>
      </c>
      <c r="I7" s="61">
        <f t="shared" si="1"/>
        <v>0</v>
      </c>
      <c r="J7" s="61">
        <f t="shared" si="1"/>
        <v>0</v>
      </c>
      <c r="K7" s="61">
        <f t="shared" si="1"/>
        <v>0</v>
      </c>
      <c r="L7" s="61">
        <f t="shared" si="1"/>
        <v>0</v>
      </c>
      <c r="M7" s="61">
        <f t="shared" si="1"/>
        <v>0</v>
      </c>
      <c r="N7" s="61">
        <f t="shared" si="1"/>
        <v>0</v>
      </c>
      <c r="Q7" s="61">
        <f t="shared" si="2"/>
        <v>0</v>
      </c>
      <c r="S7" s="61">
        <f t="shared" si="3"/>
        <v>0</v>
      </c>
      <c r="U7" s="61">
        <f t="shared" si="3"/>
        <v>0</v>
      </c>
      <c r="X7" s="61">
        <f t="shared" si="4"/>
        <v>0</v>
      </c>
      <c r="Y7" s="61" t="str">
        <f t="shared" si="5"/>
        <v>Terrestrial</v>
      </c>
      <c r="Z7" s="61">
        <f t="shared" si="5"/>
        <v>0</v>
      </c>
      <c r="AA7" s="61" t="str">
        <f t="shared" si="5"/>
        <v>No se han reportado usos para la especie.</v>
      </c>
      <c r="AB7" s="61">
        <f t="shared" si="5"/>
        <v>0</v>
      </c>
      <c r="AC7" s="61" t="str">
        <f t="shared" si="5"/>
        <v>8</v>
      </c>
    </row>
    <row r="8" spans="1:29" ht="16.8" x14ac:dyDescent="0.3">
      <c r="A8" s="70" t="str">
        <f>'BASE MAESTRA'!B13</f>
        <v>9</v>
      </c>
      <c r="B8" s="61" t="str">
        <f t="shared" si="1"/>
        <v>Neotropical</v>
      </c>
      <c r="C8" s="61">
        <f t="shared" si="1"/>
        <v>0</v>
      </c>
      <c r="D8" s="61" t="str">
        <f t="shared" si="1"/>
        <v>La especie ocurre en hábitats de bosques húmedos en tierras bajas (elevación menor a 1.000 msnm), y en bosques de tierras altas (elevación mayor a 1000 msnm) (Sanín et at. 2023). La especie está fertil todo el año (Sanín et at. 2023), y posiblemente es dispersada por viento. No se cuenta con información publicada sobre la ecología de la especie. El área de hábitat calculada tiene un valor de 175.282 km2.</v>
      </c>
      <c r="E8" s="61" t="str">
        <f t="shared" si="1"/>
        <v>Done</v>
      </c>
      <c r="F8" s="61">
        <f t="shared" si="1"/>
        <v>0</v>
      </c>
      <c r="G8" s="61">
        <f t="shared" si="1"/>
        <v>0</v>
      </c>
      <c r="H8" s="61" t="str">
        <f t="shared" si="1"/>
        <v>En Colombia, la especie se ha registrado en los departamentos Antioquia, Boyacá, Caldas, Cauca, Cesar, Chocó, Cundinamarca, Huila, Magdalena, Meta, Nariño, Putumayo, Quindío, Risaralda, Santander, Tolima y Valle del Cauca; desde las tierras bajas hasta los bosques premontanos, en bosques húmedos.</v>
      </c>
      <c r="I8" s="61">
        <f t="shared" si="1"/>
        <v>0</v>
      </c>
      <c r="J8" s="61">
        <f t="shared" si="1"/>
        <v>0</v>
      </c>
      <c r="K8" s="61">
        <f t="shared" si="1"/>
        <v>0</v>
      </c>
      <c r="L8" s="61">
        <f t="shared" si="1"/>
        <v>0</v>
      </c>
      <c r="M8" s="61">
        <f t="shared" si="1"/>
        <v>0</v>
      </c>
      <c r="N8" s="61">
        <f t="shared" si="1"/>
        <v>0</v>
      </c>
      <c r="Q8" s="61">
        <f t="shared" si="2"/>
        <v>0</v>
      </c>
      <c r="S8" s="61">
        <f t="shared" si="3"/>
        <v>0</v>
      </c>
      <c r="U8" s="61">
        <f t="shared" si="3"/>
        <v>0</v>
      </c>
      <c r="X8" s="61">
        <f t="shared" si="4"/>
        <v>0</v>
      </c>
      <c r="Y8" s="61" t="str">
        <f t="shared" si="5"/>
        <v>Terrestrial</v>
      </c>
      <c r="Z8" s="61">
        <f t="shared" si="5"/>
        <v>0</v>
      </c>
      <c r="AA8" s="61" t="str">
        <f t="shared" si="5"/>
        <v>La cultura cayapa de Ecuador utilizaba esta especie para eliminar la mucosidad de la nariz y la garganta, hirviendo la planta y bebiendo la decocción (Kvist &amp; Asanza 40798, QCA). En Ecuador, el Serpocaulon fraxinifolium se utiliza para prevenir trastornos del sistema respiratorio (Navarrete et al., 2006).</v>
      </c>
      <c r="AB8" s="61">
        <f t="shared" si="5"/>
        <v>0</v>
      </c>
      <c r="AC8" s="61" t="str">
        <f t="shared" si="5"/>
        <v>9</v>
      </c>
    </row>
    <row r="9" spans="1:29" ht="16.8" x14ac:dyDescent="0.3">
      <c r="A9" s="70" t="str">
        <f>'BASE MAESTRA'!B14</f>
        <v>10</v>
      </c>
      <c r="B9" s="61" t="str">
        <f t="shared" si="1"/>
        <v>Neotropical</v>
      </c>
      <c r="C9" s="61">
        <f t="shared" si="1"/>
        <v>0</v>
      </c>
      <c r="D9" s="61" t="str">
        <f t="shared" si="1"/>
        <v>La especie ocurre en hábitats de bosques húmedos en tierras altas (elevación mayor a 1000 msnm) (Sanín et at. 2023). La especie está fértil casi todo el año, excepto en junio y agosto (Sanín et at. 2023), y posiblemente es dispersada por viento. No se cuenta con información publicada sobre la ecología de la especie. El área de hábitat calculada tiene un valor de 54.650 km2.</v>
      </c>
      <c r="E9" s="61" t="str">
        <f t="shared" si="1"/>
        <v>Done</v>
      </c>
      <c r="F9" s="61">
        <f t="shared" si="1"/>
        <v>0</v>
      </c>
      <c r="G9" s="61">
        <f t="shared" si="1"/>
        <v>0</v>
      </c>
      <c r="H9" s="61" t="str">
        <f t="shared" si="1"/>
        <v>En Colombia, la especie se ha registrado en los departamentos de Antioquia, Barbosa, Boyacá, Cauca, Chocó, Cundinamarca, Norte de Santander y Risaralda; principalmente en las regiones andinas, en bosques de niebla.</v>
      </c>
      <c r="I9" s="61">
        <f t="shared" si="1"/>
        <v>0</v>
      </c>
      <c r="J9" s="61">
        <f t="shared" si="1"/>
        <v>0</v>
      </c>
      <c r="K9" s="61">
        <f t="shared" si="1"/>
        <v>0</v>
      </c>
      <c r="L9" s="61">
        <f t="shared" si="1"/>
        <v>0</v>
      </c>
      <c r="M9" s="61">
        <f t="shared" si="1"/>
        <v>0</v>
      </c>
      <c r="N9" s="61">
        <f t="shared" si="1"/>
        <v>0</v>
      </c>
      <c r="Q9" s="61">
        <f t="shared" si="2"/>
        <v>0</v>
      </c>
      <c r="S9" s="61">
        <f t="shared" si="3"/>
        <v>0</v>
      </c>
      <c r="U9" s="61">
        <f t="shared" si="3"/>
        <v>0</v>
      </c>
      <c r="X9" s="61">
        <f t="shared" si="4"/>
        <v>0</v>
      </c>
      <c r="Y9" s="61" t="str">
        <f t="shared" si="5"/>
        <v>Terrestrial</v>
      </c>
      <c r="Z9" s="61">
        <f t="shared" si="5"/>
        <v>0</v>
      </c>
      <c r="AA9" s="61" t="str">
        <f t="shared" si="5"/>
        <v>No se han reportado usos para la especie.</v>
      </c>
      <c r="AB9" s="61">
        <f t="shared" si="5"/>
        <v>0</v>
      </c>
      <c r="AC9" s="61" t="str">
        <f t="shared" si="5"/>
        <v>10</v>
      </c>
    </row>
    <row r="10" spans="1:29" ht="16.8" x14ac:dyDescent="0.3">
      <c r="A10" s="70" t="str">
        <f>'BASE MAESTRA'!B15</f>
        <v>11</v>
      </c>
      <c r="B10" s="61" t="str">
        <f t="shared" si="1"/>
        <v>Neotropical</v>
      </c>
      <c r="C10" s="61">
        <f t="shared" si="1"/>
        <v>0</v>
      </c>
      <c r="D10" s="61" t="str">
        <f t="shared" si="1"/>
        <v>La especie ocurre en hábitats de bosques húmedos en tierras bajas (elevación menor a 1.000 msnm), y en bosques de tierras altas (elevación mayor a 1000 msnm) (Sanín et at. 2023). La especie está fertil todo el año (Sanín et at. 2023), y posiblemente es dispersada por viento. No se cuenta con información publicada sobre la ecología de la especie. El área de hábitat calculada tiene un valor de 30.966 km2.</v>
      </c>
      <c r="E10" s="61" t="str">
        <f t="shared" si="1"/>
        <v>Done</v>
      </c>
      <c r="F10" s="61">
        <f t="shared" si="1"/>
        <v>0</v>
      </c>
      <c r="G10" s="61">
        <f t="shared" si="1"/>
        <v>0</v>
      </c>
      <c r="H10" s="61" t="str">
        <f t="shared" si="1"/>
        <v>En Colombia, la especie se ha registrado en Antioquia, Cauca y Cundinamarca, principalmente en altitudes medias.</v>
      </c>
      <c r="I10" s="61">
        <f t="shared" si="1"/>
        <v>0</v>
      </c>
      <c r="J10" s="61">
        <f t="shared" si="1"/>
        <v>0</v>
      </c>
      <c r="K10" s="61">
        <f t="shared" si="1"/>
        <v>0</v>
      </c>
      <c r="L10" s="61">
        <f t="shared" si="1"/>
        <v>0</v>
      </c>
      <c r="M10" s="61">
        <f t="shared" si="1"/>
        <v>0</v>
      </c>
      <c r="N10" s="61">
        <f t="shared" si="1"/>
        <v>0</v>
      </c>
      <c r="Q10" s="61">
        <f t="shared" si="2"/>
        <v>0</v>
      </c>
      <c r="S10" s="61">
        <f t="shared" si="3"/>
        <v>0</v>
      </c>
      <c r="U10" s="61">
        <f t="shared" si="3"/>
        <v>0</v>
      </c>
      <c r="X10" s="61">
        <f t="shared" si="4"/>
        <v>0</v>
      </c>
      <c r="Y10" s="61" t="str">
        <f t="shared" si="5"/>
        <v>Terrestrial</v>
      </c>
      <c r="Z10" s="61">
        <f t="shared" si="5"/>
        <v>0</v>
      </c>
      <c r="AA10" s="61" t="str">
        <f t="shared" si="5"/>
        <v>No se han reportado usos para la especie.</v>
      </c>
      <c r="AB10" s="61">
        <f t="shared" si="5"/>
        <v>0</v>
      </c>
      <c r="AC10" s="61" t="str">
        <f t="shared" si="5"/>
        <v>11</v>
      </c>
    </row>
    <row r="11" spans="1:29" ht="16.8" x14ac:dyDescent="0.3">
      <c r="A11" s="70" t="str">
        <f>'BASE MAESTRA'!B16</f>
        <v>12</v>
      </c>
      <c r="B11" s="61" t="str">
        <f t="shared" si="1"/>
        <v>Neotropical</v>
      </c>
      <c r="C11" s="61">
        <f t="shared" si="1"/>
        <v>0</v>
      </c>
      <c r="D11" s="61" t="str">
        <f t="shared" si="1"/>
        <v>La especie ocurre en hábitats de bosques húmedos en tierras bajas (elevación menor a 1.000 msnm), y en bosques de tierras altas (elevación mayor a 1000 msnm) (Sanín et at. 2023). La especie está fértil casi todo el año, excepto en marzo y diciembre (Sanín et at. 2023), y posiblemente es dispersada por viento. No se cuenta con información publicada sobre la ecología de la especie. El área de hábitat calculada tiene un valor de 361.052 km2.</v>
      </c>
      <c r="E11" s="61" t="str">
        <f t="shared" si="1"/>
        <v>Done</v>
      </c>
      <c r="F11" s="61">
        <f t="shared" si="1"/>
        <v>0</v>
      </c>
      <c r="G11" s="61">
        <f t="shared" si="1"/>
        <v>0</v>
      </c>
      <c r="H11" s="61" t="str">
        <f t="shared" si="1"/>
        <v>En Colombia, la especie se ha registrado en los departamentos Amazonas, Antioquia, Cauca, Chocó, Huila, Nariño, Putumayo, Santander y Valle del Cauca; principalmente en bosques húmedos.</v>
      </c>
      <c r="I11" s="61">
        <f t="shared" si="1"/>
        <v>0</v>
      </c>
      <c r="J11" s="61">
        <f t="shared" si="1"/>
        <v>0</v>
      </c>
      <c r="K11" s="61">
        <f t="shared" si="1"/>
        <v>0</v>
      </c>
      <c r="L11" s="61">
        <f t="shared" si="1"/>
        <v>0</v>
      </c>
      <c r="M11" s="61">
        <f t="shared" si="1"/>
        <v>0</v>
      </c>
      <c r="N11" s="61">
        <f t="shared" si="1"/>
        <v>0</v>
      </c>
      <c r="Q11" s="61">
        <f t="shared" si="2"/>
        <v>0</v>
      </c>
      <c r="S11" s="61">
        <f t="shared" si="3"/>
        <v>0</v>
      </c>
      <c r="U11" s="61">
        <f t="shared" si="3"/>
        <v>0</v>
      </c>
      <c r="X11" s="61">
        <f t="shared" si="4"/>
        <v>0</v>
      </c>
      <c r="Y11" s="61" t="str">
        <f t="shared" si="5"/>
        <v>Terrestrial</v>
      </c>
      <c r="Z11" s="61">
        <f t="shared" si="5"/>
        <v>0</v>
      </c>
      <c r="AA11" s="61" t="str">
        <f t="shared" si="5"/>
        <v>No se han reportado usos para la especie.</v>
      </c>
      <c r="AB11" s="61">
        <f t="shared" si="5"/>
        <v>0</v>
      </c>
      <c r="AC11" s="61" t="str">
        <f t="shared" si="5"/>
        <v>12</v>
      </c>
    </row>
    <row r="12" spans="1:29" ht="16.8" x14ac:dyDescent="0.3">
      <c r="A12" s="70" t="str">
        <f>'BASE MAESTRA'!B17</f>
        <v>13</v>
      </c>
      <c r="B12" s="61" t="str">
        <f t="shared" ref="B12:N27" si="6">VLOOKUP($A12,DatosEspecies,B$2,FALSE)</f>
        <v>Neotropical</v>
      </c>
      <c r="C12" s="61">
        <f t="shared" si="6"/>
        <v>0</v>
      </c>
      <c r="D12" s="61" t="str">
        <f t="shared" si="6"/>
        <v>La especie ocurre en hábitats de bosques húmedos en tierras bajas (elevación menor a 1.000 msnm), y en bosques de tierras altas (elevación mayor a 1000 msnm) (Sanín et at. 2023). La especie está fertil todo el año (Sanín et at. 2023), y posiblemente es dispersada por viento. No se cuenta con información publicada sobre la ecología de la especie. El área de hábitat calculada tiene un valor de 147.576 km2.</v>
      </c>
      <c r="E12" s="61" t="str">
        <f t="shared" si="6"/>
        <v>Done</v>
      </c>
      <c r="F12" s="61">
        <f t="shared" si="1"/>
        <v>0</v>
      </c>
      <c r="G12" s="61">
        <f t="shared" si="6"/>
        <v>0</v>
      </c>
      <c r="H12" s="61" t="str">
        <f t="shared" si="6"/>
        <v>En Colombia, la especie se ha registrado en los departamentos Antioquia, Boyacá, Caldas, Cauca, Chocó, Cundinamarca, Huila, Magdalena, Meta, Nariño, Norte de Santander, Putumayo, Quindío, Risaralda, Santander, Tolima y Valle del Cauca; principalmente en bosques nublados.</v>
      </c>
      <c r="I12" s="61">
        <f t="shared" si="6"/>
        <v>0</v>
      </c>
      <c r="J12" s="61">
        <f t="shared" si="6"/>
        <v>0</v>
      </c>
      <c r="K12" s="61">
        <f t="shared" si="6"/>
        <v>0</v>
      </c>
      <c r="L12" s="61">
        <f t="shared" si="6"/>
        <v>0</v>
      </c>
      <c r="M12" s="61">
        <f t="shared" si="6"/>
        <v>0</v>
      </c>
      <c r="N12" s="61">
        <f t="shared" si="1"/>
        <v>0</v>
      </c>
      <c r="Q12" s="61">
        <f t="shared" si="2"/>
        <v>0</v>
      </c>
      <c r="S12" s="61">
        <f t="shared" si="3"/>
        <v>0</v>
      </c>
      <c r="U12" s="61">
        <f t="shared" si="3"/>
        <v>0</v>
      </c>
      <c r="X12" s="61">
        <f t="shared" si="4"/>
        <v>0</v>
      </c>
      <c r="Y12" s="61" t="str">
        <f t="shared" ref="Y12:AC21" si="7">VLOOKUP($A12,DatosEspecies,Y$2,FALSE)</f>
        <v>Terrestrial</v>
      </c>
      <c r="Z12" s="61">
        <f t="shared" si="7"/>
        <v>0</v>
      </c>
      <c r="AA12" s="61" t="str">
        <f t="shared" si="7"/>
        <v>Catchi panga in Quechua from Ecuador (Shemluck &amp; Ness 203, F); Calaguala (Acosta Solis 14385, F). In the Peruvian department of Ayacucho, it is used to cure kidney sickness (Morales Huamán 7, Herbarium of University of San Cristóbal de Huamanga, Ayacucho). In Ecuador, the leaves are said to be very sweet and used as a flavoring for monkey meat and to prevent blood coagulation (Shemluck &amp; Ness 203, F). In Bolivia, the leaves are chewed by natives, have a sweet flavor like coconut, and may contain an alkaloid (A. Quesada 7, F).</v>
      </c>
      <c r="AB12" s="61">
        <f t="shared" si="7"/>
        <v>0</v>
      </c>
      <c r="AC12" s="61" t="str">
        <f t="shared" si="7"/>
        <v>13</v>
      </c>
    </row>
    <row r="13" spans="1:29" ht="16.8" x14ac:dyDescent="0.3">
      <c r="A13" s="70" t="str">
        <f>'BASE MAESTRA'!B18</f>
        <v>14</v>
      </c>
      <c r="B13" s="61" t="str">
        <f t="shared" si="6"/>
        <v>Neotropical</v>
      </c>
      <c r="C13" s="61">
        <f t="shared" si="6"/>
        <v>0</v>
      </c>
      <c r="D13" s="61" t="str">
        <f t="shared" si="6"/>
        <v>La especie ocurre en hábitats de bosques húmedos en tierras bajas (elevación menor a 1.000 msnm), y en bosques de tierras altas (elevación mayor a 1000 msnm) (Sanín et at. 2023). La especie está fértil casi todo el año, excepto en febrero (Sanín et at. 2023), y posiblemente es dispersada por viento. No se cuenta con información publicada sobre la ecología de la especie. El área de hábitat calculada tiene un valor de 107.449 km2.</v>
      </c>
      <c r="E13" s="61" t="str">
        <f t="shared" si="6"/>
        <v>Done</v>
      </c>
      <c r="F13" s="61">
        <f t="shared" si="1"/>
        <v>0</v>
      </c>
      <c r="G13" s="61">
        <f t="shared" si="6"/>
        <v>0</v>
      </c>
      <c r="H13" s="61" t="str">
        <f t="shared" si="6"/>
        <v>En Colombia, la especie se ha registrado en los departamentos Antioquia, Chocó, Cundinamarca, Huila, Nariño, Norte de Santander y Putumayo; en bosques húmedos.</v>
      </c>
      <c r="I13" s="61">
        <f t="shared" si="6"/>
        <v>0</v>
      </c>
      <c r="J13" s="61">
        <f t="shared" si="6"/>
        <v>0</v>
      </c>
      <c r="K13" s="61">
        <f t="shared" si="6"/>
        <v>0</v>
      </c>
      <c r="L13" s="61">
        <f t="shared" si="6"/>
        <v>0</v>
      </c>
      <c r="M13" s="61">
        <f t="shared" si="6"/>
        <v>0</v>
      </c>
      <c r="N13" s="61">
        <f t="shared" si="1"/>
        <v>0</v>
      </c>
      <c r="Q13" s="61">
        <f t="shared" si="2"/>
        <v>0</v>
      </c>
      <c r="S13" s="61">
        <f t="shared" si="3"/>
        <v>0</v>
      </c>
      <c r="U13" s="61">
        <f t="shared" si="3"/>
        <v>0</v>
      </c>
      <c r="X13" s="61">
        <f t="shared" si="4"/>
        <v>0</v>
      </c>
      <c r="Y13" s="61" t="str">
        <f t="shared" si="7"/>
        <v>Terrestrial</v>
      </c>
      <c r="Z13" s="61">
        <f t="shared" si="7"/>
        <v>0</v>
      </c>
      <c r="AA13" s="61" t="str">
        <f t="shared" si="7"/>
        <v>No se han reportado usos para la especie.</v>
      </c>
      <c r="AB13" s="61">
        <f t="shared" si="7"/>
        <v>0</v>
      </c>
      <c r="AC13" s="61" t="str">
        <f t="shared" si="7"/>
        <v>14</v>
      </c>
    </row>
    <row r="14" spans="1:29" ht="16.8" x14ac:dyDescent="0.3">
      <c r="A14" s="70" t="str">
        <f>'BASE MAESTRA'!B19</f>
        <v>15</v>
      </c>
      <c r="B14" s="61" t="str">
        <f t="shared" si="6"/>
        <v>Neotropical</v>
      </c>
      <c r="C14" s="61">
        <f t="shared" si="6"/>
        <v>0</v>
      </c>
      <c r="D14" s="61" t="str">
        <f t="shared" si="6"/>
        <v>La especie ocurre en hábitats de bosques húmedos en tierras bajas (elevación menor a 1.000 msnm). La especie está fértil casi todo el año, excepto en septiembre (Sanín et at. 2023), y posiblemente es dispersada por viento. No se cuenta con información publicada sobre la ecología de la especie. El área de hábitat calculada tiene un valor de 90.590 km2.</v>
      </c>
      <c r="E14" s="61" t="str">
        <f t="shared" si="6"/>
        <v>Done</v>
      </c>
      <c r="F14" s="61">
        <f t="shared" si="1"/>
        <v>0</v>
      </c>
      <c r="G14" s="61">
        <f t="shared" si="6"/>
        <v>0</v>
      </c>
      <c r="H14" s="61" t="str">
        <f t="shared" si="6"/>
        <v>En Colombia, la especie se ha registrado en los departamentos Antioquia, Chocó, Guajira, Magdalena, Nariño y Valle del Cauca; en bosques húmedos.</v>
      </c>
      <c r="I14" s="61">
        <f t="shared" si="6"/>
        <v>0</v>
      </c>
      <c r="J14" s="61">
        <f t="shared" si="6"/>
        <v>0</v>
      </c>
      <c r="K14" s="61">
        <f t="shared" si="6"/>
        <v>0</v>
      </c>
      <c r="L14" s="61">
        <f t="shared" si="6"/>
        <v>0</v>
      </c>
      <c r="M14" s="61">
        <f t="shared" si="6"/>
        <v>0</v>
      </c>
      <c r="N14" s="61">
        <f t="shared" si="1"/>
        <v>0</v>
      </c>
      <c r="Q14" s="61">
        <f t="shared" si="2"/>
        <v>0</v>
      </c>
      <c r="S14" s="61">
        <f t="shared" si="3"/>
        <v>0</v>
      </c>
      <c r="U14" s="61">
        <f t="shared" si="3"/>
        <v>0</v>
      </c>
      <c r="X14" s="61">
        <f t="shared" si="4"/>
        <v>0</v>
      </c>
      <c r="Y14" s="61" t="str">
        <f t="shared" si="7"/>
        <v>Terrestrial</v>
      </c>
      <c r="Z14" s="61">
        <f t="shared" si="7"/>
        <v>0</v>
      </c>
      <c r="AA14" s="61" t="str">
        <f t="shared" si="7"/>
        <v>No se han reportado usos para la especie.</v>
      </c>
      <c r="AB14" s="61">
        <f t="shared" si="7"/>
        <v>0</v>
      </c>
      <c r="AC14" s="61" t="str">
        <f t="shared" si="7"/>
        <v>15</v>
      </c>
    </row>
    <row r="15" spans="1:29" ht="16.8" x14ac:dyDescent="0.3">
      <c r="A15" s="70" t="str">
        <f>'BASE MAESTRA'!B20</f>
        <v>16</v>
      </c>
      <c r="B15" s="61" t="str">
        <f t="shared" si="6"/>
        <v>Neotropical</v>
      </c>
      <c r="C15" s="61">
        <f t="shared" si="6"/>
        <v>0</v>
      </c>
      <c r="D15" s="61" t="str">
        <f t="shared" si="6"/>
        <v>La especie ocurre en hábitats de bosques húmedos en tierras altas (elevación mayor a 1000 msnm) (Sanín et at. 2023). La especie está fértil casi todo el año, excepto en noviembre (Sanín et at. 2023), y posiblemente es dispersada por viento. No se cuenta con información publicada sobre la ecología de la especie. El área de hábitat calculada tiene un valor de 31.821 km2.</v>
      </c>
      <c r="E15" s="61" t="str">
        <f t="shared" si="6"/>
        <v>Done</v>
      </c>
      <c r="F15" s="61">
        <f t="shared" si="1"/>
        <v>0</v>
      </c>
      <c r="G15" s="61">
        <f t="shared" si="6"/>
        <v>0</v>
      </c>
      <c r="H15" s="61" t="str">
        <f t="shared" si="6"/>
        <v>En Colombia, la especie se ha registrado en los departamentos Antioquia, Boyacá, Cauca, Cundinamarca, Nariño, Norte de Santander, Putumayo, Quindío, Risaralda y Valle del Cauca. La especie está presente en bosques nublados y bosques tropicales de montaña hasta el subpáramo.</v>
      </c>
      <c r="I15" s="61">
        <f t="shared" si="6"/>
        <v>0</v>
      </c>
      <c r="J15" s="61">
        <f t="shared" si="6"/>
        <v>0</v>
      </c>
      <c r="K15" s="61">
        <f t="shared" si="6"/>
        <v>0</v>
      </c>
      <c r="L15" s="61">
        <f t="shared" si="6"/>
        <v>0</v>
      </c>
      <c r="M15" s="61">
        <f t="shared" si="6"/>
        <v>0</v>
      </c>
      <c r="N15" s="61">
        <f t="shared" si="1"/>
        <v>0</v>
      </c>
      <c r="Q15" s="61">
        <f t="shared" si="2"/>
        <v>0</v>
      </c>
      <c r="S15" s="61">
        <f t="shared" si="3"/>
        <v>0</v>
      </c>
      <c r="U15" s="61">
        <f t="shared" si="3"/>
        <v>0</v>
      </c>
      <c r="X15" s="61">
        <f t="shared" si="4"/>
        <v>0</v>
      </c>
      <c r="Y15" s="61" t="str">
        <f t="shared" si="7"/>
        <v>Terrestrial</v>
      </c>
      <c r="Z15" s="61">
        <f t="shared" si="7"/>
        <v>0</v>
      </c>
      <c r="AA15" s="61" t="str">
        <f t="shared" si="7"/>
        <v>No se han reportado usos para la especie.</v>
      </c>
      <c r="AB15" s="61">
        <f t="shared" si="7"/>
        <v>0</v>
      </c>
      <c r="AC15" s="61" t="str">
        <f t="shared" si="7"/>
        <v>16</v>
      </c>
    </row>
    <row r="16" spans="1:29" ht="16.8" x14ac:dyDescent="0.3">
      <c r="A16" s="70" t="str">
        <f>'BASE MAESTRA'!B21</f>
        <v>17</v>
      </c>
      <c r="B16" s="61" t="str">
        <f t="shared" si="6"/>
        <v>Neotropical</v>
      </c>
      <c r="C16" s="61">
        <f t="shared" si="6"/>
        <v>0</v>
      </c>
      <c r="D16" s="61" t="str">
        <f t="shared" si="6"/>
        <v>La especie ocurre en hábitats de bosques húmedos en tierras bajas (elevación menor a 1.000 msnm), y en bosques de tierras altas (elevación mayor a 1000 msnm) (Sanín et at. 2023). La especie está fertil todo el año (Sanín et at. 2023), y posiblemente es dispersada por viento. No se cuenta con información publicada sobre la ecología de la especie. El área de hábitat calculada tiene un valor de 25.741 km2.</v>
      </c>
      <c r="E16" s="61" t="str">
        <f t="shared" si="6"/>
        <v>Done</v>
      </c>
      <c r="F16" s="61">
        <f t="shared" si="1"/>
        <v>0</v>
      </c>
      <c r="G16" s="61">
        <f t="shared" si="6"/>
        <v>0</v>
      </c>
      <c r="H16" s="61" t="str">
        <f t="shared" si="6"/>
        <v>En Colombia, la especie se ha registrado en los departamentos Antioquia, Nariño y Valle del Cauca; en bosques húmedos de altitud baja a media.</v>
      </c>
      <c r="I16" s="61">
        <f t="shared" si="6"/>
        <v>0</v>
      </c>
      <c r="J16" s="61">
        <f t="shared" si="6"/>
        <v>0</v>
      </c>
      <c r="K16" s="61">
        <f t="shared" si="6"/>
        <v>0</v>
      </c>
      <c r="L16" s="61">
        <f t="shared" si="6"/>
        <v>0</v>
      </c>
      <c r="M16" s="61">
        <f t="shared" si="6"/>
        <v>0</v>
      </c>
      <c r="N16" s="61">
        <f t="shared" si="1"/>
        <v>0</v>
      </c>
      <c r="Q16" s="61">
        <f t="shared" si="2"/>
        <v>0</v>
      </c>
      <c r="S16" s="61">
        <f t="shared" si="3"/>
        <v>0</v>
      </c>
      <c r="U16" s="61">
        <f t="shared" si="3"/>
        <v>0</v>
      </c>
      <c r="X16" s="61">
        <f t="shared" si="4"/>
        <v>0</v>
      </c>
      <c r="Y16" s="61" t="str">
        <f t="shared" si="7"/>
        <v>Terrestrial</v>
      </c>
      <c r="Z16" s="61">
        <f t="shared" si="7"/>
        <v>0</v>
      </c>
      <c r="AA16" s="61" t="str">
        <f t="shared" si="7"/>
        <v>No se han reportado usos para la especie.</v>
      </c>
      <c r="AB16" s="61">
        <f t="shared" si="7"/>
        <v>0</v>
      </c>
      <c r="AC16" s="61" t="str">
        <f t="shared" si="7"/>
        <v>17</v>
      </c>
    </row>
    <row r="17" spans="1:29" ht="16.8" x14ac:dyDescent="0.3">
      <c r="A17" s="70" t="str">
        <f>'BASE MAESTRA'!B22</f>
        <v>18</v>
      </c>
      <c r="B17" s="61" t="str">
        <f t="shared" si="6"/>
        <v>Neotropical</v>
      </c>
      <c r="C17" s="61">
        <f t="shared" si="6"/>
        <v>0</v>
      </c>
      <c r="D17" s="61" t="str">
        <f t="shared" si="6"/>
        <v>La especie ocurre en hábitats de bosques húmedos en tierras bajas (elevación menor a 1.000 msnm), y en bosques de tierras altas (elevación mayor a 1000 msnm) (Sanín et at. 2023). La especie está fertil todo el año (Sanín et at. 2023), y posiblemente es dispersada por viento. No se cuenta con información publicada sobre la ecología de la especie. El área de hábitat calculada tiene un valor de 270.332 km2.</v>
      </c>
      <c r="E17" s="61" t="str">
        <f t="shared" si="6"/>
        <v>Done</v>
      </c>
      <c r="F17" s="61">
        <f t="shared" si="1"/>
        <v>0</v>
      </c>
      <c r="G17" s="61">
        <f t="shared" si="6"/>
        <v>0</v>
      </c>
      <c r="H17" s="61" t="str">
        <f t="shared" si="6"/>
        <v>En Colombia, la especie se ha registrado en los departamentos Amazonas, Antioquia, Boyacá, Caquetá, Cesar, Cundinamarca, Guaviare y Huila; principalmente en las estribaciones andino-amazónicas, en bosques premontanos húmedos.</v>
      </c>
      <c r="I17" s="61">
        <f t="shared" si="6"/>
        <v>0</v>
      </c>
      <c r="J17" s="61">
        <f t="shared" si="6"/>
        <v>0</v>
      </c>
      <c r="K17" s="61">
        <f t="shared" si="6"/>
        <v>0</v>
      </c>
      <c r="L17" s="61">
        <f t="shared" si="6"/>
        <v>0</v>
      </c>
      <c r="M17" s="61">
        <f t="shared" si="6"/>
        <v>0</v>
      </c>
      <c r="N17" s="61">
        <f t="shared" si="1"/>
        <v>0</v>
      </c>
      <c r="Q17" s="61">
        <f t="shared" si="2"/>
        <v>0</v>
      </c>
      <c r="S17" s="61">
        <f t="shared" si="3"/>
        <v>0</v>
      </c>
      <c r="U17" s="61">
        <f t="shared" si="3"/>
        <v>0</v>
      </c>
      <c r="X17" s="61">
        <f t="shared" si="4"/>
        <v>0</v>
      </c>
      <c r="Y17" s="61" t="str">
        <f t="shared" si="7"/>
        <v>Terrestrial</v>
      </c>
      <c r="Z17" s="61">
        <f t="shared" si="7"/>
        <v>0</v>
      </c>
      <c r="AA17" s="61" t="str">
        <f t="shared" si="7"/>
        <v>No se han reportado usos para la especie.</v>
      </c>
      <c r="AB17" s="61">
        <f t="shared" si="7"/>
        <v>0</v>
      </c>
      <c r="AC17" s="61" t="str">
        <f t="shared" si="7"/>
        <v>18</v>
      </c>
    </row>
    <row r="18" spans="1:29" ht="16.8" x14ac:dyDescent="0.3">
      <c r="A18" s="70" t="str">
        <f>'BASE MAESTRA'!B23</f>
        <v>19</v>
      </c>
      <c r="B18" s="61" t="str">
        <f t="shared" si="6"/>
        <v>Neotropical</v>
      </c>
      <c r="C18" s="61">
        <f t="shared" si="6"/>
        <v>0</v>
      </c>
      <c r="D18" s="61" t="str">
        <f t="shared" si="6"/>
        <v>La especie ocurre en hábitats de bosques húmedos en tierras bajas (elevación menor a 1.000 msnm), y en bosques de tierras altas (elevación mayor a 1000 msnm) (Sanín et at. 2023). La especie está fertil todo el año (Sanín et at. 2023), y posiblemente es dispersada por viento. No se cuenta con información publicada sobre la ecología de la especie. El área de hábitat calculada tiene un valor de 1.552 km2.</v>
      </c>
      <c r="E18" s="61" t="str">
        <f t="shared" si="6"/>
        <v>Done</v>
      </c>
      <c r="F18" s="61">
        <f t="shared" si="6"/>
        <v>0</v>
      </c>
      <c r="G18" s="61">
        <f t="shared" si="6"/>
        <v>0</v>
      </c>
      <c r="H18" s="61" t="str">
        <f t="shared" si="6"/>
        <v>En Colombia, se ha registrado en el departamento de Antioquia, en bosques nublados.</v>
      </c>
      <c r="I18" s="61">
        <f t="shared" si="6"/>
        <v>0</v>
      </c>
      <c r="J18" s="61">
        <f t="shared" si="6"/>
        <v>0</v>
      </c>
      <c r="K18" s="61">
        <f t="shared" si="6"/>
        <v>0</v>
      </c>
      <c r="L18" s="61">
        <f t="shared" si="6"/>
        <v>0</v>
      </c>
      <c r="M18" s="61">
        <f t="shared" si="6"/>
        <v>0</v>
      </c>
      <c r="N18" s="61">
        <f t="shared" si="1"/>
        <v>0</v>
      </c>
      <c r="Q18" s="61">
        <f t="shared" si="2"/>
        <v>0</v>
      </c>
      <c r="S18" s="61">
        <f t="shared" si="3"/>
        <v>0</v>
      </c>
      <c r="U18" s="61">
        <f t="shared" si="3"/>
        <v>0</v>
      </c>
      <c r="X18" s="61">
        <f t="shared" ref="X18:X66" si="8">VLOOKUP($A18,DatosEspecies,X$2,FALSE)</f>
        <v>0</v>
      </c>
      <c r="Y18" s="61" t="str">
        <f t="shared" si="7"/>
        <v>Terrestrial</v>
      </c>
      <c r="Z18" s="61">
        <f t="shared" si="7"/>
        <v>0</v>
      </c>
      <c r="AA18" s="61" t="str">
        <f t="shared" si="7"/>
        <v>No se han reportado usos para la especie.</v>
      </c>
      <c r="AB18" s="61">
        <f t="shared" si="7"/>
        <v>0</v>
      </c>
      <c r="AC18" s="61" t="str">
        <f t="shared" si="7"/>
        <v>19</v>
      </c>
    </row>
    <row r="19" spans="1:29" ht="16.8" x14ac:dyDescent="0.3">
      <c r="A19" s="70" t="str">
        <f>'BASE MAESTRA'!B25</f>
        <v>20</v>
      </c>
      <c r="B19" s="61" t="str">
        <f t="shared" si="6"/>
        <v>Neotropical</v>
      </c>
      <c r="C19" s="61">
        <f t="shared" si="6"/>
        <v>0</v>
      </c>
      <c r="D19" s="61" t="str">
        <f t="shared" si="6"/>
        <v>La especie ocurre en hábitats de bosques húmedos en tierras bajas (elevación menor a 1.000 msnm), y en bosques de tierras altas (elevación mayor a 1000 msnm) (Sanín et at. 2023). La especie está fertil todo el año (Sanín et at. 2023), y posiblemente es dispersada por viento. No se cuenta con información publicada sobre la ecología de la especie. El área de hábitat calculada tiene un valor de 108.520 km2.</v>
      </c>
      <c r="E19" s="61" t="str">
        <f t="shared" si="6"/>
        <v>Done</v>
      </c>
      <c r="F19" s="61">
        <f t="shared" si="6"/>
        <v>0</v>
      </c>
      <c r="G19" s="61">
        <f t="shared" si="6"/>
        <v>0</v>
      </c>
      <c r="H19" s="61" t="str">
        <f t="shared" si="6"/>
        <v>En Colombia, la especie se ha registrado en los departamentos Antioquia, Boyacá, Caldas, Cauca, Cundinamarca, Huila, Nariño, Quindío, Risaralda, Santander, Tolima y Valle del Cauca; crece en bosques nubosos de alta montaña y subpáramos en el continente, y en altitudes más bajas en las islas del Caribe.</v>
      </c>
      <c r="I19" s="61">
        <f t="shared" si="6"/>
        <v>0</v>
      </c>
      <c r="J19" s="61">
        <f t="shared" si="6"/>
        <v>0</v>
      </c>
      <c r="K19" s="61">
        <f t="shared" si="6"/>
        <v>0</v>
      </c>
      <c r="L19" s="61">
        <f t="shared" si="6"/>
        <v>0</v>
      </c>
      <c r="M19" s="61">
        <f t="shared" si="6"/>
        <v>0</v>
      </c>
      <c r="N19" s="61">
        <f t="shared" si="6"/>
        <v>0</v>
      </c>
      <c r="Q19" s="61">
        <f t="shared" si="2"/>
        <v>0</v>
      </c>
      <c r="S19" s="61">
        <f t="shared" si="3"/>
        <v>0</v>
      </c>
      <c r="U19" s="61">
        <f t="shared" si="3"/>
        <v>0</v>
      </c>
      <c r="X19" s="61">
        <f t="shared" si="8"/>
        <v>0</v>
      </c>
      <c r="Y19" s="61" t="str">
        <f t="shared" si="7"/>
        <v>Terrestrial</v>
      </c>
      <c r="Z19" s="61">
        <f t="shared" si="7"/>
        <v>0</v>
      </c>
      <c r="AA19" s="61" t="str">
        <f t="shared" si="7"/>
        <v>No se han reportado usos para la especie.</v>
      </c>
      <c r="AB19" s="61">
        <f t="shared" si="7"/>
        <v>0</v>
      </c>
      <c r="AC19" s="61" t="str">
        <f t="shared" si="7"/>
        <v>20</v>
      </c>
    </row>
    <row r="20" spans="1:29" ht="16.8" x14ac:dyDescent="0.3">
      <c r="A20" s="70" t="str">
        <f>'BASE MAESTRA'!B26</f>
        <v>21</v>
      </c>
      <c r="B20" s="61" t="str">
        <f t="shared" si="6"/>
        <v>Neotropical</v>
      </c>
      <c r="C20" s="61">
        <f t="shared" si="6"/>
        <v>0</v>
      </c>
      <c r="D20" s="61" t="str">
        <f t="shared" si="6"/>
        <v>La especie ocurre en hábitats de bosques húmedos en tierras altas (elevación mayor a 1000 msnm) (Sanín et at. 2023). La especie está fertil todo el año (Sanín et at. 2023), y posiblemente es dispersada por viento. No se cuenta con información publicada sobre la ecología de la especie. El área de hábitat calculada tiene un valor de 127.381 km2.</v>
      </c>
      <c r="E20" s="61" t="str">
        <f t="shared" si="6"/>
        <v>Done</v>
      </c>
      <c r="F20" s="61">
        <f t="shared" si="6"/>
        <v>0</v>
      </c>
      <c r="G20" s="61">
        <f t="shared" si="6"/>
        <v>0</v>
      </c>
      <c r="H20" s="61" t="str">
        <f t="shared" si="6"/>
        <v>En Colombia, la especie se ha registrado en los departamentos Antioquia, Boyacá, Caldas, Cauca, Cesar, Cundinamarca, Magdalena, Nariño, Norte de Santander, Quindío, Risaralda y Tolima; principalmente en ecosistemas premontanos, montanos y de subpáramo andinos.</v>
      </c>
      <c r="I20" s="61">
        <f t="shared" si="6"/>
        <v>0</v>
      </c>
      <c r="J20" s="61">
        <f t="shared" si="6"/>
        <v>0</v>
      </c>
      <c r="K20" s="61">
        <f t="shared" si="6"/>
        <v>0</v>
      </c>
      <c r="L20" s="61">
        <f t="shared" si="6"/>
        <v>0</v>
      </c>
      <c r="M20" s="61">
        <f t="shared" si="6"/>
        <v>0</v>
      </c>
      <c r="N20" s="61">
        <f t="shared" si="6"/>
        <v>0</v>
      </c>
      <c r="Q20" s="61">
        <f t="shared" si="2"/>
        <v>0</v>
      </c>
      <c r="S20" s="61">
        <f t="shared" si="3"/>
        <v>0</v>
      </c>
      <c r="U20" s="61">
        <f t="shared" si="3"/>
        <v>0</v>
      </c>
      <c r="X20" s="61">
        <f t="shared" si="8"/>
        <v>0</v>
      </c>
      <c r="Y20" s="61" t="str">
        <f t="shared" si="7"/>
        <v>Terrestrial</v>
      </c>
      <c r="Z20" s="61">
        <f t="shared" si="7"/>
        <v>0</v>
      </c>
      <c r="AA20" s="61" t="str">
        <f t="shared" si="7"/>
        <v>No se han reportado usos para la especie.</v>
      </c>
      <c r="AB20" s="61">
        <f t="shared" si="7"/>
        <v>0</v>
      </c>
      <c r="AC20" s="61" t="str">
        <f t="shared" si="7"/>
        <v>21</v>
      </c>
    </row>
    <row r="21" spans="1:29" ht="16.8" x14ac:dyDescent="0.3">
      <c r="A21" s="70" t="str">
        <f>'BASE MAESTRA'!B27</f>
        <v>22</v>
      </c>
      <c r="B21" s="61" t="str">
        <f t="shared" si="6"/>
        <v>Neotropical</v>
      </c>
      <c r="C21" s="61">
        <f t="shared" si="6"/>
        <v>0</v>
      </c>
      <c r="D21" s="61" t="str">
        <f t="shared" si="6"/>
        <v>La especie ocurre en hábitats de bosques húmedos en tierras bajas (elevación menor a 1.000 msnm), y en bosques de tierras altas (elevación mayor a 1000 msnm) (Sanín et at. 2023). La especie está fertil todo el año (Sanín et at. 2023), y posiblemente es dispersada por viento. No se cuenta con información publicada sobre la ecología de la especie. El área de hábitat calculada tiene un valor de 675.077 km2.</v>
      </c>
      <c r="E21" s="61" t="str">
        <f t="shared" si="6"/>
        <v>Done</v>
      </c>
      <c r="F21" s="61">
        <f t="shared" si="6"/>
        <v>0</v>
      </c>
      <c r="G21" s="61">
        <f t="shared" si="6"/>
        <v>0</v>
      </c>
      <c r="H21" s="61" t="str">
        <f t="shared" si="6"/>
        <v>En Colombia, la especie se ha registrado en los departamentos Amazonas, Antioquia, Boyacá, Caldas, Caquetá, Cauca, Chocó, Cundinamarca, Guainía, Guaviare, Huila, Magdalena, Meta, Putumayo, Quindío, Risaralda, Santander, Tolima, Valle del Cauca, Vaupés y Vichada. Esta especie presenta una amplia distribución en ecosistemas de tierras bajas a premontanos, desde los 0 hasta los 2500 m, en bosques secos o húmedos, con o sin perturbaciones.</v>
      </c>
      <c r="I21" s="61">
        <f t="shared" si="6"/>
        <v>0</v>
      </c>
      <c r="J21" s="61">
        <f t="shared" si="6"/>
        <v>0</v>
      </c>
      <c r="K21" s="61">
        <f t="shared" si="6"/>
        <v>0</v>
      </c>
      <c r="L21" s="61">
        <f t="shared" si="6"/>
        <v>0</v>
      </c>
      <c r="M21" s="61">
        <f t="shared" si="6"/>
        <v>0</v>
      </c>
      <c r="N21" s="61">
        <f t="shared" si="6"/>
        <v>0</v>
      </c>
      <c r="Q21" s="61">
        <f t="shared" si="2"/>
        <v>0</v>
      </c>
      <c r="S21" s="61">
        <f t="shared" si="3"/>
        <v>0</v>
      </c>
      <c r="U21" s="61">
        <f t="shared" si="3"/>
        <v>0</v>
      </c>
      <c r="X21" s="61">
        <f t="shared" si="8"/>
        <v>0</v>
      </c>
      <c r="Y21" s="61" t="str">
        <f t="shared" si="7"/>
        <v>Terrestrial</v>
      </c>
      <c r="Z21" s="61">
        <f t="shared" si="7"/>
        <v>0</v>
      </c>
      <c r="AA21" s="61" t="str">
        <f t="shared" si="7"/>
        <v>Silva et al. (2011) reportaron que la especie Serpocaulon triseriale se utilizaba como planta ornamental que sirve de refugio a la fauna autóctona en Bahía (Brasil).</v>
      </c>
      <c r="AB21" s="61">
        <f t="shared" si="7"/>
        <v>0</v>
      </c>
      <c r="AC21" s="61" t="str">
        <f t="shared" si="7"/>
        <v>22</v>
      </c>
    </row>
    <row r="22" spans="1:29" ht="16.8" x14ac:dyDescent="0.3">
      <c r="A22" s="70" t="str">
        <f>'BASE MAESTRA'!B28</f>
        <v>23</v>
      </c>
      <c r="B22" s="61" t="str">
        <f t="shared" ref="B22:N37" si="9">VLOOKUP($A22,DatosEspecies,B$2,FALSE)</f>
        <v>Neotropical</v>
      </c>
      <c r="C22" s="61">
        <f t="shared" si="9"/>
        <v>0</v>
      </c>
      <c r="D22" s="61" t="str">
        <f t="shared" si="9"/>
        <v>La especie ocurre en hábitats de bosques húmedos en tierras bajas (elevación menor a 1.000 msnm), y en bosques de tierras altas (elevación mayor a 1000 msnm) (Sanín et at. 2023). La especie está fertil todo el año (Sanín et at. 2023), y posiblemente es dispersada por viento. No se cuenta con información publicada sobre la ecología de la especie. El área de hábitat calculada tiene un valor de 54.533 km2.</v>
      </c>
      <c r="E22" s="61" t="str">
        <f t="shared" si="9"/>
        <v>Done</v>
      </c>
      <c r="F22" s="61">
        <f t="shared" si="6"/>
        <v>0</v>
      </c>
      <c r="G22" s="61">
        <f t="shared" si="9"/>
        <v>0</v>
      </c>
      <c r="H22" s="61" t="str">
        <f t="shared" si="9"/>
        <v>En Colombia, la especie se ha registrado en los departamentos Antioquia, Chocó, Cundinamarca y Norte de Santander; en las tierras bajas de los bosques húmedos.</v>
      </c>
      <c r="I22" s="61">
        <f t="shared" si="9"/>
        <v>0</v>
      </c>
      <c r="J22" s="61">
        <f t="shared" si="9"/>
        <v>0</v>
      </c>
      <c r="K22" s="61">
        <f t="shared" si="9"/>
        <v>0</v>
      </c>
      <c r="L22" s="61">
        <f t="shared" si="9"/>
        <v>0</v>
      </c>
      <c r="M22" s="61">
        <f t="shared" si="9"/>
        <v>0</v>
      </c>
      <c r="N22" s="61">
        <f t="shared" si="6"/>
        <v>0</v>
      </c>
      <c r="Q22" s="61">
        <f t="shared" si="2"/>
        <v>0</v>
      </c>
      <c r="S22" s="61">
        <f t="shared" si="3"/>
        <v>0</v>
      </c>
      <c r="U22" s="61">
        <f t="shared" si="3"/>
        <v>0</v>
      </c>
      <c r="X22" s="61">
        <f t="shared" si="8"/>
        <v>0</v>
      </c>
      <c r="Y22" s="61" t="str">
        <f t="shared" ref="Y22:AC31" si="10">VLOOKUP($A22,DatosEspecies,Y$2,FALSE)</f>
        <v>Terrestrial</v>
      </c>
      <c r="Z22" s="61">
        <f t="shared" si="10"/>
        <v>0</v>
      </c>
      <c r="AA22" s="61" t="str">
        <f t="shared" si="10"/>
        <v>No se han reportado usos para la especie.</v>
      </c>
      <c r="AB22" s="61">
        <f t="shared" si="10"/>
        <v>0</v>
      </c>
      <c r="AC22" s="61" t="str">
        <f t="shared" si="10"/>
        <v>23</v>
      </c>
    </row>
    <row r="23" spans="1:29" ht="16.8" x14ac:dyDescent="0.3">
      <c r="A23" s="70" t="str">
        <f>'BASE MAESTRA'!B29</f>
        <v>24</v>
      </c>
      <c r="B23" s="61">
        <f t="shared" si="9"/>
        <v>0</v>
      </c>
      <c r="C23" s="61">
        <f t="shared" si="9"/>
        <v>0</v>
      </c>
      <c r="D23" s="61">
        <f t="shared" si="9"/>
        <v>0</v>
      </c>
      <c r="E23" s="61">
        <f t="shared" si="9"/>
        <v>0</v>
      </c>
      <c r="F23" s="61">
        <f t="shared" si="6"/>
        <v>0</v>
      </c>
      <c r="G23" s="61">
        <f t="shared" si="9"/>
        <v>0</v>
      </c>
      <c r="H23" s="61">
        <f t="shared" si="9"/>
        <v>0</v>
      </c>
      <c r="I23" s="61">
        <f t="shared" si="9"/>
        <v>0</v>
      </c>
      <c r="J23" s="61">
        <f t="shared" si="9"/>
        <v>0</v>
      </c>
      <c r="K23" s="61">
        <f t="shared" si="9"/>
        <v>0</v>
      </c>
      <c r="L23" s="61">
        <f t="shared" si="9"/>
        <v>0</v>
      </c>
      <c r="M23" s="61">
        <f t="shared" si="9"/>
        <v>0</v>
      </c>
      <c r="N23" s="61">
        <f t="shared" si="6"/>
        <v>0</v>
      </c>
      <c r="Q23" s="61">
        <f t="shared" si="2"/>
        <v>0</v>
      </c>
      <c r="S23" s="61">
        <f t="shared" si="3"/>
        <v>0</v>
      </c>
      <c r="U23" s="61">
        <f t="shared" si="3"/>
        <v>0</v>
      </c>
      <c r="X23" s="61">
        <f t="shared" si="8"/>
        <v>0</v>
      </c>
      <c r="Y23" s="61">
        <f t="shared" si="10"/>
        <v>0</v>
      </c>
      <c r="Z23" s="61">
        <f t="shared" si="10"/>
        <v>0</v>
      </c>
      <c r="AA23" s="61">
        <f t="shared" si="10"/>
        <v>0</v>
      </c>
      <c r="AB23" s="61">
        <f t="shared" si="10"/>
        <v>0</v>
      </c>
      <c r="AC23" s="61" t="str">
        <f t="shared" si="10"/>
        <v>24</v>
      </c>
    </row>
    <row r="24" spans="1:29" ht="16.8" x14ac:dyDescent="0.3">
      <c r="A24" s="70" t="str">
        <f>'BASE MAESTRA'!B30</f>
        <v>25</v>
      </c>
      <c r="B24" s="61">
        <f t="shared" si="9"/>
        <v>0</v>
      </c>
      <c r="C24" s="61">
        <f t="shared" si="9"/>
        <v>0</v>
      </c>
      <c r="D24" s="61">
        <f t="shared" si="9"/>
        <v>0</v>
      </c>
      <c r="E24" s="61">
        <f t="shared" si="9"/>
        <v>0</v>
      </c>
      <c r="F24" s="61">
        <f t="shared" si="6"/>
        <v>0</v>
      </c>
      <c r="G24" s="61">
        <f t="shared" si="9"/>
        <v>0</v>
      </c>
      <c r="H24" s="61">
        <f t="shared" si="9"/>
        <v>0</v>
      </c>
      <c r="I24" s="61">
        <f t="shared" si="9"/>
        <v>0</v>
      </c>
      <c r="J24" s="61">
        <f t="shared" si="9"/>
        <v>0</v>
      </c>
      <c r="K24" s="61">
        <f t="shared" si="9"/>
        <v>0</v>
      </c>
      <c r="L24" s="61">
        <f t="shared" si="9"/>
        <v>0</v>
      </c>
      <c r="M24" s="61">
        <f t="shared" si="9"/>
        <v>0</v>
      </c>
      <c r="N24" s="61">
        <f t="shared" si="6"/>
        <v>0</v>
      </c>
      <c r="Q24" s="61">
        <f t="shared" si="2"/>
        <v>0</v>
      </c>
      <c r="S24" s="61">
        <f t="shared" si="3"/>
        <v>0</v>
      </c>
      <c r="U24" s="61">
        <f t="shared" si="3"/>
        <v>0</v>
      </c>
      <c r="X24" s="61">
        <f t="shared" si="8"/>
        <v>0</v>
      </c>
      <c r="Y24" s="61">
        <f t="shared" si="10"/>
        <v>0</v>
      </c>
      <c r="Z24" s="61">
        <f t="shared" si="10"/>
        <v>0</v>
      </c>
      <c r="AA24" s="61">
        <f t="shared" si="10"/>
        <v>0</v>
      </c>
      <c r="AB24" s="61">
        <f t="shared" si="10"/>
        <v>0</v>
      </c>
      <c r="AC24" s="61" t="str">
        <f t="shared" si="10"/>
        <v>25</v>
      </c>
    </row>
    <row r="25" spans="1:29" ht="16.8" x14ac:dyDescent="0.3">
      <c r="A25" s="70" t="str">
        <f>'BASE MAESTRA'!B31</f>
        <v>26</v>
      </c>
      <c r="B25" s="61">
        <f t="shared" si="9"/>
        <v>0</v>
      </c>
      <c r="C25" s="61">
        <f t="shared" si="9"/>
        <v>0</v>
      </c>
      <c r="D25" s="61">
        <f t="shared" si="9"/>
        <v>0</v>
      </c>
      <c r="E25" s="61">
        <f t="shared" si="9"/>
        <v>0</v>
      </c>
      <c r="F25" s="61">
        <f t="shared" si="6"/>
        <v>0</v>
      </c>
      <c r="G25" s="61">
        <f t="shared" si="9"/>
        <v>0</v>
      </c>
      <c r="H25" s="61">
        <f t="shared" si="9"/>
        <v>0</v>
      </c>
      <c r="I25" s="61">
        <f t="shared" si="9"/>
        <v>0</v>
      </c>
      <c r="J25" s="61">
        <f t="shared" si="9"/>
        <v>0</v>
      </c>
      <c r="K25" s="61">
        <f t="shared" si="9"/>
        <v>0</v>
      </c>
      <c r="L25" s="61">
        <f t="shared" si="9"/>
        <v>0</v>
      </c>
      <c r="M25" s="61">
        <f t="shared" si="9"/>
        <v>0</v>
      </c>
      <c r="N25" s="61">
        <f t="shared" si="6"/>
        <v>0</v>
      </c>
      <c r="Q25" s="61">
        <f t="shared" si="2"/>
        <v>0</v>
      </c>
      <c r="S25" s="61">
        <f t="shared" si="3"/>
        <v>0</v>
      </c>
      <c r="U25" s="61">
        <f t="shared" si="3"/>
        <v>0</v>
      </c>
      <c r="X25" s="61">
        <f t="shared" si="8"/>
        <v>0</v>
      </c>
      <c r="Y25" s="61">
        <f t="shared" si="10"/>
        <v>0</v>
      </c>
      <c r="Z25" s="61">
        <f t="shared" si="10"/>
        <v>0</v>
      </c>
      <c r="AA25" s="61">
        <f t="shared" si="10"/>
        <v>0</v>
      </c>
      <c r="AB25" s="61">
        <f t="shared" si="10"/>
        <v>0</v>
      </c>
      <c r="AC25" s="61" t="str">
        <f t="shared" si="10"/>
        <v>26</v>
      </c>
    </row>
    <row r="26" spans="1:29" ht="16.8" x14ac:dyDescent="0.3">
      <c r="A26" s="70" t="str">
        <f>'BASE MAESTRA'!B32</f>
        <v>27</v>
      </c>
      <c r="B26" s="61">
        <f t="shared" si="9"/>
        <v>0</v>
      </c>
      <c r="C26" s="61">
        <f t="shared" si="9"/>
        <v>0</v>
      </c>
      <c r="D26" s="61">
        <f t="shared" si="9"/>
        <v>0</v>
      </c>
      <c r="E26" s="61">
        <f t="shared" si="9"/>
        <v>0</v>
      </c>
      <c r="F26" s="61">
        <f t="shared" si="6"/>
        <v>0</v>
      </c>
      <c r="G26" s="61">
        <f t="shared" si="9"/>
        <v>0</v>
      </c>
      <c r="H26" s="61">
        <f t="shared" si="9"/>
        <v>0</v>
      </c>
      <c r="I26" s="61">
        <f t="shared" si="9"/>
        <v>0</v>
      </c>
      <c r="J26" s="61">
        <f t="shared" si="9"/>
        <v>0</v>
      </c>
      <c r="K26" s="61">
        <f t="shared" si="9"/>
        <v>0</v>
      </c>
      <c r="L26" s="61">
        <f t="shared" si="9"/>
        <v>0</v>
      </c>
      <c r="M26" s="61">
        <f t="shared" si="9"/>
        <v>0</v>
      </c>
      <c r="N26" s="61">
        <f t="shared" si="6"/>
        <v>0</v>
      </c>
      <c r="Q26" s="61">
        <f t="shared" si="2"/>
        <v>0</v>
      </c>
      <c r="S26" s="61">
        <f t="shared" si="3"/>
        <v>0</v>
      </c>
      <c r="U26" s="61">
        <f t="shared" si="3"/>
        <v>0</v>
      </c>
      <c r="X26" s="61">
        <f t="shared" si="8"/>
        <v>0</v>
      </c>
      <c r="Y26" s="61">
        <f t="shared" si="10"/>
        <v>0</v>
      </c>
      <c r="Z26" s="61">
        <f t="shared" si="10"/>
        <v>0</v>
      </c>
      <c r="AA26" s="61">
        <f t="shared" si="10"/>
        <v>0</v>
      </c>
      <c r="AB26" s="61">
        <f t="shared" si="10"/>
        <v>0</v>
      </c>
      <c r="AC26" s="61" t="str">
        <f t="shared" si="10"/>
        <v>27</v>
      </c>
    </row>
    <row r="27" spans="1:29" ht="16.8" x14ac:dyDescent="0.3">
      <c r="A27" s="70" t="str">
        <f>'BASE MAESTRA'!B33</f>
        <v>28</v>
      </c>
      <c r="B27" s="61">
        <f t="shared" si="9"/>
        <v>0</v>
      </c>
      <c r="C27" s="61">
        <f t="shared" si="9"/>
        <v>0</v>
      </c>
      <c r="D27" s="61">
        <f t="shared" si="9"/>
        <v>0</v>
      </c>
      <c r="E27" s="61">
        <f t="shared" si="9"/>
        <v>0</v>
      </c>
      <c r="F27" s="61">
        <f t="shared" si="6"/>
        <v>0</v>
      </c>
      <c r="G27" s="61">
        <f t="shared" si="9"/>
        <v>0</v>
      </c>
      <c r="H27" s="61">
        <f t="shared" si="9"/>
        <v>0</v>
      </c>
      <c r="I27" s="61">
        <f t="shared" si="9"/>
        <v>0</v>
      </c>
      <c r="J27" s="61">
        <f t="shared" si="9"/>
        <v>0</v>
      </c>
      <c r="K27" s="61">
        <f t="shared" si="9"/>
        <v>0</v>
      </c>
      <c r="L27" s="61">
        <f t="shared" si="9"/>
        <v>0</v>
      </c>
      <c r="M27" s="61">
        <f t="shared" si="9"/>
        <v>0</v>
      </c>
      <c r="N27" s="61">
        <f t="shared" si="6"/>
        <v>0</v>
      </c>
      <c r="Q27" s="61">
        <f t="shared" si="2"/>
        <v>0</v>
      </c>
      <c r="S27" s="61">
        <f t="shared" si="3"/>
        <v>0</v>
      </c>
      <c r="U27" s="61">
        <f t="shared" si="3"/>
        <v>0</v>
      </c>
      <c r="X27" s="61">
        <f t="shared" si="8"/>
        <v>0</v>
      </c>
      <c r="Y27" s="61">
        <f t="shared" si="10"/>
        <v>0</v>
      </c>
      <c r="Z27" s="61">
        <f t="shared" si="10"/>
        <v>0</v>
      </c>
      <c r="AA27" s="61">
        <f t="shared" si="10"/>
        <v>0</v>
      </c>
      <c r="AB27" s="61">
        <f t="shared" si="10"/>
        <v>0</v>
      </c>
      <c r="AC27" s="61" t="str">
        <f t="shared" si="10"/>
        <v>28</v>
      </c>
    </row>
    <row r="28" spans="1:29" ht="16.8" x14ac:dyDescent="0.3">
      <c r="A28" s="70" t="str">
        <f>'BASE MAESTRA'!B34</f>
        <v>29</v>
      </c>
      <c r="B28" s="61">
        <f t="shared" si="9"/>
        <v>0</v>
      </c>
      <c r="C28" s="61">
        <f t="shared" si="9"/>
        <v>0</v>
      </c>
      <c r="D28" s="61">
        <f t="shared" si="9"/>
        <v>0</v>
      </c>
      <c r="E28" s="61">
        <f t="shared" si="9"/>
        <v>0</v>
      </c>
      <c r="F28" s="61">
        <f t="shared" si="9"/>
        <v>0</v>
      </c>
      <c r="G28" s="61">
        <f t="shared" si="9"/>
        <v>0</v>
      </c>
      <c r="H28" s="61">
        <f t="shared" si="9"/>
        <v>0</v>
      </c>
      <c r="I28" s="61">
        <f t="shared" si="9"/>
        <v>0</v>
      </c>
      <c r="J28" s="61">
        <f t="shared" si="9"/>
        <v>0</v>
      </c>
      <c r="K28" s="61">
        <f t="shared" si="9"/>
        <v>0</v>
      </c>
      <c r="L28" s="61">
        <f t="shared" si="9"/>
        <v>0</v>
      </c>
      <c r="M28" s="61">
        <f t="shared" si="9"/>
        <v>0</v>
      </c>
      <c r="N28" s="61">
        <f t="shared" si="9"/>
        <v>0</v>
      </c>
      <c r="Q28" s="61">
        <f t="shared" si="2"/>
        <v>0</v>
      </c>
      <c r="S28" s="61">
        <f t="shared" si="3"/>
        <v>0</v>
      </c>
      <c r="U28" s="61">
        <f t="shared" si="3"/>
        <v>0</v>
      </c>
      <c r="X28" s="61">
        <f t="shared" si="8"/>
        <v>0</v>
      </c>
      <c r="Y28" s="61">
        <f t="shared" si="10"/>
        <v>0</v>
      </c>
      <c r="Z28" s="61">
        <f t="shared" si="10"/>
        <v>0</v>
      </c>
      <c r="AA28" s="61">
        <f t="shared" si="10"/>
        <v>0</v>
      </c>
      <c r="AB28" s="61">
        <f t="shared" si="10"/>
        <v>0</v>
      </c>
      <c r="AC28" s="61" t="str">
        <f t="shared" si="10"/>
        <v>29</v>
      </c>
    </row>
    <row r="29" spans="1:29" ht="16.8" x14ac:dyDescent="0.3">
      <c r="A29" s="70" t="str">
        <f>'BASE MAESTRA'!B35</f>
        <v>30</v>
      </c>
      <c r="B29" s="61">
        <f t="shared" si="9"/>
        <v>0</v>
      </c>
      <c r="C29" s="61">
        <f t="shared" si="9"/>
        <v>0</v>
      </c>
      <c r="D29" s="61">
        <f t="shared" si="9"/>
        <v>0</v>
      </c>
      <c r="E29" s="61">
        <f t="shared" si="9"/>
        <v>0</v>
      </c>
      <c r="F29" s="61">
        <f t="shared" si="9"/>
        <v>0</v>
      </c>
      <c r="G29" s="61">
        <f t="shared" si="9"/>
        <v>0</v>
      </c>
      <c r="H29" s="61">
        <f t="shared" si="9"/>
        <v>0</v>
      </c>
      <c r="I29" s="61">
        <f t="shared" si="9"/>
        <v>0</v>
      </c>
      <c r="J29" s="61">
        <f t="shared" si="9"/>
        <v>0</v>
      </c>
      <c r="K29" s="61">
        <f t="shared" si="9"/>
        <v>0</v>
      </c>
      <c r="L29" s="61">
        <f t="shared" si="9"/>
        <v>0</v>
      </c>
      <c r="M29" s="61">
        <f t="shared" si="9"/>
        <v>0</v>
      </c>
      <c r="N29" s="61">
        <f t="shared" si="9"/>
        <v>0</v>
      </c>
      <c r="Q29" s="61">
        <f t="shared" si="2"/>
        <v>0</v>
      </c>
      <c r="S29" s="61">
        <f t="shared" si="3"/>
        <v>0</v>
      </c>
      <c r="U29" s="61">
        <f t="shared" si="3"/>
        <v>0</v>
      </c>
      <c r="X29" s="61">
        <f t="shared" si="8"/>
        <v>0</v>
      </c>
      <c r="Y29" s="61">
        <f t="shared" si="10"/>
        <v>0</v>
      </c>
      <c r="Z29" s="61">
        <f t="shared" si="10"/>
        <v>0</v>
      </c>
      <c r="AA29" s="61">
        <f t="shared" si="10"/>
        <v>0</v>
      </c>
      <c r="AB29" s="61">
        <f t="shared" si="10"/>
        <v>0</v>
      </c>
      <c r="AC29" s="61" t="str">
        <f t="shared" si="10"/>
        <v>30</v>
      </c>
    </row>
    <row r="30" spans="1:29" ht="16.8" x14ac:dyDescent="0.3">
      <c r="A30" s="70" t="str">
        <f>'BASE MAESTRA'!B36</f>
        <v>31</v>
      </c>
      <c r="B30" s="61">
        <f t="shared" si="9"/>
        <v>0</v>
      </c>
      <c r="C30" s="61">
        <f t="shared" si="9"/>
        <v>0</v>
      </c>
      <c r="D30" s="61">
        <f t="shared" si="9"/>
        <v>0</v>
      </c>
      <c r="E30" s="61">
        <f t="shared" si="9"/>
        <v>0</v>
      </c>
      <c r="F30" s="61">
        <f t="shared" si="9"/>
        <v>0</v>
      </c>
      <c r="G30" s="61">
        <f t="shared" si="9"/>
        <v>0</v>
      </c>
      <c r="H30" s="61">
        <f t="shared" si="9"/>
        <v>0</v>
      </c>
      <c r="I30" s="61">
        <f t="shared" si="9"/>
        <v>0</v>
      </c>
      <c r="J30" s="61">
        <f t="shared" si="9"/>
        <v>0</v>
      </c>
      <c r="K30" s="61">
        <f t="shared" si="9"/>
        <v>0</v>
      </c>
      <c r="L30" s="61">
        <f t="shared" si="9"/>
        <v>0</v>
      </c>
      <c r="M30" s="61">
        <f t="shared" si="9"/>
        <v>0</v>
      </c>
      <c r="N30" s="61">
        <f t="shared" si="9"/>
        <v>0</v>
      </c>
      <c r="Q30" s="61">
        <f t="shared" si="2"/>
        <v>0</v>
      </c>
      <c r="S30" s="61">
        <f t="shared" si="3"/>
        <v>0</v>
      </c>
      <c r="U30" s="61">
        <f t="shared" si="3"/>
        <v>0</v>
      </c>
      <c r="X30" s="61">
        <f t="shared" si="8"/>
        <v>0</v>
      </c>
      <c r="Y30" s="61">
        <f t="shared" si="10"/>
        <v>0</v>
      </c>
      <c r="Z30" s="61">
        <f t="shared" si="10"/>
        <v>0</v>
      </c>
      <c r="AA30" s="61">
        <f t="shared" si="10"/>
        <v>0</v>
      </c>
      <c r="AB30" s="61">
        <f t="shared" si="10"/>
        <v>0</v>
      </c>
      <c r="AC30" s="61" t="str">
        <f t="shared" si="10"/>
        <v>31</v>
      </c>
    </row>
    <row r="31" spans="1:29" ht="16.8" x14ac:dyDescent="0.3">
      <c r="A31" s="70" t="str">
        <f>'BASE MAESTRA'!B37</f>
        <v>32</v>
      </c>
      <c r="B31" s="61">
        <f t="shared" si="9"/>
        <v>0</v>
      </c>
      <c r="C31" s="61">
        <f t="shared" si="9"/>
        <v>0</v>
      </c>
      <c r="D31" s="61">
        <f t="shared" si="9"/>
        <v>0</v>
      </c>
      <c r="E31" s="61">
        <f t="shared" si="9"/>
        <v>0</v>
      </c>
      <c r="F31" s="61">
        <f t="shared" si="9"/>
        <v>0</v>
      </c>
      <c r="G31" s="61">
        <f t="shared" si="9"/>
        <v>0</v>
      </c>
      <c r="H31" s="61">
        <f t="shared" si="9"/>
        <v>0</v>
      </c>
      <c r="I31" s="61">
        <f t="shared" si="9"/>
        <v>0</v>
      </c>
      <c r="J31" s="61">
        <f t="shared" si="9"/>
        <v>0</v>
      </c>
      <c r="K31" s="61">
        <f t="shared" si="9"/>
        <v>0</v>
      </c>
      <c r="L31" s="61">
        <f t="shared" si="9"/>
        <v>0</v>
      </c>
      <c r="M31" s="61">
        <f t="shared" si="9"/>
        <v>0</v>
      </c>
      <c r="N31" s="61">
        <f t="shared" si="9"/>
        <v>0</v>
      </c>
      <c r="Q31" s="61">
        <f t="shared" si="2"/>
        <v>0</v>
      </c>
      <c r="S31" s="61">
        <f t="shared" si="3"/>
        <v>0</v>
      </c>
      <c r="U31" s="61">
        <f t="shared" si="3"/>
        <v>0</v>
      </c>
      <c r="X31" s="61">
        <f t="shared" si="8"/>
        <v>0</v>
      </c>
      <c r="Y31" s="61">
        <f t="shared" si="10"/>
        <v>0</v>
      </c>
      <c r="Z31" s="61">
        <f t="shared" si="10"/>
        <v>0</v>
      </c>
      <c r="AA31" s="61">
        <f t="shared" si="10"/>
        <v>0</v>
      </c>
      <c r="AB31" s="61">
        <f t="shared" si="10"/>
        <v>0</v>
      </c>
      <c r="AC31" s="61" t="str">
        <f t="shared" si="10"/>
        <v>32</v>
      </c>
    </row>
    <row r="32" spans="1:29" ht="16.8" x14ac:dyDescent="0.3">
      <c r="A32" s="70" t="str">
        <f>'BASE MAESTRA'!B38</f>
        <v>33</v>
      </c>
      <c r="B32" s="61">
        <f t="shared" ref="B32:N47" si="11">VLOOKUP($A32,DatosEspecies,B$2,FALSE)</f>
        <v>0</v>
      </c>
      <c r="C32" s="61">
        <f t="shared" si="11"/>
        <v>0</v>
      </c>
      <c r="D32" s="61">
        <f t="shared" si="11"/>
        <v>0</v>
      </c>
      <c r="E32" s="61">
        <f t="shared" si="11"/>
        <v>0</v>
      </c>
      <c r="F32" s="61">
        <f t="shared" si="9"/>
        <v>0</v>
      </c>
      <c r="G32" s="61">
        <f t="shared" si="11"/>
        <v>0</v>
      </c>
      <c r="H32" s="61">
        <f t="shared" si="11"/>
        <v>0</v>
      </c>
      <c r="I32" s="61">
        <f t="shared" si="11"/>
        <v>0</v>
      </c>
      <c r="J32" s="61">
        <f t="shared" si="11"/>
        <v>0</v>
      </c>
      <c r="K32" s="61">
        <f t="shared" si="11"/>
        <v>0</v>
      </c>
      <c r="L32" s="61">
        <f t="shared" si="11"/>
        <v>0</v>
      </c>
      <c r="M32" s="61">
        <f t="shared" si="11"/>
        <v>0</v>
      </c>
      <c r="N32" s="61">
        <f t="shared" si="9"/>
        <v>0</v>
      </c>
      <c r="Q32" s="61">
        <f t="shared" si="2"/>
        <v>0</v>
      </c>
      <c r="S32" s="61">
        <f t="shared" si="3"/>
        <v>0</v>
      </c>
      <c r="U32" s="61">
        <f t="shared" si="3"/>
        <v>0</v>
      </c>
      <c r="X32" s="61">
        <f t="shared" si="8"/>
        <v>0</v>
      </c>
      <c r="Y32" s="61">
        <f t="shared" ref="Y32:AC41" si="12">VLOOKUP($A32,DatosEspecies,Y$2,FALSE)</f>
        <v>0</v>
      </c>
      <c r="Z32" s="61">
        <f t="shared" si="12"/>
        <v>0</v>
      </c>
      <c r="AA32" s="61">
        <f t="shared" si="12"/>
        <v>0</v>
      </c>
      <c r="AB32" s="61">
        <f t="shared" si="12"/>
        <v>0</v>
      </c>
      <c r="AC32" s="61" t="str">
        <f t="shared" si="12"/>
        <v>33</v>
      </c>
    </row>
    <row r="33" spans="1:29" ht="16.8" x14ac:dyDescent="0.3">
      <c r="A33" s="70" t="str">
        <f>'BASE MAESTRA'!B39</f>
        <v>34</v>
      </c>
      <c r="B33" s="61">
        <f t="shared" si="11"/>
        <v>0</v>
      </c>
      <c r="C33" s="61">
        <f t="shared" si="11"/>
        <v>0</v>
      </c>
      <c r="D33" s="61">
        <f t="shared" si="11"/>
        <v>0</v>
      </c>
      <c r="E33" s="61">
        <f t="shared" si="11"/>
        <v>0</v>
      </c>
      <c r="F33" s="61">
        <f t="shared" si="9"/>
        <v>0</v>
      </c>
      <c r="G33" s="61">
        <f t="shared" si="11"/>
        <v>0</v>
      </c>
      <c r="H33" s="61">
        <f t="shared" si="11"/>
        <v>0</v>
      </c>
      <c r="I33" s="61">
        <f t="shared" si="11"/>
        <v>0</v>
      </c>
      <c r="J33" s="61">
        <f t="shared" si="11"/>
        <v>0</v>
      </c>
      <c r="K33" s="61">
        <f t="shared" si="11"/>
        <v>0</v>
      </c>
      <c r="L33" s="61">
        <f t="shared" si="11"/>
        <v>0</v>
      </c>
      <c r="M33" s="61">
        <f t="shared" si="11"/>
        <v>0</v>
      </c>
      <c r="N33" s="61">
        <f t="shared" si="9"/>
        <v>0</v>
      </c>
      <c r="Q33" s="61">
        <f t="shared" si="2"/>
        <v>0</v>
      </c>
      <c r="S33" s="61">
        <f t="shared" si="3"/>
        <v>0</v>
      </c>
      <c r="U33" s="61">
        <f t="shared" si="3"/>
        <v>0</v>
      </c>
      <c r="X33" s="61">
        <f t="shared" si="8"/>
        <v>0</v>
      </c>
      <c r="Y33" s="61">
        <f t="shared" si="12"/>
        <v>0</v>
      </c>
      <c r="Z33" s="61">
        <f t="shared" si="12"/>
        <v>0</v>
      </c>
      <c r="AA33" s="61">
        <f t="shared" si="12"/>
        <v>0</v>
      </c>
      <c r="AB33" s="61">
        <f t="shared" si="12"/>
        <v>0</v>
      </c>
      <c r="AC33" s="61" t="str">
        <f t="shared" si="12"/>
        <v>34</v>
      </c>
    </row>
    <row r="34" spans="1:29" ht="16.8" x14ac:dyDescent="0.3">
      <c r="A34" s="70" t="str">
        <f>'BASE MAESTRA'!B40</f>
        <v>35</v>
      </c>
      <c r="B34" s="61">
        <f t="shared" si="11"/>
        <v>0</v>
      </c>
      <c r="C34" s="61">
        <f t="shared" si="11"/>
        <v>0</v>
      </c>
      <c r="D34" s="61">
        <f t="shared" si="11"/>
        <v>0</v>
      </c>
      <c r="E34" s="61">
        <f t="shared" si="11"/>
        <v>0</v>
      </c>
      <c r="F34" s="61">
        <f t="shared" si="9"/>
        <v>0</v>
      </c>
      <c r="G34" s="61">
        <f t="shared" si="11"/>
        <v>0</v>
      </c>
      <c r="H34" s="61">
        <f t="shared" si="11"/>
        <v>0</v>
      </c>
      <c r="I34" s="61">
        <f t="shared" si="11"/>
        <v>0</v>
      </c>
      <c r="J34" s="61">
        <f t="shared" si="11"/>
        <v>0</v>
      </c>
      <c r="K34" s="61">
        <f t="shared" si="11"/>
        <v>0</v>
      </c>
      <c r="L34" s="61">
        <f t="shared" si="11"/>
        <v>0</v>
      </c>
      <c r="M34" s="61">
        <f t="shared" si="11"/>
        <v>0</v>
      </c>
      <c r="N34" s="61">
        <f t="shared" si="9"/>
        <v>0</v>
      </c>
      <c r="Q34" s="61">
        <f t="shared" si="2"/>
        <v>0</v>
      </c>
      <c r="S34" s="61">
        <f t="shared" ref="S34:S97" si="13">VLOOKUP($A34,DatosEspecies,S$2,FALSE)</f>
        <v>0</v>
      </c>
      <c r="U34" s="61">
        <f t="shared" ref="U34:U67" si="14">VLOOKUP($A34,DatosEspecies,U$2,FALSE)</f>
        <v>0</v>
      </c>
      <c r="X34" s="61">
        <f t="shared" si="8"/>
        <v>0</v>
      </c>
      <c r="Y34" s="61">
        <f t="shared" si="12"/>
        <v>0</v>
      </c>
      <c r="Z34" s="61">
        <f t="shared" si="12"/>
        <v>0</v>
      </c>
      <c r="AA34" s="61">
        <f t="shared" si="12"/>
        <v>0</v>
      </c>
      <c r="AB34" s="61">
        <f t="shared" si="12"/>
        <v>0</v>
      </c>
      <c r="AC34" s="61" t="str">
        <f t="shared" si="12"/>
        <v>35</v>
      </c>
    </row>
    <row r="35" spans="1:29" ht="16.8" x14ac:dyDescent="0.3">
      <c r="A35" s="70" t="str">
        <f>'BASE MAESTRA'!B41</f>
        <v>36</v>
      </c>
      <c r="B35" s="61">
        <f t="shared" si="11"/>
        <v>0</v>
      </c>
      <c r="C35" s="61">
        <f t="shared" si="11"/>
        <v>0</v>
      </c>
      <c r="D35" s="61">
        <f t="shared" si="11"/>
        <v>0</v>
      </c>
      <c r="E35" s="61">
        <f t="shared" si="11"/>
        <v>0</v>
      </c>
      <c r="F35" s="61">
        <f t="shared" si="9"/>
        <v>0</v>
      </c>
      <c r="G35" s="61">
        <f t="shared" si="11"/>
        <v>0</v>
      </c>
      <c r="H35" s="61">
        <f t="shared" si="11"/>
        <v>0</v>
      </c>
      <c r="I35" s="61">
        <f t="shared" si="11"/>
        <v>0</v>
      </c>
      <c r="J35" s="61">
        <f t="shared" si="11"/>
        <v>0</v>
      </c>
      <c r="K35" s="61">
        <f t="shared" si="11"/>
        <v>0</v>
      </c>
      <c r="L35" s="61">
        <f t="shared" si="11"/>
        <v>0</v>
      </c>
      <c r="M35" s="61">
        <f t="shared" si="11"/>
        <v>0</v>
      </c>
      <c r="N35" s="61">
        <f t="shared" si="9"/>
        <v>0</v>
      </c>
      <c r="Q35" s="61">
        <f t="shared" si="2"/>
        <v>0</v>
      </c>
      <c r="S35" s="61">
        <f t="shared" si="13"/>
        <v>0</v>
      </c>
      <c r="U35" s="61">
        <f t="shared" si="14"/>
        <v>0</v>
      </c>
      <c r="X35" s="61">
        <f t="shared" si="8"/>
        <v>0</v>
      </c>
      <c r="Y35" s="61">
        <f t="shared" si="12"/>
        <v>0</v>
      </c>
      <c r="Z35" s="61">
        <f t="shared" si="12"/>
        <v>0</v>
      </c>
      <c r="AA35" s="61">
        <f t="shared" si="12"/>
        <v>0</v>
      </c>
      <c r="AB35" s="61">
        <f t="shared" si="12"/>
        <v>0</v>
      </c>
      <c r="AC35" s="61" t="str">
        <f t="shared" si="12"/>
        <v>36</v>
      </c>
    </row>
    <row r="36" spans="1:29" ht="16.8" x14ac:dyDescent="0.3">
      <c r="A36" s="70" t="str">
        <f>'BASE MAESTRA'!B42</f>
        <v>37</v>
      </c>
      <c r="B36" s="61">
        <f t="shared" si="11"/>
        <v>0</v>
      </c>
      <c r="C36" s="61">
        <f t="shared" si="11"/>
        <v>0</v>
      </c>
      <c r="D36" s="61">
        <f t="shared" si="11"/>
        <v>0</v>
      </c>
      <c r="E36" s="61">
        <f t="shared" si="11"/>
        <v>0</v>
      </c>
      <c r="F36" s="61">
        <f t="shared" si="9"/>
        <v>0</v>
      </c>
      <c r="G36" s="61">
        <f t="shared" si="11"/>
        <v>0</v>
      </c>
      <c r="H36" s="61">
        <f t="shared" si="11"/>
        <v>0</v>
      </c>
      <c r="I36" s="61">
        <f t="shared" si="11"/>
        <v>0</v>
      </c>
      <c r="J36" s="61">
        <f t="shared" si="11"/>
        <v>0</v>
      </c>
      <c r="K36" s="61">
        <f t="shared" si="11"/>
        <v>0</v>
      </c>
      <c r="L36" s="61">
        <f t="shared" si="11"/>
        <v>0</v>
      </c>
      <c r="M36" s="61">
        <f t="shared" si="11"/>
        <v>0</v>
      </c>
      <c r="N36" s="61">
        <f t="shared" si="9"/>
        <v>0</v>
      </c>
      <c r="Q36" s="61">
        <f t="shared" si="2"/>
        <v>0</v>
      </c>
      <c r="S36" s="61">
        <f t="shared" si="13"/>
        <v>0</v>
      </c>
      <c r="U36" s="61">
        <f t="shared" si="14"/>
        <v>0</v>
      </c>
      <c r="X36" s="61">
        <f t="shared" si="8"/>
        <v>0</v>
      </c>
      <c r="Y36" s="61">
        <f t="shared" si="12"/>
        <v>0</v>
      </c>
      <c r="Z36" s="61">
        <f t="shared" si="12"/>
        <v>0</v>
      </c>
      <c r="AA36" s="61">
        <f t="shared" si="12"/>
        <v>0</v>
      </c>
      <c r="AB36" s="61">
        <f t="shared" si="12"/>
        <v>0</v>
      </c>
      <c r="AC36" s="61" t="str">
        <f t="shared" si="12"/>
        <v>37</v>
      </c>
    </row>
    <row r="37" spans="1:29" ht="16.8" x14ac:dyDescent="0.3">
      <c r="A37" s="70" t="str">
        <f>'BASE MAESTRA'!B43</f>
        <v>38</v>
      </c>
      <c r="B37" s="61">
        <f t="shared" si="11"/>
        <v>0</v>
      </c>
      <c r="C37" s="61">
        <f t="shared" si="11"/>
        <v>0</v>
      </c>
      <c r="D37" s="61">
        <f t="shared" si="11"/>
        <v>0</v>
      </c>
      <c r="E37" s="61">
        <f t="shared" si="11"/>
        <v>0</v>
      </c>
      <c r="F37" s="61">
        <f t="shared" si="9"/>
        <v>0</v>
      </c>
      <c r="G37" s="61">
        <f t="shared" si="11"/>
        <v>0</v>
      </c>
      <c r="H37" s="61">
        <f t="shared" si="11"/>
        <v>0</v>
      </c>
      <c r="I37" s="61">
        <f t="shared" si="11"/>
        <v>0</v>
      </c>
      <c r="J37" s="61">
        <f t="shared" si="11"/>
        <v>0</v>
      </c>
      <c r="K37" s="61">
        <f t="shared" si="11"/>
        <v>0</v>
      </c>
      <c r="L37" s="61">
        <f t="shared" si="11"/>
        <v>0</v>
      </c>
      <c r="M37" s="61">
        <f t="shared" si="11"/>
        <v>0</v>
      </c>
      <c r="N37" s="61">
        <f t="shared" si="9"/>
        <v>0</v>
      </c>
      <c r="Q37" s="61">
        <f t="shared" si="2"/>
        <v>0</v>
      </c>
      <c r="S37" s="61">
        <f t="shared" si="13"/>
        <v>0</v>
      </c>
      <c r="U37" s="61">
        <f t="shared" si="14"/>
        <v>0</v>
      </c>
      <c r="X37" s="61">
        <f t="shared" si="8"/>
        <v>0</v>
      </c>
      <c r="Y37" s="61">
        <f t="shared" si="12"/>
        <v>0</v>
      </c>
      <c r="Z37" s="61">
        <f t="shared" si="12"/>
        <v>0</v>
      </c>
      <c r="AA37" s="61">
        <f t="shared" si="12"/>
        <v>0</v>
      </c>
      <c r="AB37" s="61">
        <f t="shared" si="12"/>
        <v>0</v>
      </c>
      <c r="AC37" s="61" t="str">
        <f t="shared" si="12"/>
        <v>38</v>
      </c>
    </row>
    <row r="38" spans="1:29" ht="16.8" x14ac:dyDescent="0.3">
      <c r="A38" s="70" t="str">
        <f>'BASE MAESTRA'!B44</f>
        <v>39</v>
      </c>
      <c r="B38" s="61">
        <f t="shared" si="11"/>
        <v>0</v>
      </c>
      <c r="C38" s="61">
        <f t="shared" si="11"/>
        <v>0</v>
      </c>
      <c r="D38" s="61">
        <f t="shared" si="11"/>
        <v>0</v>
      </c>
      <c r="E38" s="61">
        <f t="shared" si="11"/>
        <v>0</v>
      </c>
      <c r="F38" s="61">
        <f t="shared" si="11"/>
        <v>0</v>
      </c>
      <c r="G38" s="61">
        <f t="shared" si="11"/>
        <v>0</v>
      </c>
      <c r="H38" s="61">
        <f t="shared" si="11"/>
        <v>0</v>
      </c>
      <c r="I38" s="61">
        <f t="shared" si="11"/>
        <v>0</v>
      </c>
      <c r="J38" s="61">
        <f t="shared" si="11"/>
        <v>0</v>
      </c>
      <c r="K38" s="61">
        <f t="shared" si="11"/>
        <v>0</v>
      </c>
      <c r="L38" s="61">
        <f t="shared" si="11"/>
        <v>0</v>
      </c>
      <c r="M38" s="61">
        <f t="shared" si="11"/>
        <v>0</v>
      </c>
      <c r="N38" s="61">
        <f t="shared" si="11"/>
        <v>0</v>
      </c>
      <c r="Q38" s="61">
        <f t="shared" si="2"/>
        <v>0</v>
      </c>
      <c r="S38" s="61">
        <f t="shared" si="13"/>
        <v>0</v>
      </c>
      <c r="U38" s="61">
        <f t="shared" si="14"/>
        <v>0</v>
      </c>
      <c r="X38" s="61">
        <f t="shared" si="8"/>
        <v>0</v>
      </c>
      <c r="Y38" s="61">
        <f t="shared" si="12"/>
        <v>0</v>
      </c>
      <c r="Z38" s="61">
        <f t="shared" si="12"/>
        <v>0</v>
      </c>
      <c r="AA38" s="61">
        <f t="shared" si="12"/>
        <v>0</v>
      </c>
      <c r="AB38" s="61">
        <f t="shared" si="12"/>
        <v>0</v>
      </c>
      <c r="AC38" s="61" t="str">
        <f t="shared" si="12"/>
        <v>39</v>
      </c>
    </row>
    <row r="39" spans="1:29" ht="16.8" x14ac:dyDescent="0.3">
      <c r="A39" s="70">
        <f>'BASE MAESTRA'!B45</f>
        <v>37</v>
      </c>
      <c r="B39" s="61">
        <f t="shared" si="11"/>
        <v>0</v>
      </c>
      <c r="C39" s="61">
        <f t="shared" si="11"/>
        <v>0</v>
      </c>
      <c r="D39" s="61">
        <f t="shared" si="11"/>
        <v>0</v>
      </c>
      <c r="E39" s="61">
        <f t="shared" si="11"/>
        <v>0</v>
      </c>
      <c r="F39" s="61">
        <f t="shared" si="11"/>
        <v>0</v>
      </c>
      <c r="G39" s="61">
        <f t="shared" si="11"/>
        <v>0</v>
      </c>
      <c r="H39" s="61">
        <f t="shared" si="11"/>
        <v>0</v>
      </c>
      <c r="I39" s="61">
        <f t="shared" si="11"/>
        <v>0</v>
      </c>
      <c r="J39" s="61">
        <f t="shared" si="11"/>
        <v>0</v>
      </c>
      <c r="K39" s="61">
        <f t="shared" si="11"/>
        <v>0</v>
      </c>
      <c r="L39" s="61">
        <f t="shared" si="11"/>
        <v>0</v>
      </c>
      <c r="M39" s="61">
        <f t="shared" si="11"/>
        <v>0</v>
      </c>
      <c r="N39" s="61">
        <f t="shared" si="11"/>
        <v>0</v>
      </c>
      <c r="Q39" s="61">
        <f t="shared" si="2"/>
        <v>0</v>
      </c>
      <c r="S39" s="61">
        <f t="shared" si="13"/>
        <v>0</v>
      </c>
      <c r="U39" s="61">
        <f t="shared" si="14"/>
        <v>0</v>
      </c>
      <c r="X39" s="61">
        <f t="shared" si="8"/>
        <v>0</v>
      </c>
      <c r="Y39" s="61">
        <f t="shared" si="12"/>
        <v>0</v>
      </c>
      <c r="Z39" s="61">
        <f t="shared" si="12"/>
        <v>0</v>
      </c>
      <c r="AA39" s="61">
        <f t="shared" si="12"/>
        <v>0</v>
      </c>
      <c r="AB39" s="61">
        <f t="shared" si="12"/>
        <v>0</v>
      </c>
      <c r="AC39" s="61">
        <f t="shared" si="12"/>
        <v>37</v>
      </c>
    </row>
    <row r="40" spans="1:29" ht="16.8" x14ac:dyDescent="0.3">
      <c r="A40" s="70">
        <f>'BASE MAESTRA'!B46</f>
        <v>38</v>
      </c>
      <c r="B40" s="61">
        <f t="shared" si="11"/>
        <v>0</v>
      </c>
      <c r="C40" s="61">
        <f t="shared" si="11"/>
        <v>0</v>
      </c>
      <c r="D40" s="61">
        <f t="shared" si="11"/>
        <v>0</v>
      </c>
      <c r="E40" s="61">
        <f t="shared" si="11"/>
        <v>0</v>
      </c>
      <c r="F40" s="61">
        <f t="shared" si="11"/>
        <v>0</v>
      </c>
      <c r="G40" s="61">
        <f t="shared" si="11"/>
        <v>0</v>
      </c>
      <c r="H40" s="61">
        <f t="shared" si="11"/>
        <v>0</v>
      </c>
      <c r="I40" s="61">
        <f t="shared" si="11"/>
        <v>0</v>
      </c>
      <c r="J40" s="61">
        <f t="shared" si="11"/>
        <v>0</v>
      </c>
      <c r="K40" s="61">
        <f t="shared" si="11"/>
        <v>0</v>
      </c>
      <c r="L40" s="61">
        <f t="shared" si="11"/>
        <v>0</v>
      </c>
      <c r="M40" s="61">
        <f t="shared" si="11"/>
        <v>0</v>
      </c>
      <c r="N40" s="61">
        <f t="shared" si="11"/>
        <v>0</v>
      </c>
      <c r="Q40" s="61">
        <f t="shared" si="2"/>
        <v>0</v>
      </c>
      <c r="S40" s="61">
        <f t="shared" si="13"/>
        <v>0</v>
      </c>
      <c r="U40" s="61">
        <f t="shared" si="14"/>
        <v>0</v>
      </c>
      <c r="X40" s="61">
        <f t="shared" si="8"/>
        <v>0</v>
      </c>
      <c r="Y40" s="61">
        <f t="shared" si="12"/>
        <v>0</v>
      </c>
      <c r="Z40" s="61">
        <f t="shared" si="12"/>
        <v>0</v>
      </c>
      <c r="AA40" s="61">
        <f t="shared" si="12"/>
        <v>0</v>
      </c>
      <c r="AB40" s="61">
        <f t="shared" si="12"/>
        <v>0</v>
      </c>
      <c r="AC40" s="61">
        <f t="shared" si="12"/>
        <v>38</v>
      </c>
    </row>
    <row r="41" spans="1:29" ht="16.8" x14ac:dyDescent="0.3">
      <c r="A41" s="70">
        <f>'BASE MAESTRA'!B47</f>
        <v>39</v>
      </c>
      <c r="B41" s="61">
        <f t="shared" si="11"/>
        <v>0</v>
      </c>
      <c r="C41" s="61">
        <f t="shared" si="11"/>
        <v>0</v>
      </c>
      <c r="D41" s="61">
        <f t="shared" si="11"/>
        <v>0</v>
      </c>
      <c r="E41" s="61">
        <f t="shared" si="11"/>
        <v>0</v>
      </c>
      <c r="F41" s="61">
        <f t="shared" si="11"/>
        <v>0</v>
      </c>
      <c r="G41" s="61">
        <f t="shared" si="11"/>
        <v>0</v>
      </c>
      <c r="H41" s="61">
        <f t="shared" si="11"/>
        <v>0</v>
      </c>
      <c r="I41" s="61">
        <f t="shared" si="11"/>
        <v>0</v>
      </c>
      <c r="J41" s="61">
        <f t="shared" si="11"/>
        <v>0</v>
      </c>
      <c r="K41" s="61">
        <f t="shared" si="11"/>
        <v>0</v>
      </c>
      <c r="L41" s="61">
        <f t="shared" si="11"/>
        <v>0</v>
      </c>
      <c r="M41" s="61">
        <f t="shared" si="11"/>
        <v>0</v>
      </c>
      <c r="N41" s="61">
        <f t="shared" si="11"/>
        <v>0</v>
      </c>
      <c r="Q41" s="61">
        <f t="shared" si="2"/>
        <v>0</v>
      </c>
      <c r="S41" s="61">
        <f t="shared" si="13"/>
        <v>0</v>
      </c>
      <c r="U41" s="61">
        <f t="shared" si="14"/>
        <v>0</v>
      </c>
      <c r="X41" s="61">
        <f t="shared" si="8"/>
        <v>0</v>
      </c>
      <c r="Y41" s="61">
        <f t="shared" si="12"/>
        <v>0</v>
      </c>
      <c r="Z41" s="61">
        <f t="shared" si="12"/>
        <v>0</v>
      </c>
      <c r="AA41" s="61">
        <f t="shared" si="12"/>
        <v>0</v>
      </c>
      <c r="AB41" s="61">
        <f t="shared" si="12"/>
        <v>0</v>
      </c>
      <c r="AC41" s="61">
        <f t="shared" si="12"/>
        <v>39</v>
      </c>
    </row>
    <row r="42" spans="1:29" ht="16.8" x14ac:dyDescent="0.3">
      <c r="A42" s="70">
        <f>'BASE MAESTRA'!B48</f>
        <v>40</v>
      </c>
      <c r="B42" s="61">
        <f t="shared" ref="B42:N57" si="15">VLOOKUP($A42,DatosEspecies,B$2,FALSE)</f>
        <v>0</v>
      </c>
      <c r="C42" s="61">
        <f t="shared" si="15"/>
        <v>0</v>
      </c>
      <c r="D42" s="61">
        <f t="shared" si="15"/>
        <v>0</v>
      </c>
      <c r="E42" s="61">
        <f t="shared" si="15"/>
        <v>0</v>
      </c>
      <c r="F42" s="61">
        <f t="shared" si="11"/>
        <v>0</v>
      </c>
      <c r="G42" s="61">
        <f t="shared" si="15"/>
        <v>0</v>
      </c>
      <c r="H42" s="61">
        <f t="shared" si="15"/>
        <v>0</v>
      </c>
      <c r="I42" s="61">
        <f t="shared" si="15"/>
        <v>0</v>
      </c>
      <c r="J42" s="61">
        <f t="shared" si="15"/>
        <v>0</v>
      </c>
      <c r="K42" s="61">
        <f t="shared" si="15"/>
        <v>0</v>
      </c>
      <c r="L42" s="61">
        <f t="shared" si="15"/>
        <v>0</v>
      </c>
      <c r="M42" s="61">
        <f t="shared" si="15"/>
        <v>0</v>
      </c>
      <c r="N42" s="61">
        <f t="shared" si="11"/>
        <v>0</v>
      </c>
      <c r="Q42" s="61">
        <f t="shared" si="2"/>
        <v>0</v>
      </c>
      <c r="S42" s="61">
        <f t="shared" si="13"/>
        <v>0</v>
      </c>
      <c r="U42" s="61">
        <f t="shared" si="14"/>
        <v>0</v>
      </c>
      <c r="X42" s="61">
        <f t="shared" si="8"/>
        <v>0</v>
      </c>
      <c r="Y42" s="61">
        <f t="shared" ref="Y42:AC51" si="16">VLOOKUP($A42,DatosEspecies,Y$2,FALSE)</f>
        <v>0</v>
      </c>
      <c r="Z42" s="61">
        <f t="shared" si="16"/>
        <v>0</v>
      </c>
      <c r="AA42" s="61">
        <f t="shared" si="16"/>
        <v>0</v>
      </c>
      <c r="AB42" s="61">
        <f t="shared" si="16"/>
        <v>0</v>
      </c>
      <c r="AC42" s="61">
        <f t="shared" si="16"/>
        <v>40</v>
      </c>
    </row>
    <row r="43" spans="1:29" ht="16.8" x14ac:dyDescent="0.3">
      <c r="A43" s="70">
        <f>'BASE MAESTRA'!B49</f>
        <v>41</v>
      </c>
      <c r="B43" s="61">
        <f t="shared" si="15"/>
        <v>0</v>
      </c>
      <c r="C43" s="61">
        <f t="shared" si="15"/>
        <v>0</v>
      </c>
      <c r="D43" s="61">
        <f t="shared" si="15"/>
        <v>0</v>
      </c>
      <c r="E43" s="61">
        <f t="shared" si="15"/>
        <v>0</v>
      </c>
      <c r="F43" s="61">
        <f t="shared" si="11"/>
        <v>0</v>
      </c>
      <c r="G43" s="61">
        <f t="shared" si="15"/>
        <v>0</v>
      </c>
      <c r="H43" s="61">
        <f t="shared" si="15"/>
        <v>0</v>
      </c>
      <c r="I43" s="61">
        <f t="shared" si="15"/>
        <v>0</v>
      </c>
      <c r="J43" s="61">
        <f t="shared" si="15"/>
        <v>0</v>
      </c>
      <c r="K43" s="61">
        <f t="shared" si="15"/>
        <v>0</v>
      </c>
      <c r="L43" s="61">
        <f t="shared" si="15"/>
        <v>0</v>
      </c>
      <c r="M43" s="61">
        <f t="shared" si="15"/>
        <v>0</v>
      </c>
      <c r="N43" s="61">
        <f t="shared" si="11"/>
        <v>0</v>
      </c>
      <c r="Q43" s="61">
        <f t="shared" si="2"/>
        <v>0</v>
      </c>
      <c r="S43" s="61">
        <f t="shared" si="13"/>
        <v>0</v>
      </c>
      <c r="U43" s="61">
        <f t="shared" si="14"/>
        <v>0</v>
      </c>
      <c r="X43" s="61">
        <f t="shared" si="8"/>
        <v>0</v>
      </c>
      <c r="Y43" s="61">
        <f t="shared" si="16"/>
        <v>0</v>
      </c>
      <c r="Z43" s="61">
        <f t="shared" si="16"/>
        <v>0</v>
      </c>
      <c r="AA43" s="61">
        <f t="shared" si="16"/>
        <v>0</v>
      </c>
      <c r="AB43" s="61">
        <f t="shared" si="16"/>
        <v>0</v>
      </c>
      <c r="AC43" s="61">
        <f t="shared" si="16"/>
        <v>41</v>
      </c>
    </row>
    <row r="44" spans="1:29" ht="16.8" x14ac:dyDescent="0.3">
      <c r="A44" s="70">
        <f>'BASE MAESTRA'!B50</f>
        <v>42</v>
      </c>
      <c r="B44" s="61">
        <f t="shared" si="15"/>
        <v>0</v>
      </c>
      <c r="C44" s="61">
        <f t="shared" si="15"/>
        <v>0</v>
      </c>
      <c r="D44" s="61">
        <f t="shared" si="15"/>
        <v>0</v>
      </c>
      <c r="E44" s="61">
        <f t="shared" si="15"/>
        <v>0</v>
      </c>
      <c r="F44" s="61">
        <f t="shared" si="11"/>
        <v>0</v>
      </c>
      <c r="G44" s="61">
        <f t="shared" si="15"/>
        <v>0</v>
      </c>
      <c r="H44" s="61">
        <f t="shared" si="15"/>
        <v>0</v>
      </c>
      <c r="I44" s="61">
        <f t="shared" si="15"/>
        <v>0</v>
      </c>
      <c r="J44" s="61">
        <f t="shared" si="15"/>
        <v>0</v>
      </c>
      <c r="K44" s="61">
        <f t="shared" si="15"/>
        <v>0</v>
      </c>
      <c r="L44" s="61">
        <f t="shared" si="15"/>
        <v>0</v>
      </c>
      <c r="M44" s="61">
        <f t="shared" si="15"/>
        <v>0</v>
      </c>
      <c r="N44" s="61">
        <f t="shared" si="11"/>
        <v>0</v>
      </c>
      <c r="Q44" s="61">
        <f t="shared" si="2"/>
        <v>0</v>
      </c>
      <c r="S44" s="61">
        <f t="shared" si="13"/>
        <v>0</v>
      </c>
      <c r="U44" s="61">
        <f t="shared" si="14"/>
        <v>0</v>
      </c>
      <c r="X44" s="61">
        <f t="shared" si="8"/>
        <v>0</v>
      </c>
      <c r="Y44" s="61">
        <f t="shared" si="16"/>
        <v>0</v>
      </c>
      <c r="Z44" s="61">
        <f t="shared" si="16"/>
        <v>0</v>
      </c>
      <c r="AA44" s="61">
        <f t="shared" si="16"/>
        <v>0</v>
      </c>
      <c r="AB44" s="61">
        <f t="shared" si="16"/>
        <v>0</v>
      </c>
      <c r="AC44" s="61">
        <f t="shared" si="16"/>
        <v>42</v>
      </c>
    </row>
    <row r="45" spans="1:29" ht="16.8" x14ac:dyDescent="0.3">
      <c r="A45" s="70">
        <f>'BASE MAESTRA'!B51</f>
        <v>43</v>
      </c>
      <c r="B45" s="61">
        <f t="shared" si="15"/>
        <v>0</v>
      </c>
      <c r="C45" s="61">
        <f t="shared" si="15"/>
        <v>0</v>
      </c>
      <c r="D45" s="61">
        <f t="shared" si="15"/>
        <v>0</v>
      </c>
      <c r="E45" s="61">
        <f t="shared" si="15"/>
        <v>0</v>
      </c>
      <c r="F45" s="61">
        <f t="shared" si="11"/>
        <v>0</v>
      </c>
      <c r="G45" s="61">
        <f t="shared" si="15"/>
        <v>0</v>
      </c>
      <c r="H45" s="61">
        <f t="shared" si="15"/>
        <v>0</v>
      </c>
      <c r="I45" s="61">
        <f t="shared" si="15"/>
        <v>0</v>
      </c>
      <c r="J45" s="61">
        <f t="shared" si="15"/>
        <v>0</v>
      </c>
      <c r="K45" s="61">
        <f t="shared" si="15"/>
        <v>0</v>
      </c>
      <c r="L45" s="61">
        <f t="shared" si="15"/>
        <v>0</v>
      </c>
      <c r="M45" s="61">
        <f t="shared" si="15"/>
        <v>0</v>
      </c>
      <c r="N45" s="61">
        <f t="shared" si="11"/>
        <v>0</v>
      </c>
      <c r="Q45" s="61">
        <f t="shared" si="2"/>
        <v>0</v>
      </c>
      <c r="S45" s="61">
        <f t="shared" si="13"/>
        <v>0</v>
      </c>
      <c r="U45" s="61">
        <f t="shared" si="14"/>
        <v>0</v>
      </c>
      <c r="X45" s="61">
        <f t="shared" si="8"/>
        <v>0</v>
      </c>
      <c r="Y45" s="61">
        <f t="shared" si="16"/>
        <v>0</v>
      </c>
      <c r="Z45" s="61">
        <f t="shared" si="16"/>
        <v>0</v>
      </c>
      <c r="AA45" s="61">
        <f t="shared" si="16"/>
        <v>0</v>
      </c>
      <c r="AB45" s="61">
        <f t="shared" si="16"/>
        <v>0</v>
      </c>
      <c r="AC45" s="61">
        <f t="shared" si="16"/>
        <v>43</v>
      </c>
    </row>
    <row r="46" spans="1:29" ht="16.8" x14ac:dyDescent="0.3">
      <c r="A46" s="70">
        <f>'BASE MAESTRA'!B52</f>
        <v>44</v>
      </c>
      <c r="B46" s="61">
        <f t="shared" si="15"/>
        <v>0</v>
      </c>
      <c r="C46" s="61">
        <f t="shared" si="15"/>
        <v>0</v>
      </c>
      <c r="D46" s="61">
        <f t="shared" si="15"/>
        <v>0</v>
      </c>
      <c r="E46" s="61">
        <f t="shared" si="15"/>
        <v>0</v>
      </c>
      <c r="F46" s="61">
        <f t="shared" si="11"/>
        <v>0</v>
      </c>
      <c r="G46" s="61">
        <f t="shared" si="15"/>
        <v>0</v>
      </c>
      <c r="H46" s="61">
        <f t="shared" si="15"/>
        <v>0</v>
      </c>
      <c r="I46" s="61">
        <f t="shared" si="15"/>
        <v>0</v>
      </c>
      <c r="J46" s="61">
        <f t="shared" si="15"/>
        <v>0</v>
      </c>
      <c r="K46" s="61">
        <f t="shared" si="15"/>
        <v>0</v>
      </c>
      <c r="L46" s="61">
        <f t="shared" si="15"/>
        <v>0</v>
      </c>
      <c r="M46" s="61">
        <f t="shared" si="15"/>
        <v>0</v>
      </c>
      <c r="N46" s="61">
        <f t="shared" si="11"/>
        <v>0</v>
      </c>
      <c r="Q46" s="61">
        <f t="shared" si="2"/>
        <v>0</v>
      </c>
      <c r="S46" s="61">
        <f t="shared" si="13"/>
        <v>0</v>
      </c>
      <c r="U46" s="61">
        <f t="shared" si="14"/>
        <v>0</v>
      </c>
      <c r="X46" s="61">
        <f t="shared" si="8"/>
        <v>0</v>
      </c>
      <c r="Y46" s="61">
        <f t="shared" si="16"/>
        <v>0</v>
      </c>
      <c r="Z46" s="61">
        <f t="shared" si="16"/>
        <v>0</v>
      </c>
      <c r="AA46" s="61">
        <f t="shared" si="16"/>
        <v>0</v>
      </c>
      <c r="AB46" s="61">
        <f t="shared" si="16"/>
        <v>0</v>
      </c>
      <c r="AC46" s="61">
        <f t="shared" si="16"/>
        <v>44</v>
      </c>
    </row>
    <row r="47" spans="1:29" ht="16.8" x14ac:dyDescent="0.3">
      <c r="A47" s="70">
        <f>'BASE MAESTRA'!B53</f>
        <v>45</v>
      </c>
      <c r="B47" s="61">
        <f t="shared" si="15"/>
        <v>0</v>
      </c>
      <c r="C47" s="61">
        <f t="shared" si="15"/>
        <v>0</v>
      </c>
      <c r="D47" s="61">
        <f t="shared" si="15"/>
        <v>0</v>
      </c>
      <c r="E47" s="61">
        <f t="shared" si="15"/>
        <v>0</v>
      </c>
      <c r="F47" s="61">
        <f t="shared" si="11"/>
        <v>0</v>
      </c>
      <c r="G47" s="61">
        <f t="shared" si="15"/>
        <v>0</v>
      </c>
      <c r="H47" s="61">
        <f t="shared" si="15"/>
        <v>0</v>
      </c>
      <c r="I47" s="61">
        <f t="shared" si="15"/>
        <v>0</v>
      </c>
      <c r="J47" s="61">
        <f t="shared" si="15"/>
        <v>0</v>
      </c>
      <c r="K47" s="61">
        <f t="shared" si="15"/>
        <v>0</v>
      </c>
      <c r="L47" s="61">
        <f t="shared" si="15"/>
        <v>0</v>
      </c>
      <c r="M47" s="61">
        <f t="shared" si="15"/>
        <v>0</v>
      </c>
      <c r="N47" s="61">
        <f t="shared" si="11"/>
        <v>0</v>
      </c>
      <c r="Q47" s="61">
        <f t="shared" si="2"/>
        <v>0</v>
      </c>
      <c r="S47" s="61">
        <f t="shared" si="13"/>
        <v>0</v>
      </c>
      <c r="U47" s="61">
        <f t="shared" si="14"/>
        <v>0</v>
      </c>
      <c r="X47" s="61">
        <f t="shared" si="8"/>
        <v>0</v>
      </c>
      <c r="Y47" s="61">
        <f t="shared" si="16"/>
        <v>0</v>
      </c>
      <c r="Z47" s="61">
        <f t="shared" si="16"/>
        <v>0</v>
      </c>
      <c r="AA47" s="61">
        <f t="shared" si="16"/>
        <v>0</v>
      </c>
      <c r="AB47" s="61">
        <f t="shared" si="16"/>
        <v>0</v>
      </c>
      <c r="AC47" s="61">
        <f t="shared" si="16"/>
        <v>45</v>
      </c>
    </row>
    <row r="48" spans="1:29" ht="16.8" x14ac:dyDescent="0.3">
      <c r="A48" s="70">
        <f>'BASE MAESTRA'!B54</f>
        <v>46</v>
      </c>
      <c r="B48" s="61">
        <f t="shared" si="15"/>
        <v>0</v>
      </c>
      <c r="C48" s="61">
        <f t="shared" si="15"/>
        <v>0</v>
      </c>
      <c r="D48" s="61">
        <f t="shared" si="15"/>
        <v>0</v>
      </c>
      <c r="E48" s="61">
        <f t="shared" si="15"/>
        <v>0</v>
      </c>
      <c r="F48" s="61">
        <f t="shared" si="15"/>
        <v>0</v>
      </c>
      <c r="G48" s="61">
        <f t="shared" si="15"/>
        <v>0</v>
      </c>
      <c r="H48" s="61">
        <f t="shared" si="15"/>
        <v>0</v>
      </c>
      <c r="I48" s="61">
        <f t="shared" si="15"/>
        <v>0</v>
      </c>
      <c r="J48" s="61">
        <f t="shared" si="15"/>
        <v>0</v>
      </c>
      <c r="K48" s="61">
        <f t="shared" si="15"/>
        <v>0</v>
      </c>
      <c r="L48" s="61">
        <f t="shared" si="15"/>
        <v>0</v>
      </c>
      <c r="M48" s="61">
        <f t="shared" si="15"/>
        <v>0</v>
      </c>
      <c r="N48" s="61">
        <f t="shared" si="15"/>
        <v>0</v>
      </c>
      <c r="Q48" s="61">
        <f t="shared" si="2"/>
        <v>0</v>
      </c>
      <c r="S48" s="61">
        <f t="shared" si="13"/>
        <v>0</v>
      </c>
      <c r="U48" s="61">
        <f t="shared" si="14"/>
        <v>0</v>
      </c>
      <c r="X48" s="61">
        <f t="shared" si="8"/>
        <v>0</v>
      </c>
      <c r="Y48" s="61">
        <f t="shared" si="16"/>
        <v>0</v>
      </c>
      <c r="Z48" s="61">
        <f t="shared" si="16"/>
        <v>0</v>
      </c>
      <c r="AA48" s="61">
        <f t="shared" si="16"/>
        <v>0</v>
      </c>
      <c r="AB48" s="61">
        <f t="shared" si="16"/>
        <v>0</v>
      </c>
      <c r="AC48" s="61">
        <f t="shared" si="16"/>
        <v>46</v>
      </c>
    </row>
    <row r="49" spans="1:29" ht="16.8" x14ac:dyDescent="0.3">
      <c r="A49" s="70">
        <f>'BASE MAESTRA'!B55</f>
        <v>47</v>
      </c>
      <c r="B49" s="61">
        <f t="shared" si="15"/>
        <v>0</v>
      </c>
      <c r="C49" s="61">
        <f t="shared" si="15"/>
        <v>0</v>
      </c>
      <c r="D49" s="61">
        <f t="shared" si="15"/>
        <v>0</v>
      </c>
      <c r="E49" s="61">
        <f t="shared" si="15"/>
        <v>0</v>
      </c>
      <c r="F49" s="61">
        <f t="shared" si="15"/>
        <v>0</v>
      </c>
      <c r="G49" s="61">
        <f t="shared" si="15"/>
        <v>0</v>
      </c>
      <c r="H49" s="61">
        <f t="shared" si="15"/>
        <v>0</v>
      </c>
      <c r="I49" s="61">
        <f t="shared" si="15"/>
        <v>0</v>
      </c>
      <c r="J49" s="61">
        <f t="shared" si="15"/>
        <v>0</v>
      </c>
      <c r="K49" s="61">
        <f t="shared" si="15"/>
        <v>0</v>
      </c>
      <c r="L49" s="61">
        <f t="shared" si="15"/>
        <v>0</v>
      </c>
      <c r="M49" s="61">
        <f t="shared" si="15"/>
        <v>0</v>
      </c>
      <c r="N49" s="61">
        <f t="shared" si="15"/>
        <v>0</v>
      </c>
      <c r="Q49" s="61">
        <f t="shared" si="2"/>
        <v>0</v>
      </c>
      <c r="S49" s="61">
        <f t="shared" si="13"/>
        <v>0</v>
      </c>
      <c r="U49" s="61">
        <f t="shared" si="14"/>
        <v>0</v>
      </c>
      <c r="X49" s="61">
        <f t="shared" si="8"/>
        <v>0</v>
      </c>
      <c r="Y49" s="61">
        <f t="shared" si="16"/>
        <v>0</v>
      </c>
      <c r="Z49" s="61">
        <f t="shared" si="16"/>
        <v>0</v>
      </c>
      <c r="AA49" s="61">
        <f t="shared" si="16"/>
        <v>0</v>
      </c>
      <c r="AB49" s="61">
        <f t="shared" si="16"/>
        <v>0</v>
      </c>
      <c r="AC49" s="61">
        <f t="shared" si="16"/>
        <v>47</v>
      </c>
    </row>
    <row r="50" spans="1:29" ht="16.8" x14ac:dyDescent="0.3">
      <c r="A50" s="70">
        <f>'BASE MAESTRA'!B56</f>
        <v>48</v>
      </c>
      <c r="B50" s="61">
        <f t="shared" si="15"/>
        <v>0</v>
      </c>
      <c r="C50" s="61">
        <f t="shared" si="15"/>
        <v>0</v>
      </c>
      <c r="D50" s="61">
        <f t="shared" si="15"/>
        <v>0</v>
      </c>
      <c r="E50" s="61">
        <f t="shared" si="15"/>
        <v>0</v>
      </c>
      <c r="F50" s="61">
        <f t="shared" si="15"/>
        <v>0</v>
      </c>
      <c r="G50" s="61">
        <f t="shared" si="15"/>
        <v>0</v>
      </c>
      <c r="H50" s="61">
        <f t="shared" si="15"/>
        <v>0</v>
      </c>
      <c r="I50" s="61">
        <f t="shared" si="15"/>
        <v>0</v>
      </c>
      <c r="J50" s="61">
        <f t="shared" si="15"/>
        <v>0</v>
      </c>
      <c r="K50" s="61">
        <f t="shared" si="15"/>
        <v>0</v>
      </c>
      <c r="L50" s="61">
        <f t="shared" si="15"/>
        <v>0</v>
      </c>
      <c r="M50" s="61">
        <f t="shared" si="15"/>
        <v>0</v>
      </c>
      <c r="N50" s="61">
        <f t="shared" si="15"/>
        <v>0</v>
      </c>
      <c r="Q50" s="61">
        <f t="shared" si="2"/>
        <v>0</v>
      </c>
      <c r="S50" s="61">
        <f t="shared" si="13"/>
        <v>0</v>
      </c>
      <c r="U50" s="61">
        <f t="shared" si="14"/>
        <v>0</v>
      </c>
      <c r="X50" s="61">
        <f t="shared" si="8"/>
        <v>0</v>
      </c>
      <c r="Y50" s="61">
        <f t="shared" si="16"/>
        <v>0</v>
      </c>
      <c r="Z50" s="61">
        <f t="shared" si="16"/>
        <v>0</v>
      </c>
      <c r="AA50" s="61">
        <f t="shared" si="16"/>
        <v>0</v>
      </c>
      <c r="AB50" s="61">
        <f t="shared" si="16"/>
        <v>0</v>
      </c>
      <c r="AC50" s="61">
        <f t="shared" si="16"/>
        <v>48</v>
      </c>
    </row>
    <row r="51" spans="1:29" ht="16.8" x14ac:dyDescent="0.3">
      <c r="A51" s="70">
        <f>'BASE MAESTRA'!B57</f>
        <v>49</v>
      </c>
      <c r="B51" s="61">
        <f t="shared" si="15"/>
        <v>0</v>
      </c>
      <c r="C51" s="61">
        <f t="shared" si="15"/>
        <v>0</v>
      </c>
      <c r="D51" s="61">
        <f t="shared" si="15"/>
        <v>0</v>
      </c>
      <c r="E51" s="61">
        <f t="shared" si="15"/>
        <v>0</v>
      </c>
      <c r="F51" s="61">
        <f t="shared" si="15"/>
        <v>0</v>
      </c>
      <c r="G51" s="61">
        <f t="shared" si="15"/>
        <v>0</v>
      </c>
      <c r="H51" s="61">
        <f t="shared" si="15"/>
        <v>0</v>
      </c>
      <c r="I51" s="61">
        <f t="shared" si="15"/>
        <v>0</v>
      </c>
      <c r="J51" s="61">
        <f t="shared" si="15"/>
        <v>0</v>
      </c>
      <c r="K51" s="61">
        <f t="shared" si="15"/>
        <v>0</v>
      </c>
      <c r="L51" s="61">
        <f t="shared" si="15"/>
        <v>0</v>
      </c>
      <c r="M51" s="61">
        <f t="shared" si="15"/>
        <v>0</v>
      </c>
      <c r="N51" s="61">
        <f t="shared" si="15"/>
        <v>0</v>
      </c>
      <c r="Q51" s="61">
        <f t="shared" si="2"/>
        <v>0</v>
      </c>
      <c r="S51" s="61">
        <f t="shared" si="13"/>
        <v>0</v>
      </c>
      <c r="U51" s="61">
        <f t="shared" si="14"/>
        <v>0</v>
      </c>
      <c r="X51" s="61">
        <f t="shared" si="8"/>
        <v>0</v>
      </c>
      <c r="Y51" s="61">
        <f t="shared" si="16"/>
        <v>0</v>
      </c>
      <c r="Z51" s="61">
        <f t="shared" si="16"/>
        <v>0</v>
      </c>
      <c r="AA51" s="61">
        <f t="shared" si="16"/>
        <v>0</v>
      </c>
      <c r="AB51" s="61">
        <f t="shared" si="16"/>
        <v>0</v>
      </c>
      <c r="AC51" s="61">
        <f t="shared" si="16"/>
        <v>49</v>
      </c>
    </row>
    <row r="52" spans="1:29" ht="16.8" x14ac:dyDescent="0.3">
      <c r="A52" s="70">
        <f>'BASE MAESTRA'!B58</f>
        <v>50</v>
      </c>
      <c r="B52" s="61">
        <f t="shared" ref="B52:N67" si="17">VLOOKUP($A52,DatosEspecies,B$2,FALSE)</f>
        <v>0</v>
      </c>
      <c r="C52" s="61">
        <f t="shared" si="17"/>
        <v>0</v>
      </c>
      <c r="D52" s="61">
        <f t="shared" si="17"/>
        <v>0</v>
      </c>
      <c r="E52" s="61">
        <f t="shared" si="17"/>
        <v>0</v>
      </c>
      <c r="F52" s="61">
        <f t="shared" si="15"/>
        <v>0</v>
      </c>
      <c r="G52" s="61">
        <f t="shared" si="17"/>
        <v>0</v>
      </c>
      <c r="H52" s="61">
        <f t="shared" si="17"/>
        <v>0</v>
      </c>
      <c r="I52" s="61">
        <f t="shared" si="17"/>
        <v>0</v>
      </c>
      <c r="J52" s="61">
        <f t="shared" si="17"/>
        <v>0</v>
      </c>
      <c r="K52" s="61">
        <f t="shared" si="17"/>
        <v>0</v>
      </c>
      <c r="L52" s="61">
        <f t="shared" si="17"/>
        <v>0</v>
      </c>
      <c r="M52" s="61">
        <f t="shared" si="17"/>
        <v>0</v>
      </c>
      <c r="N52" s="61">
        <f t="shared" si="15"/>
        <v>0</v>
      </c>
      <c r="Q52" s="61">
        <f t="shared" si="2"/>
        <v>0</v>
      </c>
      <c r="S52" s="61">
        <f t="shared" si="13"/>
        <v>0</v>
      </c>
      <c r="U52" s="61">
        <f t="shared" si="14"/>
        <v>0</v>
      </c>
      <c r="X52" s="61">
        <f t="shared" si="8"/>
        <v>0</v>
      </c>
      <c r="Y52" s="61">
        <f t="shared" ref="Y52:AC61" si="18">VLOOKUP($A52,DatosEspecies,Y$2,FALSE)</f>
        <v>0</v>
      </c>
      <c r="Z52" s="61">
        <f t="shared" si="18"/>
        <v>0</v>
      </c>
      <c r="AA52" s="61">
        <f t="shared" si="18"/>
        <v>0</v>
      </c>
      <c r="AB52" s="61">
        <f t="shared" si="18"/>
        <v>0</v>
      </c>
      <c r="AC52" s="61">
        <f t="shared" si="18"/>
        <v>50</v>
      </c>
    </row>
    <row r="53" spans="1:29" ht="16.8" x14ac:dyDescent="0.3">
      <c r="A53" s="70">
        <f>'BASE MAESTRA'!B59</f>
        <v>51</v>
      </c>
      <c r="B53" s="61">
        <f t="shared" si="17"/>
        <v>0</v>
      </c>
      <c r="C53" s="61">
        <f t="shared" si="17"/>
        <v>0</v>
      </c>
      <c r="D53" s="61">
        <f t="shared" si="17"/>
        <v>0</v>
      </c>
      <c r="E53" s="61">
        <f t="shared" si="17"/>
        <v>0</v>
      </c>
      <c r="F53" s="61">
        <f t="shared" si="15"/>
        <v>0</v>
      </c>
      <c r="G53" s="61">
        <f t="shared" si="17"/>
        <v>0</v>
      </c>
      <c r="H53" s="61">
        <f t="shared" si="17"/>
        <v>0</v>
      </c>
      <c r="I53" s="61">
        <f t="shared" si="17"/>
        <v>0</v>
      </c>
      <c r="J53" s="61">
        <f t="shared" si="17"/>
        <v>0</v>
      </c>
      <c r="K53" s="61">
        <f t="shared" si="17"/>
        <v>0</v>
      </c>
      <c r="L53" s="61">
        <f t="shared" si="17"/>
        <v>0</v>
      </c>
      <c r="M53" s="61">
        <f t="shared" si="17"/>
        <v>0</v>
      </c>
      <c r="N53" s="61">
        <f t="shared" si="15"/>
        <v>0</v>
      </c>
      <c r="Q53" s="61">
        <f t="shared" si="2"/>
        <v>0</v>
      </c>
      <c r="S53" s="61">
        <f t="shared" si="13"/>
        <v>0</v>
      </c>
      <c r="U53" s="61">
        <f t="shared" si="14"/>
        <v>0</v>
      </c>
      <c r="X53" s="61">
        <f t="shared" si="8"/>
        <v>0</v>
      </c>
      <c r="Y53" s="61">
        <f t="shared" si="18"/>
        <v>0</v>
      </c>
      <c r="Z53" s="61">
        <f t="shared" si="18"/>
        <v>0</v>
      </c>
      <c r="AA53" s="61">
        <f t="shared" si="18"/>
        <v>0</v>
      </c>
      <c r="AB53" s="61">
        <f t="shared" si="18"/>
        <v>0</v>
      </c>
      <c r="AC53" s="61">
        <f t="shared" si="18"/>
        <v>51</v>
      </c>
    </row>
    <row r="54" spans="1:29" ht="16.8" x14ac:dyDescent="0.3">
      <c r="A54" s="70">
        <f>'BASE MAESTRA'!B60</f>
        <v>52</v>
      </c>
      <c r="B54" s="61">
        <f t="shared" si="17"/>
        <v>0</v>
      </c>
      <c r="C54" s="61">
        <f t="shared" si="17"/>
        <v>0</v>
      </c>
      <c r="D54" s="61">
        <f t="shared" si="17"/>
        <v>0</v>
      </c>
      <c r="E54" s="61">
        <f t="shared" si="17"/>
        <v>0</v>
      </c>
      <c r="F54" s="61">
        <f t="shared" si="15"/>
        <v>0</v>
      </c>
      <c r="G54" s="61">
        <f t="shared" si="17"/>
        <v>0</v>
      </c>
      <c r="H54" s="61">
        <f t="shared" si="17"/>
        <v>0</v>
      </c>
      <c r="I54" s="61">
        <f t="shared" si="17"/>
        <v>0</v>
      </c>
      <c r="J54" s="61">
        <f t="shared" si="17"/>
        <v>0</v>
      </c>
      <c r="K54" s="61">
        <f t="shared" si="17"/>
        <v>0</v>
      </c>
      <c r="L54" s="61">
        <f t="shared" si="17"/>
        <v>0</v>
      </c>
      <c r="M54" s="61">
        <f t="shared" si="17"/>
        <v>0</v>
      </c>
      <c r="N54" s="61">
        <f t="shared" si="15"/>
        <v>0</v>
      </c>
      <c r="Q54" s="61">
        <f t="shared" si="2"/>
        <v>0</v>
      </c>
      <c r="S54" s="61">
        <f t="shared" si="13"/>
        <v>0</v>
      </c>
      <c r="U54" s="61">
        <f t="shared" si="14"/>
        <v>0</v>
      </c>
      <c r="X54" s="61">
        <f t="shared" si="8"/>
        <v>0</v>
      </c>
      <c r="Y54" s="61">
        <f t="shared" si="18"/>
        <v>0</v>
      </c>
      <c r="Z54" s="61">
        <f t="shared" si="18"/>
        <v>0</v>
      </c>
      <c r="AA54" s="61">
        <f t="shared" si="18"/>
        <v>0</v>
      </c>
      <c r="AB54" s="61">
        <f t="shared" si="18"/>
        <v>0</v>
      </c>
      <c r="AC54" s="61">
        <f t="shared" si="18"/>
        <v>52</v>
      </c>
    </row>
    <row r="55" spans="1:29" ht="16.8" x14ac:dyDescent="0.3">
      <c r="A55" s="70">
        <f>'BASE MAESTRA'!B61</f>
        <v>53</v>
      </c>
      <c r="B55" s="61">
        <f t="shared" si="17"/>
        <v>0</v>
      </c>
      <c r="C55" s="61">
        <f t="shared" si="17"/>
        <v>0</v>
      </c>
      <c r="D55" s="61">
        <f t="shared" si="17"/>
        <v>0</v>
      </c>
      <c r="E55" s="61">
        <f t="shared" si="17"/>
        <v>0</v>
      </c>
      <c r="F55" s="61">
        <f t="shared" si="15"/>
        <v>0</v>
      </c>
      <c r="G55" s="61">
        <f t="shared" si="17"/>
        <v>0</v>
      </c>
      <c r="H55" s="61">
        <f t="shared" si="17"/>
        <v>0</v>
      </c>
      <c r="I55" s="61">
        <f t="shared" si="17"/>
        <v>0</v>
      </c>
      <c r="J55" s="61">
        <f t="shared" si="17"/>
        <v>0</v>
      </c>
      <c r="K55" s="61">
        <f t="shared" si="17"/>
        <v>0</v>
      </c>
      <c r="L55" s="61">
        <f t="shared" si="17"/>
        <v>0</v>
      </c>
      <c r="M55" s="61">
        <f t="shared" si="17"/>
        <v>0</v>
      </c>
      <c r="N55" s="61">
        <f t="shared" si="15"/>
        <v>0</v>
      </c>
      <c r="Q55" s="61">
        <f t="shared" si="2"/>
        <v>0</v>
      </c>
      <c r="S55" s="61">
        <f t="shared" si="13"/>
        <v>0</v>
      </c>
      <c r="U55" s="61">
        <f t="shared" si="14"/>
        <v>0</v>
      </c>
      <c r="X55" s="61">
        <f t="shared" si="8"/>
        <v>0</v>
      </c>
      <c r="Y55" s="61">
        <f t="shared" si="18"/>
        <v>0</v>
      </c>
      <c r="Z55" s="61">
        <f t="shared" si="18"/>
        <v>0</v>
      </c>
      <c r="AA55" s="61">
        <f t="shared" si="18"/>
        <v>0</v>
      </c>
      <c r="AB55" s="61">
        <f t="shared" si="18"/>
        <v>0</v>
      </c>
      <c r="AC55" s="61">
        <f t="shared" si="18"/>
        <v>53</v>
      </c>
    </row>
    <row r="56" spans="1:29" ht="16.8" x14ac:dyDescent="0.3">
      <c r="A56" s="70">
        <f>'BASE MAESTRA'!B62</f>
        <v>54</v>
      </c>
      <c r="B56" s="61">
        <f t="shared" si="17"/>
        <v>0</v>
      </c>
      <c r="C56" s="61">
        <f t="shared" si="17"/>
        <v>0</v>
      </c>
      <c r="D56" s="61">
        <f t="shared" si="17"/>
        <v>0</v>
      </c>
      <c r="E56" s="61">
        <f t="shared" si="17"/>
        <v>0</v>
      </c>
      <c r="F56" s="61">
        <f t="shared" si="15"/>
        <v>0</v>
      </c>
      <c r="G56" s="61">
        <f t="shared" si="17"/>
        <v>0</v>
      </c>
      <c r="H56" s="61">
        <f t="shared" si="17"/>
        <v>0</v>
      </c>
      <c r="I56" s="61">
        <f t="shared" si="17"/>
        <v>0</v>
      </c>
      <c r="J56" s="61">
        <f t="shared" si="17"/>
        <v>0</v>
      </c>
      <c r="K56" s="61">
        <f t="shared" si="17"/>
        <v>0</v>
      </c>
      <c r="L56" s="61">
        <f t="shared" si="17"/>
        <v>0</v>
      </c>
      <c r="M56" s="61">
        <f t="shared" si="17"/>
        <v>0</v>
      </c>
      <c r="N56" s="61">
        <f t="shared" si="15"/>
        <v>0</v>
      </c>
      <c r="Q56" s="61">
        <f t="shared" si="2"/>
        <v>0</v>
      </c>
      <c r="S56" s="61">
        <f t="shared" si="13"/>
        <v>0</v>
      </c>
      <c r="U56" s="61">
        <f t="shared" si="14"/>
        <v>0</v>
      </c>
      <c r="X56" s="61">
        <f t="shared" si="8"/>
        <v>0</v>
      </c>
      <c r="Y56" s="61">
        <f t="shared" si="18"/>
        <v>0</v>
      </c>
      <c r="Z56" s="61">
        <f t="shared" si="18"/>
        <v>0</v>
      </c>
      <c r="AA56" s="61">
        <f t="shared" si="18"/>
        <v>0</v>
      </c>
      <c r="AB56" s="61">
        <f t="shared" si="18"/>
        <v>0</v>
      </c>
      <c r="AC56" s="61">
        <f t="shared" si="18"/>
        <v>54</v>
      </c>
    </row>
    <row r="57" spans="1:29" ht="16.8" x14ac:dyDescent="0.3">
      <c r="A57" s="70">
        <f>'BASE MAESTRA'!B63</f>
        <v>55</v>
      </c>
      <c r="B57" s="61">
        <f t="shared" si="17"/>
        <v>0</v>
      </c>
      <c r="C57" s="61">
        <f t="shared" si="17"/>
        <v>0</v>
      </c>
      <c r="D57" s="61">
        <f t="shared" si="17"/>
        <v>0</v>
      </c>
      <c r="E57" s="61">
        <f t="shared" si="17"/>
        <v>0</v>
      </c>
      <c r="F57" s="61">
        <f t="shared" si="15"/>
        <v>0</v>
      </c>
      <c r="G57" s="61">
        <f t="shared" si="17"/>
        <v>0</v>
      </c>
      <c r="H57" s="61">
        <f t="shared" si="17"/>
        <v>0</v>
      </c>
      <c r="I57" s="61">
        <f t="shared" si="17"/>
        <v>0</v>
      </c>
      <c r="J57" s="61">
        <f t="shared" si="17"/>
        <v>0</v>
      </c>
      <c r="K57" s="61">
        <f t="shared" si="17"/>
        <v>0</v>
      </c>
      <c r="L57" s="61">
        <f t="shared" si="17"/>
        <v>0</v>
      </c>
      <c r="M57" s="61">
        <f t="shared" si="17"/>
        <v>0</v>
      </c>
      <c r="N57" s="61">
        <f t="shared" si="15"/>
        <v>0</v>
      </c>
      <c r="Q57" s="61">
        <f t="shared" si="2"/>
        <v>0</v>
      </c>
      <c r="S57" s="61">
        <f t="shared" si="13"/>
        <v>0</v>
      </c>
      <c r="U57" s="61">
        <f t="shared" si="14"/>
        <v>0</v>
      </c>
      <c r="X57" s="61">
        <f t="shared" si="8"/>
        <v>0</v>
      </c>
      <c r="Y57" s="61">
        <f t="shared" si="18"/>
        <v>0</v>
      </c>
      <c r="Z57" s="61">
        <f t="shared" si="18"/>
        <v>0</v>
      </c>
      <c r="AA57" s="61">
        <f t="shared" si="18"/>
        <v>0</v>
      </c>
      <c r="AB57" s="61">
        <f t="shared" si="18"/>
        <v>0</v>
      </c>
      <c r="AC57" s="61">
        <f t="shared" si="18"/>
        <v>55</v>
      </c>
    </row>
    <row r="58" spans="1:29" ht="16.8" x14ac:dyDescent="0.3">
      <c r="A58" s="70">
        <f>'BASE MAESTRA'!B64</f>
        <v>56</v>
      </c>
      <c r="B58" s="61">
        <f t="shared" si="17"/>
        <v>0</v>
      </c>
      <c r="C58" s="61">
        <f t="shared" si="17"/>
        <v>0</v>
      </c>
      <c r="D58" s="61">
        <f t="shared" si="17"/>
        <v>0</v>
      </c>
      <c r="E58" s="61">
        <f t="shared" si="17"/>
        <v>0</v>
      </c>
      <c r="F58" s="61">
        <f t="shared" si="17"/>
        <v>0</v>
      </c>
      <c r="G58" s="61">
        <f t="shared" si="17"/>
        <v>0</v>
      </c>
      <c r="H58" s="61">
        <f t="shared" si="17"/>
        <v>0</v>
      </c>
      <c r="I58" s="61">
        <f t="shared" si="17"/>
        <v>0</v>
      </c>
      <c r="J58" s="61">
        <f t="shared" si="17"/>
        <v>0</v>
      </c>
      <c r="K58" s="61">
        <f t="shared" si="17"/>
        <v>0</v>
      </c>
      <c r="L58" s="61">
        <f t="shared" si="17"/>
        <v>0</v>
      </c>
      <c r="M58" s="61">
        <f t="shared" si="17"/>
        <v>0</v>
      </c>
      <c r="N58" s="61">
        <f t="shared" si="17"/>
        <v>0</v>
      </c>
      <c r="Q58" s="61">
        <f t="shared" si="2"/>
        <v>0</v>
      </c>
      <c r="S58" s="61">
        <f t="shared" si="13"/>
        <v>0</v>
      </c>
      <c r="U58" s="61">
        <f t="shared" si="14"/>
        <v>0</v>
      </c>
      <c r="X58" s="61">
        <f t="shared" si="8"/>
        <v>0</v>
      </c>
      <c r="Y58" s="61">
        <f t="shared" si="18"/>
        <v>0</v>
      </c>
      <c r="Z58" s="61">
        <f t="shared" si="18"/>
        <v>0</v>
      </c>
      <c r="AA58" s="61">
        <f t="shared" si="18"/>
        <v>0</v>
      </c>
      <c r="AB58" s="61">
        <f t="shared" si="18"/>
        <v>0</v>
      </c>
      <c r="AC58" s="61">
        <f t="shared" si="18"/>
        <v>56</v>
      </c>
    </row>
    <row r="59" spans="1:29" ht="16.8" x14ac:dyDescent="0.3">
      <c r="A59" s="70">
        <f>'BASE MAESTRA'!B65</f>
        <v>57</v>
      </c>
      <c r="B59" s="61">
        <f t="shared" si="17"/>
        <v>0</v>
      </c>
      <c r="C59" s="61">
        <f t="shared" si="17"/>
        <v>0</v>
      </c>
      <c r="D59" s="61">
        <f t="shared" si="17"/>
        <v>0</v>
      </c>
      <c r="E59" s="61">
        <f t="shared" si="17"/>
        <v>0</v>
      </c>
      <c r="F59" s="61">
        <f t="shared" si="17"/>
        <v>0</v>
      </c>
      <c r="G59" s="61">
        <f t="shared" si="17"/>
        <v>0</v>
      </c>
      <c r="H59" s="61">
        <f t="shared" si="17"/>
        <v>0</v>
      </c>
      <c r="I59" s="61">
        <f t="shared" si="17"/>
        <v>0</v>
      </c>
      <c r="J59" s="61">
        <f t="shared" si="17"/>
        <v>0</v>
      </c>
      <c r="K59" s="61">
        <f t="shared" si="17"/>
        <v>0</v>
      </c>
      <c r="L59" s="61">
        <f t="shared" si="17"/>
        <v>0</v>
      </c>
      <c r="M59" s="61">
        <f t="shared" si="17"/>
        <v>0</v>
      </c>
      <c r="N59" s="61">
        <f t="shared" si="17"/>
        <v>0</v>
      </c>
      <c r="Q59" s="61">
        <f t="shared" si="2"/>
        <v>0</v>
      </c>
      <c r="S59" s="61">
        <f t="shared" si="13"/>
        <v>0</v>
      </c>
      <c r="U59" s="61">
        <f t="shared" si="14"/>
        <v>0</v>
      </c>
      <c r="X59" s="61">
        <f t="shared" si="8"/>
        <v>0</v>
      </c>
      <c r="Y59" s="61">
        <f t="shared" si="18"/>
        <v>0</v>
      </c>
      <c r="Z59" s="61">
        <f t="shared" si="18"/>
        <v>0</v>
      </c>
      <c r="AA59" s="61">
        <f t="shared" si="18"/>
        <v>0</v>
      </c>
      <c r="AB59" s="61">
        <f t="shared" si="18"/>
        <v>0</v>
      </c>
      <c r="AC59" s="61">
        <f t="shared" si="18"/>
        <v>57</v>
      </c>
    </row>
    <row r="60" spans="1:29" ht="16.8" x14ac:dyDescent="0.3">
      <c r="A60" s="70">
        <f>'BASE MAESTRA'!B66</f>
        <v>58</v>
      </c>
      <c r="B60" s="61">
        <f t="shared" si="17"/>
        <v>0</v>
      </c>
      <c r="C60" s="61">
        <f t="shared" si="17"/>
        <v>0</v>
      </c>
      <c r="D60" s="61">
        <f t="shared" si="17"/>
        <v>0</v>
      </c>
      <c r="E60" s="61">
        <f t="shared" si="17"/>
        <v>0</v>
      </c>
      <c r="F60" s="61">
        <f t="shared" si="17"/>
        <v>0</v>
      </c>
      <c r="G60" s="61">
        <f t="shared" si="17"/>
        <v>0</v>
      </c>
      <c r="H60" s="61">
        <f t="shared" si="17"/>
        <v>0</v>
      </c>
      <c r="I60" s="61">
        <f t="shared" si="17"/>
        <v>0</v>
      </c>
      <c r="J60" s="61">
        <f t="shared" si="17"/>
        <v>0</v>
      </c>
      <c r="K60" s="61">
        <f t="shared" si="17"/>
        <v>0</v>
      </c>
      <c r="L60" s="61">
        <f t="shared" si="17"/>
        <v>0</v>
      </c>
      <c r="M60" s="61">
        <f t="shared" si="17"/>
        <v>0</v>
      </c>
      <c r="N60" s="61">
        <f t="shared" si="17"/>
        <v>0</v>
      </c>
      <c r="Q60" s="61">
        <f t="shared" si="2"/>
        <v>0</v>
      </c>
      <c r="S60" s="61">
        <f t="shared" si="13"/>
        <v>0</v>
      </c>
      <c r="U60" s="61">
        <f t="shared" si="14"/>
        <v>0</v>
      </c>
      <c r="X60" s="61">
        <f t="shared" si="8"/>
        <v>0</v>
      </c>
      <c r="Y60" s="61">
        <f t="shared" si="18"/>
        <v>0</v>
      </c>
      <c r="Z60" s="61">
        <f t="shared" si="18"/>
        <v>0</v>
      </c>
      <c r="AA60" s="61">
        <f t="shared" si="18"/>
        <v>0</v>
      </c>
      <c r="AB60" s="61">
        <f t="shared" si="18"/>
        <v>0</v>
      </c>
      <c r="AC60" s="61">
        <f t="shared" si="18"/>
        <v>58</v>
      </c>
    </row>
    <row r="61" spans="1:29" ht="16.8" x14ac:dyDescent="0.3">
      <c r="A61" s="70">
        <f>'BASE MAESTRA'!B67</f>
        <v>59</v>
      </c>
      <c r="B61" s="61">
        <f t="shared" si="17"/>
        <v>0</v>
      </c>
      <c r="C61" s="61">
        <f t="shared" si="17"/>
        <v>0</v>
      </c>
      <c r="D61" s="61">
        <f t="shared" si="17"/>
        <v>0</v>
      </c>
      <c r="E61" s="61">
        <f t="shared" si="17"/>
        <v>0</v>
      </c>
      <c r="F61" s="61">
        <f t="shared" si="17"/>
        <v>0</v>
      </c>
      <c r="G61" s="61">
        <f t="shared" si="17"/>
        <v>0</v>
      </c>
      <c r="H61" s="61">
        <f t="shared" si="17"/>
        <v>0</v>
      </c>
      <c r="I61" s="61">
        <f t="shared" si="17"/>
        <v>0</v>
      </c>
      <c r="J61" s="61">
        <f t="shared" si="17"/>
        <v>0</v>
      </c>
      <c r="K61" s="61">
        <f t="shared" si="17"/>
        <v>0</v>
      </c>
      <c r="L61" s="61">
        <f t="shared" si="17"/>
        <v>0</v>
      </c>
      <c r="M61" s="61">
        <f t="shared" si="17"/>
        <v>0</v>
      </c>
      <c r="N61" s="61">
        <f t="shared" si="17"/>
        <v>0</v>
      </c>
      <c r="Q61" s="61">
        <f t="shared" si="2"/>
        <v>0</v>
      </c>
      <c r="S61" s="61">
        <f t="shared" si="13"/>
        <v>0</v>
      </c>
      <c r="U61" s="61">
        <f t="shared" si="14"/>
        <v>0</v>
      </c>
      <c r="X61" s="61">
        <f t="shared" si="8"/>
        <v>0</v>
      </c>
      <c r="Y61" s="61">
        <f t="shared" si="18"/>
        <v>0</v>
      </c>
      <c r="Z61" s="61">
        <f t="shared" si="18"/>
        <v>0</v>
      </c>
      <c r="AA61" s="61">
        <f t="shared" si="18"/>
        <v>0</v>
      </c>
      <c r="AB61" s="61">
        <f t="shared" si="18"/>
        <v>0</v>
      </c>
      <c r="AC61" s="61">
        <f t="shared" si="18"/>
        <v>59</v>
      </c>
    </row>
    <row r="62" spans="1:29" ht="16.8" x14ac:dyDescent="0.3">
      <c r="A62" s="70">
        <f>'BASE MAESTRA'!B68</f>
        <v>60</v>
      </c>
      <c r="B62" s="61">
        <f t="shared" ref="B62:N77" si="19">VLOOKUP($A62,DatosEspecies,B$2,FALSE)</f>
        <v>0</v>
      </c>
      <c r="C62" s="61">
        <f t="shared" si="19"/>
        <v>0</v>
      </c>
      <c r="D62" s="61">
        <f t="shared" si="19"/>
        <v>0</v>
      </c>
      <c r="E62" s="61">
        <f t="shared" si="19"/>
        <v>0</v>
      </c>
      <c r="F62" s="61">
        <f t="shared" si="17"/>
        <v>0</v>
      </c>
      <c r="G62" s="61">
        <f t="shared" si="19"/>
        <v>0</v>
      </c>
      <c r="H62" s="61">
        <f t="shared" si="19"/>
        <v>0</v>
      </c>
      <c r="I62" s="61">
        <f t="shared" si="19"/>
        <v>0</v>
      </c>
      <c r="J62" s="61">
        <f t="shared" si="19"/>
        <v>0</v>
      </c>
      <c r="K62" s="61">
        <f t="shared" si="19"/>
        <v>0</v>
      </c>
      <c r="L62" s="61">
        <f t="shared" si="19"/>
        <v>0</v>
      </c>
      <c r="M62" s="61">
        <f t="shared" si="19"/>
        <v>0</v>
      </c>
      <c r="N62" s="61">
        <f t="shared" si="17"/>
        <v>0</v>
      </c>
      <c r="Q62" s="61">
        <f t="shared" si="2"/>
        <v>0</v>
      </c>
      <c r="S62" s="61">
        <f t="shared" si="13"/>
        <v>0</v>
      </c>
      <c r="U62" s="61">
        <f t="shared" si="14"/>
        <v>0</v>
      </c>
      <c r="X62" s="61">
        <f t="shared" si="8"/>
        <v>0</v>
      </c>
      <c r="Y62" s="61">
        <f t="shared" ref="Y62:AC77" si="20">VLOOKUP($A62,DatosEspecies,Y$2,FALSE)</f>
        <v>0</v>
      </c>
      <c r="Z62" s="61">
        <f t="shared" si="20"/>
        <v>0</v>
      </c>
      <c r="AA62" s="61">
        <f t="shared" si="20"/>
        <v>0</v>
      </c>
      <c r="AB62" s="61">
        <f t="shared" si="20"/>
        <v>0</v>
      </c>
      <c r="AC62" s="61">
        <f t="shared" si="20"/>
        <v>60</v>
      </c>
    </row>
    <row r="63" spans="1:29" ht="16.8" x14ac:dyDescent="0.3">
      <c r="A63" s="70">
        <f>'BASE MAESTRA'!B69</f>
        <v>61</v>
      </c>
      <c r="B63" s="61">
        <f t="shared" si="19"/>
        <v>0</v>
      </c>
      <c r="C63" s="61">
        <f t="shared" si="19"/>
        <v>0</v>
      </c>
      <c r="D63" s="61">
        <f t="shared" si="19"/>
        <v>0</v>
      </c>
      <c r="E63" s="61">
        <f t="shared" si="19"/>
        <v>0</v>
      </c>
      <c r="F63" s="61">
        <f t="shared" si="17"/>
        <v>0</v>
      </c>
      <c r="G63" s="61">
        <f t="shared" si="19"/>
        <v>0</v>
      </c>
      <c r="H63" s="61">
        <f t="shared" si="19"/>
        <v>0</v>
      </c>
      <c r="I63" s="61">
        <f t="shared" si="19"/>
        <v>0</v>
      </c>
      <c r="J63" s="61">
        <f t="shared" si="19"/>
        <v>0</v>
      </c>
      <c r="K63" s="61">
        <f t="shared" si="19"/>
        <v>0</v>
      </c>
      <c r="L63" s="61">
        <f t="shared" si="19"/>
        <v>0</v>
      </c>
      <c r="M63" s="61">
        <f t="shared" si="19"/>
        <v>0</v>
      </c>
      <c r="N63" s="61">
        <f t="shared" si="17"/>
        <v>0</v>
      </c>
      <c r="Q63" s="61">
        <f t="shared" si="2"/>
        <v>0</v>
      </c>
      <c r="S63" s="61">
        <f t="shared" si="13"/>
        <v>0</v>
      </c>
      <c r="U63" s="61">
        <f t="shared" si="14"/>
        <v>0</v>
      </c>
      <c r="X63" s="61">
        <f t="shared" si="8"/>
        <v>0</v>
      </c>
      <c r="Y63" s="61">
        <f t="shared" si="20"/>
        <v>0</v>
      </c>
      <c r="Z63" s="61">
        <f t="shared" si="20"/>
        <v>0</v>
      </c>
      <c r="AA63" s="61">
        <f t="shared" si="20"/>
        <v>0</v>
      </c>
      <c r="AB63" s="61">
        <f t="shared" si="20"/>
        <v>0</v>
      </c>
      <c r="AC63" s="61">
        <f t="shared" si="20"/>
        <v>61</v>
      </c>
    </row>
    <row r="64" spans="1:29" ht="16.8" x14ac:dyDescent="0.3">
      <c r="A64" s="70">
        <f>'BASE MAESTRA'!B70</f>
        <v>62</v>
      </c>
      <c r="B64" s="61">
        <f t="shared" si="19"/>
        <v>0</v>
      </c>
      <c r="C64" s="61">
        <f t="shared" si="19"/>
        <v>0</v>
      </c>
      <c r="D64" s="61">
        <f t="shared" si="19"/>
        <v>0</v>
      </c>
      <c r="E64" s="61">
        <f t="shared" si="19"/>
        <v>0</v>
      </c>
      <c r="F64" s="61">
        <f t="shared" si="17"/>
        <v>0</v>
      </c>
      <c r="G64" s="61">
        <f t="shared" si="19"/>
        <v>0</v>
      </c>
      <c r="H64" s="61">
        <f t="shared" si="19"/>
        <v>0</v>
      </c>
      <c r="I64" s="61">
        <f t="shared" si="19"/>
        <v>0</v>
      </c>
      <c r="J64" s="61">
        <f t="shared" si="19"/>
        <v>0</v>
      </c>
      <c r="K64" s="61">
        <f t="shared" si="19"/>
        <v>0</v>
      </c>
      <c r="L64" s="61">
        <f t="shared" si="19"/>
        <v>0</v>
      </c>
      <c r="M64" s="61">
        <f t="shared" si="19"/>
        <v>0</v>
      </c>
      <c r="N64" s="61">
        <f t="shared" si="17"/>
        <v>0</v>
      </c>
      <c r="Q64" s="61">
        <f t="shared" si="2"/>
        <v>0</v>
      </c>
      <c r="S64" s="61">
        <f t="shared" si="13"/>
        <v>0</v>
      </c>
      <c r="U64" s="61">
        <f t="shared" si="14"/>
        <v>0</v>
      </c>
      <c r="X64" s="61">
        <f t="shared" si="8"/>
        <v>0</v>
      </c>
      <c r="Y64" s="61">
        <f t="shared" si="20"/>
        <v>0</v>
      </c>
      <c r="Z64" s="61">
        <f t="shared" si="20"/>
        <v>0</v>
      </c>
      <c r="AA64" s="61">
        <f t="shared" si="20"/>
        <v>0</v>
      </c>
      <c r="AB64" s="61">
        <f t="shared" si="20"/>
        <v>0</v>
      </c>
      <c r="AC64" s="61">
        <f t="shared" si="20"/>
        <v>62</v>
      </c>
    </row>
    <row r="65" spans="1:29" ht="16.8" x14ac:dyDescent="0.3">
      <c r="A65" s="70">
        <f>'BASE MAESTRA'!B71</f>
        <v>63</v>
      </c>
      <c r="B65" s="61">
        <f t="shared" si="19"/>
        <v>0</v>
      </c>
      <c r="C65" s="61">
        <f t="shared" si="19"/>
        <v>0</v>
      </c>
      <c r="D65" s="61">
        <f t="shared" si="19"/>
        <v>0</v>
      </c>
      <c r="E65" s="61">
        <f t="shared" si="19"/>
        <v>0</v>
      </c>
      <c r="F65" s="61">
        <f t="shared" si="17"/>
        <v>0</v>
      </c>
      <c r="G65" s="61">
        <f t="shared" si="19"/>
        <v>0</v>
      </c>
      <c r="H65" s="61">
        <f t="shared" si="19"/>
        <v>0</v>
      </c>
      <c r="I65" s="61">
        <f t="shared" si="19"/>
        <v>0</v>
      </c>
      <c r="J65" s="61">
        <f t="shared" si="19"/>
        <v>0</v>
      </c>
      <c r="K65" s="61">
        <f t="shared" si="19"/>
        <v>0</v>
      </c>
      <c r="L65" s="61">
        <f t="shared" si="19"/>
        <v>0</v>
      </c>
      <c r="M65" s="61">
        <f t="shared" si="19"/>
        <v>0</v>
      </c>
      <c r="N65" s="61">
        <f t="shared" si="17"/>
        <v>0</v>
      </c>
      <c r="Q65" s="61">
        <f t="shared" si="2"/>
        <v>0</v>
      </c>
      <c r="S65" s="61">
        <f t="shared" si="13"/>
        <v>0</v>
      </c>
      <c r="U65" s="61">
        <f t="shared" si="14"/>
        <v>0</v>
      </c>
      <c r="X65" s="61">
        <f t="shared" si="8"/>
        <v>0</v>
      </c>
      <c r="Y65" s="61">
        <f t="shared" si="20"/>
        <v>0</v>
      </c>
      <c r="Z65" s="61">
        <f t="shared" si="20"/>
        <v>0</v>
      </c>
      <c r="AA65" s="61">
        <f t="shared" si="20"/>
        <v>0</v>
      </c>
      <c r="AB65" s="61">
        <f t="shared" si="20"/>
        <v>0</v>
      </c>
      <c r="AC65" s="61">
        <f t="shared" si="20"/>
        <v>63</v>
      </c>
    </row>
    <row r="66" spans="1:29" ht="16.8" x14ac:dyDescent="0.3">
      <c r="A66" s="70">
        <f>'BASE MAESTRA'!B72</f>
        <v>64</v>
      </c>
      <c r="B66" s="61">
        <f t="shared" si="19"/>
        <v>0</v>
      </c>
      <c r="C66" s="61">
        <f t="shared" si="19"/>
        <v>0</v>
      </c>
      <c r="D66" s="61">
        <f t="shared" si="19"/>
        <v>0</v>
      </c>
      <c r="E66" s="61">
        <f t="shared" si="19"/>
        <v>0</v>
      </c>
      <c r="F66" s="61">
        <f t="shared" si="17"/>
        <v>0</v>
      </c>
      <c r="G66" s="61">
        <f t="shared" si="19"/>
        <v>0</v>
      </c>
      <c r="H66" s="61">
        <f t="shared" si="19"/>
        <v>0</v>
      </c>
      <c r="I66" s="61">
        <f t="shared" si="19"/>
        <v>0</v>
      </c>
      <c r="J66" s="61">
        <f t="shared" si="19"/>
        <v>0</v>
      </c>
      <c r="K66" s="61">
        <f t="shared" si="19"/>
        <v>0</v>
      </c>
      <c r="L66" s="61">
        <f t="shared" si="19"/>
        <v>0</v>
      </c>
      <c r="M66" s="61">
        <f t="shared" si="19"/>
        <v>0</v>
      </c>
      <c r="N66" s="61">
        <f t="shared" si="17"/>
        <v>0</v>
      </c>
      <c r="Q66" s="61">
        <f t="shared" si="2"/>
        <v>0</v>
      </c>
      <c r="S66" s="61">
        <f t="shared" si="13"/>
        <v>0</v>
      </c>
      <c r="U66" s="61">
        <f t="shared" si="14"/>
        <v>0</v>
      </c>
      <c r="X66" s="61">
        <f t="shared" si="8"/>
        <v>0</v>
      </c>
      <c r="Y66" s="61">
        <f t="shared" si="20"/>
        <v>0</v>
      </c>
      <c r="Z66" s="61">
        <f t="shared" si="20"/>
        <v>0</v>
      </c>
      <c r="AA66" s="61">
        <f t="shared" si="20"/>
        <v>0</v>
      </c>
      <c r="AB66" s="61">
        <f t="shared" si="20"/>
        <v>0</v>
      </c>
      <c r="AC66" s="61">
        <f t="shared" si="20"/>
        <v>64</v>
      </c>
    </row>
    <row r="67" spans="1:29" ht="16.8" x14ac:dyDescent="0.3">
      <c r="A67" s="70">
        <f>'BASE MAESTRA'!B73</f>
        <v>65</v>
      </c>
      <c r="B67" s="61">
        <f t="shared" si="19"/>
        <v>0</v>
      </c>
      <c r="C67" s="61">
        <f t="shared" si="19"/>
        <v>0</v>
      </c>
      <c r="D67" s="61">
        <f t="shared" si="19"/>
        <v>0</v>
      </c>
      <c r="E67" s="61">
        <f t="shared" si="19"/>
        <v>0</v>
      </c>
      <c r="F67" s="61">
        <f t="shared" si="17"/>
        <v>0</v>
      </c>
      <c r="G67" s="61">
        <f t="shared" si="19"/>
        <v>0</v>
      </c>
      <c r="H67" s="61">
        <f t="shared" si="19"/>
        <v>0</v>
      </c>
      <c r="I67" s="61">
        <f t="shared" si="19"/>
        <v>0</v>
      </c>
      <c r="J67" s="61">
        <f t="shared" si="19"/>
        <v>0</v>
      </c>
      <c r="K67" s="61">
        <f t="shared" si="19"/>
        <v>0</v>
      </c>
      <c r="L67" s="61">
        <f t="shared" si="19"/>
        <v>0</v>
      </c>
      <c r="M67" s="61">
        <f t="shared" si="19"/>
        <v>0</v>
      </c>
      <c r="N67" s="61">
        <f t="shared" si="17"/>
        <v>0</v>
      </c>
      <c r="Q67" s="61">
        <f t="shared" ref="Q67:Q130" si="21">VLOOKUP($A67,DatosEspecies,Q$2,FALSE)</f>
        <v>0</v>
      </c>
      <c r="S67" s="61">
        <f t="shared" si="13"/>
        <v>0</v>
      </c>
      <c r="U67" s="61">
        <f t="shared" si="14"/>
        <v>0</v>
      </c>
      <c r="X67" s="61">
        <f>VLOOKUP($A67,DatosEspecies,X$2,FALSE)</f>
        <v>0</v>
      </c>
      <c r="Y67" s="61">
        <f t="shared" si="20"/>
        <v>0</v>
      </c>
      <c r="Z67" s="61">
        <f t="shared" si="20"/>
        <v>0</v>
      </c>
      <c r="AA67" s="61">
        <f t="shared" si="20"/>
        <v>0</v>
      </c>
      <c r="AB67" s="61">
        <f t="shared" si="20"/>
        <v>0</v>
      </c>
      <c r="AC67" s="61">
        <f t="shared" si="20"/>
        <v>65</v>
      </c>
    </row>
    <row r="68" spans="1:29" ht="16.8" x14ac:dyDescent="0.3">
      <c r="A68" s="70">
        <f>'BASE MAESTRA'!B74</f>
        <v>66</v>
      </c>
      <c r="B68" s="61">
        <f t="shared" si="19"/>
        <v>0</v>
      </c>
      <c r="C68" s="61">
        <f t="shared" si="19"/>
        <v>0</v>
      </c>
      <c r="D68" s="61">
        <f t="shared" si="19"/>
        <v>0</v>
      </c>
      <c r="E68" s="61">
        <f t="shared" si="19"/>
        <v>0</v>
      </c>
      <c r="F68" s="61">
        <f t="shared" si="19"/>
        <v>0</v>
      </c>
      <c r="G68" s="61">
        <f t="shared" si="19"/>
        <v>0</v>
      </c>
      <c r="H68" s="61">
        <f t="shared" si="19"/>
        <v>0</v>
      </c>
      <c r="I68" s="61">
        <f t="shared" si="19"/>
        <v>0</v>
      </c>
      <c r="J68" s="61">
        <f t="shared" si="19"/>
        <v>0</v>
      </c>
      <c r="K68" s="61">
        <f t="shared" si="19"/>
        <v>0</v>
      </c>
      <c r="L68" s="61">
        <f t="shared" si="19"/>
        <v>0</v>
      </c>
      <c r="M68" s="61">
        <f t="shared" si="19"/>
        <v>0</v>
      </c>
      <c r="N68" s="61">
        <f t="shared" si="19"/>
        <v>0</v>
      </c>
      <c r="Q68" s="61">
        <f t="shared" si="21"/>
        <v>0</v>
      </c>
      <c r="S68" s="61">
        <f t="shared" si="13"/>
        <v>0</v>
      </c>
      <c r="U68" s="61">
        <f t="shared" ref="U68:AC106" si="22">VLOOKUP($A68,DatosEspecies,U$2,FALSE)</f>
        <v>0</v>
      </c>
      <c r="X68" s="61">
        <f t="shared" si="22"/>
        <v>0</v>
      </c>
      <c r="Y68" s="61">
        <f t="shared" si="20"/>
        <v>0</v>
      </c>
      <c r="Z68" s="61">
        <f t="shared" si="20"/>
        <v>0</v>
      </c>
      <c r="AA68" s="61">
        <f t="shared" si="20"/>
        <v>0</v>
      </c>
      <c r="AB68" s="61">
        <f t="shared" si="20"/>
        <v>0</v>
      </c>
      <c r="AC68" s="61">
        <f t="shared" si="20"/>
        <v>66</v>
      </c>
    </row>
    <row r="69" spans="1:29" ht="16.8" x14ac:dyDescent="0.3">
      <c r="A69" s="70">
        <f>'BASE MAESTRA'!B75</f>
        <v>67</v>
      </c>
      <c r="B69" s="61">
        <f t="shared" si="19"/>
        <v>0</v>
      </c>
      <c r="C69" s="61">
        <f t="shared" si="19"/>
        <v>0</v>
      </c>
      <c r="D69" s="61">
        <f t="shared" si="19"/>
        <v>0</v>
      </c>
      <c r="E69" s="61">
        <f t="shared" si="19"/>
        <v>0</v>
      </c>
      <c r="F69" s="61">
        <f t="shared" si="19"/>
        <v>0</v>
      </c>
      <c r="G69" s="61">
        <f t="shared" si="19"/>
        <v>0</v>
      </c>
      <c r="H69" s="61">
        <f t="shared" si="19"/>
        <v>0</v>
      </c>
      <c r="I69" s="61">
        <f t="shared" si="19"/>
        <v>0</v>
      </c>
      <c r="J69" s="61">
        <f t="shared" si="19"/>
        <v>0</v>
      </c>
      <c r="K69" s="61">
        <f t="shared" si="19"/>
        <v>0</v>
      </c>
      <c r="L69" s="61">
        <f t="shared" si="19"/>
        <v>0</v>
      </c>
      <c r="M69" s="61">
        <f t="shared" si="19"/>
        <v>0</v>
      </c>
      <c r="N69" s="61">
        <f t="shared" si="19"/>
        <v>0</v>
      </c>
      <c r="Q69" s="61">
        <f t="shared" si="21"/>
        <v>0</v>
      </c>
      <c r="S69" s="61">
        <f t="shared" si="13"/>
        <v>0</v>
      </c>
      <c r="U69" s="61">
        <f t="shared" si="22"/>
        <v>0</v>
      </c>
      <c r="X69" s="61">
        <f t="shared" si="22"/>
        <v>0</v>
      </c>
      <c r="Y69" s="61">
        <f t="shared" si="20"/>
        <v>0</v>
      </c>
      <c r="Z69" s="61">
        <f t="shared" si="20"/>
        <v>0</v>
      </c>
      <c r="AA69" s="61">
        <f t="shared" si="20"/>
        <v>0</v>
      </c>
      <c r="AB69" s="61">
        <f t="shared" si="20"/>
        <v>0</v>
      </c>
      <c r="AC69" s="61">
        <f t="shared" si="20"/>
        <v>67</v>
      </c>
    </row>
    <row r="70" spans="1:29" ht="16.8" x14ac:dyDescent="0.3">
      <c r="A70" s="70">
        <f>'BASE MAESTRA'!B76</f>
        <v>68</v>
      </c>
      <c r="B70" s="61">
        <f t="shared" si="19"/>
        <v>0</v>
      </c>
      <c r="C70" s="61">
        <f t="shared" si="19"/>
        <v>0</v>
      </c>
      <c r="D70" s="61">
        <f t="shared" si="19"/>
        <v>0</v>
      </c>
      <c r="E70" s="61">
        <f t="shared" si="19"/>
        <v>0</v>
      </c>
      <c r="F70" s="61">
        <f t="shared" si="19"/>
        <v>0</v>
      </c>
      <c r="G70" s="61">
        <f t="shared" si="19"/>
        <v>0</v>
      </c>
      <c r="H70" s="61">
        <f t="shared" si="19"/>
        <v>0</v>
      </c>
      <c r="I70" s="61">
        <f t="shared" si="19"/>
        <v>0</v>
      </c>
      <c r="J70" s="61">
        <f t="shared" si="19"/>
        <v>0</v>
      </c>
      <c r="K70" s="61">
        <f t="shared" si="19"/>
        <v>0</v>
      </c>
      <c r="L70" s="61">
        <f t="shared" si="19"/>
        <v>0</v>
      </c>
      <c r="M70" s="61">
        <f t="shared" si="19"/>
        <v>0</v>
      </c>
      <c r="N70" s="61">
        <f t="shared" si="19"/>
        <v>0</v>
      </c>
      <c r="Q70" s="61">
        <f t="shared" si="21"/>
        <v>0</v>
      </c>
      <c r="S70" s="61">
        <f t="shared" si="13"/>
        <v>0</v>
      </c>
      <c r="U70" s="61">
        <f t="shared" si="22"/>
        <v>0</v>
      </c>
      <c r="X70" s="61">
        <f t="shared" si="22"/>
        <v>0</v>
      </c>
      <c r="Y70" s="61">
        <f t="shared" si="20"/>
        <v>0</v>
      </c>
      <c r="Z70" s="61">
        <f t="shared" si="20"/>
        <v>0</v>
      </c>
      <c r="AA70" s="61">
        <f t="shared" si="20"/>
        <v>0</v>
      </c>
      <c r="AB70" s="61">
        <f t="shared" si="20"/>
        <v>0</v>
      </c>
      <c r="AC70" s="61">
        <f t="shared" si="20"/>
        <v>68</v>
      </c>
    </row>
    <row r="71" spans="1:29" ht="16.8" x14ac:dyDescent="0.3">
      <c r="A71" s="70">
        <f>'BASE MAESTRA'!B77</f>
        <v>69</v>
      </c>
      <c r="B71" s="61">
        <f t="shared" si="19"/>
        <v>0</v>
      </c>
      <c r="C71" s="61">
        <f t="shared" si="19"/>
        <v>0</v>
      </c>
      <c r="D71" s="61">
        <f t="shared" si="19"/>
        <v>0</v>
      </c>
      <c r="E71" s="61">
        <f t="shared" si="19"/>
        <v>0</v>
      </c>
      <c r="F71" s="61">
        <f t="shared" si="19"/>
        <v>0</v>
      </c>
      <c r="G71" s="61">
        <f t="shared" si="19"/>
        <v>0</v>
      </c>
      <c r="H71" s="61">
        <f t="shared" si="19"/>
        <v>0</v>
      </c>
      <c r="I71" s="61">
        <f t="shared" si="19"/>
        <v>0</v>
      </c>
      <c r="J71" s="61">
        <f t="shared" si="19"/>
        <v>0</v>
      </c>
      <c r="K71" s="61">
        <f t="shared" si="19"/>
        <v>0</v>
      </c>
      <c r="L71" s="61">
        <f t="shared" si="19"/>
        <v>0</v>
      </c>
      <c r="M71" s="61">
        <f t="shared" si="19"/>
        <v>0</v>
      </c>
      <c r="N71" s="61">
        <f t="shared" si="19"/>
        <v>0</v>
      </c>
      <c r="Q71" s="61">
        <f t="shared" si="21"/>
        <v>0</v>
      </c>
      <c r="S71" s="61">
        <f t="shared" si="13"/>
        <v>0</v>
      </c>
      <c r="U71" s="61">
        <f t="shared" si="22"/>
        <v>0</v>
      </c>
      <c r="X71" s="61">
        <f t="shared" si="22"/>
        <v>0</v>
      </c>
      <c r="Y71" s="61">
        <f t="shared" si="20"/>
        <v>0</v>
      </c>
      <c r="Z71" s="61">
        <f t="shared" si="20"/>
        <v>0</v>
      </c>
      <c r="AA71" s="61">
        <f t="shared" si="20"/>
        <v>0</v>
      </c>
      <c r="AB71" s="61">
        <f t="shared" si="20"/>
        <v>0</v>
      </c>
      <c r="AC71" s="61">
        <f t="shared" si="20"/>
        <v>69</v>
      </c>
    </row>
    <row r="72" spans="1:29" ht="16.8" x14ac:dyDescent="0.3">
      <c r="A72" s="70">
        <f>'BASE MAESTRA'!B78</f>
        <v>70</v>
      </c>
      <c r="B72" s="61">
        <f t="shared" si="19"/>
        <v>0</v>
      </c>
      <c r="C72" s="61">
        <f t="shared" si="19"/>
        <v>0</v>
      </c>
      <c r="D72" s="61">
        <f t="shared" si="19"/>
        <v>0</v>
      </c>
      <c r="E72" s="61">
        <f t="shared" si="19"/>
        <v>0</v>
      </c>
      <c r="F72" s="61">
        <f t="shared" si="19"/>
        <v>0</v>
      </c>
      <c r="G72" s="61">
        <f t="shared" si="19"/>
        <v>0</v>
      </c>
      <c r="H72" s="61">
        <f t="shared" si="19"/>
        <v>0</v>
      </c>
      <c r="I72" s="61">
        <f t="shared" si="19"/>
        <v>0</v>
      </c>
      <c r="J72" s="61">
        <f t="shared" si="19"/>
        <v>0</v>
      </c>
      <c r="K72" s="61">
        <f t="shared" si="19"/>
        <v>0</v>
      </c>
      <c r="L72" s="61">
        <f t="shared" si="19"/>
        <v>0</v>
      </c>
      <c r="M72" s="61">
        <f t="shared" si="19"/>
        <v>0</v>
      </c>
      <c r="N72" s="61">
        <f t="shared" si="19"/>
        <v>0</v>
      </c>
      <c r="Q72" s="61">
        <f t="shared" si="21"/>
        <v>0</v>
      </c>
      <c r="S72" s="61">
        <f t="shared" si="13"/>
        <v>0</v>
      </c>
      <c r="U72" s="61">
        <f t="shared" si="22"/>
        <v>0</v>
      </c>
      <c r="X72" s="61">
        <f t="shared" si="22"/>
        <v>0</v>
      </c>
      <c r="Y72" s="61">
        <f t="shared" si="20"/>
        <v>0</v>
      </c>
      <c r="Z72" s="61">
        <f t="shared" si="20"/>
        <v>0</v>
      </c>
      <c r="AA72" s="61">
        <f t="shared" si="20"/>
        <v>0</v>
      </c>
      <c r="AB72" s="61">
        <f t="shared" si="20"/>
        <v>0</v>
      </c>
      <c r="AC72" s="61">
        <f t="shared" si="20"/>
        <v>70</v>
      </c>
    </row>
    <row r="73" spans="1:29" ht="16.8" x14ac:dyDescent="0.3">
      <c r="A73" s="70">
        <f>'BASE MAESTRA'!B79</f>
        <v>71</v>
      </c>
      <c r="B73" s="61">
        <f t="shared" si="19"/>
        <v>0</v>
      </c>
      <c r="C73" s="61">
        <f t="shared" si="19"/>
        <v>0</v>
      </c>
      <c r="D73" s="61">
        <f t="shared" si="19"/>
        <v>0</v>
      </c>
      <c r="E73" s="61">
        <f t="shared" si="19"/>
        <v>0</v>
      </c>
      <c r="F73" s="61">
        <f t="shared" si="19"/>
        <v>0</v>
      </c>
      <c r="G73" s="61">
        <f t="shared" si="19"/>
        <v>0</v>
      </c>
      <c r="H73" s="61">
        <f t="shared" si="19"/>
        <v>0</v>
      </c>
      <c r="I73" s="61">
        <f t="shared" si="19"/>
        <v>0</v>
      </c>
      <c r="J73" s="61">
        <f t="shared" si="19"/>
        <v>0</v>
      </c>
      <c r="K73" s="61">
        <f t="shared" si="19"/>
        <v>0</v>
      </c>
      <c r="L73" s="61">
        <f t="shared" si="19"/>
        <v>0</v>
      </c>
      <c r="M73" s="61">
        <f t="shared" si="19"/>
        <v>0</v>
      </c>
      <c r="N73" s="61">
        <f t="shared" si="19"/>
        <v>0</v>
      </c>
      <c r="Q73" s="61">
        <f t="shared" si="21"/>
        <v>0</v>
      </c>
      <c r="S73" s="61">
        <f t="shared" si="13"/>
        <v>0</v>
      </c>
      <c r="U73" s="61">
        <f t="shared" si="22"/>
        <v>0</v>
      </c>
      <c r="X73" s="61">
        <f t="shared" si="22"/>
        <v>0</v>
      </c>
      <c r="Y73" s="61">
        <f t="shared" si="20"/>
        <v>0</v>
      </c>
      <c r="Z73" s="61">
        <f t="shared" si="20"/>
        <v>0</v>
      </c>
      <c r="AA73" s="61">
        <f t="shared" si="20"/>
        <v>0</v>
      </c>
      <c r="AB73" s="61">
        <f t="shared" si="20"/>
        <v>0</v>
      </c>
      <c r="AC73" s="61">
        <f t="shared" si="20"/>
        <v>71</v>
      </c>
    </row>
    <row r="74" spans="1:29" ht="16.8" x14ac:dyDescent="0.3">
      <c r="A74" s="70">
        <f>'BASE MAESTRA'!B80</f>
        <v>72</v>
      </c>
      <c r="B74" s="61">
        <f t="shared" si="19"/>
        <v>0</v>
      </c>
      <c r="C74" s="61">
        <f t="shared" si="19"/>
        <v>0</v>
      </c>
      <c r="D74" s="61">
        <f t="shared" si="19"/>
        <v>0</v>
      </c>
      <c r="E74" s="61">
        <f t="shared" si="19"/>
        <v>0</v>
      </c>
      <c r="F74" s="61">
        <f t="shared" si="19"/>
        <v>0</v>
      </c>
      <c r="G74" s="61">
        <f t="shared" si="19"/>
        <v>0</v>
      </c>
      <c r="H74" s="61">
        <f t="shared" si="19"/>
        <v>0</v>
      </c>
      <c r="I74" s="61">
        <f t="shared" si="19"/>
        <v>0</v>
      </c>
      <c r="J74" s="61">
        <f t="shared" si="19"/>
        <v>0</v>
      </c>
      <c r="K74" s="61">
        <f t="shared" si="19"/>
        <v>0</v>
      </c>
      <c r="L74" s="61">
        <f t="shared" si="19"/>
        <v>0</v>
      </c>
      <c r="M74" s="61">
        <f t="shared" si="19"/>
        <v>0</v>
      </c>
      <c r="N74" s="61">
        <f t="shared" si="19"/>
        <v>0</v>
      </c>
      <c r="Q74" s="61">
        <f t="shared" si="21"/>
        <v>0</v>
      </c>
      <c r="S74" s="61">
        <f t="shared" si="13"/>
        <v>0</v>
      </c>
      <c r="U74" s="61">
        <f t="shared" si="22"/>
        <v>0</v>
      </c>
      <c r="X74" s="61">
        <f t="shared" si="22"/>
        <v>0</v>
      </c>
      <c r="Y74" s="61">
        <f t="shared" si="20"/>
        <v>0</v>
      </c>
      <c r="Z74" s="61">
        <f t="shared" si="20"/>
        <v>0</v>
      </c>
      <c r="AA74" s="61">
        <f t="shared" si="20"/>
        <v>0</v>
      </c>
      <c r="AB74" s="61">
        <f t="shared" si="20"/>
        <v>0</v>
      </c>
      <c r="AC74" s="61">
        <f t="shared" si="20"/>
        <v>72</v>
      </c>
    </row>
    <row r="75" spans="1:29" ht="16.8" x14ac:dyDescent="0.3">
      <c r="A75" s="70">
        <f>'BASE MAESTRA'!B81</f>
        <v>73</v>
      </c>
      <c r="B75" s="61">
        <f t="shared" si="19"/>
        <v>0</v>
      </c>
      <c r="C75" s="61">
        <f t="shared" si="19"/>
        <v>0</v>
      </c>
      <c r="D75" s="61">
        <f t="shared" si="19"/>
        <v>0</v>
      </c>
      <c r="E75" s="61">
        <f t="shared" si="19"/>
        <v>0</v>
      </c>
      <c r="F75" s="61">
        <f t="shared" si="19"/>
        <v>0</v>
      </c>
      <c r="G75" s="61">
        <f t="shared" si="19"/>
        <v>0</v>
      </c>
      <c r="H75" s="61">
        <f t="shared" si="19"/>
        <v>0</v>
      </c>
      <c r="I75" s="61">
        <f t="shared" si="19"/>
        <v>0</v>
      </c>
      <c r="J75" s="61">
        <f t="shared" si="19"/>
        <v>0</v>
      </c>
      <c r="K75" s="61">
        <f t="shared" si="19"/>
        <v>0</v>
      </c>
      <c r="L75" s="61">
        <f t="shared" si="19"/>
        <v>0</v>
      </c>
      <c r="M75" s="61">
        <f t="shared" si="19"/>
        <v>0</v>
      </c>
      <c r="N75" s="61">
        <f t="shared" si="19"/>
        <v>0</v>
      </c>
      <c r="Q75" s="61">
        <f t="shared" si="21"/>
        <v>0</v>
      </c>
      <c r="S75" s="61">
        <f t="shared" si="13"/>
        <v>0</v>
      </c>
      <c r="U75" s="61">
        <f t="shared" si="22"/>
        <v>0</v>
      </c>
      <c r="X75" s="61">
        <f t="shared" si="22"/>
        <v>0</v>
      </c>
      <c r="Y75" s="61">
        <f t="shared" si="20"/>
        <v>0</v>
      </c>
      <c r="Z75" s="61">
        <f t="shared" si="20"/>
        <v>0</v>
      </c>
      <c r="AA75" s="61">
        <f t="shared" si="20"/>
        <v>0</v>
      </c>
      <c r="AB75" s="61">
        <f t="shared" si="20"/>
        <v>0</v>
      </c>
      <c r="AC75" s="61">
        <f t="shared" si="20"/>
        <v>73</v>
      </c>
    </row>
    <row r="76" spans="1:29" ht="16.8" x14ac:dyDescent="0.3">
      <c r="A76" s="70">
        <f>'BASE MAESTRA'!B82</f>
        <v>74</v>
      </c>
      <c r="B76" s="61">
        <f t="shared" si="19"/>
        <v>0</v>
      </c>
      <c r="C76" s="61">
        <f t="shared" si="19"/>
        <v>0</v>
      </c>
      <c r="D76" s="61">
        <f t="shared" si="19"/>
        <v>0</v>
      </c>
      <c r="E76" s="61">
        <f t="shared" si="19"/>
        <v>0</v>
      </c>
      <c r="F76" s="61">
        <f t="shared" si="19"/>
        <v>0</v>
      </c>
      <c r="G76" s="61">
        <f t="shared" si="19"/>
        <v>0</v>
      </c>
      <c r="H76" s="61">
        <f t="shared" si="19"/>
        <v>0</v>
      </c>
      <c r="I76" s="61">
        <f t="shared" si="19"/>
        <v>0</v>
      </c>
      <c r="J76" s="61">
        <f t="shared" si="19"/>
        <v>0</v>
      </c>
      <c r="K76" s="61">
        <f t="shared" si="19"/>
        <v>0</v>
      </c>
      <c r="L76" s="61">
        <f t="shared" si="19"/>
        <v>0</v>
      </c>
      <c r="M76" s="61">
        <f t="shared" si="19"/>
        <v>0</v>
      </c>
      <c r="N76" s="61">
        <f t="shared" si="19"/>
        <v>0</v>
      </c>
      <c r="Q76" s="61">
        <f t="shared" si="21"/>
        <v>0</v>
      </c>
      <c r="S76" s="61">
        <f t="shared" si="13"/>
        <v>0</v>
      </c>
      <c r="U76" s="61">
        <f t="shared" si="22"/>
        <v>0</v>
      </c>
      <c r="X76" s="61">
        <f t="shared" si="22"/>
        <v>0</v>
      </c>
      <c r="Y76" s="61">
        <f t="shared" si="20"/>
        <v>0</v>
      </c>
      <c r="Z76" s="61">
        <f t="shared" si="20"/>
        <v>0</v>
      </c>
      <c r="AA76" s="61">
        <f t="shared" si="20"/>
        <v>0</v>
      </c>
      <c r="AB76" s="61">
        <f t="shared" si="20"/>
        <v>0</v>
      </c>
      <c r="AC76" s="61">
        <f t="shared" si="20"/>
        <v>74</v>
      </c>
    </row>
    <row r="77" spans="1:29" ht="16.8" x14ac:dyDescent="0.3">
      <c r="A77" s="70">
        <f>'BASE MAESTRA'!B83</f>
        <v>75</v>
      </c>
      <c r="B77" s="61">
        <f t="shared" si="19"/>
        <v>0</v>
      </c>
      <c r="C77" s="61">
        <f t="shared" si="19"/>
        <v>0</v>
      </c>
      <c r="D77" s="61">
        <f t="shared" si="19"/>
        <v>0</v>
      </c>
      <c r="E77" s="61">
        <f t="shared" si="19"/>
        <v>0</v>
      </c>
      <c r="F77" s="61">
        <f t="shared" si="19"/>
        <v>0</v>
      </c>
      <c r="G77" s="61">
        <f t="shared" si="19"/>
        <v>0</v>
      </c>
      <c r="H77" s="61">
        <f t="shared" si="19"/>
        <v>0</v>
      </c>
      <c r="I77" s="61">
        <f t="shared" si="19"/>
        <v>0</v>
      </c>
      <c r="J77" s="61">
        <f t="shared" si="19"/>
        <v>0</v>
      </c>
      <c r="K77" s="61">
        <f t="shared" si="19"/>
        <v>0</v>
      </c>
      <c r="L77" s="61">
        <f t="shared" si="19"/>
        <v>0</v>
      </c>
      <c r="M77" s="61">
        <f t="shared" si="19"/>
        <v>0</v>
      </c>
      <c r="N77" s="61">
        <f t="shared" si="19"/>
        <v>0</v>
      </c>
      <c r="Q77" s="61">
        <f t="shared" si="21"/>
        <v>0</v>
      </c>
      <c r="S77" s="61">
        <f t="shared" si="13"/>
        <v>0</v>
      </c>
      <c r="U77" s="61">
        <f t="shared" si="22"/>
        <v>0</v>
      </c>
      <c r="X77" s="61">
        <f t="shared" si="22"/>
        <v>0</v>
      </c>
      <c r="Y77" s="61">
        <f t="shared" si="20"/>
        <v>0</v>
      </c>
      <c r="Z77" s="61">
        <f t="shared" si="20"/>
        <v>0</v>
      </c>
      <c r="AA77" s="61">
        <f t="shared" si="20"/>
        <v>0</v>
      </c>
      <c r="AB77" s="61">
        <f t="shared" si="20"/>
        <v>0</v>
      </c>
      <c r="AC77" s="61">
        <f t="shared" si="20"/>
        <v>75</v>
      </c>
    </row>
    <row r="78" spans="1:29" ht="16.8" x14ac:dyDescent="0.3">
      <c r="A78" s="70">
        <f>'BASE MAESTRA'!B84</f>
        <v>76</v>
      </c>
      <c r="B78" s="61">
        <f t="shared" ref="B78:N97" si="23">VLOOKUP($A78,DatosEspecies,B$2,FALSE)</f>
        <v>0</v>
      </c>
      <c r="C78" s="61">
        <f t="shared" si="23"/>
        <v>0</v>
      </c>
      <c r="D78" s="61">
        <f t="shared" si="23"/>
        <v>0</v>
      </c>
      <c r="E78" s="61">
        <f t="shared" si="23"/>
        <v>0</v>
      </c>
      <c r="F78" s="61">
        <f t="shared" si="23"/>
        <v>0</v>
      </c>
      <c r="G78" s="61">
        <f t="shared" si="23"/>
        <v>0</v>
      </c>
      <c r="H78" s="61">
        <f t="shared" si="23"/>
        <v>0</v>
      </c>
      <c r="I78" s="61">
        <f t="shared" si="23"/>
        <v>0</v>
      </c>
      <c r="J78" s="61">
        <f t="shared" si="23"/>
        <v>0</v>
      </c>
      <c r="K78" s="61">
        <f t="shared" si="23"/>
        <v>0</v>
      </c>
      <c r="L78" s="61">
        <f t="shared" si="23"/>
        <v>0</v>
      </c>
      <c r="M78" s="61">
        <f t="shared" si="23"/>
        <v>0</v>
      </c>
      <c r="N78" s="61">
        <f t="shared" si="23"/>
        <v>0</v>
      </c>
      <c r="Q78" s="61">
        <f t="shared" si="21"/>
        <v>0</v>
      </c>
      <c r="S78" s="61">
        <f t="shared" si="13"/>
        <v>0</v>
      </c>
      <c r="U78" s="61">
        <f t="shared" si="22"/>
        <v>0</v>
      </c>
      <c r="X78" s="61">
        <f t="shared" si="22"/>
        <v>0</v>
      </c>
      <c r="Y78" s="61">
        <f t="shared" si="22"/>
        <v>0</v>
      </c>
      <c r="Z78" s="61">
        <f t="shared" si="22"/>
        <v>0</v>
      </c>
      <c r="AA78" s="61">
        <f t="shared" si="22"/>
        <v>0</v>
      </c>
      <c r="AB78" s="61">
        <f t="shared" si="22"/>
        <v>0</v>
      </c>
      <c r="AC78" s="61">
        <f t="shared" si="22"/>
        <v>76</v>
      </c>
    </row>
    <row r="79" spans="1:29" ht="16.8" x14ac:dyDescent="0.3">
      <c r="A79" s="70">
        <f>'BASE MAESTRA'!B85</f>
        <v>77</v>
      </c>
      <c r="B79" s="61">
        <f t="shared" si="23"/>
        <v>0</v>
      </c>
      <c r="C79" s="61">
        <f t="shared" si="23"/>
        <v>0</v>
      </c>
      <c r="D79" s="61">
        <f t="shared" si="23"/>
        <v>0</v>
      </c>
      <c r="E79" s="61">
        <f t="shared" si="23"/>
        <v>0</v>
      </c>
      <c r="F79" s="61">
        <f t="shared" si="23"/>
        <v>0</v>
      </c>
      <c r="G79" s="61">
        <f t="shared" si="23"/>
        <v>0</v>
      </c>
      <c r="H79" s="61">
        <f t="shared" si="23"/>
        <v>0</v>
      </c>
      <c r="I79" s="61">
        <f t="shared" si="23"/>
        <v>0</v>
      </c>
      <c r="J79" s="61">
        <f t="shared" si="23"/>
        <v>0</v>
      </c>
      <c r="K79" s="61">
        <f t="shared" si="23"/>
        <v>0</v>
      </c>
      <c r="L79" s="61">
        <f t="shared" si="23"/>
        <v>0</v>
      </c>
      <c r="M79" s="61">
        <f t="shared" si="23"/>
        <v>0</v>
      </c>
      <c r="N79" s="61">
        <f t="shared" si="23"/>
        <v>0</v>
      </c>
      <c r="Q79" s="61">
        <f t="shared" si="21"/>
        <v>0</v>
      </c>
      <c r="S79" s="61">
        <f t="shared" si="13"/>
        <v>0</v>
      </c>
      <c r="U79" s="61">
        <f t="shared" si="22"/>
        <v>0</v>
      </c>
      <c r="X79" s="61">
        <f t="shared" si="22"/>
        <v>0</v>
      </c>
      <c r="Y79" s="61">
        <f t="shared" si="22"/>
        <v>0</v>
      </c>
      <c r="Z79" s="61">
        <f t="shared" si="22"/>
        <v>0</v>
      </c>
      <c r="AA79" s="61">
        <f t="shared" si="22"/>
        <v>0</v>
      </c>
      <c r="AB79" s="61">
        <f t="shared" si="22"/>
        <v>0</v>
      </c>
      <c r="AC79" s="61">
        <f t="shared" si="22"/>
        <v>77</v>
      </c>
    </row>
    <row r="80" spans="1:29" ht="16.8" x14ac:dyDescent="0.3">
      <c r="A80" s="70">
        <f>'BASE MAESTRA'!B86</f>
        <v>78</v>
      </c>
      <c r="B80" s="61">
        <f t="shared" si="23"/>
        <v>0</v>
      </c>
      <c r="C80" s="61">
        <f t="shared" si="23"/>
        <v>0</v>
      </c>
      <c r="D80" s="61">
        <f t="shared" si="23"/>
        <v>0</v>
      </c>
      <c r="E80" s="61">
        <f t="shared" si="23"/>
        <v>0</v>
      </c>
      <c r="F80" s="61">
        <f t="shared" si="23"/>
        <v>0</v>
      </c>
      <c r="G80" s="61">
        <f t="shared" si="23"/>
        <v>0</v>
      </c>
      <c r="H80" s="61">
        <f t="shared" si="23"/>
        <v>0</v>
      </c>
      <c r="I80" s="61">
        <f t="shared" si="23"/>
        <v>0</v>
      </c>
      <c r="J80" s="61">
        <f t="shared" si="23"/>
        <v>0</v>
      </c>
      <c r="K80" s="61">
        <f t="shared" si="23"/>
        <v>0</v>
      </c>
      <c r="L80" s="61">
        <f t="shared" si="23"/>
        <v>0</v>
      </c>
      <c r="M80" s="61">
        <f t="shared" si="23"/>
        <v>0</v>
      </c>
      <c r="N80" s="61">
        <f t="shared" si="23"/>
        <v>0</v>
      </c>
      <c r="Q80" s="61">
        <f t="shared" si="21"/>
        <v>0</v>
      </c>
      <c r="S80" s="61">
        <f t="shared" si="13"/>
        <v>0</v>
      </c>
      <c r="U80" s="61">
        <f t="shared" si="22"/>
        <v>0</v>
      </c>
      <c r="X80" s="61">
        <f t="shared" si="22"/>
        <v>0</v>
      </c>
      <c r="Y80" s="61">
        <f t="shared" si="22"/>
        <v>0</v>
      </c>
      <c r="Z80" s="61">
        <f t="shared" si="22"/>
        <v>0</v>
      </c>
      <c r="AA80" s="61">
        <f t="shared" si="22"/>
        <v>0</v>
      </c>
      <c r="AB80" s="61">
        <f t="shared" si="22"/>
        <v>0</v>
      </c>
      <c r="AC80" s="61">
        <f t="shared" si="22"/>
        <v>78</v>
      </c>
    </row>
    <row r="81" spans="1:29" ht="16.8" x14ac:dyDescent="0.3">
      <c r="A81" s="70">
        <f>'BASE MAESTRA'!B87</f>
        <v>79</v>
      </c>
      <c r="B81" s="61">
        <f t="shared" si="23"/>
        <v>0</v>
      </c>
      <c r="C81" s="61">
        <f t="shared" si="23"/>
        <v>0</v>
      </c>
      <c r="D81" s="61">
        <f t="shared" si="23"/>
        <v>0</v>
      </c>
      <c r="E81" s="61">
        <f t="shared" si="23"/>
        <v>0</v>
      </c>
      <c r="F81" s="61">
        <f t="shared" si="23"/>
        <v>0</v>
      </c>
      <c r="G81" s="61">
        <f t="shared" si="23"/>
        <v>0</v>
      </c>
      <c r="H81" s="61">
        <f t="shared" si="23"/>
        <v>0</v>
      </c>
      <c r="I81" s="61">
        <f t="shared" si="23"/>
        <v>0</v>
      </c>
      <c r="J81" s="61">
        <f t="shared" si="23"/>
        <v>0</v>
      </c>
      <c r="K81" s="61">
        <f t="shared" si="23"/>
        <v>0</v>
      </c>
      <c r="L81" s="61">
        <f t="shared" si="23"/>
        <v>0</v>
      </c>
      <c r="M81" s="61">
        <f t="shared" si="23"/>
        <v>0</v>
      </c>
      <c r="N81" s="61">
        <f t="shared" si="23"/>
        <v>0</v>
      </c>
      <c r="Q81" s="61">
        <f t="shared" si="21"/>
        <v>0</v>
      </c>
      <c r="S81" s="61">
        <f t="shared" si="13"/>
        <v>0</v>
      </c>
      <c r="U81" s="61">
        <f t="shared" si="22"/>
        <v>0</v>
      </c>
      <c r="X81" s="61">
        <f t="shared" si="22"/>
        <v>0</v>
      </c>
      <c r="Y81" s="61">
        <f t="shared" si="22"/>
        <v>0</v>
      </c>
      <c r="Z81" s="61">
        <f t="shared" si="22"/>
        <v>0</v>
      </c>
      <c r="AA81" s="61">
        <f t="shared" si="22"/>
        <v>0</v>
      </c>
      <c r="AB81" s="61">
        <f t="shared" si="22"/>
        <v>0</v>
      </c>
      <c r="AC81" s="61">
        <f t="shared" si="22"/>
        <v>79</v>
      </c>
    </row>
    <row r="82" spans="1:29" ht="16.8" x14ac:dyDescent="0.3">
      <c r="A82" s="70">
        <f>'BASE MAESTRA'!B88</f>
        <v>80</v>
      </c>
      <c r="B82" s="61">
        <f t="shared" si="23"/>
        <v>0</v>
      </c>
      <c r="C82" s="61">
        <f t="shared" si="23"/>
        <v>0</v>
      </c>
      <c r="D82" s="61">
        <f t="shared" si="23"/>
        <v>0</v>
      </c>
      <c r="E82" s="61">
        <f t="shared" si="23"/>
        <v>0</v>
      </c>
      <c r="F82" s="61">
        <f t="shared" si="23"/>
        <v>0</v>
      </c>
      <c r="G82" s="61">
        <f t="shared" si="23"/>
        <v>0</v>
      </c>
      <c r="H82" s="61">
        <f t="shared" si="23"/>
        <v>0</v>
      </c>
      <c r="I82" s="61">
        <f t="shared" si="23"/>
        <v>0</v>
      </c>
      <c r="J82" s="61">
        <f t="shared" si="23"/>
        <v>0</v>
      </c>
      <c r="K82" s="61">
        <f t="shared" si="23"/>
        <v>0</v>
      </c>
      <c r="L82" s="61">
        <f t="shared" si="23"/>
        <v>0</v>
      </c>
      <c r="M82" s="61">
        <f t="shared" si="23"/>
        <v>0</v>
      </c>
      <c r="N82" s="61">
        <f t="shared" si="23"/>
        <v>0</v>
      </c>
      <c r="Q82" s="61">
        <f t="shared" si="21"/>
        <v>0</v>
      </c>
      <c r="S82" s="61">
        <f t="shared" si="13"/>
        <v>0</v>
      </c>
      <c r="U82" s="61">
        <f t="shared" si="22"/>
        <v>0</v>
      </c>
      <c r="X82" s="61">
        <f t="shared" si="22"/>
        <v>0</v>
      </c>
      <c r="Y82" s="61">
        <f t="shared" si="22"/>
        <v>0</v>
      </c>
      <c r="Z82" s="61">
        <f t="shared" si="22"/>
        <v>0</v>
      </c>
      <c r="AA82" s="61">
        <f t="shared" si="22"/>
        <v>0</v>
      </c>
      <c r="AB82" s="61">
        <f t="shared" si="22"/>
        <v>0</v>
      </c>
      <c r="AC82" s="61">
        <f t="shared" si="22"/>
        <v>80</v>
      </c>
    </row>
    <row r="83" spans="1:29" ht="16.8" x14ac:dyDescent="0.3">
      <c r="A83" s="70">
        <f>'BASE MAESTRA'!B89</f>
        <v>81</v>
      </c>
      <c r="B83" s="61">
        <f t="shared" si="23"/>
        <v>0</v>
      </c>
      <c r="C83" s="61">
        <f t="shared" si="23"/>
        <v>0</v>
      </c>
      <c r="D83" s="61">
        <f t="shared" si="23"/>
        <v>0</v>
      </c>
      <c r="E83" s="61">
        <f t="shared" si="23"/>
        <v>0</v>
      </c>
      <c r="F83" s="61">
        <f t="shared" si="23"/>
        <v>0</v>
      </c>
      <c r="G83" s="61">
        <f t="shared" si="23"/>
        <v>0</v>
      </c>
      <c r="H83" s="61">
        <f t="shared" si="23"/>
        <v>0</v>
      </c>
      <c r="I83" s="61">
        <f t="shared" si="23"/>
        <v>0</v>
      </c>
      <c r="J83" s="61">
        <f t="shared" si="23"/>
        <v>0</v>
      </c>
      <c r="K83" s="61">
        <f t="shared" si="23"/>
        <v>0</v>
      </c>
      <c r="L83" s="61">
        <f t="shared" si="23"/>
        <v>0</v>
      </c>
      <c r="M83" s="61">
        <f t="shared" si="23"/>
        <v>0</v>
      </c>
      <c r="N83" s="61">
        <f t="shared" si="23"/>
        <v>0</v>
      </c>
      <c r="Q83" s="61">
        <f t="shared" si="21"/>
        <v>0</v>
      </c>
      <c r="S83" s="61">
        <f t="shared" si="13"/>
        <v>0</v>
      </c>
      <c r="U83" s="61">
        <f t="shared" si="22"/>
        <v>0</v>
      </c>
      <c r="X83" s="61">
        <f t="shared" si="22"/>
        <v>0</v>
      </c>
      <c r="Y83" s="61">
        <f t="shared" si="22"/>
        <v>0</v>
      </c>
      <c r="Z83" s="61">
        <f t="shared" si="22"/>
        <v>0</v>
      </c>
      <c r="AA83" s="61">
        <f t="shared" si="22"/>
        <v>0</v>
      </c>
      <c r="AB83" s="61">
        <f t="shared" si="22"/>
        <v>0</v>
      </c>
      <c r="AC83" s="61">
        <f t="shared" si="22"/>
        <v>81</v>
      </c>
    </row>
    <row r="84" spans="1:29" ht="16.8" x14ac:dyDescent="0.3">
      <c r="A84" s="70">
        <f>'BASE MAESTRA'!B90</f>
        <v>82</v>
      </c>
      <c r="B84" s="61">
        <f t="shared" si="23"/>
        <v>0</v>
      </c>
      <c r="C84" s="61">
        <f t="shared" si="23"/>
        <v>0</v>
      </c>
      <c r="D84" s="61">
        <f t="shared" si="23"/>
        <v>0</v>
      </c>
      <c r="E84" s="61">
        <f t="shared" si="23"/>
        <v>0</v>
      </c>
      <c r="F84" s="61">
        <f t="shared" si="23"/>
        <v>0</v>
      </c>
      <c r="G84" s="61">
        <f t="shared" si="23"/>
        <v>0</v>
      </c>
      <c r="H84" s="61">
        <f t="shared" si="23"/>
        <v>0</v>
      </c>
      <c r="I84" s="61">
        <f t="shared" si="23"/>
        <v>0</v>
      </c>
      <c r="J84" s="61">
        <f t="shared" si="23"/>
        <v>0</v>
      </c>
      <c r="K84" s="61">
        <f t="shared" si="23"/>
        <v>0</v>
      </c>
      <c r="L84" s="61">
        <f t="shared" si="23"/>
        <v>0</v>
      </c>
      <c r="M84" s="61">
        <f t="shared" si="23"/>
        <v>0</v>
      </c>
      <c r="N84" s="61">
        <f t="shared" si="23"/>
        <v>0</v>
      </c>
      <c r="Q84" s="61">
        <f t="shared" si="21"/>
        <v>0</v>
      </c>
      <c r="S84" s="61">
        <f t="shared" si="13"/>
        <v>0</v>
      </c>
      <c r="U84" s="61">
        <f t="shared" si="22"/>
        <v>0</v>
      </c>
      <c r="X84" s="61">
        <f t="shared" si="22"/>
        <v>0</v>
      </c>
      <c r="Y84" s="61">
        <f t="shared" si="22"/>
        <v>0</v>
      </c>
      <c r="Z84" s="61">
        <f t="shared" si="22"/>
        <v>0</v>
      </c>
      <c r="AA84" s="61">
        <f t="shared" si="22"/>
        <v>0</v>
      </c>
      <c r="AB84" s="61">
        <f t="shared" si="22"/>
        <v>0</v>
      </c>
      <c r="AC84" s="61">
        <f t="shared" si="22"/>
        <v>82</v>
      </c>
    </row>
    <row r="85" spans="1:29" ht="16.8" x14ac:dyDescent="0.3">
      <c r="A85" s="70">
        <f>'BASE MAESTRA'!B91</f>
        <v>83</v>
      </c>
      <c r="B85" s="61">
        <f t="shared" si="23"/>
        <v>0</v>
      </c>
      <c r="C85" s="61">
        <f t="shared" si="23"/>
        <v>0</v>
      </c>
      <c r="D85" s="61">
        <f t="shared" si="23"/>
        <v>0</v>
      </c>
      <c r="E85" s="61">
        <f t="shared" si="23"/>
        <v>0</v>
      </c>
      <c r="F85" s="61">
        <f t="shared" si="23"/>
        <v>0</v>
      </c>
      <c r="G85" s="61">
        <f t="shared" si="23"/>
        <v>0</v>
      </c>
      <c r="H85" s="61">
        <f t="shared" si="23"/>
        <v>0</v>
      </c>
      <c r="I85" s="61">
        <f t="shared" si="23"/>
        <v>0</v>
      </c>
      <c r="J85" s="61">
        <f t="shared" si="23"/>
        <v>0</v>
      </c>
      <c r="K85" s="61">
        <f t="shared" si="23"/>
        <v>0</v>
      </c>
      <c r="L85" s="61">
        <f t="shared" si="23"/>
        <v>0</v>
      </c>
      <c r="M85" s="61">
        <f t="shared" si="23"/>
        <v>0</v>
      </c>
      <c r="N85" s="61">
        <f t="shared" si="23"/>
        <v>0</v>
      </c>
      <c r="Q85" s="61">
        <f t="shared" si="21"/>
        <v>0</v>
      </c>
      <c r="S85" s="61">
        <f t="shared" si="13"/>
        <v>0</v>
      </c>
      <c r="U85" s="61">
        <f t="shared" si="22"/>
        <v>0</v>
      </c>
      <c r="X85" s="61">
        <f t="shared" si="22"/>
        <v>0</v>
      </c>
      <c r="Y85" s="61">
        <f t="shared" si="22"/>
        <v>0</v>
      </c>
      <c r="Z85" s="61">
        <f t="shared" si="22"/>
        <v>0</v>
      </c>
      <c r="AA85" s="61">
        <f t="shared" si="22"/>
        <v>0</v>
      </c>
      <c r="AB85" s="61">
        <f t="shared" si="22"/>
        <v>0</v>
      </c>
      <c r="AC85" s="61">
        <f t="shared" si="22"/>
        <v>83</v>
      </c>
    </row>
    <row r="86" spans="1:29" ht="16.8" x14ac:dyDescent="0.3">
      <c r="A86" s="70">
        <f>'BASE MAESTRA'!B92</f>
        <v>84</v>
      </c>
      <c r="B86" s="61">
        <f t="shared" si="23"/>
        <v>0</v>
      </c>
      <c r="C86" s="61">
        <f t="shared" si="23"/>
        <v>0</v>
      </c>
      <c r="D86" s="61">
        <f t="shared" si="23"/>
        <v>0</v>
      </c>
      <c r="E86" s="61">
        <f t="shared" si="23"/>
        <v>0</v>
      </c>
      <c r="F86" s="61">
        <f t="shared" si="23"/>
        <v>0</v>
      </c>
      <c r="G86" s="61">
        <f t="shared" si="23"/>
        <v>0</v>
      </c>
      <c r="H86" s="61">
        <f t="shared" si="23"/>
        <v>0</v>
      </c>
      <c r="I86" s="61">
        <f t="shared" si="23"/>
        <v>0</v>
      </c>
      <c r="J86" s="61">
        <f t="shared" si="23"/>
        <v>0</v>
      </c>
      <c r="K86" s="61">
        <f t="shared" si="23"/>
        <v>0</v>
      </c>
      <c r="L86" s="61">
        <f t="shared" si="23"/>
        <v>0</v>
      </c>
      <c r="M86" s="61">
        <f t="shared" si="23"/>
        <v>0</v>
      </c>
      <c r="N86" s="61">
        <f t="shared" si="23"/>
        <v>0</v>
      </c>
      <c r="Q86" s="61">
        <f t="shared" si="21"/>
        <v>0</v>
      </c>
      <c r="S86" s="61">
        <f t="shared" si="13"/>
        <v>0</v>
      </c>
      <c r="U86" s="61">
        <f t="shared" si="22"/>
        <v>0</v>
      </c>
      <c r="X86" s="61">
        <f t="shared" si="22"/>
        <v>0</v>
      </c>
      <c r="Y86" s="61">
        <f t="shared" si="22"/>
        <v>0</v>
      </c>
      <c r="Z86" s="61">
        <f t="shared" si="22"/>
        <v>0</v>
      </c>
      <c r="AA86" s="61">
        <f t="shared" si="22"/>
        <v>0</v>
      </c>
      <c r="AB86" s="61">
        <f t="shared" si="22"/>
        <v>0</v>
      </c>
      <c r="AC86" s="61">
        <f t="shared" si="22"/>
        <v>84</v>
      </c>
    </row>
    <row r="87" spans="1:29" ht="16.8" x14ac:dyDescent="0.3">
      <c r="A87" s="70">
        <f>'BASE MAESTRA'!B93</f>
        <v>85</v>
      </c>
      <c r="B87" s="61">
        <f t="shared" si="23"/>
        <v>0</v>
      </c>
      <c r="C87" s="61">
        <f t="shared" si="23"/>
        <v>0</v>
      </c>
      <c r="D87" s="61">
        <f t="shared" si="23"/>
        <v>0</v>
      </c>
      <c r="E87" s="61">
        <f t="shared" si="23"/>
        <v>0</v>
      </c>
      <c r="F87" s="61">
        <f t="shared" si="23"/>
        <v>0</v>
      </c>
      <c r="G87" s="61">
        <f t="shared" si="23"/>
        <v>0</v>
      </c>
      <c r="H87" s="61">
        <f t="shared" si="23"/>
        <v>0</v>
      </c>
      <c r="I87" s="61">
        <f t="shared" si="23"/>
        <v>0</v>
      </c>
      <c r="J87" s="61">
        <f t="shared" si="23"/>
        <v>0</v>
      </c>
      <c r="K87" s="61">
        <f t="shared" si="23"/>
        <v>0</v>
      </c>
      <c r="L87" s="61">
        <f t="shared" si="23"/>
        <v>0</v>
      </c>
      <c r="M87" s="61">
        <f t="shared" si="23"/>
        <v>0</v>
      </c>
      <c r="N87" s="61">
        <f t="shared" si="23"/>
        <v>0</v>
      </c>
      <c r="Q87" s="61">
        <f t="shared" si="21"/>
        <v>0</v>
      </c>
      <c r="S87" s="61">
        <f t="shared" si="13"/>
        <v>0</v>
      </c>
      <c r="U87" s="61">
        <f t="shared" si="22"/>
        <v>0</v>
      </c>
      <c r="X87" s="61">
        <f t="shared" si="22"/>
        <v>0</v>
      </c>
      <c r="Y87" s="61">
        <f t="shared" si="22"/>
        <v>0</v>
      </c>
      <c r="Z87" s="61">
        <f t="shared" si="22"/>
        <v>0</v>
      </c>
      <c r="AA87" s="61">
        <f t="shared" si="22"/>
        <v>0</v>
      </c>
      <c r="AB87" s="61">
        <f t="shared" si="22"/>
        <v>0</v>
      </c>
      <c r="AC87" s="61">
        <f t="shared" si="22"/>
        <v>85</v>
      </c>
    </row>
    <row r="88" spans="1:29" ht="16.8" x14ac:dyDescent="0.3">
      <c r="A88" s="70">
        <f>'BASE MAESTRA'!B94</f>
        <v>86</v>
      </c>
      <c r="B88" s="61">
        <f t="shared" si="23"/>
        <v>0</v>
      </c>
      <c r="C88" s="61">
        <f t="shared" si="23"/>
        <v>0</v>
      </c>
      <c r="D88" s="61">
        <f t="shared" si="23"/>
        <v>0</v>
      </c>
      <c r="E88" s="61">
        <f t="shared" si="23"/>
        <v>0</v>
      </c>
      <c r="F88" s="61">
        <f t="shared" si="23"/>
        <v>0</v>
      </c>
      <c r="G88" s="61">
        <f t="shared" si="23"/>
        <v>0</v>
      </c>
      <c r="H88" s="61">
        <f t="shared" si="23"/>
        <v>0</v>
      </c>
      <c r="I88" s="61">
        <f t="shared" si="23"/>
        <v>0</v>
      </c>
      <c r="J88" s="61">
        <f t="shared" si="23"/>
        <v>0</v>
      </c>
      <c r="K88" s="61">
        <f t="shared" si="23"/>
        <v>0</v>
      </c>
      <c r="L88" s="61">
        <f t="shared" si="23"/>
        <v>0</v>
      </c>
      <c r="M88" s="61">
        <f t="shared" si="23"/>
        <v>0</v>
      </c>
      <c r="N88" s="61">
        <f t="shared" si="23"/>
        <v>0</v>
      </c>
      <c r="Q88" s="61">
        <f t="shared" si="21"/>
        <v>0</v>
      </c>
      <c r="S88" s="61">
        <f t="shared" si="13"/>
        <v>0</v>
      </c>
      <c r="U88" s="61">
        <f t="shared" si="22"/>
        <v>0</v>
      </c>
      <c r="X88" s="61">
        <f t="shared" si="22"/>
        <v>0</v>
      </c>
      <c r="Y88" s="61">
        <f t="shared" si="22"/>
        <v>0</v>
      </c>
      <c r="Z88" s="61">
        <f t="shared" si="22"/>
        <v>0</v>
      </c>
      <c r="AA88" s="61">
        <f t="shared" si="22"/>
        <v>0</v>
      </c>
      <c r="AB88" s="61">
        <f t="shared" si="22"/>
        <v>0</v>
      </c>
      <c r="AC88" s="61">
        <f t="shared" si="22"/>
        <v>86</v>
      </c>
    </row>
    <row r="89" spans="1:29" ht="16.8" x14ac:dyDescent="0.3">
      <c r="A89" s="70">
        <f>'BASE MAESTRA'!B95</f>
        <v>87</v>
      </c>
      <c r="B89" s="61">
        <f t="shared" si="23"/>
        <v>0</v>
      </c>
      <c r="C89" s="61">
        <f t="shared" si="23"/>
        <v>0</v>
      </c>
      <c r="D89" s="61">
        <f t="shared" si="23"/>
        <v>0</v>
      </c>
      <c r="E89" s="61">
        <f t="shared" si="23"/>
        <v>0</v>
      </c>
      <c r="F89" s="61">
        <f t="shared" si="23"/>
        <v>0</v>
      </c>
      <c r="G89" s="61">
        <f t="shared" si="23"/>
        <v>0</v>
      </c>
      <c r="H89" s="61">
        <f t="shared" si="23"/>
        <v>0</v>
      </c>
      <c r="I89" s="61">
        <f t="shared" si="23"/>
        <v>0</v>
      </c>
      <c r="J89" s="61">
        <f t="shared" si="23"/>
        <v>0</v>
      </c>
      <c r="K89" s="61">
        <f t="shared" si="23"/>
        <v>0</v>
      </c>
      <c r="L89" s="61">
        <f t="shared" si="23"/>
        <v>0</v>
      </c>
      <c r="M89" s="61">
        <f t="shared" si="23"/>
        <v>0</v>
      </c>
      <c r="N89" s="61">
        <f t="shared" si="23"/>
        <v>0</v>
      </c>
      <c r="Q89" s="61">
        <f t="shared" si="21"/>
        <v>0</v>
      </c>
      <c r="S89" s="61">
        <f t="shared" si="13"/>
        <v>0</v>
      </c>
      <c r="U89" s="61">
        <f t="shared" si="22"/>
        <v>0</v>
      </c>
      <c r="X89" s="61">
        <f t="shared" si="22"/>
        <v>0</v>
      </c>
      <c r="Y89" s="61">
        <f t="shared" si="22"/>
        <v>0</v>
      </c>
      <c r="Z89" s="61">
        <f t="shared" si="22"/>
        <v>0</v>
      </c>
      <c r="AA89" s="61">
        <f t="shared" si="22"/>
        <v>0</v>
      </c>
      <c r="AB89" s="61">
        <f t="shared" si="22"/>
        <v>0</v>
      </c>
      <c r="AC89" s="61">
        <f t="shared" si="22"/>
        <v>87</v>
      </c>
    </row>
    <row r="90" spans="1:29" ht="16.8" x14ac:dyDescent="0.3">
      <c r="A90" s="70">
        <f>'BASE MAESTRA'!B96</f>
        <v>88</v>
      </c>
      <c r="B90" s="61">
        <f t="shared" si="23"/>
        <v>0</v>
      </c>
      <c r="C90" s="61">
        <f t="shared" si="23"/>
        <v>0</v>
      </c>
      <c r="D90" s="61">
        <f t="shared" si="23"/>
        <v>0</v>
      </c>
      <c r="E90" s="61">
        <f t="shared" si="23"/>
        <v>0</v>
      </c>
      <c r="F90" s="61">
        <f t="shared" si="23"/>
        <v>0</v>
      </c>
      <c r="G90" s="61">
        <f t="shared" si="23"/>
        <v>0</v>
      </c>
      <c r="H90" s="61">
        <f t="shared" si="23"/>
        <v>0</v>
      </c>
      <c r="I90" s="61">
        <f t="shared" si="23"/>
        <v>0</v>
      </c>
      <c r="J90" s="61">
        <f t="shared" si="23"/>
        <v>0</v>
      </c>
      <c r="K90" s="61">
        <f t="shared" si="23"/>
        <v>0</v>
      </c>
      <c r="L90" s="61">
        <f t="shared" si="23"/>
        <v>0</v>
      </c>
      <c r="M90" s="61">
        <f t="shared" si="23"/>
        <v>0</v>
      </c>
      <c r="N90" s="61">
        <f t="shared" si="23"/>
        <v>0</v>
      </c>
      <c r="Q90" s="61">
        <f t="shared" si="21"/>
        <v>0</v>
      </c>
      <c r="S90" s="61">
        <f t="shared" si="13"/>
        <v>0</v>
      </c>
      <c r="U90" s="61">
        <f t="shared" si="22"/>
        <v>0</v>
      </c>
      <c r="X90" s="61">
        <f t="shared" si="22"/>
        <v>0</v>
      </c>
      <c r="Y90" s="61">
        <f t="shared" si="22"/>
        <v>0</v>
      </c>
      <c r="Z90" s="61">
        <f t="shared" si="22"/>
        <v>0</v>
      </c>
      <c r="AA90" s="61">
        <f t="shared" si="22"/>
        <v>0</v>
      </c>
      <c r="AB90" s="61">
        <f t="shared" si="22"/>
        <v>0</v>
      </c>
      <c r="AC90" s="61">
        <f t="shared" si="22"/>
        <v>88</v>
      </c>
    </row>
    <row r="91" spans="1:29" ht="16.8" x14ac:dyDescent="0.3">
      <c r="A91" s="70">
        <f>'BASE MAESTRA'!B97</f>
        <v>89</v>
      </c>
      <c r="B91" s="61">
        <f t="shared" si="23"/>
        <v>0</v>
      </c>
      <c r="C91" s="61">
        <f t="shared" si="23"/>
        <v>0</v>
      </c>
      <c r="D91" s="61">
        <f t="shared" si="23"/>
        <v>0</v>
      </c>
      <c r="E91" s="61">
        <f t="shared" si="23"/>
        <v>0</v>
      </c>
      <c r="F91" s="61">
        <f t="shared" si="23"/>
        <v>0</v>
      </c>
      <c r="G91" s="61">
        <f t="shared" si="23"/>
        <v>0</v>
      </c>
      <c r="H91" s="61">
        <f t="shared" si="23"/>
        <v>0</v>
      </c>
      <c r="I91" s="61">
        <f t="shared" si="23"/>
        <v>0</v>
      </c>
      <c r="J91" s="61">
        <f t="shared" si="23"/>
        <v>0</v>
      </c>
      <c r="K91" s="61">
        <f t="shared" si="23"/>
        <v>0</v>
      </c>
      <c r="L91" s="61">
        <f t="shared" si="23"/>
        <v>0</v>
      </c>
      <c r="M91" s="61">
        <f t="shared" si="23"/>
        <v>0</v>
      </c>
      <c r="N91" s="61">
        <f t="shared" si="23"/>
        <v>0</v>
      </c>
      <c r="Q91" s="61">
        <f t="shared" si="21"/>
        <v>0</v>
      </c>
      <c r="S91" s="61">
        <f t="shared" si="13"/>
        <v>0</v>
      </c>
      <c r="U91" s="61">
        <f t="shared" si="22"/>
        <v>0</v>
      </c>
      <c r="X91" s="61">
        <f t="shared" si="22"/>
        <v>0</v>
      </c>
      <c r="Y91" s="61">
        <f t="shared" si="22"/>
        <v>0</v>
      </c>
      <c r="Z91" s="61">
        <f t="shared" si="22"/>
        <v>0</v>
      </c>
      <c r="AA91" s="61">
        <f t="shared" si="22"/>
        <v>0</v>
      </c>
      <c r="AB91" s="61">
        <f t="shared" si="22"/>
        <v>0</v>
      </c>
      <c r="AC91" s="61">
        <f t="shared" si="22"/>
        <v>89</v>
      </c>
    </row>
    <row r="92" spans="1:29" ht="16.8" x14ac:dyDescent="0.3">
      <c r="A92" s="70">
        <f>'BASE MAESTRA'!B98</f>
        <v>90</v>
      </c>
      <c r="B92" s="61">
        <f t="shared" si="23"/>
        <v>0</v>
      </c>
      <c r="C92" s="61">
        <f t="shared" si="23"/>
        <v>0</v>
      </c>
      <c r="D92" s="61">
        <f t="shared" si="23"/>
        <v>0</v>
      </c>
      <c r="E92" s="61">
        <f t="shared" si="23"/>
        <v>0</v>
      </c>
      <c r="F92" s="61">
        <f t="shared" si="23"/>
        <v>0</v>
      </c>
      <c r="G92" s="61">
        <f t="shared" si="23"/>
        <v>0</v>
      </c>
      <c r="H92" s="61">
        <f t="shared" si="23"/>
        <v>0</v>
      </c>
      <c r="I92" s="61">
        <f t="shared" si="23"/>
        <v>0</v>
      </c>
      <c r="J92" s="61">
        <f t="shared" si="23"/>
        <v>0</v>
      </c>
      <c r="K92" s="61">
        <f t="shared" si="23"/>
        <v>0</v>
      </c>
      <c r="L92" s="61">
        <f t="shared" si="23"/>
        <v>0</v>
      </c>
      <c r="M92" s="61">
        <f t="shared" si="23"/>
        <v>0</v>
      </c>
      <c r="N92" s="61">
        <f t="shared" si="23"/>
        <v>0</v>
      </c>
      <c r="Q92" s="61">
        <f t="shared" si="21"/>
        <v>0</v>
      </c>
      <c r="S92" s="61">
        <f t="shared" si="13"/>
        <v>0</v>
      </c>
      <c r="U92" s="61">
        <f t="shared" si="22"/>
        <v>0</v>
      </c>
      <c r="X92" s="61">
        <f t="shared" si="22"/>
        <v>0</v>
      </c>
      <c r="Y92" s="61">
        <f t="shared" si="22"/>
        <v>0</v>
      </c>
      <c r="Z92" s="61">
        <f t="shared" si="22"/>
        <v>0</v>
      </c>
      <c r="AA92" s="61">
        <f t="shared" si="22"/>
        <v>0</v>
      </c>
      <c r="AB92" s="61">
        <f t="shared" si="22"/>
        <v>0</v>
      </c>
      <c r="AC92" s="61">
        <f t="shared" si="22"/>
        <v>90</v>
      </c>
    </row>
    <row r="93" spans="1:29" ht="16.8" x14ac:dyDescent="0.3">
      <c r="A93" s="70">
        <f>'BASE MAESTRA'!B99</f>
        <v>91</v>
      </c>
      <c r="B93" s="61">
        <f t="shared" si="23"/>
        <v>0</v>
      </c>
      <c r="C93" s="61">
        <f t="shared" si="23"/>
        <v>0</v>
      </c>
      <c r="D93" s="61">
        <f t="shared" si="23"/>
        <v>0</v>
      </c>
      <c r="E93" s="61">
        <f t="shared" si="23"/>
        <v>0</v>
      </c>
      <c r="F93" s="61">
        <f t="shared" si="23"/>
        <v>0</v>
      </c>
      <c r="G93" s="61">
        <f t="shared" si="23"/>
        <v>0</v>
      </c>
      <c r="H93" s="61">
        <f t="shared" si="23"/>
        <v>0</v>
      </c>
      <c r="I93" s="61">
        <f t="shared" si="23"/>
        <v>0</v>
      </c>
      <c r="J93" s="61">
        <f t="shared" si="23"/>
        <v>0</v>
      </c>
      <c r="K93" s="61">
        <f t="shared" si="23"/>
        <v>0</v>
      </c>
      <c r="L93" s="61">
        <f t="shared" si="23"/>
        <v>0</v>
      </c>
      <c r="M93" s="61">
        <f t="shared" si="23"/>
        <v>0</v>
      </c>
      <c r="N93" s="61">
        <f t="shared" si="23"/>
        <v>0</v>
      </c>
      <c r="Q93" s="61">
        <f t="shared" si="21"/>
        <v>0</v>
      </c>
      <c r="S93" s="61">
        <f t="shared" si="13"/>
        <v>0</v>
      </c>
      <c r="U93" s="61">
        <f t="shared" si="22"/>
        <v>0</v>
      </c>
      <c r="X93" s="61">
        <f t="shared" si="22"/>
        <v>0</v>
      </c>
      <c r="Y93" s="61">
        <f t="shared" si="22"/>
        <v>0</v>
      </c>
      <c r="Z93" s="61">
        <f t="shared" si="22"/>
        <v>0</v>
      </c>
      <c r="AA93" s="61">
        <f t="shared" si="22"/>
        <v>0</v>
      </c>
      <c r="AB93" s="61">
        <f t="shared" si="22"/>
        <v>0</v>
      </c>
      <c r="AC93" s="61">
        <f t="shared" si="22"/>
        <v>91</v>
      </c>
    </row>
    <row r="94" spans="1:29" ht="16.8" x14ac:dyDescent="0.3">
      <c r="A94" s="70">
        <f>'BASE MAESTRA'!B100</f>
        <v>92</v>
      </c>
      <c r="B94" s="61">
        <f t="shared" si="23"/>
        <v>0</v>
      </c>
      <c r="C94" s="61">
        <f t="shared" si="23"/>
        <v>0</v>
      </c>
      <c r="D94" s="61">
        <f t="shared" si="23"/>
        <v>0</v>
      </c>
      <c r="E94" s="61">
        <f t="shared" si="23"/>
        <v>0</v>
      </c>
      <c r="F94" s="61">
        <f t="shared" si="23"/>
        <v>0</v>
      </c>
      <c r="G94" s="61">
        <f t="shared" si="23"/>
        <v>0</v>
      </c>
      <c r="H94" s="61">
        <f t="shared" si="23"/>
        <v>0</v>
      </c>
      <c r="I94" s="61">
        <f t="shared" si="23"/>
        <v>0</v>
      </c>
      <c r="J94" s="61">
        <f t="shared" si="23"/>
        <v>0</v>
      </c>
      <c r="K94" s="61">
        <f t="shared" si="23"/>
        <v>0</v>
      </c>
      <c r="L94" s="61">
        <f t="shared" si="23"/>
        <v>0</v>
      </c>
      <c r="M94" s="61">
        <f t="shared" si="23"/>
        <v>0</v>
      </c>
      <c r="N94" s="61">
        <f t="shared" si="23"/>
        <v>0</v>
      </c>
      <c r="Q94" s="61">
        <f t="shared" si="21"/>
        <v>0</v>
      </c>
      <c r="S94" s="61">
        <f t="shared" si="13"/>
        <v>0</v>
      </c>
      <c r="U94" s="61">
        <f t="shared" si="22"/>
        <v>0</v>
      </c>
      <c r="X94" s="61">
        <f t="shared" si="22"/>
        <v>0</v>
      </c>
      <c r="Y94" s="61">
        <f t="shared" si="22"/>
        <v>0</v>
      </c>
      <c r="Z94" s="61">
        <f t="shared" si="22"/>
        <v>0</v>
      </c>
      <c r="AA94" s="61">
        <f t="shared" si="22"/>
        <v>0</v>
      </c>
      <c r="AB94" s="61">
        <f t="shared" si="22"/>
        <v>0</v>
      </c>
      <c r="AC94" s="61">
        <f t="shared" si="22"/>
        <v>92</v>
      </c>
    </row>
    <row r="95" spans="1:29" ht="16.8" x14ac:dyDescent="0.3">
      <c r="A95" s="70">
        <f>'BASE MAESTRA'!B101</f>
        <v>93</v>
      </c>
      <c r="B95" s="61">
        <f t="shared" si="23"/>
        <v>0</v>
      </c>
      <c r="C95" s="61">
        <f t="shared" si="23"/>
        <v>0</v>
      </c>
      <c r="D95" s="61">
        <f t="shared" si="23"/>
        <v>0</v>
      </c>
      <c r="E95" s="61">
        <f t="shared" si="23"/>
        <v>0</v>
      </c>
      <c r="F95" s="61">
        <f t="shared" si="23"/>
        <v>0</v>
      </c>
      <c r="G95" s="61">
        <f t="shared" si="23"/>
        <v>0</v>
      </c>
      <c r="H95" s="61">
        <f t="shared" si="23"/>
        <v>0</v>
      </c>
      <c r="I95" s="61">
        <f t="shared" si="23"/>
        <v>0</v>
      </c>
      <c r="J95" s="61">
        <f t="shared" si="23"/>
        <v>0</v>
      </c>
      <c r="K95" s="61">
        <f t="shared" si="23"/>
        <v>0</v>
      </c>
      <c r="L95" s="61">
        <f t="shared" si="23"/>
        <v>0</v>
      </c>
      <c r="M95" s="61">
        <f t="shared" si="23"/>
        <v>0</v>
      </c>
      <c r="N95" s="61">
        <f t="shared" si="23"/>
        <v>0</v>
      </c>
      <c r="Q95" s="61">
        <f t="shared" si="21"/>
        <v>0</v>
      </c>
      <c r="S95" s="61">
        <f t="shared" si="13"/>
        <v>0</v>
      </c>
      <c r="U95" s="61">
        <f t="shared" si="22"/>
        <v>0</v>
      </c>
      <c r="X95" s="61">
        <f t="shared" si="22"/>
        <v>0</v>
      </c>
      <c r="Y95" s="61">
        <f t="shared" si="22"/>
        <v>0</v>
      </c>
      <c r="Z95" s="61">
        <f t="shared" si="22"/>
        <v>0</v>
      </c>
      <c r="AA95" s="61">
        <f t="shared" si="22"/>
        <v>0</v>
      </c>
      <c r="AB95" s="61">
        <f t="shared" si="22"/>
        <v>0</v>
      </c>
      <c r="AC95" s="61">
        <f t="shared" si="22"/>
        <v>93</v>
      </c>
    </row>
    <row r="96" spans="1:29" ht="16.8" x14ac:dyDescent="0.3">
      <c r="A96" s="70">
        <f>'BASE MAESTRA'!B102</f>
        <v>94</v>
      </c>
      <c r="B96" s="61">
        <f t="shared" si="23"/>
        <v>0</v>
      </c>
      <c r="C96" s="61">
        <f t="shared" si="23"/>
        <v>0</v>
      </c>
      <c r="D96" s="61">
        <f t="shared" si="23"/>
        <v>0</v>
      </c>
      <c r="E96" s="61">
        <f t="shared" si="23"/>
        <v>0</v>
      </c>
      <c r="F96" s="61">
        <f t="shared" si="23"/>
        <v>0</v>
      </c>
      <c r="G96" s="61">
        <f t="shared" si="23"/>
        <v>0</v>
      </c>
      <c r="H96" s="61">
        <f t="shared" si="23"/>
        <v>0</v>
      </c>
      <c r="I96" s="61">
        <f t="shared" si="23"/>
        <v>0</v>
      </c>
      <c r="J96" s="61">
        <f t="shared" si="23"/>
        <v>0</v>
      </c>
      <c r="K96" s="61">
        <f t="shared" si="23"/>
        <v>0</v>
      </c>
      <c r="L96" s="61">
        <f t="shared" si="23"/>
        <v>0</v>
      </c>
      <c r="M96" s="61">
        <f t="shared" si="23"/>
        <v>0</v>
      </c>
      <c r="N96" s="61">
        <f t="shared" si="23"/>
        <v>0</v>
      </c>
      <c r="Q96" s="61">
        <f t="shared" si="21"/>
        <v>0</v>
      </c>
      <c r="S96" s="61">
        <f t="shared" si="13"/>
        <v>0</v>
      </c>
      <c r="U96" s="61">
        <f t="shared" si="22"/>
        <v>0</v>
      </c>
      <c r="X96" s="61">
        <f t="shared" si="22"/>
        <v>0</v>
      </c>
      <c r="Y96" s="61">
        <f t="shared" si="22"/>
        <v>0</v>
      </c>
      <c r="Z96" s="61">
        <f t="shared" si="22"/>
        <v>0</v>
      </c>
      <c r="AA96" s="61">
        <f t="shared" si="22"/>
        <v>0</v>
      </c>
      <c r="AB96" s="61">
        <f t="shared" si="22"/>
        <v>0</v>
      </c>
      <c r="AC96" s="61">
        <f t="shared" si="22"/>
        <v>94</v>
      </c>
    </row>
    <row r="97" spans="1:29" ht="16.8" x14ac:dyDescent="0.3">
      <c r="A97" s="70">
        <f>'BASE MAESTRA'!B103</f>
        <v>95</v>
      </c>
      <c r="B97" s="61">
        <f t="shared" si="23"/>
        <v>0</v>
      </c>
      <c r="C97" s="61">
        <f t="shared" si="23"/>
        <v>0</v>
      </c>
      <c r="D97" s="61">
        <f t="shared" si="23"/>
        <v>0</v>
      </c>
      <c r="E97" s="61">
        <f t="shared" si="23"/>
        <v>0</v>
      </c>
      <c r="F97" s="61">
        <f t="shared" si="23"/>
        <v>0</v>
      </c>
      <c r="G97" s="61">
        <f t="shared" si="23"/>
        <v>0</v>
      </c>
      <c r="H97" s="61">
        <f t="shared" si="23"/>
        <v>0</v>
      </c>
      <c r="I97" s="61">
        <f t="shared" si="23"/>
        <v>0</v>
      </c>
      <c r="J97" s="61">
        <f t="shared" ref="B97:N117" si="24">VLOOKUP($A97,DatosEspecies,J$2,FALSE)</f>
        <v>0</v>
      </c>
      <c r="K97" s="61">
        <f t="shared" si="24"/>
        <v>0</v>
      </c>
      <c r="L97" s="61">
        <f t="shared" si="24"/>
        <v>0</v>
      </c>
      <c r="M97" s="61">
        <f t="shared" si="24"/>
        <v>0</v>
      </c>
      <c r="N97" s="61">
        <f t="shared" si="24"/>
        <v>0</v>
      </c>
      <c r="Q97" s="61">
        <f t="shared" si="21"/>
        <v>0</v>
      </c>
      <c r="S97" s="61">
        <f t="shared" si="13"/>
        <v>0</v>
      </c>
      <c r="U97" s="61">
        <f t="shared" si="22"/>
        <v>0</v>
      </c>
      <c r="X97" s="61">
        <f t="shared" si="22"/>
        <v>0</v>
      </c>
      <c r="Y97" s="61">
        <f t="shared" si="22"/>
        <v>0</v>
      </c>
      <c r="Z97" s="61">
        <f t="shared" si="22"/>
        <v>0</v>
      </c>
      <c r="AA97" s="61">
        <f t="shared" si="22"/>
        <v>0</v>
      </c>
      <c r="AB97" s="61">
        <f t="shared" si="22"/>
        <v>0</v>
      </c>
      <c r="AC97" s="61">
        <f t="shared" si="22"/>
        <v>95</v>
      </c>
    </row>
    <row r="98" spans="1:29" ht="16.8" x14ac:dyDescent="0.3">
      <c r="A98" s="70">
        <f>'BASE MAESTRA'!B104</f>
        <v>96</v>
      </c>
      <c r="B98" s="61">
        <f t="shared" si="24"/>
        <v>0</v>
      </c>
      <c r="C98" s="61">
        <f t="shared" si="24"/>
        <v>0</v>
      </c>
      <c r="D98" s="61">
        <f t="shared" si="24"/>
        <v>0</v>
      </c>
      <c r="E98" s="61">
        <f t="shared" si="24"/>
        <v>0</v>
      </c>
      <c r="F98" s="61">
        <f t="shared" si="24"/>
        <v>0</v>
      </c>
      <c r="G98" s="61">
        <f t="shared" si="24"/>
        <v>0</v>
      </c>
      <c r="H98" s="61">
        <f t="shared" si="24"/>
        <v>0</v>
      </c>
      <c r="I98" s="61">
        <f t="shared" si="24"/>
        <v>0</v>
      </c>
      <c r="J98" s="61">
        <f t="shared" si="24"/>
        <v>0</v>
      </c>
      <c r="K98" s="61">
        <f t="shared" si="24"/>
        <v>0</v>
      </c>
      <c r="L98" s="61">
        <f t="shared" si="24"/>
        <v>0</v>
      </c>
      <c r="M98" s="61">
        <f t="shared" si="24"/>
        <v>0</v>
      </c>
      <c r="N98" s="61">
        <f t="shared" si="24"/>
        <v>0</v>
      </c>
      <c r="Q98" s="61">
        <f t="shared" si="21"/>
        <v>0</v>
      </c>
      <c r="S98" s="61">
        <f t="shared" ref="S98:S161" si="25">VLOOKUP($A98,DatosEspecies,S$2,FALSE)</f>
        <v>0</v>
      </c>
      <c r="U98" s="61">
        <f t="shared" si="22"/>
        <v>0</v>
      </c>
      <c r="X98" s="61">
        <f t="shared" si="22"/>
        <v>0</v>
      </c>
      <c r="Y98" s="61">
        <f t="shared" si="22"/>
        <v>0</v>
      </c>
      <c r="Z98" s="61">
        <f t="shared" si="22"/>
        <v>0</v>
      </c>
      <c r="AA98" s="61">
        <f t="shared" si="22"/>
        <v>0</v>
      </c>
      <c r="AB98" s="61">
        <f t="shared" si="22"/>
        <v>0</v>
      </c>
      <c r="AC98" s="61">
        <f t="shared" si="22"/>
        <v>96</v>
      </c>
    </row>
    <row r="99" spans="1:29" ht="16.8" x14ac:dyDescent="0.3">
      <c r="A99" s="70">
        <f>'BASE MAESTRA'!B105</f>
        <v>97</v>
      </c>
      <c r="B99" s="61">
        <f t="shared" si="24"/>
        <v>0</v>
      </c>
      <c r="C99" s="61">
        <f t="shared" si="24"/>
        <v>0</v>
      </c>
      <c r="D99" s="61">
        <f t="shared" si="24"/>
        <v>0</v>
      </c>
      <c r="E99" s="61">
        <f t="shared" si="24"/>
        <v>0</v>
      </c>
      <c r="F99" s="61">
        <f t="shared" si="24"/>
        <v>0</v>
      </c>
      <c r="G99" s="61">
        <f t="shared" si="24"/>
        <v>0</v>
      </c>
      <c r="H99" s="61">
        <f t="shared" si="24"/>
        <v>0</v>
      </c>
      <c r="I99" s="61">
        <f t="shared" si="24"/>
        <v>0</v>
      </c>
      <c r="J99" s="61">
        <f t="shared" si="24"/>
        <v>0</v>
      </c>
      <c r="K99" s="61">
        <f t="shared" si="24"/>
        <v>0</v>
      </c>
      <c r="L99" s="61">
        <f t="shared" si="24"/>
        <v>0</v>
      </c>
      <c r="M99" s="61">
        <f t="shared" si="24"/>
        <v>0</v>
      </c>
      <c r="N99" s="61">
        <f t="shared" si="24"/>
        <v>0</v>
      </c>
      <c r="Q99" s="61">
        <f t="shared" si="21"/>
        <v>0</v>
      </c>
      <c r="S99" s="61">
        <f t="shared" si="25"/>
        <v>0</v>
      </c>
      <c r="U99" s="61">
        <f t="shared" si="22"/>
        <v>0</v>
      </c>
      <c r="X99" s="61">
        <f t="shared" si="22"/>
        <v>0</v>
      </c>
      <c r="Y99" s="61">
        <f t="shared" si="22"/>
        <v>0</v>
      </c>
      <c r="Z99" s="61">
        <f t="shared" si="22"/>
        <v>0</v>
      </c>
      <c r="AA99" s="61">
        <f t="shared" si="22"/>
        <v>0</v>
      </c>
      <c r="AB99" s="61">
        <f t="shared" si="22"/>
        <v>0</v>
      </c>
      <c r="AC99" s="61">
        <f t="shared" si="22"/>
        <v>97</v>
      </c>
    </row>
    <row r="100" spans="1:29" ht="16.8" x14ac:dyDescent="0.3">
      <c r="A100" s="70">
        <f>'BASE MAESTRA'!B106</f>
        <v>98</v>
      </c>
      <c r="B100" s="61">
        <f t="shared" si="24"/>
        <v>0</v>
      </c>
      <c r="C100" s="61">
        <f t="shared" si="24"/>
        <v>0</v>
      </c>
      <c r="D100" s="61">
        <f t="shared" si="24"/>
        <v>0</v>
      </c>
      <c r="E100" s="61">
        <f t="shared" si="24"/>
        <v>0</v>
      </c>
      <c r="F100" s="61">
        <f t="shared" si="24"/>
        <v>0</v>
      </c>
      <c r="G100" s="61">
        <f t="shared" si="24"/>
        <v>0</v>
      </c>
      <c r="H100" s="61">
        <f t="shared" si="24"/>
        <v>0</v>
      </c>
      <c r="I100" s="61">
        <f t="shared" si="24"/>
        <v>0</v>
      </c>
      <c r="J100" s="61">
        <f t="shared" si="24"/>
        <v>0</v>
      </c>
      <c r="K100" s="61">
        <f t="shared" si="24"/>
        <v>0</v>
      </c>
      <c r="L100" s="61">
        <f t="shared" si="24"/>
        <v>0</v>
      </c>
      <c r="M100" s="61">
        <f t="shared" si="24"/>
        <v>0</v>
      </c>
      <c r="N100" s="61">
        <f t="shared" si="24"/>
        <v>0</v>
      </c>
      <c r="Q100" s="61">
        <f t="shared" si="21"/>
        <v>0</v>
      </c>
      <c r="S100" s="61">
        <f t="shared" si="25"/>
        <v>0</v>
      </c>
      <c r="U100" s="61">
        <f t="shared" si="22"/>
        <v>0</v>
      </c>
      <c r="X100" s="61">
        <f t="shared" si="22"/>
        <v>0</v>
      </c>
      <c r="Y100" s="61">
        <f t="shared" si="22"/>
        <v>0</v>
      </c>
      <c r="Z100" s="61">
        <f t="shared" si="22"/>
        <v>0</v>
      </c>
      <c r="AA100" s="61">
        <f t="shared" si="22"/>
        <v>0</v>
      </c>
      <c r="AB100" s="61">
        <f t="shared" si="22"/>
        <v>0</v>
      </c>
      <c r="AC100" s="61">
        <f t="shared" si="22"/>
        <v>98</v>
      </c>
    </row>
    <row r="101" spans="1:29" ht="16.8" x14ac:dyDescent="0.3">
      <c r="A101" s="70">
        <f>'BASE MAESTRA'!B107</f>
        <v>99</v>
      </c>
      <c r="B101" s="61">
        <f t="shared" si="24"/>
        <v>0</v>
      </c>
      <c r="C101" s="61">
        <f t="shared" si="24"/>
        <v>0</v>
      </c>
      <c r="D101" s="61">
        <f t="shared" si="24"/>
        <v>0</v>
      </c>
      <c r="E101" s="61">
        <f t="shared" si="24"/>
        <v>0</v>
      </c>
      <c r="F101" s="61">
        <f t="shared" si="24"/>
        <v>0</v>
      </c>
      <c r="G101" s="61">
        <f t="shared" si="24"/>
        <v>0</v>
      </c>
      <c r="H101" s="61">
        <f t="shared" si="24"/>
        <v>0</v>
      </c>
      <c r="I101" s="61">
        <f t="shared" si="24"/>
        <v>0</v>
      </c>
      <c r="J101" s="61">
        <f t="shared" si="24"/>
        <v>0</v>
      </c>
      <c r="K101" s="61">
        <f t="shared" si="24"/>
        <v>0</v>
      </c>
      <c r="L101" s="61">
        <f t="shared" si="24"/>
        <v>0</v>
      </c>
      <c r="M101" s="61">
        <f t="shared" si="24"/>
        <v>0</v>
      </c>
      <c r="N101" s="61">
        <f t="shared" si="24"/>
        <v>0</v>
      </c>
      <c r="Q101" s="61">
        <f t="shared" si="21"/>
        <v>0</v>
      </c>
      <c r="S101" s="61">
        <f t="shared" si="25"/>
        <v>0</v>
      </c>
      <c r="U101" s="61">
        <f t="shared" si="22"/>
        <v>0</v>
      </c>
      <c r="X101" s="61">
        <f t="shared" si="22"/>
        <v>0</v>
      </c>
      <c r="Y101" s="61">
        <f t="shared" si="22"/>
        <v>0</v>
      </c>
      <c r="Z101" s="61">
        <f t="shared" si="22"/>
        <v>0</v>
      </c>
      <c r="AA101" s="61">
        <f t="shared" si="22"/>
        <v>0</v>
      </c>
      <c r="AB101" s="61">
        <f t="shared" si="22"/>
        <v>0</v>
      </c>
      <c r="AC101" s="61">
        <f t="shared" si="22"/>
        <v>99</v>
      </c>
    </row>
    <row r="102" spans="1:29" ht="16.8" x14ac:dyDescent="0.3">
      <c r="A102" s="70">
        <f>'BASE MAESTRA'!B108</f>
        <v>100</v>
      </c>
      <c r="B102" s="61">
        <f t="shared" si="24"/>
        <v>0</v>
      </c>
      <c r="C102" s="61">
        <f t="shared" si="24"/>
        <v>0</v>
      </c>
      <c r="D102" s="61">
        <f t="shared" si="24"/>
        <v>0</v>
      </c>
      <c r="E102" s="61">
        <f t="shared" si="24"/>
        <v>0</v>
      </c>
      <c r="F102" s="61">
        <f t="shared" si="24"/>
        <v>0</v>
      </c>
      <c r="G102" s="61">
        <f t="shared" si="24"/>
        <v>0</v>
      </c>
      <c r="H102" s="61">
        <f t="shared" si="24"/>
        <v>0</v>
      </c>
      <c r="I102" s="61">
        <f t="shared" si="24"/>
        <v>0</v>
      </c>
      <c r="J102" s="61">
        <f t="shared" si="24"/>
        <v>0</v>
      </c>
      <c r="K102" s="61">
        <f t="shared" si="24"/>
        <v>0</v>
      </c>
      <c r="L102" s="61">
        <f t="shared" si="24"/>
        <v>0</v>
      </c>
      <c r="M102" s="61">
        <f t="shared" si="24"/>
        <v>0</v>
      </c>
      <c r="N102" s="61">
        <f t="shared" si="24"/>
        <v>0</v>
      </c>
      <c r="Q102" s="61">
        <f t="shared" si="21"/>
        <v>0</v>
      </c>
      <c r="S102" s="61">
        <f t="shared" si="25"/>
        <v>0</v>
      </c>
      <c r="U102" s="61">
        <f t="shared" si="22"/>
        <v>0</v>
      </c>
      <c r="X102" s="61">
        <f t="shared" si="22"/>
        <v>0</v>
      </c>
      <c r="Y102" s="61">
        <f t="shared" si="22"/>
        <v>0</v>
      </c>
      <c r="Z102" s="61">
        <f t="shared" si="22"/>
        <v>0</v>
      </c>
      <c r="AA102" s="61">
        <f t="shared" si="22"/>
        <v>0</v>
      </c>
      <c r="AB102" s="61">
        <f t="shared" si="22"/>
        <v>0</v>
      </c>
      <c r="AC102" s="61">
        <f t="shared" si="22"/>
        <v>100</v>
      </c>
    </row>
    <row r="103" spans="1:29" ht="16.8" x14ac:dyDescent="0.3">
      <c r="A103" s="70">
        <f>'BASE MAESTRA'!B109</f>
        <v>101</v>
      </c>
      <c r="B103" s="61">
        <f t="shared" si="24"/>
        <v>0</v>
      </c>
      <c r="C103" s="61">
        <f t="shared" si="24"/>
        <v>0</v>
      </c>
      <c r="D103" s="61">
        <f t="shared" si="24"/>
        <v>0</v>
      </c>
      <c r="E103" s="61">
        <f t="shared" si="24"/>
        <v>0</v>
      </c>
      <c r="F103" s="61">
        <f t="shared" si="24"/>
        <v>0</v>
      </c>
      <c r="G103" s="61">
        <f t="shared" si="24"/>
        <v>0</v>
      </c>
      <c r="H103" s="61">
        <f t="shared" si="24"/>
        <v>0</v>
      </c>
      <c r="I103" s="61">
        <f t="shared" si="24"/>
        <v>0</v>
      </c>
      <c r="J103" s="61">
        <f t="shared" si="24"/>
        <v>0</v>
      </c>
      <c r="K103" s="61">
        <f t="shared" si="24"/>
        <v>0</v>
      </c>
      <c r="L103" s="61">
        <f t="shared" si="24"/>
        <v>0</v>
      </c>
      <c r="M103" s="61">
        <f t="shared" si="24"/>
        <v>0</v>
      </c>
      <c r="N103" s="61">
        <f t="shared" si="24"/>
        <v>0</v>
      </c>
      <c r="Q103" s="61">
        <f t="shared" si="21"/>
        <v>0</v>
      </c>
      <c r="S103" s="61">
        <f t="shared" si="25"/>
        <v>0</v>
      </c>
      <c r="U103" s="61">
        <f t="shared" si="22"/>
        <v>0</v>
      </c>
      <c r="X103" s="61">
        <f t="shared" si="22"/>
        <v>0</v>
      </c>
      <c r="Y103" s="61">
        <f t="shared" si="22"/>
        <v>0</v>
      </c>
      <c r="Z103" s="61">
        <f t="shared" si="22"/>
        <v>0</v>
      </c>
      <c r="AA103" s="61">
        <f t="shared" si="22"/>
        <v>0</v>
      </c>
      <c r="AB103" s="61">
        <f t="shared" si="22"/>
        <v>0</v>
      </c>
      <c r="AC103" s="61">
        <f t="shared" si="22"/>
        <v>101</v>
      </c>
    </row>
    <row r="104" spans="1:29" ht="16.8" x14ac:dyDescent="0.3">
      <c r="A104" s="70">
        <f>'BASE MAESTRA'!B110</f>
        <v>102</v>
      </c>
      <c r="B104" s="61">
        <f t="shared" si="24"/>
        <v>0</v>
      </c>
      <c r="C104" s="61">
        <f t="shared" si="24"/>
        <v>0</v>
      </c>
      <c r="D104" s="61">
        <f t="shared" si="24"/>
        <v>0</v>
      </c>
      <c r="E104" s="61">
        <f t="shared" si="24"/>
        <v>0</v>
      </c>
      <c r="F104" s="61">
        <f t="shared" si="24"/>
        <v>0</v>
      </c>
      <c r="G104" s="61">
        <f t="shared" si="24"/>
        <v>0</v>
      </c>
      <c r="H104" s="61">
        <f t="shared" si="24"/>
        <v>0</v>
      </c>
      <c r="I104" s="61">
        <f t="shared" si="24"/>
        <v>0</v>
      </c>
      <c r="J104" s="61">
        <f t="shared" si="24"/>
        <v>0</v>
      </c>
      <c r="K104" s="61">
        <f t="shared" si="24"/>
        <v>0</v>
      </c>
      <c r="L104" s="61">
        <f t="shared" si="24"/>
        <v>0</v>
      </c>
      <c r="M104" s="61">
        <f t="shared" si="24"/>
        <v>0</v>
      </c>
      <c r="N104" s="61">
        <f t="shared" si="24"/>
        <v>0</v>
      </c>
      <c r="Q104" s="61">
        <f t="shared" si="21"/>
        <v>0</v>
      </c>
      <c r="S104" s="61">
        <f t="shared" si="25"/>
        <v>0</v>
      </c>
      <c r="U104" s="61">
        <f t="shared" si="22"/>
        <v>0</v>
      </c>
      <c r="X104" s="61">
        <f t="shared" si="22"/>
        <v>0</v>
      </c>
      <c r="Y104" s="61">
        <f t="shared" si="22"/>
        <v>0</v>
      </c>
      <c r="Z104" s="61">
        <f t="shared" si="22"/>
        <v>0</v>
      </c>
      <c r="AA104" s="61">
        <f t="shared" si="22"/>
        <v>0</v>
      </c>
      <c r="AB104" s="61">
        <f t="shared" si="22"/>
        <v>0</v>
      </c>
      <c r="AC104" s="61">
        <f t="shared" si="22"/>
        <v>102</v>
      </c>
    </row>
    <row r="105" spans="1:29" ht="16.8" x14ac:dyDescent="0.3">
      <c r="A105" s="70">
        <f>'BASE MAESTRA'!B111</f>
        <v>103</v>
      </c>
      <c r="B105" s="61">
        <f t="shared" si="24"/>
        <v>0</v>
      </c>
      <c r="C105" s="61">
        <f t="shared" si="24"/>
        <v>0</v>
      </c>
      <c r="D105" s="61">
        <f t="shared" si="24"/>
        <v>0</v>
      </c>
      <c r="E105" s="61">
        <f t="shared" si="24"/>
        <v>0</v>
      </c>
      <c r="F105" s="61">
        <f t="shared" si="24"/>
        <v>0</v>
      </c>
      <c r="G105" s="61">
        <f t="shared" si="24"/>
        <v>0</v>
      </c>
      <c r="H105" s="61">
        <f t="shared" si="24"/>
        <v>0</v>
      </c>
      <c r="I105" s="61">
        <f t="shared" si="24"/>
        <v>0</v>
      </c>
      <c r="J105" s="61">
        <f t="shared" si="24"/>
        <v>0</v>
      </c>
      <c r="K105" s="61">
        <f t="shared" si="24"/>
        <v>0</v>
      </c>
      <c r="L105" s="61">
        <f t="shared" si="24"/>
        <v>0</v>
      </c>
      <c r="M105" s="61">
        <f t="shared" si="24"/>
        <v>0</v>
      </c>
      <c r="N105" s="61">
        <f t="shared" si="24"/>
        <v>0</v>
      </c>
      <c r="Q105" s="61">
        <f t="shared" si="21"/>
        <v>0</v>
      </c>
      <c r="S105" s="61">
        <f t="shared" si="25"/>
        <v>0</v>
      </c>
      <c r="U105" s="61">
        <f t="shared" si="22"/>
        <v>0</v>
      </c>
      <c r="X105" s="61">
        <f t="shared" si="22"/>
        <v>0</v>
      </c>
      <c r="Y105" s="61">
        <f t="shared" si="22"/>
        <v>0</v>
      </c>
      <c r="Z105" s="61">
        <f t="shared" si="22"/>
        <v>0</v>
      </c>
      <c r="AA105" s="61">
        <f t="shared" si="22"/>
        <v>0</v>
      </c>
      <c r="AB105" s="61">
        <f t="shared" si="22"/>
        <v>0</v>
      </c>
      <c r="AC105" s="61">
        <f t="shared" si="22"/>
        <v>103</v>
      </c>
    </row>
    <row r="106" spans="1:29" ht="16.8" x14ac:dyDescent="0.3">
      <c r="A106" s="70">
        <f>'BASE MAESTRA'!B112</f>
        <v>104</v>
      </c>
      <c r="B106" s="61">
        <f t="shared" si="24"/>
        <v>0</v>
      </c>
      <c r="C106" s="61">
        <f t="shared" si="24"/>
        <v>0</v>
      </c>
      <c r="D106" s="61">
        <f t="shared" si="24"/>
        <v>0</v>
      </c>
      <c r="E106" s="61">
        <f t="shared" si="24"/>
        <v>0</v>
      </c>
      <c r="F106" s="61">
        <f t="shared" si="24"/>
        <v>0</v>
      </c>
      <c r="G106" s="61">
        <f t="shared" si="24"/>
        <v>0</v>
      </c>
      <c r="H106" s="61">
        <f t="shared" si="24"/>
        <v>0</v>
      </c>
      <c r="I106" s="61">
        <f t="shared" si="24"/>
        <v>0</v>
      </c>
      <c r="J106" s="61">
        <f t="shared" si="24"/>
        <v>0</v>
      </c>
      <c r="K106" s="61">
        <f t="shared" si="24"/>
        <v>0</v>
      </c>
      <c r="L106" s="61">
        <f t="shared" si="24"/>
        <v>0</v>
      </c>
      <c r="M106" s="61">
        <f t="shared" si="24"/>
        <v>0</v>
      </c>
      <c r="N106" s="61">
        <f t="shared" si="24"/>
        <v>0</v>
      </c>
      <c r="Q106" s="61">
        <f t="shared" si="21"/>
        <v>0</v>
      </c>
      <c r="S106" s="61">
        <f t="shared" si="25"/>
        <v>0</v>
      </c>
      <c r="U106" s="61">
        <f t="shared" si="22"/>
        <v>0</v>
      </c>
      <c r="X106" s="61">
        <f t="shared" ref="X106:AC142" si="26">VLOOKUP($A106,DatosEspecies,X$2,FALSE)</f>
        <v>0</v>
      </c>
      <c r="Y106" s="61">
        <f t="shared" si="26"/>
        <v>0</v>
      </c>
      <c r="Z106" s="61">
        <f t="shared" si="26"/>
        <v>0</v>
      </c>
      <c r="AA106" s="61">
        <f t="shared" si="26"/>
        <v>0</v>
      </c>
      <c r="AB106" s="61">
        <f t="shared" si="26"/>
        <v>0</v>
      </c>
      <c r="AC106" s="61">
        <f t="shared" si="26"/>
        <v>104</v>
      </c>
    </row>
    <row r="107" spans="1:29" ht="16.8" x14ac:dyDescent="0.3">
      <c r="A107" s="70">
        <f>'BASE MAESTRA'!B113</f>
        <v>105</v>
      </c>
      <c r="B107" s="61">
        <f t="shared" si="24"/>
        <v>0</v>
      </c>
      <c r="C107" s="61">
        <f t="shared" si="24"/>
        <v>0</v>
      </c>
      <c r="D107" s="61">
        <f t="shared" si="24"/>
        <v>0</v>
      </c>
      <c r="E107" s="61">
        <f t="shared" si="24"/>
        <v>0</v>
      </c>
      <c r="F107" s="61">
        <f t="shared" si="24"/>
        <v>0</v>
      </c>
      <c r="G107" s="61">
        <f t="shared" si="24"/>
        <v>0</v>
      </c>
      <c r="H107" s="61">
        <f t="shared" si="24"/>
        <v>0</v>
      </c>
      <c r="I107" s="61">
        <f t="shared" si="24"/>
        <v>0</v>
      </c>
      <c r="J107" s="61">
        <f t="shared" si="24"/>
        <v>0</v>
      </c>
      <c r="K107" s="61">
        <f t="shared" si="24"/>
        <v>0</v>
      </c>
      <c r="L107" s="61">
        <f t="shared" si="24"/>
        <v>0</v>
      </c>
      <c r="M107" s="61">
        <f t="shared" si="24"/>
        <v>0</v>
      </c>
      <c r="N107" s="61">
        <f t="shared" si="24"/>
        <v>0</v>
      </c>
      <c r="Q107" s="61">
        <f t="shared" si="21"/>
        <v>0</v>
      </c>
      <c r="S107" s="61">
        <f t="shared" si="25"/>
        <v>0</v>
      </c>
      <c r="U107" s="61">
        <f t="shared" ref="U107:U138" si="27">VLOOKUP($A107,DatosEspecies,U$2,FALSE)</f>
        <v>0</v>
      </c>
      <c r="X107" s="61">
        <f t="shared" si="26"/>
        <v>0</v>
      </c>
      <c r="Y107" s="61">
        <f t="shared" si="26"/>
        <v>0</v>
      </c>
      <c r="Z107" s="61">
        <f t="shared" si="26"/>
        <v>0</v>
      </c>
      <c r="AA107" s="61">
        <f t="shared" si="26"/>
        <v>0</v>
      </c>
      <c r="AB107" s="61">
        <f t="shared" si="26"/>
        <v>0</v>
      </c>
      <c r="AC107" s="61">
        <f t="shared" si="26"/>
        <v>105</v>
      </c>
    </row>
    <row r="108" spans="1:29" ht="16.8" x14ac:dyDescent="0.3">
      <c r="A108" s="70">
        <f>'BASE MAESTRA'!B114</f>
        <v>106</v>
      </c>
      <c r="B108" s="61">
        <f t="shared" si="24"/>
        <v>0</v>
      </c>
      <c r="C108" s="61">
        <f t="shared" si="24"/>
        <v>0</v>
      </c>
      <c r="D108" s="61">
        <f t="shared" si="24"/>
        <v>0</v>
      </c>
      <c r="E108" s="61">
        <f t="shared" si="24"/>
        <v>0</v>
      </c>
      <c r="F108" s="61">
        <f t="shared" si="24"/>
        <v>0</v>
      </c>
      <c r="G108" s="61">
        <f t="shared" si="24"/>
        <v>0</v>
      </c>
      <c r="H108" s="61">
        <f t="shared" si="24"/>
        <v>0</v>
      </c>
      <c r="I108" s="61">
        <f t="shared" si="24"/>
        <v>0</v>
      </c>
      <c r="J108" s="61">
        <f t="shared" si="24"/>
        <v>0</v>
      </c>
      <c r="K108" s="61">
        <f t="shared" si="24"/>
        <v>0</v>
      </c>
      <c r="L108" s="61">
        <f t="shared" si="24"/>
        <v>0</v>
      </c>
      <c r="M108" s="61">
        <f t="shared" si="24"/>
        <v>0</v>
      </c>
      <c r="N108" s="61">
        <f t="shared" si="24"/>
        <v>0</v>
      </c>
      <c r="Q108" s="61">
        <f t="shared" si="21"/>
        <v>0</v>
      </c>
      <c r="S108" s="61">
        <f t="shared" si="25"/>
        <v>0</v>
      </c>
      <c r="U108" s="61">
        <f t="shared" si="27"/>
        <v>0</v>
      </c>
      <c r="X108" s="61">
        <f t="shared" si="26"/>
        <v>0</v>
      </c>
      <c r="Y108" s="61">
        <f t="shared" si="26"/>
        <v>0</v>
      </c>
      <c r="Z108" s="61">
        <f t="shared" si="26"/>
        <v>0</v>
      </c>
      <c r="AA108" s="61">
        <f t="shared" si="26"/>
        <v>0</v>
      </c>
      <c r="AB108" s="61">
        <f t="shared" si="26"/>
        <v>0</v>
      </c>
      <c r="AC108" s="61">
        <f t="shared" si="26"/>
        <v>106</v>
      </c>
    </row>
    <row r="109" spans="1:29" ht="16.8" x14ac:dyDescent="0.3">
      <c r="A109" s="70">
        <f>'BASE MAESTRA'!B115</f>
        <v>107</v>
      </c>
      <c r="B109" s="61">
        <f t="shared" si="24"/>
        <v>0</v>
      </c>
      <c r="C109" s="61">
        <f t="shared" si="24"/>
        <v>0</v>
      </c>
      <c r="D109" s="61">
        <f t="shared" si="24"/>
        <v>0</v>
      </c>
      <c r="E109" s="61">
        <f t="shared" si="24"/>
        <v>0</v>
      </c>
      <c r="F109" s="61">
        <f t="shared" si="24"/>
        <v>0</v>
      </c>
      <c r="G109" s="61">
        <f t="shared" si="24"/>
        <v>0</v>
      </c>
      <c r="H109" s="61">
        <f t="shared" si="24"/>
        <v>0</v>
      </c>
      <c r="I109" s="61">
        <f t="shared" si="24"/>
        <v>0</v>
      </c>
      <c r="J109" s="61">
        <f t="shared" si="24"/>
        <v>0</v>
      </c>
      <c r="K109" s="61">
        <f t="shared" si="24"/>
        <v>0</v>
      </c>
      <c r="L109" s="61">
        <f t="shared" si="24"/>
        <v>0</v>
      </c>
      <c r="M109" s="61">
        <f t="shared" si="24"/>
        <v>0</v>
      </c>
      <c r="N109" s="61">
        <f t="shared" si="24"/>
        <v>0</v>
      </c>
      <c r="Q109" s="61">
        <f t="shared" si="21"/>
        <v>0</v>
      </c>
      <c r="S109" s="61">
        <f t="shared" si="25"/>
        <v>0</v>
      </c>
      <c r="U109" s="61">
        <f t="shared" si="27"/>
        <v>0</v>
      </c>
      <c r="X109" s="61">
        <f t="shared" si="26"/>
        <v>0</v>
      </c>
      <c r="Y109" s="61">
        <f t="shared" si="26"/>
        <v>0</v>
      </c>
      <c r="Z109" s="61">
        <f t="shared" si="26"/>
        <v>0</v>
      </c>
      <c r="AA109" s="61">
        <f t="shared" si="26"/>
        <v>0</v>
      </c>
      <c r="AB109" s="61">
        <f t="shared" si="26"/>
        <v>0</v>
      </c>
      <c r="AC109" s="61">
        <f t="shared" si="26"/>
        <v>107</v>
      </c>
    </row>
    <row r="110" spans="1:29" ht="16.8" x14ac:dyDescent="0.3">
      <c r="A110" s="70">
        <f>'BASE MAESTRA'!B116</f>
        <v>108</v>
      </c>
      <c r="B110" s="61">
        <f t="shared" si="24"/>
        <v>0</v>
      </c>
      <c r="C110" s="61">
        <f t="shared" si="24"/>
        <v>0</v>
      </c>
      <c r="D110" s="61">
        <f t="shared" si="24"/>
        <v>0</v>
      </c>
      <c r="E110" s="61">
        <f t="shared" si="24"/>
        <v>0</v>
      </c>
      <c r="F110" s="61">
        <f t="shared" si="24"/>
        <v>0</v>
      </c>
      <c r="G110" s="61">
        <f t="shared" si="24"/>
        <v>0</v>
      </c>
      <c r="H110" s="61">
        <f t="shared" si="24"/>
        <v>0</v>
      </c>
      <c r="I110" s="61">
        <f t="shared" si="24"/>
        <v>0</v>
      </c>
      <c r="J110" s="61">
        <f t="shared" si="24"/>
        <v>0</v>
      </c>
      <c r="K110" s="61">
        <f t="shared" si="24"/>
        <v>0</v>
      </c>
      <c r="L110" s="61">
        <f t="shared" si="24"/>
        <v>0</v>
      </c>
      <c r="M110" s="61">
        <f t="shared" si="24"/>
        <v>0</v>
      </c>
      <c r="N110" s="61">
        <f t="shared" si="24"/>
        <v>0</v>
      </c>
      <c r="Q110" s="61">
        <f t="shared" si="21"/>
        <v>0</v>
      </c>
      <c r="S110" s="61">
        <f t="shared" si="25"/>
        <v>0</v>
      </c>
      <c r="U110" s="61">
        <f t="shared" si="27"/>
        <v>0</v>
      </c>
      <c r="X110" s="61">
        <f t="shared" si="26"/>
        <v>0</v>
      </c>
      <c r="Y110" s="61">
        <f t="shared" si="26"/>
        <v>0</v>
      </c>
      <c r="Z110" s="61">
        <f t="shared" si="26"/>
        <v>0</v>
      </c>
      <c r="AA110" s="61">
        <f t="shared" si="26"/>
        <v>0</v>
      </c>
      <c r="AB110" s="61">
        <f t="shared" si="26"/>
        <v>0</v>
      </c>
      <c r="AC110" s="61">
        <f t="shared" si="26"/>
        <v>108</v>
      </c>
    </row>
    <row r="111" spans="1:29" ht="16.8" x14ac:dyDescent="0.3">
      <c r="A111" s="70">
        <f>'BASE MAESTRA'!B117</f>
        <v>109</v>
      </c>
      <c r="B111" s="61">
        <f t="shared" si="24"/>
        <v>0</v>
      </c>
      <c r="C111" s="61">
        <f t="shared" si="24"/>
        <v>0</v>
      </c>
      <c r="D111" s="61">
        <f t="shared" si="24"/>
        <v>0</v>
      </c>
      <c r="E111" s="61">
        <f t="shared" si="24"/>
        <v>0</v>
      </c>
      <c r="F111" s="61">
        <f t="shared" si="24"/>
        <v>0</v>
      </c>
      <c r="G111" s="61">
        <f t="shared" si="24"/>
        <v>0</v>
      </c>
      <c r="H111" s="61">
        <f t="shared" si="24"/>
        <v>0</v>
      </c>
      <c r="I111" s="61">
        <f t="shared" si="24"/>
        <v>0</v>
      </c>
      <c r="J111" s="61">
        <f t="shared" si="24"/>
        <v>0</v>
      </c>
      <c r="K111" s="61">
        <f t="shared" si="24"/>
        <v>0</v>
      </c>
      <c r="L111" s="61">
        <f t="shared" si="24"/>
        <v>0</v>
      </c>
      <c r="M111" s="61">
        <f t="shared" si="24"/>
        <v>0</v>
      </c>
      <c r="N111" s="61">
        <f t="shared" si="24"/>
        <v>0</v>
      </c>
      <c r="Q111" s="61">
        <f t="shared" si="21"/>
        <v>0</v>
      </c>
      <c r="S111" s="61">
        <f t="shared" si="25"/>
        <v>0</v>
      </c>
      <c r="U111" s="61">
        <f t="shared" si="27"/>
        <v>0</v>
      </c>
      <c r="X111" s="61">
        <f t="shared" si="26"/>
        <v>0</v>
      </c>
      <c r="Y111" s="61">
        <f t="shared" si="26"/>
        <v>0</v>
      </c>
      <c r="Z111" s="61">
        <f t="shared" si="26"/>
        <v>0</v>
      </c>
      <c r="AA111" s="61">
        <f t="shared" si="26"/>
        <v>0</v>
      </c>
      <c r="AB111" s="61">
        <f t="shared" si="26"/>
        <v>0</v>
      </c>
      <c r="AC111" s="61">
        <f t="shared" si="26"/>
        <v>109</v>
      </c>
    </row>
    <row r="112" spans="1:29" ht="16.8" x14ac:dyDescent="0.3">
      <c r="A112" s="70">
        <f>'BASE MAESTRA'!B118</f>
        <v>110</v>
      </c>
      <c r="B112" s="61">
        <f t="shared" si="24"/>
        <v>0</v>
      </c>
      <c r="C112" s="61">
        <f t="shared" si="24"/>
        <v>0</v>
      </c>
      <c r="D112" s="61">
        <f t="shared" si="24"/>
        <v>0</v>
      </c>
      <c r="E112" s="61">
        <f t="shared" si="24"/>
        <v>0</v>
      </c>
      <c r="F112" s="61">
        <f t="shared" si="24"/>
        <v>0</v>
      </c>
      <c r="G112" s="61">
        <f t="shared" si="24"/>
        <v>0</v>
      </c>
      <c r="H112" s="61">
        <f t="shared" si="24"/>
        <v>0</v>
      </c>
      <c r="I112" s="61">
        <f t="shared" si="24"/>
        <v>0</v>
      </c>
      <c r="J112" s="61">
        <f t="shared" si="24"/>
        <v>0</v>
      </c>
      <c r="K112" s="61">
        <f t="shared" si="24"/>
        <v>0</v>
      </c>
      <c r="L112" s="61">
        <f t="shared" si="24"/>
        <v>0</v>
      </c>
      <c r="M112" s="61">
        <f t="shared" si="24"/>
        <v>0</v>
      </c>
      <c r="N112" s="61">
        <f t="shared" si="24"/>
        <v>0</v>
      </c>
      <c r="Q112" s="61">
        <f t="shared" si="21"/>
        <v>0</v>
      </c>
      <c r="S112" s="61">
        <f t="shared" si="25"/>
        <v>0</v>
      </c>
      <c r="U112" s="61">
        <f t="shared" si="27"/>
        <v>0</v>
      </c>
      <c r="X112" s="61">
        <f t="shared" si="26"/>
        <v>0</v>
      </c>
      <c r="Y112" s="61">
        <f t="shared" si="26"/>
        <v>0</v>
      </c>
      <c r="Z112" s="61">
        <f t="shared" si="26"/>
        <v>0</v>
      </c>
      <c r="AA112" s="61">
        <f t="shared" si="26"/>
        <v>0</v>
      </c>
      <c r="AB112" s="61">
        <f t="shared" si="26"/>
        <v>0</v>
      </c>
      <c r="AC112" s="61">
        <f t="shared" si="26"/>
        <v>110</v>
      </c>
    </row>
    <row r="113" spans="1:29" ht="16.8" x14ac:dyDescent="0.3">
      <c r="A113" s="70">
        <f>'BASE MAESTRA'!B119</f>
        <v>111</v>
      </c>
      <c r="B113" s="61">
        <f t="shared" si="24"/>
        <v>0</v>
      </c>
      <c r="C113" s="61">
        <f t="shared" si="24"/>
        <v>0</v>
      </c>
      <c r="D113" s="61">
        <f t="shared" si="24"/>
        <v>0</v>
      </c>
      <c r="E113" s="61">
        <f t="shared" si="24"/>
        <v>0</v>
      </c>
      <c r="F113" s="61">
        <f t="shared" si="24"/>
        <v>0</v>
      </c>
      <c r="G113" s="61">
        <f t="shared" si="24"/>
        <v>0</v>
      </c>
      <c r="H113" s="61">
        <f t="shared" si="24"/>
        <v>0</v>
      </c>
      <c r="I113" s="61">
        <f t="shared" si="24"/>
        <v>0</v>
      </c>
      <c r="J113" s="61">
        <f t="shared" si="24"/>
        <v>0</v>
      </c>
      <c r="K113" s="61">
        <f t="shared" si="24"/>
        <v>0</v>
      </c>
      <c r="L113" s="61">
        <f t="shared" si="24"/>
        <v>0</v>
      </c>
      <c r="M113" s="61">
        <f t="shared" si="24"/>
        <v>0</v>
      </c>
      <c r="N113" s="61">
        <f t="shared" si="24"/>
        <v>0</v>
      </c>
      <c r="Q113" s="61">
        <f t="shared" si="21"/>
        <v>0</v>
      </c>
      <c r="S113" s="61">
        <f t="shared" si="25"/>
        <v>0</v>
      </c>
      <c r="U113" s="61">
        <f t="shared" si="27"/>
        <v>0</v>
      </c>
      <c r="X113" s="61">
        <f t="shared" si="26"/>
        <v>0</v>
      </c>
      <c r="Y113" s="61">
        <f t="shared" si="26"/>
        <v>0</v>
      </c>
      <c r="Z113" s="61">
        <f t="shared" si="26"/>
        <v>0</v>
      </c>
      <c r="AA113" s="61">
        <f t="shared" si="26"/>
        <v>0</v>
      </c>
      <c r="AB113" s="61">
        <f t="shared" si="26"/>
        <v>0</v>
      </c>
      <c r="AC113" s="61">
        <f t="shared" si="26"/>
        <v>111</v>
      </c>
    </row>
    <row r="114" spans="1:29" ht="16.8" x14ac:dyDescent="0.3">
      <c r="A114" s="70">
        <f>'BASE MAESTRA'!B120</f>
        <v>112</v>
      </c>
      <c r="B114" s="61">
        <f t="shared" si="24"/>
        <v>0</v>
      </c>
      <c r="C114" s="61">
        <f t="shared" si="24"/>
        <v>0</v>
      </c>
      <c r="D114" s="61">
        <f t="shared" si="24"/>
        <v>0</v>
      </c>
      <c r="E114" s="61">
        <f t="shared" si="24"/>
        <v>0</v>
      </c>
      <c r="F114" s="61">
        <f t="shared" si="24"/>
        <v>0</v>
      </c>
      <c r="G114" s="61">
        <f t="shared" si="24"/>
        <v>0</v>
      </c>
      <c r="H114" s="61">
        <f t="shared" si="24"/>
        <v>0</v>
      </c>
      <c r="I114" s="61">
        <f t="shared" si="24"/>
        <v>0</v>
      </c>
      <c r="J114" s="61">
        <f t="shared" si="24"/>
        <v>0</v>
      </c>
      <c r="K114" s="61">
        <f t="shared" si="24"/>
        <v>0</v>
      </c>
      <c r="L114" s="61">
        <f t="shared" si="24"/>
        <v>0</v>
      </c>
      <c r="M114" s="61">
        <f t="shared" si="24"/>
        <v>0</v>
      </c>
      <c r="N114" s="61">
        <f t="shared" si="24"/>
        <v>0</v>
      </c>
      <c r="Q114" s="61">
        <f t="shared" si="21"/>
        <v>0</v>
      </c>
      <c r="S114" s="61">
        <f t="shared" si="25"/>
        <v>0</v>
      </c>
      <c r="U114" s="61">
        <f t="shared" si="27"/>
        <v>0</v>
      </c>
      <c r="X114" s="61">
        <f t="shared" si="26"/>
        <v>0</v>
      </c>
      <c r="Y114" s="61">
        <f t="shared" si="26"/>
        <v>0</v>
      </c>
      <c r="Z114" s="61">
        <f t="shared" si="26"/>
        <v>0</v>
      </c>
      <c r="AA114" s="61">
        <f t="shared" si="26"/>
        <v>0</v>
      </c>
      <c r="AB114" s="61">
        <f t="shared" si="26"/>
        <v>0</v>
      </c>
      <c r="AC114" s="61">
        <f t="shared" si="26"/>
        <v>112</v>
      </c>
    </row>
    <row r="115" spans="1:29" ht="16.8" x14ac:dyDescent="0.3">
      <c r="A115" s="70">
        <f>'BASE MAESTRA'!B121</f>
        <v>113</v>
      </c>
      <c r="B115" s="61">
        <f t="shared" si="24"/>
        <v>0</v>
      </c>
      <c r="C115" s="61">
        <f t="shared" si="24"/>
        <v>0</v>
      </c>
      <c r="D115" s="61">
        <f t="shared" si="24"/>
        <v>0</v>
      </c>
      <c r="E115" s="61">
        <f t="shared" si="24"/>
        <v>0</v>
      </c>
      <c r="F115" s="61">
        <f t="shared" si="24"/>
        <v>0</v>
      </c>
      <c r="G115" s="61">
        <f t="shared" si="24"/>
        <v>0</v>
      </c>
      <c r="H115" s="61">
        <f t="shared" si="24"/>
        <v>0</v>
      </c>
      <c r="I115" s="61">
        <f t="shared" si="24"/>
        <v>0</v>
      </c>
      <c r="J115" s="61">
        <f t="shared" si="24"/>
        <v>0</v>
      </c>
      <c r="K115" s="61">
        <f t="shared" si="24"/>
        <v>0</v>
      </c>
      <c r="L115" s="61">
        <f t="shared" si="24"/>
        <v>0</v>
      </c>
      <c r="M115" s="61">
        <f t="shared" si="24"/>
        <v>0</v>
      </c>
      <c r="N115" s="61">
        <f t="shared" si="24"/>
        <v>0</v>
      </c>
      <c r="Q115" s="61">
        <f t="shared" si="21"/>
        <v>0</v>
      </c>
      <c r="S115" s="61">
        <f t="shared" si="25"/>
        <v>0</v>
      </c>
      <c r="U115" s="61">
        <f t="shared" si="27"/>
        <v>0</v>
      </c>
      <c r="X115" s="61">
        <f t="shared" si="26"/>
        <v>0</v>
      </c>
      <c r="Y115" s="61">
        <f t="shared" si="26"/>
        <v>0</v>
      </c>
      <c r="Z115" s="61">
        <f t="shared" si="26"/>
        <v>0</v>
      </c>
      <c r="AA115" s="61">
        <f t="shared" si="26"/>
        <v>0</v>
      </c>
      <c r="AB115" s="61">
        <f t="shared" si="26"/>
        <v>0</v>
      </c>
      <c r="AC115" s="61">
        <f t="shared" si="26"/>
        <v>113</v>
      </c>
    </row>
    <row r="116" spans="1:29" ht="16.8" x14ac:dyDescent="0.3">
      <c r="A116" s="70">
        <f>'BASE MAESTRA'!B122</f>
        <v>114</v>
      </c>
      <c r="B116" s="61">
        <f t="shared" si="24"/>
        <v>0</v>
      </c>
      <c r="C116" s="61">
        <f t="shared" si="24"/>
        <v>0</v>
      </c>
      <c r="D116" s="61">
        <f t="shared" si="24"/>
        <v>0</v>
      </c>
      <c r="E116" s="61">
        <f t="shared" si="24"/>
        <v>0</v>
      </c>
      <c r="F116" s="61">
        <f t="shared" si="24"/>
        <v>0</v>
      </c>
      <c r="G116" s="61">
        <f t="shared" si="24"/>
        <v>0</v>
      </c>
      <c r="H116" s="61">
        <f t="shared" si="24"/>
        <v>0</v>
      </c>
      <c r="I116" s="61">
        <f t="shared" si="24"/>
        <v>0</v>
      </c>
      <c r="J116" s="61">
        <f t="shared" si="24"/>
        <v>0</v>
      </c>
      <c r="K116" s="61">
        <f t="shared" si="24"/>
        <v>0</v>
      </c>
      <c r="L116" s="61">
        <f t="shared" si="24"/>
        <v>0</v>
      </c>
      <c r="M116" s="61">
        <f t="shared" si="24"/>
        <v>0</v>
      </c>
      <c r="N116" s="61">
        <f t="shared" si="24"/>
        <v>0</v>
      </c>
      <c r="Q116" s="61">
        <f t="shared" si="21"/>
        <v>0</v>
      </c>
      <c r="S116" s="61">
        <f t="shared" si="25"/>
        <v>0</v>
      </c>
      <c r="U116" s="61">
        <f t="shared" si="27"/>
        <v>0</v>
      </c>
      <c r="X116" s="61">
        <f t="shared" si="26"/>
        <v>0</v>
      </c>
      <c r="Y116" s="61">
        <f t="shared" si="26"/>
        <v>0</v>
      </c>
      <c r="Z116" s="61">
        <f t="shared" si="26"/>
        <v>0</v>
      </c>
      <c r="AA116" s="61">
        <f t="shared" si="26"/>
        <v>0</v>
      </c>
      <c r="AB116" s="61">
        <f t="shared" si="26"/>
        <v>0</v>
      </c>
      <c r="AC116" s="61">
        <f t="shared" si="26"/>
        <v>114</v>
      </c>
    </row>
    <row r="117" spans="1:29" ht="16.8" x14ac:dyDescent="0.3">
      <c r="A117" s="70">
        <f>'BASE MAESTRA'!B123</f>
        <v>115</v>
      </c>
      <c r="B117" s="61">
        <f t="shared" si="24"/>
        <v>0</v>
      </c>
      <c r="C117" s="61">
        <f t="shared" si="24"/>
        <v>0</v>
      </c>
      <c r="D117" s="61">
        <f t="shared" si="24"/>
        <v>0</v>
      </c>
      <c r="E117" s="61">
        <f t="shared" ref="B117:N136" si="28">VLOOKUP($A117,DatosEspecies,E$2,FALSE)</f>
        <v>0</v>
      </c>
      <c r="F117" s="61">
        <f t="shared" si="28"/>
        <v>0</v>
      </c>
      <c r="G117" s="61">
        <f t="shared" si="28"/>
        <v>0</v>
      </c>
      <c r="H117" s="61">
        <f t="shared" si="28"/>
        <v>0</v>
      </c>
      <c r="I117" s="61">
        <f t="shared" si="28"/>
        <v>0</v>
      </c>
      <c r="J117" s="61">
        <f t="shared" si="28"/>
        <v>0</v>
      </c>
      <c r="K117" s="61">
        <f t="shared" si="28"/>
        <v>0</v>
      </c>
      <c r="L117" s="61">
        <f t="shared" si="28"/>
        <v>0</v>
      </c>
      <c r="M117" s="61">
        <f t="shared" si="28"/>
        <v>0</v>
      </c>
      <c r="N117" s="61">
        <f t="shared" si="28"/>
        <v>0</v>
      </c>
      <c r="Q117" s="61">
        <f t="shared" si="21"/>
        <v>0</v>
      </c>
      <c r="S117" s="61">
        <f t="shared" si="25"/>
        <v>0</v>
      </c>
      <c r="U117" s="61">
        <f t="shared" si="27"/>
        <v>0</v>
      </c>
      <c r="X117" s="61">
        <f t="shared" si="26"/>
        <v>0</v>
      </c>
      <c r="Y117" s="61">
        <f t="shared" si="26"/>
        <v>0</v>
      </c>
      <c r="Z117" s="61">
        <f t="shared" si="26"/>
        <v>0</v>
      </c>
      <c r="AA117" s="61">
        <f t="shared" si="26"/>
        <v>0</v>
      </c>
      <c r="AB117" s="61">
        <f t="shared" si="26"/>
        <v>0</v>
      </c>
      <c r="AC117" s="61">
        <f t="shared" si="26"/>
        <v>115</v>
      </c>
    </row>
    <row r="118" spans="1:29" ht="16.8" x14ac:dyDescent="0.3">
      <c r="A118" s="70">
        <f>'BASE MAESTRA'!B124</f>
        <v>116</v>
      </c>
      <c r="B118" s="61">
        <f t="shared" si="28"/>
        <v>0</v>
      </c>
      <c r="C118" s="61">
        <f t="shared" si="28"/>
        <v>0</v>
      </c>
      <c r="D118" s="61">
        <f t="shared" si="28"/>
        <v>0</v>
      </c>
      <c r="E118" s="61">
        <f t="shared" si="28"/>
        <v>0</v>
      </c>
      <c r="F118" s="61">
        <f t="shared" si="28"/>
        <v>0</v>
      </c>
      <c r="G118" s="61">
        <f t="shared" si="28"/>
        <v>0</v>
      </c>
      <c r="H118" s="61">
        <f t="shared" si="28"/>
        <v>0</v>
      </c>
      <c r="I118" s="61">
        <f t="shared" si="28"/>
        <v>0</v>
      </c>
      <c r="J118" s="61">
        <f t="shared" si="28"/>
        <v>0</v>
      </c>
      <c r="K118" s="61">
        <f t="shared" si="28"/>
        <v>0</v>
      </c>
      <c r="L118" s="61">
        <f t="shared" si="28"/>
        <v>0</v>
      </c>
      <c r="M118" s="61">
        <f t="shared" si="28"/>
        <v>0</v>
      </c>
      <c r="N118" s="61">
        <f t="shared" si="28"/>
        <v>0</v>
      </c>
      <c r="Q118" s="61">
        <f t="shared" si="21"/>
        <v>0</v>
      </c>
      <c r="S118" s="61">
        <f t="shared" si="25"/>
        <v>0</v>
      </c>
      <c r="U118" s="61">
        <f t="shared" si="27"/>
        <v>0</v>
      </c>
      <c r="X118" s="61">
        <f t="shared" si="26"/>
        <v>0</v>
      </c>
      <c r="Y118" s="61">
        <f t="shared" si="26"/>
        <v>0</v>
      </c>
      <c r="Z118" s="61">
        <f t="shared" si="26"/>
        <v>0</v>
      </c>
      <c r="AA118" s="61">
        <f t="shared" si="26"/>
        <v>0</v>
      </c>
      <c r="AB118" s="61">
        <f t="shared" si="26"/>
        <v>0</v>
      </c>
      <c r="AC118" s="61">
        <f t="shared" si="26"/>
        <v>116</v>
      </c>
    </row>
    <row r="119" spans="1:29" ht="16.8" x14ac:dyDescent="0.3">
      <c r="A119" s="70">
        <f>'BASE MAESTRA'!B125</f>
        <v>117</v>
      </c>
      <c r="B119" s="61">
        <f t="shared" si="28"/>
        <v>0</v>
      </c>
      <c r="C119" s="61">
        <f t="shared" si="28"/>
        <v>0</v>
      </c>
      <c r="D119" s="61">
        <f t="shared" si="28"/>
        <v>0</v>
      </c>
      <c r="E119" s="61">
        <f t="shared" si="28"/>
        <v>0</v>
      </c>
      <c r="F119" s="61">
        <f t="shared" si="28"/>
        <v>0</v>
      </c>
      <c r="G119" s="61">
        <f t="shared" si="28"/>
        <v>0</v>
      </c>
      <c r="H119" s="61">
        <f t="shared" si="28"/>
        <v>0</v>
      </c>
      <c r="I119" s="61">
        <f t="shared" si="28"/>
        <v>0</v>
      </c>
      <c r="J119" s="61">
        <f t="shared" si="28"/>
        <v>0</v>
      </c>
      <c r="K119" s="61">
        <f t="shared" si="28"/>
        <v>0</v>
      </c>
      <c r="L119" s="61">
        <f t="shared" si="28"/>
        <v>0</v>
      </c>
      <c r="M119" s="61">
        <f t="shared" si="28"/>
        <v>0</v>
      </c>
      <c r="N119" s="61">
        <f t="shared" si="28"/>
        <v>0</v>
      </c>
      <c r="Q119" s="61">
        <f t="shared" si="21"/>
        <v>0</v>
      </c>
      <c r="S119" s="61">
        <f t="shared" si="25"/>
        <v>0</v>
      </c>
      <c r="U119" s="61">
        <f t="shared" si="27"/>
        <v>0</v>
      </c>
      <c r="X119" s="61">
        <f t="shared" si="26"/>
        <v>0</v>
      </c>
      <c r="Y119" s="61">
        <f t="shared" si="26"/>
        <v>0</v>
      </c>
      <c r="Z119" s="61">
        <f t="shared" si="26"/>
        <v>0</v>
      </c>
      <c r="AA119" s="61">
        <f t="shared" si="26"/>
        <v>0</v>
      </c>
      <c r="AB119" s="61">
        <f t="shared" si="26"/>
        <v>0</v>
      </c>
      <c r="AC119" s="61">
        <f t="shared" si="26"/>
        <v>117</v>
      </c>
    </row>
    <row r="120" spans="1:29" ht="16.8" x14ac:dyDescent="0.3">
      <c r="A120" s="70">
        <f>'BASE MAESTRA'!B126</f>
        <v>118</v>
      </c>
      <c r="B120" s="61">
        <f t="shared" si="28"/>
        <v>0</v>
      </c>
      <c r="C120" s="61">
        <f t="shared" si="28"/>
        <v>0</v>
      </c>
      <c r="D120" s="61">
        <f t="shared" si="28"/>
        <v>0</v>
      </c>
      <c r="E120" s="61">
        <f t="shared" si="28"/>
        <v>0</v>
      </c>
      <c r="F120" s="61">
        <f t="shared" si="28"/>
        <v>0</v>
      </c>
      <c r="G120" s="61">
        <f t="shared" si="28"/>
        <v>0</v>
      </c>
      <c r="H120" s="61">
        <f t="shared" si="28"/>
        <v>0</v>
      </c>
      <c r="I120" s="61">
        <f t="shared" si="28"/>
        <v>0</v>
      </c>
      <c r="J120" s="61">
        <f t="shared" si="28"/>
        <v>0</v>
      </c>
      <c r="K120" s="61">
        <f t="shared" si="28"/>
        <v>0</v>
      </c>
      <c r="L120" s="61">
        <f t="shared" si="28"/>
        <v>0</v>
      </c>
      <c r="M120" s="61">
        <f t="shared" si="28"/>
        <v>0</v>
      </c>
      <c r="N120" s="61">
        <f t="shared" si="28"/>
        <v>0</v>
      </c>
      <c r="Q120" s="61">
        <f t="shared" si="21"/>
        <v>0</v>
      </c>
      <c r="S120" s="61">
        <f t="shared" si="25"/>
        <v>0</v>
      </c>
      <c r="U120" s="61">
        <f t="shared" si="27"/>
        <v>0</v>
      </c>
      <c r="X120" s="61">
        <f t="shared" si="26"/>
        <v>0</v>
      </c>
      <c r="Y120" s="61">
        <f t="shared" si="26"/>
        <v>0</v>
      </c>
      <c r="Z120" s="61">
        <f t="shared" si="26"/>
        <v>0</v>
      </c>
      <c r="AA120" s="61">
        <f t="shared" si="26"/>
        <v>0</v>
      </c>
      <c r="AB120" s="61">
        <f t="shared" si="26"/>
        <v>0</v>
      </c>
      <c r="AC120" s="61">
        <f t="shared" si="26"/>
        <v>118</v>
      </c>
    </row>
    <row r="121" spans="1:29" ht="16.8" x14ac:dyDescent="0.3">
      <c r="A121" s="70">
        <f>'BASE MAESTRA'!B127</f>
        <v>119</v>
      </c>
      <c r="B121" s="61">
        <f t="shared" si="28"/>
        <v>0</v>
      </c>
      <c r="C121" s="61">
        <f t="shared" si="28"/>
        <v>0</v>
      </c>
      <c r="D121" s="61">
        <f t="shared" si="28"/>
        <v>0</v>
      </c>
      <c r="E121" s="61">
        <f t="shared" si="28"/>
        <v>0</v>
      </c>
      <c r="F121" s="61">
        <f t="shared" si="28"/>
        <v>0</v>
      </c>
      <c r="G121" s="61">
        <f t="shared" si="28"/>
        <v>0</v>
      </c>
      <c r="H121" s="61">
        <f t="shared" si="28"/>
        <v>0</v>
      </c>
      <c r="I121" s="61">
        <f t="shared" si="28"/>
        <v>0</v>
      </c>
      <c r="J121" s="61">
        <f t="shared" si="28"/>
        <v>0</v>
      </c>
      <c r="K121" s="61">
        <f t="shared" si="28"/>
        <v>0</v>
      </c>
      <c r="L121" s="61">
        <f t="shared" si="28"/>
        <v>0</v>
      </c>
      <c r="M121" s="61">
        <f t="shared" si="28"/>
        <v>0</v>
      </c>
      <c r="N121" s="61">
        <f t="shared" si="28"/>
        <v>0</v>
      </c>
      <c r="Q121" s="61">
        <f t="shared" si="21"/>
        <v>0</v>
      </c>
      <c r="S121" s="61">
        <f t="shared" si="25"/>
        <v>0</v>
      </c>
      <c r="U121" s="61">
        <f t="shared" si="27"/>
        <v>0</v>
      </c>
      <c r="X121" s="61">
        <f t="shared" si="26"/>
        <v>0</v>
      </c>
      <c r="Y121" s="61">
        <f t="shared" si="26"/>
        <v>0</v>
      </c>
      <c r="Z121" s="61">
        <f t="shared" si="26"/>
        <v>0</v>
      </c>
      <c r="AA121" s="61">
        <f t="shared" si="26"/>
        <v>0</v>
      </c>
      <c r="AB121" s="61">
        <f t="shared" si="26"/>
        <v>0</v>
      </c>
      <c r="AC121" s="61">
        <f t="shared" si="26"/>
        <v>119</v>
      </c>
    </row>
    <row r="122" spans="1:29" ht="16.8" x14ac:dyDescent="0.3">
      <c r="A122" s="70">
        <f>'BASE MAESTRA'!B128</f>
        <v>120</v>
      </c>
      <c r="B122" s="61">
        <f t="shared" si="28"/>
        <v>0</v>
      </c>
      <c r="C122" s="61">
        <f t="shared" si="28"/>
        <v>0</v>
      </c>
      <c r="D122" s="61">
        <f t="shared" si="28"/>
        <v>0</v>
      </c>
      <c r="E122" s="61">
        <f t="shared" si="28"/>
        <v>0</v>
      </c>
      <c r="F122" s="61">
        <f t="shared" si="28"/>
        <v>0</v>
      </c>
      <c r="G122" s="61">
        <f t="shared" si="28"/>
        <v>0</v>
      </c>
      <c r="H122" s="61">
        <f t="shared" si="28"/>
        <v>0</v>
      </c>
      <c r="I122" s="61">
        <f t="shared" si="28"/>
        <v>0</v>
      </c>
      <c r="J122" s="61">
        <f t="shared" si="28"/>
        <v>0</v>
      </c>
      <c r="K122" s="61">
        <f t="shared" si="28"/>
        <v>0</v>
      </c>
      <c r="L122" s="61">
        <f t="shared" si="28"/>
        <v>0</v>
      </c>
      <c r="M122" s="61">
        <f t="shared" si="28"/>
        <v>0</v>
      </c>
      <c r="N122" s="61">
        <f t="shared" si="28"/>
        <v>0</v>
      </c>
      <c r="Q122" s="61">
        <f t="shared" si="21"/>
        <v>0</v>
      </c>
      <c r="S122" s="61">
        <f t="shared" si="25"/>
        <v>0</v>
      </c>
      <c r="U122" s="61">
        <f t="shared" si="27"/>
        <v>0</v>
      </c>
      <c r="X122" s="61">
        <f t="shared" si="26"/>
        <v>0</v>
      </c>
      <c r="Y122" s="61">
        <f t="shared" si="26"/>
        <v>0</v>
      </c>
      <c r="Z122" s="61">
        <f t="shared" si="26"/>
        <v>0</v>
      </c>
      <c r="AA122" s="61">
        <f t="shared" si="26"/>
        <v>0</v>
      </c>
      <c r="AB122" s="61">
        <f t="shared" si="26"/>
        <v>0</v>
      </c>
      <c r="AC122" s="61">
        <f t="shared" si="26"/>
        <v>120</v>
      </c>
    </row>
    <row r="123" spans="1:29" ht="16.8" x14ac:dyDescent="0.3">
      <c r="A123" s="70">
        <f>'BASE MAESTRA'!B129</f>
        <v>121</v>
      </c>
      <c r="B123" s="61">
        <f t="shared" si="28"/>
        <v>0</v>
      </c>
      <c r="C123" s="61">
        <f t="shared" si="28"/>
        <v>0</v>
      </c>
      <c r="D123" s="61">
        <f t="shared" si="28"/>
        <v>0</v>
      </c>
      <c r="E123" s="61">
        <f t="shared" si="28"/>
        <v>0</v>
      </c>
      <c r="F123" s="61">
        <f t="shared" si="28"/>
        <v>0</v>
      </c>
      <c r="G123" s="61">
        <f t="shared" si="28"/>
        <v>0</v>
      </c>
      <c r="H123" s="61">
        <f t="shared" si="28"/>
        <v>0</v>
      </c>
      <c r="I123" s="61">
        <f t="shared" si="28"/>
        <v>0</v>
      </c>
      <c r="J123" s="61">
        <f t="shared" si="28"/>
        <v>0</v>
      </c>
      <c r="K123" s="61">
        <f t="shared" si="28"/>
        <v>0</v>
      </c>
      <c r="L123" s="61">
        <f t="shared" si="28"/>
        <v>0</v>
      </c>
      <c r="M123" s="61">
        <f t="shared" si="28"/>
        <v>0</v>
      </c>
      <c r="N123" s="61">
        <f t="shared" si="28"/>
        <v>0</v>
      </c>
      <c r="Q123" s="61">
        <f t="shared" si="21"/>
        <v>0</v>
      </c>
      <c r="S123" s="61">
        <f t="shared" si="25"/>
        <v>0</v>
      </c>
      <c r="U123" s="61">
        <f t="shared" si="27"/>
        <v>0</v>
      </c>
      <c r="X123" s="61">
        <f t="shared" si="26"/>
        <v>0</v>
      </c>
      <c r="Y123" s="61">
        <f t="shared" si="26"/>
        <v>0</v>
      </c>
      <c r="Z123" s="61">
        <f t="shared" si="26"/>
        <v>0</v>
      </c>
      <c r="AA123" s="61">
        <f t="shared" si="26"/>
        <v>0</v>
      </c>
      <c r="AB123" s="61">
        <f t="shared" si="26"/>
        <v>0</v>
      </c>
      <c r="AC123" s="61">
        <f t="shared" si="26"/>
        <v>121</v>
      </c>
    </row>
    <row r="124" spans="1:29" ht="16.8" x14ac:dyDescent="0.3">
      <c r="A124" s="70">
        <f>'BASE MAESTRA'!B130</f>
        <v>122</v>
      </c>
      <c r="B124" s="61">
        <f t="shared" si="28"/>
        <v>0</v>
      </c>
      <c r="C124" s="61">
        <f t="shared" si="28"/>
        <v>0</v>
      </c>
      <c r="D124" s="61">
        <f t="shared" si="28"/>
        <v>0</v>
      </c>
      <c r="E124" s="61">
        <f t="shared" si="28"/>
        <v>0</v>
      </c>
      <c r="F124" s="61">
        <f t="shared" si="28"/>
        <v>0</v>
      </c>
      <c r="G124" s="61">
        <f t="shared" si="28"/>
        <v>0</v>
      </c>
      <c r="H124" s="61">
        <f t="shared" si="28"/>
        <v>0</v>
      </c>
      <c r="I124" s="61">
        <f t="shared" si="28"/>
        <v>0</v>
      </c>
      <c r="J124" s="61">
        <f t="shared" si="28"/>
        <v>0</v>
      </c>
      <c r="K124" s="61">
        <f t="shared" si="28"/>
        <v>0</v>
      </c>
      <c r="L124" s="61">
        <f t="shared" si="28"/>
        <v>0</v>
      </c>
      <c r="M124" s="61">
        <f t="shared" si="28"/>
        <v>0</v>
      </c>
      <c r="N124" s="61">
        <f t="shared" si="28"/>
        <v>0</v>
      </c>
      <c r="Q124" s="61">
        <f t="shared" si="21"/>
        <v>0</v>
      </c>
      <c r="S124" s="61">
        <f t="shared" si="25"/>
        <v>0</v>
      </c>
      <c r="U124" s="61">
        <f t="shared" si="27"/>
        <v>0</v>
      </c>
      <c r="X124" s="61">
        <f t="shared" si="26"/>
        <v>0</v>
      </c>
      <c r="Y124" s="61">
        <f t="shared" si="26"/>
        <v>0</v>
      </c>
      <c r="Z124" s="61">
        <f t="shared" si="26"/>
        <v>0</v>
      </c>
      <c r="AA124" s="61">
        <f t="shared" si="26"/>
        <v>0</v>
      </c>
      <c r="AB124" s="61">
        <f t="shared" si="26"/>
        <v>0</v>
      </c>
      <c r="AC124" s="61">
        <f t="shared" si="26"/>
        <v>122</v>
      </c>
    </row>
    <row r="125" spans="1:29" ht="16.8" x14ac:dyDescent="0.3">
      <c r="A125" s="70">
        <f>'BASE MAESTRA'!B131</f>
        <v>123</v>
      </c>
      <c r="B125" s="61">
        <f t="shared" si="28"/>
        <v>0</v>
      </c>
      <c r="C125" s="61">
        <f t="shared" si="28"/>
        <v>0</v>
      </c>
      <c r="D125" s="61">
        <f t="shared" si="28"/>
        <v>0</v>
      </c>
      <c r="E125" s="61">
        <f t="shared" si="28"/>
        <v>0</v>
      </c>
      <c r="F125" s="61">
        <f t="shared" si="28"/>
        <v>0</v>
      </c>
      <c r="G125" s="61">
        <f t="shared" si="28"/>
        <v>0</v>
      </c>
      <c r="H125" s="61">
        <f t="shared" si="28"/>
        <v>0</v>
      </c>
      <c r="I125" s="61">
        <f t="shared" si="28"/>
        <v>0</v>
      </c>
      <c r="J125" s="61">
        <f t="shared" si="28"/>
        <v>0</v>
      </c>
      <c r="K125" s="61">
        <f t="shared" si="28"/>
        <v>0</v>
      </c>
      <c r="L125" s="61">
        <f t="shared" si="28"/>
        <v>0</v>
      </c>
      <c r="M125" s="61">
        <f t="shared" si="28"/>
        <v>0</v>
      </c>
      <c r="N125" s="61">
        <f t="shared" si="28"/>
        <v>0</v>
      </c>
      <c r="Q125" s="61">
        <f t="shared" si="21"/>
        <v>0</v>
      </c>
      <c r="S125" s="61">
        <f t="shared" si="25"/>
        <v>0</v>
      </c>
      <c r="U125" s="61">
        <f t="shared" si="27"/>
        <v>0</v>
      </c>
      <c r="X125" s="61">
        <f t="shared" si="26"/>
        <v>0</v>
      </c>
      <c r="Y125" s="61">
        <f t="shared" si="26"/>
        <v>0</v>
      </c>
      <c r="Z125" s="61">
        <f t="shared" si="26"/>
        <v>0</v>
      </c>
      <c r="AA125" s="61">
        <f t="shared" si="26"/>
        <v>0</v>
      </c>
      <c r="AB125" s="61">
        <f t="shared" si="26"/>
        <v>0</v>
      </c>
      <c r="AC125" s="61">
        <f t="shared" si="26"/>
        <v>123</v>
      </c>
    </row>
    <row r="126" spans="1:29" ht="16.8" x14ac:dyDescent="0.3">
      <c r="A126" s="70">
        <f>'BASE MAESTRA'!B132</f>
        <v>124</v>
      </c>
      <c r="B126" s="61">
        <f t="shared" si="28"/>
        <v>0</v>
      </c>
      <c r="C126" s="61">
        <f t="shared" si="28"/>
        <v>0</v>
      </c>
      <c r="D126" s="61">
        <f t="shared" si="28"/>
        <v>0</v>
      </c>
      <c r="E126" s="61">
        <f t="shared" si="28"/>
        <v>0</v>
      </c>
      <c r="F126" s="61">
        <f t="shared" si="28"/>
        <v>0</v>
      </c>
      <c r="G126" s="61">
        <f t="shared" si="28"/>
        <v>0</v>
      </c>
      <c r="H126" s="61">
        <f t="shared" si="28"/>
        <v>0</v>
      </c>
      <c r="I126" s="61">
        <f t="shared" si="28"/>
        <v>0</v>
      </c>
      <c r="J126" s="61">
        <f t="shared" si="28"/>
        <v>0</v>
      </c>
      <c r="K126" s="61">
        <f t="shared" si="28"/>
        <v>0</v>
      </c>
      <c r="L126" s="61">
        <f t="shared" si="28"/>
        <v>0</v>
      </c>
      <c r="M126" s="61">
        <f t="shared" si="28"/>
        <v>0</v>
      </c>
      <c r="N126" s="61">
        <f t="shared" si="28"/>
        <v>0</v>
      </c>
      <c r="Q126" s="61">
        <f t="shared" si="21"/>
        <v>0</v>
      </c>
      <c r="S126" s="61">
        <f t="shared" si="25"/>
        <v>0</v>
      </c>
      <c r="U126" s="61">
        <f t="shared" si="27"/>
        <v>0</v>
      </c>
      <c r="X126" s="61">
        <f t="shared" si="26"/>
        <v>0</v>
      </c>
      <c r="Y126" s="61">
        <f t="shared" si="26"/>
        <v>0</v>
      </c>
      <c r="Z126" s="61">
        <f t="shared" si="26"/>
        <v>0</v>
      </c>
      <c r="AA126" s="61">
        <f t="shared" si="26"/>
        <v>0</v>
      </c>
      <c r="AB126" s="61">
        <f t="shared" si="26"/>
        <v>0</v>
      </c>
      <c r="AC126" s="61">
        <f t="shared" si="26"/>
        <v>124</v>
      </c>
    </row>
    <row r="127" spans="1:29" ht="16.8" x14ac:dyDescent="0.3">
      <c r="A127" s="70">
        <f>'BASE MAESTRA'!B133</f>
        <v>125</v>
      </c>
      <c r="B127" s="61">
        <f t="shared" si="28"/>
        <v>0</v>
      </c>
      <c r="C127" s="61">
        <f t="shared" si="28"/>
        <v>0</v>
      </c>
      <c r="D127" s="61">
        <f t="shared" si="28"/>
        <v>0</v>
      </c>
      <c r="E127" s="61">
        <f t="shared" si="28"/>
        <v>0</v>
      </c>
      <c r="F127" s="61">
        <f t="shared" si="28"/>
        <v>0</v>
      </c>
      <c r="G127" s="61">
        <f t="shared" si="28"/>
        <v>0</v>
      </c>
      <c r="H127" s="61">
        <f t="shared" si="28"/>
        <v>0</v>
      </c>
      <c r="I127" s="61">
        <f t="shared" si="28"/>
        <v>0</v>
      </c>
      <c r="J127" s="61">
        <f t="shared" si="28"/>
        <v>0</v>
      </c>
      <c r="K127" s="61">
        <f t="shared" si="28"/>
        <v>0</v>
      </c>
      <c r="L127" s="61">
        <f t="shared" si="28"/>
        <v>0</v>
      </c>
      <c r="M127" s="61">
        <f t="shared" si="28"/>
        <v>0</v>
      </c>
      <c r="N127" s="61">
        <f t="shared" si="28"/>
        <v>0</v>
      </c>
      <c r="Q127" s="61">
        <f t="shared" si="21"/>
        <v>0</v>
      </c>
      <c r="S127" s="61">
        <f t="shared" si="25"/>
        <v>0</v>
      </c>
      <c r="U127" s="61">
        <f t="shared" si="27"/>
        <v>0</v>
      </c>
      <c r="X127" s="61">
        <f t="shared" si="26"/>
        <v>0</v>
      </c>
      <c r="Y127" s="61">
        <f t="shared" si="26"/>
        <v>0</v>
      </c>
      <c r="Z127" s="61">
        <f t="shared" si="26"/>
        <v>0</v>
      </c>
      <c r="AA127" s="61">
        <f t="shared" si="26"/>
        <v>0</v>
      </c>
      <c r="AB127" s="61">
        <f t="shared" si="26"/>
        <v>0</v>
      </c>
      <c r="AC127" s="61">
        <f t="shared" si="26"/>
        <v>125</v>
      </c>
    </row>
    <row r="128" spans="1:29" ht="16.8" x14ac:dyDescent="0.3">
      <c r="A128" s="70">
        <f>'BASE MAESTRA'!B134</f>
        <v>126</v>
      </c>
      <c r="B128" s="61">
        <f t="shared" si="28"/>
        <v>0</v>
      </c>
      <c r="C128" s="61">
        <f t="shared" si="28"/>
        <v>0</v>
      </c>
      <c r="D128" s="61">
        <f t="shared" si="28"/>
        <v>0</v>
      </c>
      <c r="E128" s="61">
        <f t="shared" si="28"/>
        <v>0</v>
      </c>
      <c r="F128" s="61">
        <f t="shared" si="28"/>
        <v>0</v>
      </c>
      <c r="G128" s="61">
        <f t="shared" si="28"/>
        <v>0</v>
      </c>
      <c r="H128" s="61">
        <f t="shared" si="28"/>
        <v>0</v>
      </c>
      <c r="I128" s="61">
        <f t="shared" si="28"/>
        <v>0</v>
      </c>
      <c r="J128" s="61">
        <f t="shared" si="28"/>
        <v>0</v>
      </c>
      <c r="K128" s="61">
        <f t="shared" si="28"/>
        <v>0</v>
      </c>
      <c r="L128" s="61">
        <f t="shared" si="28"/>
        <v>0</v>
      </c>
      <c r="M128" s="61">
        <f t="shared" si="28"/>
        <v>0</v>
      </c>
      <c r="N128" s="61">
        <f t="shared" si="28"/>
        <v>0</v>
      </c>
      <c r="Q128" s="61">
        <f t="shared" si="21"/>
        <v>0</v>
      </c>
      <c r="S128" s="61">
        <f t="shared" si="25"/>
        <v>0</v>
      </c>
      <c r="U128" s="61">
        <f t="shared" si="27"/>
        <v>0</v>
      </c>
      <c r="X128" s="61">
        <f t="shared" si="26"/>
        <v>0</v>
      </c>
      <c r="Y128" s="61">
        <f t="shared" si="26"/>
        <v>0</v>
      </c>
      <c r="Z128" s="61">
        <f t="shared" si="26"/>
        <v>0</v>
      </c>
      <c r="AA128" s="61">
        <f t="shared" si="26"/>
        <v>0</v>
      </c>
      <c r="AB128" s="61">
        <f t="shared" si="26"/>
        <v>0</v>
      </c>
      <c r="AC128" s="61">
        <f t="shared" si="26"/>
        <v>126</v>
      </c>
    </row>
    <row r="129" spans="1:29" ht="16.8" x14ac:dyDescent="0.3">
      <c r="A129" s="70">
        <f>'BASE MAESTRA'!B135</f>
        <v>127</v>
      </c>
      <c r="B129" s="61">
        <f t="shared" si="28"/>
        <v>0</v>
      </c>
      <c r="C129" s="61">
        <f t="shared" si="28"/>
        <v>0</v>
      </c>
      <c r="D129" s="61">
        <f t="shared" si="28"/>
        <v>0</v>
      </c>
      <c r="E129" s="61">
        <f t="shared" si="28"/>
        <v>0</v>
      </c>
      <c r="F129" s="61">
        <f t="shared" si="28"/>
        <v>0</v>
      </c>
      <c r="G129" s="61">
        <f t="shared" si="28"/>
        <v>0</v>
      </c>
      <c r="H129" s="61">
        <f t="shared" si="28"/>
        <v>0</v>
      </c>
      <c r="I129" s="61">
        <f t="shared" si="28"/>
        <v>0</v>
      </c>
      <c r="J129" s="61">
        <f t="shared" si="28"/>
        <v>0</v>
      </c>
      <c r="K129" s="61">
        <f t="shared" si="28"/>
        <v>0</v>
      </c>
      <c r="L129" s="61">
        <f t="shared" si="28"/>
        <v>0</v>
      </c>
      <c r="M129" s="61">
        <f t="shared" si="28"/>
        <v>0</v>
      </c>
      <c r="N129" s="61">
        <f t="shared" si="28"/>
        <v>0</v>
      </c>
      <c r="Q129" s="61">
        <f t="shared" si="21"/>
        <v>0</v>
      </c>
      <c r="S129" s="61">
        <f t="shared" si="25"/>
        <v>0</v>
      </c>
      <c r="U129" s="61">
        <f t="shared" si="27"/>
        <v>0</v>
      </c>
      <c r="X129" s="61">
        <f t="shared" si="26"/>
        <v>0</v>
      </c>
      <c r="Y129" s="61">
        <f t="shared" si="26"/>
        <v>0</v>
      </c>
      <c r="Z129" s="61">
        <f t="shared" si="26"/>
        <v>0</v>
      </c>
      <c r="AA129" s="61">
        <f t="shared" si="26"/>
        <v>0</v>
      </c>
      <c r="AB129" s="61">
        <f t="shared" si="26"/>
        <v>0</v>
      </c>
      <c r="AC129" s="61">
        <f t="shared" si="26"/>
        <v>127</v>
      </c>
    </row>
    <row r="130" spans="1:29" ht="16.8" x14ac:dyDescent="0.3">
      <c r="A130" s="70">
        <f>'BASE MAESTRA'!B136</f>
        <v>128</v>
      </c>
      <c r="B130" s="61">
        <f t="shared" si="28"/>
        <v>0</v>
      </c>
      <c r="C130" s="61">
        <f t="shared" si="28"/>
        <v>0</v>
      </c>
      <c r="D130" s="61">
        <f t="shared" si="28"/>
        <v>0</v>
      </c>
      <c r="E130" s="61">
        <f t="shared" si="28"/>
        <v>0</v>
      </c>
      <c r="F130" s="61">
        <f t="shared" si="28"/>
        <v>0</v>
      </c>
      <c r="G130" s="61">
        <f t="shared" si="28"/>
        <v>0</v>
      </c>
      <c r="H130" s="61">
        <f t="shared" si="28"/>
        <v>0</v>
      </c>
      <c r="I130" s="61">
        <f t="shared" si="28"/>
        <v>0</v>
      </c>
      <c r="J130" s="61">
        <f t="shared" si="28"/>
        <v>0</v>
      </c>
      <c r="K130" s="61">
        <f t="shared" si="28"/>
        <v>0</v>
      </c>
      <c r="L130" s="61">
        <f t="shared" si="28"/>
        <v>0</v>
      </c>
      <c r="M130" s="61">
        <f t="shared" si="28"/>
        <v>0</v>
      </c>
      <c r="N130" s="61">
        <f t="shared" si="28"/>
        <v>0</v>
      </c>
      <c r="Q130" s="61">
        <f t="shared" si="21"/>
        <v>0</v>
      </c>
      <c r="S130" s="61">
        <f t="shared" si="25"/>
        <v>0</v>
      </c>
      <c r="U130" s="61">
        <f t="shared" si="27"/>
        <v>0</v>
      </c>
      <c r="X130" s="61">
        <f t="shared" si="26"/>
        <v>0</v>
      </c>
      <c r="Y130" s="61">
        <f t="shared" si="26"/>
        <v>0</v>
      </c>
      <c r="Z130" s="61">
        <f t="shared" si="26"/>
        <v>0</v>
      </c>
      <c r="AA130" s="61">
        <f t="shared" si="26"/>
        <v>0</v>
      </c>
      <c r="AB130" s="61">
        <f t="shared" si="26"/>
        <v>0</v>
      </c>
      <c r="AC130" s="61">
        <f t="shared" si="26"/>
        <v>128</v>
      </c>
    </row>
    <row r="131" spans="1:29" ht="16.8" x14ac:dyDescent="0.3">
      <c r="A131" s="70">
        <f>'BASE MAESTRA'!B137</f>
        <v>129</v>
      </c>
      <c r="B131" s="61">
        <f t="shared" si="28"/>
        <v>0</v>
      </c>
      <c r="C131" s="61">
        <f t="shared" si="28"/>
        <v>0</v>
      </c>
      <c r="D131" s="61">
        <f t="shared" si="28"/>
        <v>0</v>
      </c>
      <c r="E131" s="61">
        <f t="shared" si="28"/>
        <v>0</v>
      </c>
      <c r="F131" s="61">
        <f t="shared" si="28"/>
        <v>0</v>
      </c>
      <c r="G131" s="61">
        <f t="shared" si="28"/>
        <v>0</v>
      </c>
      <c r="H131" s="61">
        <f t="shared" si="28"/>
        <v>0</v>
      </c>
      <c r="I131" s="61">
        <f t="shared" si="28"/>
        <v>0</v>
      </c>
      <c r="J131" s="61">
        <f t="shared" si="28"/>
        <v>0</v>
      </c>
      <c r="K131" s="61">
        <f t="shared" si="28"/>
        <v>0</v>
      </c>
      <c r="L131" s="61">
        <f t="shared" si="28"/>
        <v>0</v>
      </c>
      <c r="M131" s="61">
        <f t="shared" si="28"/>
        <v>0</v>
      </c>
      <c r="N131" s="61">
        <f t="shared" si="28"/>
        <v>0</v>
      </c>
      <c r="Q131" s="61">
        <f t="shared" ref="Q131:Q194" si="29">VLOOKUP($A131,DatosEspecies,Q$2,FALSE)</f>
        <v>0</v>
      </c>
      <c r="S131" s="61">
        <f t="shared" si="25"/>
        <v>0</v>
      </c>
      <c r="U131" s="61">
        <f t="shared" si="27"/>
        <v>0</v>
      </c>
      <c r="X131" s="61">
        <f t="shared" si="26"/>
        <v>0</v>
      </c>
      <c r="Y131" s="61">
        <f t="shared" si="26"/>
        <v>0</v>
      </c>
      <c r="Z131" s="61">
        <f t="shared" si="26"/>
        <v>0</v>
      </c>
      <c r="AA131" s="61">
        <f t="shared" si="26"/>
        <v>0</v>
      </c>
      <c r="AB131" s="61">
        <f t="shared" si="26"/>
        <v>0</v>
      </c>
      <c r="AC131" s="61">
        <f t="shared" si="26"/>
        <v>129</v>
      </c>
    </row>
    <row r="132" spans="1:29" ht="16.8" x14ac:dyDescent="0.3">
      <c r="A132" s="70">
        <f>'BASE MAESTRA'!B138</f>
        <v>130</v>
      </c>
      <c r="B132" s="61">
        <f t="shared" si="28"/>
        <v>0</v>
      </c>
      <c r="C132" s="61">
        <f t="shared" si="28"/>
        <v>0</v>
      </c>
      <c r="D132" s="61">
        <f t="shared" si="28"/>
        <v>0</v>
      </c>
      <c r="E132" s="61">
        <f t="shared" si="28"/>
        <v>0</v>
      </c>
      <c r="F132" s="61">
        <f t="shared" si="28"/>
        <v>0</v>
      </c>
      <c r="G132" s="61">
        <f t="shared" si="28"/>
        <v>0</v>
      </c>
      <c r="H132" s="61">
        <f t="shared" si="28"/>
        <v>0</v>
      </c>
      <c r="I132" s="61">
        <f t="shared" si="28"/>
        <v>0</v>
      </c>
      <c r="J132" s="61">
        <f t="shared" si="28"/>
        <v>0</v>
      </c>
      <c r="K132" s="61">
        <f t="shared" si="28"/>
        <v>0</v>
      </c>
      <c r="L132" s="61">
        <f t="shared" si="28"/>
        <v>0</v>
      </c>
      <c r="M132" s="61">
        <f t="shared" si="28"/>
        <v>0</v>
      </c>
      <c r="N132" s="61">
        <f t="shared" si="28"/>
        <v>0</v>
      </c>
      <c r="Q132" s="61">
        <f t="shared" si="29"/>
        <v>0</v>
      </c>
      <c r="S132" s="61">
        <f t="shared" si="25"/>
        <v>0</v>
      </c>
      <c r="U132" s="61">
        <f t="shared" si="27"/>
        <v>0</v>
      </c>
      <c r="X132" s="61">
        <f t="shared" si="26"/>
        <v>0</v>
      </c>
      <c r="Y132" s="61">
        <f t="shared" si="26"/>
        <v>0</v>
      </c>
      <c r="Z132" s="61">
        <f t="shared" si="26"/>
        <v>0</v>
      </c>
      <c r="AA132" s="61">
        <f t="shared" si="26"/>
        <v>0</v>
      </c>
      <c r="AB132" s="61">
        <f t="shared" si="26"/>
        <v>0</v>
      </c>
      <c r="AC132" s="61">
        <f t="shared" si="26"/>
        <v>130</v>
      </c>
    </row>
    <row r="133" spans="1:29" ht="16.8" x14ac:dyDescent="0.3">
      <c r="A133" s="70">
        <f>'BASE MAESTRA'!B139</f>
        <v>131</v>
      </c>
      <c r="B133" s="61">
        <f t="shared" si="28"/>
        <v>0</v>
      </c>
      <c r="C133" s="61">
        <f t="shared" si="28"/>
        <v>0</v>
      </c>
      <c r="D133" s="61">
        <f t="shared" si="28"/>
        <v>0</v>
      </c>
      <c r="E133" s="61">
        <f t="shared" si="28"/>
        <v>0</v>
      </c>
      <c r="F133" s="61">
        <f t="shared" si="28"/>
        <v>0</v>
      </c>
      <c r="G133" s="61">
        <f t="shared" si="28"/>
        <v>0</v>
      </c>
      <c r="H133" s="61">
        <f t="shared" si="28"/>
        <v>0</v>
      </c>
      <c r="I133" s="61">
        <f t="shared" si="28"/>
        <v>0</v>
      </c>
      <c r="J133" s="61">
        <f t="shared" si="28"/>
        <v>0</v>
      </c>
      <c r="K133" s="61">
        <f t="shared" si="28"/>
        <v>0</v>
      </c>
      <c r="L133" s="61">
        <f t="shared" si="28"/>
        <v>0</v>
      </c>
      <c r="M133" s="61">
        <f t="shared" si="28"/>
        <v>0</v>
      </c>
      <c r="N133" s="61">
        <f t="shared" si="28"/>
        <v>0</v>
      </c>
      <c r="Q133" s="61">
        <f t="shared" si="29"/>
        <v>0</v>
      </c>
      <c r="S133" s="61">
        <f t="shared" si="25"/>
        <v>0</v>
      </c>
      <c r="U133" s="61">
        <f t="shared" si="27"/>
        <v>0</v>
      </c>
      <c r="X133" s="61">
        <f t="shared" si="26"/>
        <v>0</v>
      </c>
      <c r="Y133" s="61">
        <f t="shared" si="26"/>
        <v>0</v>
      </c>
      <c r="Z133" s="61">
        <f t="shared" si="26"/>
        <v>0</v>
      </c>
      <c r="AA133" s="61">
        <f t="shared" si="26"/>
        <v>0</v>
      </c>
      <c r="AB133" s="61">
        <f t="shared" si="26"/>
        <v>0</v>
      </c>
      <c r="AC133" s="61">
        <f t="shared" si="26"/>
        <v>131</v>
      </c>
    </row>
    <row r="134" spans="1:29" ht="16.8" x14ac:dyDescent="0.3">
      <c r="A134" s="70">
        <f>'BASE MAESTRA'!B140</f>
        <v>132</v>
      </c>
      <c r="B134" s="61">
        <f t="shared" si="28"/>
        <v>0</v>
      </c>
      <c r="C134" s="61">
        <f t="shared" si="28"/>
        <v>0</v>
      </c>
      <c r="D134" s="61">
        <f t="shared" si="28"/>
        <v>0</v>
      </c>
      <c r="E134" s="61">
        <f t="shared" si="28"/>
        <v>0</v>
      </c>
      <c r="F134" s="61">
        <f t="shared" si="28"/>
        <v>0</v>
      </c>
      <c r="G134" s="61">
        <f t="shared" si="28"/>
        <v>0</v>
      </c>
      <c r="H134" s="61">
        <f t="shared" si="28"/>
        <v>0</v>
      </c>
      <c r="I134" s="61">
        <f t="shared" si="28"/>
        <v>0</v>
      </c>
      <c r="J134" s="61">
        <f t="shared" si="28"/>
        <v>0</v>
      </c>
      <c r="K134" s="61">
        <f t="shared" si="28"/>
        <v>0</v>
      </c>
      <c r="L134" s="61">
        <f t="shared" si="28"/>
        <v>0</v>
      </c>
      <c r="M134" s="61">
        <f t="shared" si="28"/>
        <v>0</v>
      </c>
      <c r="N134" s="61">
        <f t="shared" si="28"/>
        <v>0</v>
      </c>
      <c r="Q134" s="61">
        <f t="shared" si="29"/>
        <v>0</v>
      </c>
      <c r="S134" s="61">
        <f t="shared" si="25"/>
        <v>0</v>
      </c>
      <c r="U134" s="61">
        <f t="shared" si="27"/>
        <v>0</v>
      </c>
      <c r="X134" s="61">
        <f t="shared" si="26"/>
        <v>0</v>
      </c>
      <c r="Y134" s="61">
        <f t="shared" si="26"/>
        <v>0</v>
      </c>
      <c r="Z134" s="61">
        <f t="shared" si="26"/>
        <v>0</v>
      </c>
      <c r="AA134" s="61">
        <f t="shared" si="26"/>
        <v>0</v>
      </c>
      <c r="AB134" s="61">
        <f t="shared" si="26"/>
        <v>0</v>
      </c>
      <c r="AC134" s="61">
        <f t="shared" si="26"/>
        <v>132</v>
      </c>
    </row>
    <row r="135" spans="1:29" ht="16.8" x14ac:dyDescent="0.3">
      <c r="A135" s="70">
        <f>'BASE MAESTRA'!B141</f>
        <v>133</v>
      </c>
      <c r="B135" s="61">
        <f t="shared" si="28"/>
        <v>0</v>
      </c>
      <c r="C135" s="61">
        <f t="shared" si="28"/>
        <v>0</v>
      </c>
      <c r="D135" s="61">
        <f t="shared" si="28"/>
        <v>0</v>
      </c>
      <c r="E135" s="61">
        <f t="shared" si="28"/>
        <v>0</v>
      </c>
      <c r="F135" s="61">
        <f t="shared" si="28"/>
        <v>0</v>
      </c>
      <c r="G135" s="61">
        <f t="shared" si="28"/>
        <v>0</v>
      </c>
      <c r="H135" s="61">
        <f t="shared" si="28"/>
        <v>0</v>
      </c>
      <c r="I135" s="61">
        <f t="shared" si="28"/>
        <v>0</v>
      </c>
      <c r="J135" s="61">
        <f t="shared" si="28"/>
        <v>0</v>
      </c>
      <c r="K135" s="61">
        <f t="shared" si="28"/>
        <v>0</v>
      </c>
      <c r="L135" s="61">
        <f t="shared" si="28"/>
        <v>0</v>
      </c>
      <c r="M135" s="61">
        <f t="shared" si="28"/>
        <v>0</v>
      </c>
      <c r="N135" s="61">
        <f t="shared" si="28"/>
        <v>0</v>
      </c>
      <c r="Q135" s="61">
        <f t="shared" si="29"/>
        <v>0</v>
      </c>
      <c r="S135" s="61">
        <f t="shared" si="25"/>
        <v>0</v>
      </c>
      <c r="U135" s="61">
        <f t="shared" si="27"/>
        <v>0</v>
      </c>
      <c r="X135" s="61">
        <f t="shared" si="26"/>
        <v>0</v>
      </c>
      <c r="Y135" s="61">
        <f t="shared" si="26"/>
        <v>0</v>
      </c>
      <c r="Z135" s="61">
        <f t="shared" si="26"/>
        <v>0</v>
      </c>
      <c r="AA135" s="61">
        <f t="shared" si="26"/>
        <v>0</v>
      </c>
      <c r="AB135" s="61">
        <f t="shared" si="26"/>
        <v>0</v>
      </c>
      <c r="AC135" s="61">
        <f t="shared" si="26"/>
        <v>133</v>
      </c>
    </row>
    <row r="136" spans="1:29" ht="16.8" x14ac:dyDescent="0.3">
      <c r="A136" s="70">
        <f>'BASE MAESTRA'!B142</f>
        <v>134</v>
      </c>
      <c r="B136" s="61">
        <f t="shared" si="28"/>
        <v>0</v>
      </c>
      <c r="C136" s="61">
        <f t="shared" si="28"/>
        <v>0</v>
      </c>
      <c r="D136" s="61">
        <f t="shared" si="28"/>
        <v>0</v>
      </c>
      <c r="E136" s="61">
        <f t="shared" si="28"/>
        <v>0</v>
      </c>
      <c r="F136" s="61">
        <f t="shared" si="28"/>
        <v>0</v>
      </c>
      <c r="G136" s="61">
        <f t="shared" si="28"/>
        <v>0</v>
      </c>
      <c r="H136" s="61">
        <f t="shared" si="28"/>
        <v>0</v>
      </c>
      <c r="I136" s="61">
        <f t="shared" si="28"/>
        <v>0</v>
      </c>
      <c r="J136" s="61">
        <f t="shared" si="28"/>
        <v>0</v>
      </c>
      <c r="K136" s="61">
        <f t="shared" si="28"/>
        <v>0</v>
      </c>
      <c r="L136" s="61">
        <f t="shared" si="28"/>
        <v>0</v>
      </c>
      <c r="M136" s="61">
        <f t="shared" ref="B136:N156" si="30">VLOOKUP($A136,DatosEspecies,M$2,FALSE)</f>
        <v>0</v>
      </c>
      <c r="N136" s="61">
        <f t="shared" si="30"/>
        <v>0</v>
      </c>
      <c r="Q136" s="61">
        <f t="shared" si="29"/>
        <v>0</v>
      </c>
      <c r="S136" s="61">
        <f t="shared" si="25"/>
        <v>0</v>
      </c>
      <c r="U136" s="61">
        <f t="shared" si="27"/>
        <v>0</v>
      </c>
      <c r="X136" s="61">
        <f t="shared" si="26"/>
        <v>0</v>
      </c>
      <c r="Y136" s="61">
        <f t="shared" si="26"/>
        <v>0</v>
      </c>
      <c r="Z136" s="61">
        <f t="shared" si="26"/>
        <v>0</v>
      </c>
      <c r="AA136" s="61">
        <f t="shared" si="26"/>
        <v>0</v>
      </c>
      <c r="AB136" s="61">
        <f t="shared" si="26"/>
        <v>0</v>
      </c>
      <c r="AC136" s="61">
        <f t="shared" si="26"/>
        <v>134</v>
      </c>
    </row>
    <row r="137" spans="1:29" ht="16.8" x14ac:dyDescent="0.3">
      <c r="A137" s="70">
        <f>'BASE MAESTRA'!B143</f>
        <v>135</v>
      </c>
      <c r="B137" s="61">
        <f t="shared" si="30"/>
        <v>0</v>
      </c>
      <c r="C137" s="61">
        <f t="shared" si="30"/>
        <v>0</v>
      </c>
      <c r="D137" s="61">
        <f t="shared" si="30"/>
        <v>0</v>
      </c>
      <c r="E137" s="61">
        <f t="shared" si="30"/>
        <v>0</v>
      </c>
      <c r="F137" s="61">
        <f t="shared" si="30"/>
        <v>0</v>
      </c>
      <c r="G137" s="61">
        <f t="shared" si="30"/>
        <v>0</v>
      </c>
      <c r="H137" s="61">
        <f t="shared" si="30"/>
        <v>0</v>
      </c>
      <c r="I137" s="61">
        <f t="shared" si="30"/>
        <v>0</v>
      </c>
      <c r="J137" s="61">
        <f t="shared" si="30"/>
        <v>0</v>
      </c>
      <c r="K137" s="61">
        <f t="shared" si="30"/>
        <v>0</v>
      </c>
      <c r="L137" s="61">
        <f t="shared" si="30"/>
        <v>0</v>
      </c>
      <c r="M137" s="61">
        <f t="shared" si="30"/>
        <v>0</v>
      </c>
      <c r="N137" s="61">
        <f t="shared" si="30"/>
        <v>0</v>
      </c>
      <c r="Q137" s="61">
        <f t="shared" si="29"/>
        <v>0</v>
      </c>
      <c r="S137" s="61">
        <f t="shared" si="25"/>
        <v>0</v>
      </c>
      <c r="U137" s="61">
        <f t="shared" si="27"/>
        <v>0</v>
      </c>
      <c r="X137" s="61">
        <f t="shared" si="26"/>
        <v>0</v>
      </c>
      <c r="Y137" s="61">
        <f t="shared" si="26"/>
        <v>0</v>
      </c>
      <c r="Z137" s="61">
        <f t="shared" si="26"/>
        <v>0</v>
      </c>
      <c r="AA137" s="61">
        <f t="shared" si="26"/>
        <v>0</v>
      </c>
      <c r="AB137" s="61">
        <f t="shared" si="26"/>
        <v>0</v>
      </c>
      <c r="AC137" s="61">
        <f t="shared" si="26"/>
        <v>135</v>
      </c>
    </row>
    <row r="138" spans="1:29" ht="16.8" x14ac:dyDescent="0.3">
      <c r="A138" s="70">
        <f>'BASE MAESTRA'!B144</f>
        <v>136</v>
      </c>
      <c r="B138" s="61">
        <f t="shared" si="30"/>
        <v>0</v>
      </c>
      <c r="C138" s="61">
        <f t="shared" si="30"/>
        <v>0</v>
      </c>
      <c r="D138" s="61">
        <f t="shared" si="30"/>
        <v>0</v>
      </c>
      <c r="E138" s="61">
        <f t="shared" si="30"/>
        <v>0</v>
      </c>
      <c r="F138" s="61">
        <f t="shared" si="30"/>
        <v>0</v>
      </c>
      <c r="G138" s="61">
        <f t="shared" si="30"/>
        <v>0</v>
      </c>
      <c r="H138" s="61">
        <f t="shared" si="30"/>
        <v>0</v>
      </c>
      <c r="I138" s="61">
        <f t="shared" si="30"/>
        <v>0</v>
      </c>
      <c r="J138" s="61">
        <f t="shared" si="30"/>
        <v>0</v>
      </c>
      <c r="K138" s="61">
        <f t="shared" si="30"/>
        <v>0</v>
      </c>
      <c r="L138" s="61">
        <f t="shared" si="30"/>
        <v>0</v>
      </c>
      <c r="M138" s="61">
        <f t="shared" si="30"/>
        <v>0</v>
      </c>
      <c r="N138" s="61">
        <f t="shared" si="30"/>
        <v>0</v>
      </c>
      <c r="Q138" s="61">
        <f t="shared" si="29"/>
        <v>0</v>
      </c>
      <c r="S138" s="61">
        <f t="shared" si="25"/>
        <v>0</v>
      </c>
      <c r="U138" s="61">
        <f t="shared" si="27"/>
        <v>0</v>
      </c>
      <c r="X138" s="61">
        <f t="shared" si="26"/>
        <v>0</v>
      </c>
      <c r="Y138" s="61">
        <f t="shared" si="26"/>
        <v>0</v>
      </c>
      <c r="Z138" s="61">
        <f t="shared" si="26"/>
        <v>0</v>
      </c>
      <c r="AA138" s="61">
        <f t="shared" si="26"/>
        <v>0</v>
      </c>
      <c r="AB138" s="61">
        <f t="shared" si="26"/>
        <v>0</v>
      </c>
      <c r="AC138" s="61">
        <f t="shared" si="26"/>
        <v>136</v>
      </c>
    </row>
    <row r="139" spans="1:29" ht="16.8" x14ac:dyDescent="0.3">
      <c r="A139" s="70">
        <f>'BASE MAESTRA'!B145</f>
        <v>137</v>
      </c>
      <c r="B139" s="61">
        <f t="shared" si="30"/>
        <v>0</v>
      </c>
      <c r="C139" s="61">
        <f t="shared" si="30"/>
        <v>0</v>
      </c>
      <c r="D139" s="61">
        <f t="shared" si="30"/>
        <v>0</v>
      </c>
      <c r="E139" s="61">
        <f t="shared" si="30"/>
        <v>0</v>
      </c>
      <c r="F139" s="61">
        <f t="shared" si="30"/>
        <v>0</v>
      </c>
      <c r="G139" s="61">
        <f t="shared" si="30"/>
        <v>0</v>
      </c>
      <c r="H139" s="61">
        <f t="shared" si="30"/>
        <v>0</v>
      </c>
      <c r="I139" s="61">
        <f t="shared" si="30"/>
        <v>0</v>
      </c>
      <c r="J139" s="61">
        <f t="shared" si="30"/>
        <v>0</v>
      </c>
      <c r="K139" s="61">
        <f t="shared" si="30"/>
        <v>0</v>
      </c>
      <c r="L139" s="61">
        <f t="shared" si="30"/>
        <v>0</v>
      </c>
      <c r="M139" s="61">
        <f t="shared" si="30"/>
        <v>0</v>
      </c>
      <c r="N139" s="61">
        <f t="shared" si="30"/>
        <v>0</v>
      </c>
      <c r="Q139" s="61">
        <f t="shared" si="29"/>
        <v>0</v>
      </c>
      <c r="S139" s="61">
        <f t="shared" si="25"/>
        <v>0</v>
      </c>
      <c r="U139" s="61">
        <f t="shared" ref="U139:U170" si="31">VLOOKUP($A139,DatosEspecies,U$2,FALSE)</f>
        <v>0</v>
      </c>
      <c r="X139" s="61">
        <f t="shared" si="26"/>
        <v>0</v>
      </c>
      <c r="Y139" s="61">
        <f t="shared" si="26"/>
        <v>0</v>
      </c>
      <c r="Z139" s="61">
        <f t="shared" si="26"/>
        <v>0</v>
      </c>
      <c r="AA139" s="61">
        <f t="shared" si="26"/>
        <v>0</v>
      </c>
      <c r="AB139" s="61">
        <f t="shared" si="26"/>
        <v>0</v>
      </c>
      <c r="AC139" s="61">
        <f t="shared" si="26"/>
        <v>137</v>
      </c>
    </row>
    <row r="140" spans="1:29" ht="16.8" x14ac:dyDescent="0.3">
      <c r="A140" s="70">
        <f>'BASE MAESTRA'!B146</f>
        <v>138</v>
      </c>
      <c r="B140" s="61">
        <f t="shared" si="30"/>
        <v>0</v>
      </c>
      <c r="C140" s="61">
        <f t="shared" si="30"/>
        <v>0</v>
      </c>
      <c r="D140" s="61">
        <f t="shared" si="30"/>
        <v>0</v>
      </c>
      <c r="E140" s="61">
        <f t="shared" si="30"/>
        <v>0</v>
      </c>
      <c r="F140" s="61">
        <f t="shared" si="30"/>
        <v>0</v>
      </c>
      <c r="G140" s="61">
        <f t="shared" si="30"/>
        <v>0</v>
      </c>
      <c r="H140" s="61">
        <f t="shared" si="30"/>
        <v>0</v>
      </c>
      <c r="I140" s="61">
        <f t="shared" si="30"/>
        <v>0</v>
      </c>
      <c r="J140" s="61">
        <f t="shared" si="30"/>
        <v>0</v>
      </c>
      <c r="K140" s="61">
        <f t="shared" si="30"/>
        <v>0</v>
      </c>
      <c r="L140" s="61">
        <f t="shared" si="30"/>
        <v>0</v>
      </c>
      <c r="M140" s="61">
        <f t="shared" si="30"/>
        <v>0</v>
      </c>
      <c r="N140" s="61">
        <f t="shared" si="30"/>
        <v>0</v>
      </c>
      <c r="Q140" s="61">
        <f t="shared" si="29"/>
        <v>0</v>
      </c>
      <c r="S140" s="61">
        <f t="shared" si="25"/>
        <v>0</v>
      </c>
      <c r="U140" s="61">
        <f t="shared" si="31"/>
        <v>0</v>
      </c>
      <c r="X140" s="61">
        <f t="shared" si="26"/>
        <v>0</v>
      </c>
      <c r="Y140" s="61">
        <f t="shared" si="26"/>
        <v>0</v>
      </c>
      <c r="Z140" s="61">
        <f t="shared" si="26"/>
        <v>0</v>
      </c>
      <c r="AA140" s="61">
        <f t="shared" si="26"/>
        <v>0</v>
      </c>
      <c r="AB140" s="61">
        <f t="shared" si="26"/>
        <v>0</v>
      </c>
      <c r="AC140" s="61">
        <f t="shared" si="26"/>
        <v>138</v>
      </c>
    </row>
    <row r="141" spans="1:29" ht="16.8" x14ac:dyDescent="0.3">
      <c r="A141" s="70">
        <f>'BASE MAESTRA'!B147</f>
        <v>139</v>
      </c>
      <c r="B141" s="61">
        <f t="shared" si="30"/>
        <v>0</v>
      </c>
      <c r="C141" s="61">
        <f t="shared" si="30"/>
        <v>0</v>
      </c>
      <c r="D141" s="61">
        <f t="shared" si="30"/>
        <v>0</v>
      </c>
      <c r="E141" s="61">
        <f t="shared" si="30"/>
        <v>0</v>
      </c>
      <c r="F141" s="61">
        <f t="shared" si="30"/>
        <v>0</v>
      </c>
      <c r="G141" s="61">
        <f t="shared" si="30"/>
        <v>0</v>
      </c>
      <c r="H141" s="61">
        <f t="shared" si="30"/>
        <v>0</v>
      </c>
      <c r="I141" s="61">
        <f t="shared" si="30"/>
        <v>0</v>
      </c>
      <c r="J141" s="61">
        <f t="shared" si="30"/>
        <v>0</v>
      </c>
      <c r="K141" s="61">
        <f t="shared" si="30"/>
        <v>0</v>
      </c>
      <c r="L141" s="61">
        <f t="shared" si="30"/>
        <v>0</v>
      </c>
      <c r="M141" s="61">
        <f t="shared" si="30"/>
        <v>0</v>
      </c>
      <c r="N141" s="61">
        <f t="shared" si="30"/>
        <v>0</v>
      </c>
      <c r="Q141" s="61">
        <f t="shared" si="29"/>
        <v>0</v>
      </c>
      <c r="S141" s="61">
        <f t="shared" si="25"/>
        <v>0</v>
      </c>
      <c r="U141" s="61">
        <f t="shared" si="31"/>
        <v>0</v>
      </c>
      <c r="X141" s="61">
        <f t="shared" si="26"/>
        <v>0</v>
      </c>
      <c r="Y141" s="61">
        <f t="shared" si="26"/>
        <v>0</v>
      </c>
      <c r="Z141" s="61">
        <f t="shared" si="26"/>
        <v>0</v>
      </c>
      <c r="AA141" s="61">
        <f t="shared" si="26"/>
        <v>0</v>
      </c>
      <c r="AB141" s="61">
        <f t="shared" si="26"/>
        <v>0</v>
      </c>
      <c r="AC141" s="61">
        <f t="shared" si="26"/>
        <v>139</v>
      </c>
    </row>
    <row r="142" spans="1:29" ht="16.8" x14ac:dyDescent="0.3">
      <c r="A142" s="70">
        <f>'BASE MAESTRA'!B148</f>
        <v>140</v>
      </c>
      <c r="B142" s="61">
        <f t="shared" si="30"/>
        <v>0</v>
      </c>
      <c r="C142" s="61">
        <f t="shared" si="30"/>
        <v>0</v>
      </c>
      <c r="D142" s="61">
        <f t="shared" si="30"/>
        <v>0</v>
      </c>
      <c r="E142" s="61">
        <f t="shared" si="30"/>
        <v>0</v>
      </c>
      <c r="F142" s="61">
        <f t="shared" si="30"/>
        <v>0</v>
      </c>
      <c r="G142" s="61">
        <f t="shared" si="30"/>
        <v>0</v>
      </c>
      <c r="H142" s="61">
        <f t="shared" si="30"/>
        <v>0</v>
      </c>
      <c r="I142" s="61">
        <f t="shared" si="30"/>
        <v>0</v>
      </c>
      <c r="J142" s="61">
        <f t="shared" si="30"/>
        <v>0</v>
      </c>
      <c r="K142" s="61">
        <f t="shared" si="30"/>
        <v>0</v>
      </c>
      <c r="L142" s="61">
        <f t="shared" si="30"/>
        <v>0</v>
      </c>
      <c r="M142" s="61">
        <f t="shared" si="30"/>
        <v>0</v>
      </c>
      <c r="N142" s="61">
        <f t="shared" si="30"/>
        <v>0</v>
      </c>
      <c r="Q142" s="61">
        <f t="shared" si="29"/>
        <v>0</v>
      </c>
      <c r="S142" s="61">
        <f t="shared" si="25"/>
        <v>0</v>
      </c>
      <c r="U142" s="61">
        <f t="shared" si="31"/>
        <v>0</v>
      </c>
      <c r="X142" s="61">
        <f t="shared" si="26"/>
        <v>0</v>
      </c>
      <c r="Y142" s="61">
        <f t="shared" si="26"/>
        <v>0</v>
      </c>
      <c r="Z142" s="61">
        <f t="shared" ref="Y142:AC193" si="32">VLOOKUP($A142,DatosEspecies,Z$2,FALSE)</f>
        <v>0</v>
      </c>
      <c r="AA142" s="61">
        <f t="shared" si="32"/>
        <v>0</v>
      </c>
      <c r="AB142" s="61">
        <f t="shared" si="32"/>
        <v>0</v>
      </c>
      <c r="AC142" s="61">
        <f t="shared" si="32"/>
        <v>140</v>
      </c>
    </row>
    <row r="143" spans="1:29" ht="16.8" x14ac:dyDescent="0.3">
      <c r="A143" s="70">
        <f>'BASE MAESTRA'!B149</f>
        <v>141</v>
      </c>
      <c r="B143" s="61">
        <f t="shared" si="30"/>
        <v>0</v>
      </c>
      <c r="C143" s="61">
        <f t="shared" si="30"/>
        <v>0</v>
      </c>
      <c r="D143" s="61">
        <f t="shared" si="30"/>
        <v>0</v>
      </c>
      <c r="E143" s="61">
        <f t="shared" si="30"/>
        <v>0</v>
      </c>
      <c r="F143" s="61">
        <f t="shared" si="30"/>
        <v>0</v>
      </c>
      <c r="G143" s="61">
        <f t="shared" si="30"/>
        <v>0</v>
      </c>
      <c r="H143" s="61">
        <f t="shared" si="30"/>
        <v>0</v>
      </c>
      <c r="I143" s="61">
        <f t="shared" si="30"/>
        <v>0</v>
      </c>
      <c r="J143" s="61">
        <f t="shared" si="30"/>
        <v>0</v>
      </c>
      <c r="K143" s="61">
        <f t="shared" si="30"/>
        <v>0</v>
      </c>
      <c r="L143" s="61">
        <f t="shared" si="30"/>
        <v>0</v>
      </c>
      <c r="M143" s="61">
        <f t="shared" si="30"/>
        <v>0</v>
      </c>
      <c r="N143" s="61">
        <f t="shared" si="30"/>
        <v>0</v>
      </c>
      <c r="Q143" s="61">
        <f t="shared" si="29"/>
        <v>0</v>
      </c>
      <c r="S143" s="61">
        <f t="shared" si="25"/>
        <v>0</v>
      </c>
      <c r="U143" s="61">
        <f t="shared" si="31"/>
        <v>0</v>
      </c>
      <c r="X143" s="61">
        <f t="shared" ref="X143:X170" si="33">VLOOKUP($A143,DatosEspecies,X$2,FALSE)</f>
        <v>0</v>
      </c>
      <c r="Y143" s="61">
        <f t="shared" si="32"/>
        <v>0</v>
      </c>
      <c r="Z143" s="61">
        <f t="shared" si="32"/>
        <v>0</v>
      </c>
      <c r="AA143" s="61">
        <f t="shared" si="32"/>
        <v>0</v>
      </c>
      <c r="AB143" s="61">
        <f t="shared" si="32"/>
        <v>0</v>
      </c>
      <c r="AC143" s="61">
        <f t="shared" si="32"/>
        <v>141</v>
      </c>
    </row>
    <row r="144" spans="1:29" ht="16.8" x14ac:dyDescent="0.3">
      <c r="A144" s="70">
        <f>'BASE MAESTRA'!B150</f>
        <v>142</v>
      </c>
      <c r="B144" s="61">
        <f t="shared" si="30"/>
        <v>0</v>
      </c>
      <c r="C144" s="61">
        <f t="shared" si="30"/>
        <v>0</v>
      </c>
      <c r="D144" s="61">
        <f t="shared" si="30"/>
        <v>0</v>
      </c>
      <c r="E144" s="61">
        <f t="shared" si="30"/>
        <v>0</v>
      </c>
      <c r="F144" s="61">
        <f t="shared" si="30"/>
        <v>0</v>
      </c>
      <c r="G144" s="61">
        <f t="shared" si="30"/>
        <v>0</v>
      </c>
      <c r="H144" s="61">
        <f t="shared" si="30"/>
        <v>0</v>
      </c>
      <c r="I144" s="61">
        <f t="shared" si="30"/>
        <v>0</v>
      </c>
      <c r="J144" s="61">
        <f t="shared" si="30"/>
        <v>0</v>
      </c>
      <c r="K144" s="61">
        <f t="shared" si="30"/>
        <v>0</v>
      </c>
      <c r="L144" s="61">
        <f t="shared" si="30"/>
        <v>0</v>
      </c>
      <c r="M144" s="61">
        <f t="shared" si="30"/>
        <v>0</v>
      </c>
      <c r="N144" s="61">
        <f t="shared" si="30"/>
        <v>0</v>
      </c>
      <c r="Q144" s="61">
        <f t="shared" si="29"/>
        <v>0</v>
      </c>
      <c r="S144" s="61">
        <f t="shared" si="25"/>
        <v>0</v>
      </c>
      <c r="U144" s="61">
        <f t="shared" si="31"/>
        <v>0</v>
      </c>
      <c r="X144" s="61">
        <f t="shared" si="33"/>
        <v>0</v>
      </c>
      <c r="Y144" s="61">
        <f t="shared" si="32"/>
        <v>0</v>
      </c>
      <c r="Z144" s="61">
        <f t="shared" si="32"/>
        <v>0</v>
      </c>
      <c r="AA144" s="61">
        <f t="shared" si="32"/>
        <v>0</v>
      </c>
      <c r="AB144" s="61">
        <f t="shared" si="32"/>
        <v>0</v>
      </c>
      <c r="AC144" s="61">
        <f t="shared" si="32"/>
        <v>142</v>
      </c>
    </row>
    <row r="145" spans="1:29" ht="16.8" x14ac:dyDescent="0.3">
      <c r="A145" s="70">
        <f>'BASE MAESTRA'!B151</f>
        <v>143</v>
      </c>
      <c r="B145" s="61">
        <f t="shared" si="30"/>
        <v>0</v>
      </c>
      <c r="C145" s="61">
        <f t="shared" si="30"/>
        <v>0</v>
      </c>
      <c r="D145" s="61">
        <f t="shared" si="30"/>
        <v>0</v>
      </c>
      <c r="E145" s="61">
        <f t="shared" si="30"/>
        <v>0</v>
      </c>
      <c r="F145" s="61">
        <f t="shared" si="30"/>
        <v>0</v>
      </c>
      <c r="G145" s="61">
        <f t="shared" si="30"/>
        <v>0</v>
      </c>
      <c r="H145" s="61">
        <f t="shared" si="30"/>
        <v>0</v>
      </c>
      <c r="I145" s="61">
        <f t="shared" si="30"/>
        <v>0</v>
      </c>
      <c r="J145" s="61">
        <f t="shared" si="30"/>
        <v>0</v>
      </c>
      <c r="K145" s="61">
        <f t="shared" si="30"/>
        <v>0</v>
      </c>
      <c r="L145" s="61">
        <f t="shared" si="30"/>
        <v>0</v>
      </c>
      <c r="M145" s="61">
        <f t="shared" si="30"/>
        <v>0</v>
      </c>
      <c r="N145" s="61">
        <f t="shared" si="30"/>
        <v>0</v>
      </c>
      <c r="Q145" s="61">
        <f t="shared" si="29"/>
        <v>0</v>
      </c>
      <c r="S145" s="61">
        <f t="shared" si="25"/>
        <v>0</v>
      </c>
      <c r="U145" s="61">
        <f t="shared" si="31"/>
        <v>0</v>
      </c>
      <c r="X145" s="61">
        <f t="shared" si="33"/>
        <v>0</v>
      </c>
      <c r="Y145" s="61">
        <f t="shared" si="32"/>
        <v>0</v>
      </c>
      <c r="Z145" s="61">
        <f t="shared" si="32"/>
        <v>0</v>
      </c>
      <c r="AA145" s="61">
        <f t="shared" si="32"/>
        <v>0</v>
      </c>
      <c r="AB145" s="61">
        <f t="shared" si="32"/>
        <v>0</v>
      </c>
      <c r="AC145" s="61">
        <f t="shared" si="32"/>
        <v>143</v>
      </c>
    </row>
    <row r="146" spans="1:29" ht="16.8" x14ac:dyDescent="0.3">
      <c r="A146" s="70">
        <f>'BASE MAESTRA'!B152</f>
        <v>144</v>
      </c>
      <c r="B146" s="61">
        <f t="shared" si="30"/>
        <v>0</v>
      </c>
      <c r="C146" s="61">
        <f t="shared" si="30"/>
        <v>0</v>
      </c>
      <c r="D146" s="61">
        <f t="shared" si="30"/>
        <v>0</v>
      </c>
      <c r="E146" s="61">
        <f t="shared" si="30"/>
        <v>0</v>
      </c>
      <c r="F146" s="61">
        <f t="shared" si="30"/>
        <v>0</v>
      </c>
      <c r="G146" s="61">
        <f t="shared" si="30"/>
        <v>0</v>
      </c>
      <c r="H146" s="61">
        <f t="shared" si="30"/>
        <v>0</v>
      </c>
      <c r="I146" s="61">
        <f t="shared" si="30"/>
        <v>0</v>
      </c>
      <c r="J146" s="61">
        <f t="shared" si="30"/>
        <v>0</v>
      </c>
      <c r="K146" s="61">
        <f t="shared" si="30"/>
        <v>0</v>
      </c>
      <c r="L146" s="61">
        <f t="shared" si="30"/>
        <v>0</v>
      </c>
      <c r="M146" s="61">
        <f t="shared" si="30"/>
        <v>0</v>
      </c>
      <c r="N146" s="61">
        <f t="shared" si="30"/>
        <v>0</v>
      </c>
      <c r="Q146" s="61">
        <f t="shared" si="29"/>
        <v>0</v>
      </c>
      <c r="S146" s="61">
        <f t="shared" si="25"/>
        <v>0</v>
      </c>
      <c r="U146" s="61">
        <f t="shared" si="31"/>
        <v>0</v>
      </c>
      <c r="X146" s="61">
        <f t="shared" si="33"/>
        <v>0</v>
      </c>
      <c r="Y146" s="61">
        <f t="shared" si="32"/>
        <v>0</v>
      </c>
      <c r="Z146" s="61">
        <f t="shared" si="32"/>
        <v>0</v>
      </c>
      <c r="AA146" s="61">
        <f t="shared" si="32"/>
        <v>0</v>
      </c>
      <c r="AB146" s="61">
        <f t="shared" si="32"/>
        <v>0</v>
      </c>
      <c r="AC146" s="61">
        <f t="shared" si="32"/>
        <v>144</v>
      </c>
    </row>
    <row r="147" spans="1:29" ht="16.8" x14ac:dyDescent="0.3">
      <c r="A147" s="70">
        <f>'BASE MAESTRA'!B153</f>
        <v>145</v>
      </c>
      <c r="B147" s="61">
        <f t="shared" si="30"/>
        <v>0</v>
      </c>
      <c r="C147" s="61">
        <f t="shared" si="30"/>
        <v>0</v>
      </c>
      <c r="D147" s="61">
        <f t="shared" si="30"/>
        <v>0</v>
      </c>
      <c r="E147" s="61">
        <f t="shared" si="30"/>
        <v>0</v>
      </c>
      <c r="F147" s="61">
        <f t="shared" si="30"/>
        <v>0</v>
      </c>
      <c r="G147" s="61">
        <f t="shared" si="30"/>
        <v>0</v>
      </c>
      <c r="H147" s="61">
        <f t="shared" si="30"/>
        <v>0</v>
      </c>
      <c r="I147" s="61">
        <f t="shared" si="30"/>
        <v>0</v>
      </c>
      <c r="J147" s="61">
        <f t="shared" si="30"/>
        <v>0</v>
      </c>
      <c r="K147" s="61">
        <f t="shared" si="30"/>
        <v>0</v>
      </c>
      <c r="L147" s="61">
        <f t="shared" si="30"/>
        <v>0</v>
      </c>
      <c r="M147" s="61">
        <f t="shared" si="30"/>
        <v>0</v>
      </c>
      <c r="N147" s="61">
        <f t="shared" si="30"/>
        <v>0</v>
      </c>
      <c r="Q147" s="61">
        <f t="shared" si="29"/>
        <v>0</v>
      </c>
      <c r="S147" s="61">
        <f t="shared" si="25"/>
        <v>0</v>
      </c>
      <c r="U147" s="61">
        <f t="shared" si="31"/>
        <v>0</v>
      </c>
      <c r="X147" s="61">
        <f t="shared" si="33"/>
        <v>0</v>
      </c>
      <c r="Y147" s="61">
        <f t="shared" si="32"/>
        <v>0</v>
      </c>
      <c r="Z147" s="61">
        <f t="shared" si="32"/>
        <v>0</v>
      </c>
      <c r="AA147" s="61">
        <f t="shared" si="32"/>
        <v>0</v>
      </c>
      <c r="AB147" s="61">
        <f t="shared" si="32"/>
        <v>0</v>
      </c>
      <c r="AC147" s="61">
        <f t="shared" si="32"/>
        <v>145</v>
      </c>
    </row>
    <row r="148" spans="1:29" ht="16.8" x14ac:dyDescent="0.3">
      <c r="A148" s="70">
        <f>'BASE MAESTRA'!B154</f>
        <v>146</v>
      </c>
      <c r="B148" s="61">
        <f t="shared" si="30"/>
        <v>0</v>
      </c>
      <c r="C148" s="61">
        <f t="shared" si="30"/>
        <v>0</v>
      </c>
      <c r="D148" s="61">
        <f t="shared" si="30"/>
        <v>0</v>
      </c>
      <c r="E148" s="61">
        <f t="shared" si="30"/>
        <v>0</v>
      </c>
      <c r="F148" s="61">
        <f t="shared" si="30"/>
        <v>0</v>
      </c>
      <c r="G148" s="61">
        <f t="shared" si="30"/>
        <v>0</v>
      </c>
      <c r="H148" s="61">
        <f t="shared" si="30"/>
        <v>0</v>
      </c>
      <c r="I148" s="61">
        <f t="shared" si="30"/>
        <v>0</v>
      </c>
      <c r="J148" s="61">
        <f t="shared" si="30"/>
        <v>0</v>
      </c>
      <c r="K148" s="61">
        <f t="shared" si="30"/>
        <v>0</v>
      </c>
      <c r="L148" s="61">
        <f t="shared" si="30"/>
        <v>0</v>
      </c>
      <c r="M148" s="61">
        <f t="shared" si="30"/>
        <v>0</v>
      </c>
      <c r="N148" s="61">
        <f t="shared" si="30"/>
        <v>0</v>
      </c>
      <c r="Q148" s="61">
        <f t="shared" si="29"/>
        <v>0</v>
      </c>
      <c r="S148" s="61">
        <f t="shared" si="25"/>
        <v>0</v>
      </c>
      <c r="U148" s="61">
        <f t="shared" si="31"/>
        <v>0</v>
      </c>
      <c r="X148" s="61">
        <f t="shared" si="33"/>
        <v>0</v>
      </c>
      <c r="Y148" s="61">
        <f t="shared" si="32"/>
        <v>0</v>
      </c>
      <c r="Z148" s="61">
        <f t="shared" si="32"/>
        <v>0</v>
      </c>
      <c r="AA148" s="61">
        <f t="shared" si="32"/>
        <v>0</v>
      </c>
      <c r="AB148" s="61">
        <f t="shared" si="32"/>
        <v>0</v>
      </c>
      <c r="AC148" s="61">
        <f t="shared" si="32"/>
        <v>146</v>
      </c>
    </row>
    <row r="149" spans="1:29" ht="16.8" x14ac:dyDescent="0.3">
      <c r="A149" s="70">
        <f>'BASE MAESTRA'!B155</f>
        <v>147</v>
      </c>
      <c r="B149" s="61">
        <f t="shared" si="30"/>
        <v>0</v>
      </c>
      <c r="C149" s="61">
        <f t="shared" si="30"/>
        <v>0</v>
      </c>
      <c r="D149" s="61">
        <f t="shared" si="30"/>
        <v>0</v>
      </c>
      <c r="E149" s="61">
        <f t="shared" si="30"/>
        <v>0</v>
      </c>
      <c r="F149" s="61">
        <f t="shared" si="30"/>
        <v>0</v>
      </c>
      <c r="G149" s="61">
        <f t="shared" si="30"/>
        <v>0</v>
      </c>
      <c r="H149" s="61">
        <f t="shared" si="30"/>
        <v>0</v>
      </c>
      <c r="I149" s="61">
        <f t="shared" si="30"/>
        <v>0</v>
      </c>
      <c r="J149" s="61">
        <f t="shared" si="30"/>
        <v>0</v>
      </c>
      <c r="K149" s="61">
        <f t="shared" si="30"/>
        <v>0</v>
      </c>
      <c r="L149" s="61">
        <f t="shared" si="30"/>
        <v>0</v>
      </c>
      <c r="M149" s="61">
        <f t="shared" si="30"/>
        <v>0</v>
      </c>
      <c r="N149" s="61">
        <f t="shared" si="30"/>
        <v>0</v>
      </c>
      <c r="Q149" s="61">
        <f t="shared" si="29"/>
        <v>0</v>
      </c>
      <c r="S149" s="61">
        <f t="shared" si="25"/>
        <v>0</v>
      </c>
      <c r="U149" s="61">
        <f t="shared" si="31"/>
        <v>0</v>
      </c>
      <c r="X149" s="61">
        <f t="shared" si="33"/>
        <v>0</v>
      </c>
      <c r="Y149" s="61">
        <f t="shared" si="32"/>
        <v>0</v>
      </c>
      <c r="Z149" s="61">
        <f t="shared" si="32"/>
        <v>0</v>
      </c>
      <c r="AA149" s="61">
        <f t="shared" si="32"/>
        <v>0</v>
      </c>
      <c r="AB149" s="61">
        <f t="shared" si="32"/>
        <v>0</v>
      </c>
      <c r="AC149" s="61">
        <f t="shared" si="32"/>
        <v>147</v>
      </c>
    </row>
    <row r="150" spans="1:29" ht="16.8" x14ac:dyDescent="0.3">
      <c r="A150" s="70">
        <f>'BASE MAESTRA'!B156</f>
        <v>148</v>
      </c>
      <c r="B150" s="61">
        <f t="shared" si="30"/>
        <v>0</v>
      </c>
      <c r="C150" s="61">
        <f t="shared" si="30"/>
        <v>0</v>
      </c>
      <c r="D150" s="61">
        <f t="shared" si="30"/>
        <v>0</v>
      </c>
      <c r="E150" s="61">
        <f t="shared" si="30"/>
        <v>0</v>
      </c>
      <c r="F150" s="61">
        <f t="shared" si="30"/>
        <v>0</v>
      </c>
      <c r="G150" s="61">
        <f t="shared" si="30"/>
        <v>0</v>
      </c>
      <c r="H150" s="61">
        <f t="shared" si="30"/>
        <v>0</v>
      </c>
      <c r="I150" s="61">
        <f t="shared" si="30"/>
        <v>0</v>
      </c>
      <c r="J150" s="61">
        <f t="shared" si="30"/>
        <v>0</v>
      </c>
      <c r="K150" s="61">
        <f t="shared" si="30"/>
        <v>0</v>
      </c>
      <c r="L150" s="61">
        <f t="shared" si="30"/>
        <v>0</v>
      </c>
      <c r="M150" s="61">
        <f t="shared" si="30"/>
        <v>0</v>
      </c>
      <c r="N150" s="61">
        <f t="shared" si="30"/>
        <v>0</v>
      </c>
      <c r="Q150" s="61">
        <f t="shared" si="29"/>
        <v>0</v>
      </c>
      <c r="S150" s="61">
        <f t="shared" si="25"/>
        <v>0</v>
      </c>
      <c r="U150" s="61">
        <f t="shared" si="31"/>
        <v>0</v>
      </c>
      <c r="X150" s="61">
        <f t="shared" si="33"/>
        <v>0</v>
      </c>
      <c r="Y150" s="61">
        <f t="shared" si="32"/>
        <v>0</v>
      </c>
      <c r="Z150" s="61">
        <f t="shared" si="32"/>
        <v>0</v>
      </c>
      <c r="AA150" s="61">
        <f t="shared" si="32"/>
        <v>0</v>
      </c>
      <c r="AB150" s="61">
        <f t="shared" si="32"/>
        <v>0</v>
      </c>
      <c r="AC150" s="61">
        <f t="shared" si="32"/>
        <v>148</v>
      </c>
    </row>
    <row r="151" spans="1:29" ht="16.8" x14ac:dyDescent="0.3">
      <c r="A151" s="70">
        <f>'BASE MAESTRA'!B157</f>
        <v>149</v>
      </c>
      <c r="B151" s="61">
        <f t="shared" si="30"/>
        <v>0</v>
      </c>
      <c r="C151" s="61">
        <f t="shared" si="30"/>
        <v>0</v>
      </c>
      <c r="D151" s="61">
        <f t="shared" si="30"/>
        <v>0</v>
      </c>
      <c r="E151" s="61">
        <f t="shared" si="30"/>
        <v>0</v>
      </c>
      <c r="F151" s="61">
        <f t="shared" si="30"/>
        <v>0</v>
      </c>
      <c r="G151" s="61">
        <f t="shared" si="30"/>
        <v>0</v>
      </c>
      <c r="H151" s="61">
        <f t="shared" si="30"/>
        <v>0</v>
      </c>
      <c r="I151" s="61">
        <f t="shared" si="30"/>
        <v>0</v>
      </c>
      <c r="J151" s="61">
        <f t="shared" si="30"/>
        <v>0</v>
      </c>
      <c r="K151" s="61">
        <f t="shared" si="30"/>
        <v>0</v>
      </c>
      <c r="L151" s="61">
        <f t="shared" si="30"/>
        <v>0</v>
      </c>
      <c r="M151" s="61">
        <f t="shared" si="30"/>
        <v>0</v>
      </c>
      <c r="N151" s="61">
        <f t="shared" si="30"/>
        <v>0</v>
      </c>
      <c r="Q151" s="61">
        <f t="shared" si="29"/>
        <v>0</v>
      </c>
      <c r="S151" s="61">
        <f t="shared" si="25"/>
        <v>0</v>
      </c>
      <c r="U151" s="61">
        <f t="shared" si="31"/>
        <v>0</v>
      </c>
      <c r="X151" s="61">
        <f t="shared" si="33"/>
        <v>0</v>
      </c>
      <c r="Y151" s="61">
        <f t="shared" si="32"/>
        <v>0</v>
      </c>
      <c r="Z151" s="61">
        <f t="shared" si="32"/>
        <v>0</v>
      </c>
      <c r="AA151" s="61">
        <f t="shared" si="32"/>
        <v>0</v>
      </c>
      <c r="AB151" s="61">
        <f t="shared" si="32"/>
        <v>0</v>
      </c>
      <c r="AC151" s="61">
        <f t="shared" si="32"/>
        <v>149</v>
      </c>
    </row>
    <row r="152" spans="1:29" ht="16.8" x14ac:dyDescent="0.3">
      <c r="A152" s="70">
        <f>'BASE MAESTRA'!B158</f>
        <v>150</v>
      </c>
      <c r="B152" s="61">
        <f t="shared" si="30"/>
        <v>0</v>
      </c>
      <c r="C152" s="61">
        <f t="shared" si="30"/>
        <v>0</v>
      </c>
      <c r="D152" s="61">
        <f t="shared" si="30"/>
        <v>0</v>
      </c>
      <c r="E152" s="61">
        <f t="shared" si="30"/>
        <v>0</v>
      </c>
      <c r="F152" s="61">
        <f t="shared" si="30"/>
        <v>0</v>
      </c>
      <c r="G152" s="61">
        <f t="shared" si="30"/>
        <v>0</v>
      </c>
      <c r="H152" s="61">
        <f t="shared" si="30"/>
        <v>0</v>
      </c>
      <c r="I152" s="61">
        <f t="shared" si="30"/>
        <v>0</v>
      </c>
      <c r="J152" s="61">
        <f t="shared" si="30"/>
        <v>0</v>
      </c>
      <c r="K152" s="61">
        <f t="shared" si="30"/>
        <v>0</v>
      </c>
      <c r="L152" s="61">
        <f t="shared" si="30"/>
        <v>0</v>
      </c>
      <c r="M152" s="61">
        <f t="shared" si="30"/>
        <v>0</v>
      </c>
      <c r="N152" s="61">
        <f t="shared" si="30"/>
        <v>0</v>
      </c>
      <c r="Q152" s="61">
        <f t="shared" si="29"/>
        <v>0</v>
      </c>
      <c r="S152" s="61">
        <f t="shared" si="25"/>
        <v>0</v>
      </c>
      <c r="U152" s="61">
        <f t="shared" si="31"/>
        <v>0</v>
      </c>
      <c r="X152" s="61">
        <f t="shared" si="33"/>
        <v>0</v>
      </c>
      <c r="Y152" s="61">
        <f t="shared" si="32"/>
        <v>0</v>
      </c>
      <c r="Z152" s="61">
        <f t="shared" si="32"/>
        <v>0</v>
      </c>
      <c r="AA152" s="61">
        <f t="shared" si="32"/>
        <v>0</v>
      </c>
      <c r="AB152" s="61">
        <f t="shared" si="32"/>
        <v>0</v>
      </c>
      <c r="AC152" s="61">
        <f t="shared" si="32"/>
        <v>150</v>
      </c>
    </row>
    <row r="153" spans="1:29" ht="16.8" x14ac:dyDescent="0.3">
      <c r="A153" s="70">
        <f>'BASE MAESTRA'!B159</f>
        <v>151</v>
      </c>
      <c r="B153" s="61">
        <f t="shared" si="30"/>
        <v>0</v>
      </c>
      <c r="C153" s="61">
        <f t="shared" si="30"/>
        <v>0</v>
      </c>
      <c r="D153" s="61">
        <f t="shared" si="30"/>
        <v>0</v>
      </c>
      <c r="E153" s="61">
        <f t="shared" si="30"/>
        <v>0</v>
      </c>
      <c r="F153" s="61">
        <f t="shared" si="30"/>
        <v>0</v>
      </c>
      <c r="G153" s="61">
        <f t="shared" si="30"/>
        <v>0</v>
      </c>
      <c r="H153" s="61">
        <f t="shared" si="30"/>
        <v>0</v>
      </c>
      <c r="I153" s="61">
        <f t="shared" si="30"/>
        <v>0</v>
      </c>
      <c r="J153" s="61">
        <f t="shared" si="30"/>
        <v>0</v>
      </c>
      <c r="K153" s="61">
        <f t="shared" si="30"/>
        <v>0</v>
      </c>
      <c r="L153" s="61">
        <f t="shared" si="30"/>
        <v>0</v>
      </c>
      <c r="M153" s="61">
        <f t="shared" si="30"/>
        <v>0</v>
      </c>
      <c r="N153" s="61">
        <f t="shared" si="30"/>
        <v>0</v>
      </c>
      <c r="Q153" s="61">
        <f t="shared" si="29"/>
        <v>0</v>
      </c>
      <c r="S153" s="61">
        <f t="shared" si="25"/>
        <v>0</v>
      </c>
      <c r="U153" s="61">
        <f t="shared" si="31"/>
        <v>0</v>
      </c>
      <c r="X153" s="61">
        <f t="shared" si="33"/>
        <v>0</v>
      </c>
      <c r="Y153" s="61">
        <f t="shared" si="32"/>
        <v>0</v>
      </c>
      <c r="Z153" s="61">
        <f t="shared" si="32"/>
        <v>0</v>
      </c>
      <c r="AA153" s="61">
        <f t="shared" si="32"/>
        <v>0</v>
      </c>
      <c r="AB153" s="61">
        <f t="shared" si="32"/>
        <v>0</v>
      </c>
      <c r="AC153" s="61">
        <f t="shared" si="32"/>
        <v>151</v>
      </c>
    </row>
    <row r="154" spans="1:29" ht="16.8" x14ac:dyDescent="0.3">
      <c r="A154" s="70">
        <f>'BASE MAESTRA'!B160</f>
        <v>152</v>
      </c>
      <c r="B154" s="61">
        <f t="shared" si="30"/>
        <v>0</v>
      </c>
      <c r="C154" s="61">
        <f t="shared" si="30"/>
        <v>0</v>
      </c>
      <c r="D154" s="61">
        <f t="shared" si="30"/>
        <v>0</v>
      </c>
      <c r="E154" s="61">
        <f t="shared" si="30"/>
        <v>0</v>
      </c>
      <c r="F154" s="61">
        <f t="shared" si="30"/>
        <v>0</v>
      </c>
      <c r="G154" s="61">
        <f t="shared" si="30"/>
        <v>0</v>
      </c>
      <c r="H154" s="61">
        <f t="shared" si="30"/>
        <v>0</v>
      </c>
      <c r="I154" s="61">
        <f t="shared" si="30"/>
        <v>0</v>
      </c>
      <c r="J154" s="61">
        <f t="shared" si="30"/>
        <v>0</v>
      </c>
      <c r="K154" s="61">
        <f t="shared" si="30"/>
        <v>0</v>
      </c>
      <c r="L154" s="61">
        <f t="shared" si="30"/>
        <v>0</v>
      </c>
      <c r="M154" s="61">
        <f t="shared" si="30"/>
        <v>0</v>
      </c>
      <c r="N154" s="61">
        <f t="shared" si="30"/>
        <v>0</v>
      </c>
      <c r="Q154" s="61">
        <f t="shared" si="29"/>
        <v>0</v>
      </c>
      <c r="S154" s="61">
        <f t="shared" si="25"/>
        <v>0</v>
      </c>
      <c r="U154" s="61">
        <f t="shared" si="31"/>
        <v>0</v>
      </c>
      <c r="X154" s="61">
        <f t="shared" si="33"/>
        <v>0</v>
      </c>
      <c r="Y154" s="61">
        <f t="shared" si="32"/>
        <v>0</v>
      </c>
      <c r="Z154" s="61">
        <f t="shared" si="32"/>
        <v>0</v>
      </c>
      <c r="AA154" s="61">
        <f t="shared" si="32"/>
        <v>0</v>
      </c>
      <c r="AB154" s="61">
        <f t="shared" si="32"/>
        <v>0</v>
      </c>
      <c r="AC154" s="61">
        <f t="shared" si="32"/>
        <v>152</v>
      </c>
    </row>
    <row r="155" spans="1:29" ht="16.8" x14ac:dyDescent="0.3">
      <c r="A155" s="70">
        <f>'BASE MAESTRA'!B161</f>
        <v>153</v>
      </c>
      <c r="B155" s="61">
        <f t="shared" si="30"/>
        <v>0</v>
      </c>
      <c r="C155" s="61">
        <f t="shared" si="30"/>
        <v>0</v>
      </c>
      <c r="D155" s="61">
        <f t="shared" si="30"/>
        <v>0</v>
      </c>
      <c r="E155" s="61">
        <f t="shared" si="30"/>
        <v>0</v>
      </c>
      <c r="F155" s="61">
        <f t="shared" si="30"/>
        <v>0</v>
      </c>
      <c r="G155" s="61">
        <f t="shared" si="30"/>
        <v>0</v>
      </c>
      <c r="H155" s="61">
        <f t="shared" si="30"/>
        <v>0</v>
      </c>
      <c r="I155" s="61">
        <f t="shared" si="30"/>
        <v>0</v>
      </c>
      <c r="J155" s="61">
        <f t="shared" si="30"/>
        <v>0</v>
      </c>
      <c r="K155" s="61">
        <f t="shared" si="30"/>
        <v>0</v>
      </c>
      <c r="L155" s="61">
        <f t="shared" si="30"/>
        <v>0</v>
      </c>
      <c r="M155" s="61">
        <f t="shared" si="30"/>
        <v>0</v>
      </c>
      <c r="N155" s="61">
        <f t="shared" si="30"/>
        <v>0</v>
      </c>
      <c r="Q155" s="61">
        <f t="shared" si="29"/>
        <v>0</v>
      </c>
      <c r="S155" s="61">
        <f t="shared" si="25"/>
        <v>0</v>
      </c>
      <c r="U155" s="61">
        <f t="shared" si="31"/>
        <v>0</v>
      </c>
      <c r="X155" s="61">
        <f t="shared" si="33"/>
        <v>0</v>
      </c>
      <c r="Y155" s="61">
        <f t="shared" si="32"/>
        <v>0</v>
      </c>
      <c r="Z155" s="61">
        <f t="shared" si="32"/>
        <v>0</v>
      </c>
      <c r="AA155" s="61">
        <f t="shared" si="32"/>
        <v>0</v>
      </c>
      <c r="AB155" s="61">
        <f t="shared" si="32"/>
        <v>0</v>
      </c>
      <c r="AC155" s="61">
        <f t="shared" si="32"/>
        <v>153</v>
      </c>
    </row>
    <row r="156" spans="1:29" ht="16.8" x14ac:dyDescent="0.3">
      <c r="A156" s="70">
        <f>'BASE MAESTRA'!B162</f>
        <v>154</v>
      </c>
      <c r="B156" s="61">
        <f t="shared" si="30"/>
        <v>0</v>
      </c>
      <c r="C156" s="61">
        <f t="shared" si="30"/>
        <v>0</v>
      </c>
      <c r="D156" s="61">
        <f t="shared" si="30"/>
        <v>0</v>
      </c>
      <c r="E156" s="61">
        <f t="shared" si="30"/>
        <v>0</v>
      </c>
      <c r="F156" s="61">
        <f t="shared" si="30"/>
        <v>0</v>
      </c>
      <c r="G156" s="61">
        <f t="shared" si="30"/>
        <v>0</v>
      </c>
      <c r="H156" s="61">
        <f t="shared" ref="B156:N176" si="34">VLOOKUP($A156,DatosEspecies,H$2,FALSE)</f>
        <v>0</v>
      </c>
      <c r="I156" s="61">
        <f t="shared" si="34"/>
        <v>0</v>
      </c>
      <c r="J156" s="61">
        <f t="shared" si="34"/>
        <v>0</v>
      </c>
      <c r="K156" s="61">
        <f t="shared" si="34"/>
        <v>0</v>
      </c>
      <c r="L156" s="61">
        <f t="shared" si="34"/>
        <v>0</v>
      </c>
      <c r="M156" s="61">
        <f t="shared" si="34"/>
        <v>0</v>
      </c>
      <c r="N156" s="61">
        <f t="shared" si="34"/>
        <v>0</v>
      </c>
      <c r="Q156" s="61">
        <f t="shared" si="29"/>
        <v>0</v>
      </c>
      <c r="S156" s="61">
        <f t="shared" si="25"/>
        <v>0</v>
      </c>
      <c r="U156" s="61">
        <f t="shared" si="31"/>
        <v>0</v>
      </c>
      <c r="X156" s="61">
        <f t="shared" si="33"/>
        <v>0</v>
      </c>
      <c r="Y156" s="61">
        <f t="shared" si="32"/>
        <v>0</v>
      </c>
      <c r="Z156" s="61">
        <f t="shared" si="32"/>
        <v>0</v>
      </c>
      <c r="AA156" s="61">
        <f t="shared" si="32"/>
        <v>0</v>
      </c>
      <c r="AB156" s="61">
        <f t="shared" si="32"/>
        <v>0</v>
      </c>
      <c r="AC156" s="61">
        <f t="shared" si="32"/>
        <v>154</v>
      </c>
    </row>
    <row r="157" spans="1:29" ht="16.8" x14ac:dyDescent="0.3">
      <c r="A157" s="70">
        <f>'BASE MAESTRA'!B163</f>
        <v>155</v>
      </c>
      <c r="B157" s="61">
        <f t="shared" si="34"/>
        <v>0</v>
      </c>
      <c r="C157" s="61">
        <f t="shared" si="34"/>
        <v>0</v>
      </c>
      <c r="D157" s="61">
        <f t="shared" si="34"/>
        <v>0</v>
      </c>
      <c r="E157" s="61">
        <f t="shared" si="34"/>
        <v>0</v>
      </c>
      <c r="F157" s="61">
        <f t="shared" si="34"/>
        <v>0</v>
      </c>
      <c r="G157" s="61">
        <f t="shared" si="34"/>
        <v>0</v>
      </c>
      <c r="H157" s="61">
        <f t="shared" si="34"/>
        <v>0</v>
      </c>
      <c r="I157" s="61">
        <f t="shared" si="34"/>
        <v>0</v>
      </c>
      <c r="J157" s="61">
        <f t="shared" si="34"/>
        <v>0</v>
      </c>
      <c r="K157" s="61">
        <f t="shared" si="34"/>
        <v>0</v>
      </c>
      <c r="L157" s="61">
        <f t="shared" si="34"/>
        <v>0</v>
      </c>
      <c r="M157" s="61">
        <f t="shared" si="34"/>
        <v>0</v>
      </c>
      <c r="N157" s="61">
        <f t="shared" si="34"/>
        <v>0</v>
      </c>
      <c r="Q157" s="61">
        <f t="shared" si="29"/>
        <v>0</v>
      </c>
      <c r="S157" s="61">
        <f t="shared" si="25"/>
        <v>0</v>
      </c>
      <c r="U157" s="61">
        <f t="shared" si="31"/>
        <v>0</v>
      </c>
      <c r="X157" s="61">
        <f t="shared" si="33"/>
        <v>0</v>
      </c>
      <c r="Y157" s="61">
        <f t="shared" si="32"/>
        <v>0</v>
      </c>
      <c r="Z157" s="61">
        <f t="shared" si="32"/>
        <v>0</v>
      </c>
      <c r="AA157" s="61">
        <f t="shared" si="32"/>
        <v>0</v>
      </c>
      <c r="AB157" s="61">
        <f t="shared" si="32"/>
        <v>0</v>
      </c>
      <c r="AC157" s="61">
        <f t="shared" si="32"/>
        <v>155</v>
      </c>
    </row>
    <row r="158" spans="1:29" ht="16.8" x14ac:dyDescent="0.3">
      <c r="A158" s="70">
        <f>'BASE MAESTRA'!B164</f>
        <v>156</v>
      </c>
      <c r="B158" s="61">
        <f t="shared" si="34"/>
        <v>0</v>
      </c>
      <c r="C158" s="61">
        <f t="shared" si="34"/>
        <v>0</v>
      </c>
      <c r="D158" s="61">
        <f t="shared" si="34"/>
        <v>0</v>
      </c>
      <c r="E158" s="61">
        <f t="shared" si="34"/>
        <v>0</v>
      </c>
      <c r="F158" s="61">
        <f t="shared" si="34"/>
        <v>0</v>
      </c>
      <c r="G158" s="61">
        <f t="shared" si="34"/>
        <v>0</v>
      </c>
      <c r="H158" s="61">
        <f t="shared" si="34"/>
        <v>0</v>
      </c>
      <c r="I158" s="61">
        <f t="shared" si="34"/>
        <v>0</v>
      </c>
      <c r="J158" s="61">
        <f t="shared" si="34"/>
        <v>0</v>
      </c>
      <c r="K158" s="61">
        <f t="shared" si="34"/>
        <v>0</v>
      </c>
      <c r="L158" s="61">
        <f t="shared" si="34"/>
        <v>0</v>
      </c>
      <c r="M158" s="61">
        <f t="shared" si="34"/>
        <v>0</v>
      </c>
      <c r="N158" s="61">
        <f t="shared" si="34"/>
        <v>0</v>
      </c>
      <c r="Q158" s="61">
        <f t="shared" si="29"/>
        <v>0</v>
      </c>
      <c r="S158" s="61">
        <f t="shared" si="25"/>
        <v>0</v>
      </c>
      <c r="U158" s="61">
        <f t="shared" si="31"/>
        <v>0</v>
      </c>
      <c r="X158" s="61">
        <f t="shared" si="33"/>
        <v>0</v>
      </c>
      <c r="Y158" s="61">
        <f t="shared" si="32"/>
        <v>0</v>
      </c>
      <c r="Z158" s="61">
        <f t="shared" si="32"/>
        <v>0</v>
      </c>
      <c r="AA158" s="61">
        <f t="shared" si="32"/>
        <v>0</v>
      </c>
      <c r="AB158" s="61">
        <f t="shared" si="32"/>
        <v>0</v>
      </c>
      <c r="AC158" s="61">
        <f t="shared" si="32"/>
        <v>156</v>
      </c>
    </row>
    <row r="159" spans="1:29" ht="16.8" x14ac:dyDescent="0.3">
      <c r="A159" s="70">
        <f>'BASE MAESTRA'!B165</f>
        <v>157</v>
      </c>
      <c r="B159" s="61">
        <f t="shared" si="34"/>
        <v>0</v>
      </c>
      <c r="C159" s="61">
        <f t="shared" si="34"/>
        <v>0</v>
      </c>
      <c r="D159" s="61">
        <f t="shared" si="34"/>
        <v>0</v>
      </c>
      <c r="E159" s="61">
        <f t="shared" si="34"/>
        <v>0</v>
      </c>
      <c r="F159" s="61">
        <f t="shared" si="34"/>
        <v>0</v>
      </c>
      <c r="G159" s="61">
        <f t="shared" si="34"/>
        <v>0</v>
      </c>
      <c r="H159" s="61">
        <f t="shared" si="34"/>
        <v>0</v>
      </c>
      <c r="I159" s="61">
        <f t="shared" si="34"/>
        <v>0</v>
      </c>
      <c r="J159" s="61">
        <f t="shared" si="34"/>
        <v>0</v>
      </c>
      <c r="K159" s="61">
        <f t="shared" si="34"/>
        <v>0</v>
      </c>
      <c r="L159" s="61">
        <f t="shared" si="34"/>
        <v>0</v>
      </c>
      <c r="M159" s="61">
        <f t="shared" si="34"/>
        <v>0</v>
      </c>
      <c r="N159" s="61">
        <f t="shared" si="34"/>
        <v>0</v>
      </c>
      <c r="Q159" s="61">
        <f t="shared" si="29"/>
        <v>0</v>
      </c>
      <c r="S159" s="61">
        <f t="shared" si="25"/>
        <v>0</v>
      </c>
      <c r="U159" s="61">
        <f t="shared" si="31"/>
        <v>0</v>
      </c>
      <c r="X159" s="61">
        <f t="shared" si="33"/>
        <v>0</v>
      </c>
      <c r="Y159" s="61">
        <f t="shared" si="32"/>
        <v>0</v>
      </c>
      <c r="Z159" s="61">
        <f t="shared" si="32"/>
        <v>0</v>
      </c>
      <c r="AA159" s="61">
        <f t="shared" si="32"/>
        <v>0</v>
      </c>
      <c r="AB159" s="61">
        <f t="shared" si="32"/>
        <v>0</v>
      </c>
      <c r="AC159" s="61">
        <f t="shared" si="32"/>
        <v>157</v>
      </c>
    </row>
    <row r="160" spans="1:29" ht="16.8" x14ac:dyDescent="0.3">
      <c r="A160" s="70">
        <f>'BASE MAESTRA'!B166</f>
        <v>158</v>
      </c>
      <c r="B160" s="61">
        <f t="shared" si="34"/>
        <v>0</v>
      </c>
      <c r="C160" s="61">
        <f t="shared" si="34"/>
        <v>0</v>
      </c>
      <c r="D160" s="61">
        <f t="shared" si="34"/>
        <v>0</v>
      </c>
      <c r="E160" s="61">
        <f t="shared" si="34"/>
        <v>0</v>
      </c>
      <c r="F160" s="61">
        <f t="shared" si="34"/>
        <v>0</v>
      </c>
      <c r="G160" s="61">
        <f t="shared" si="34"/>
        <v>0</v>
      </c>
      <c r="H160" s="61">
        <f t="shared" si="34"/>
        <v>0</v>
      </c>
      <c r="I160" s="61">
        <f t="shared" si="34"/>
        <v>0</v>
      </c>
      <c r="J160" s="61">
        <f t="shared" si="34"/>
        <v>0</v>
      </c>
      <c r="K160" s="61">
        <f t="shared" si="34"/>
        <v>0</v>
      </c>
      <c r="L160" s="61">
        <f t="shared" si="34"/>
        <v>0</v>
      </c>
      <c r="M160" s="61">
        <f t="shared" si="34"/>
        <v>0</v>
      </c>
      <c r="N160" s="61">
        <f t="shared" si="34"/>
        <v>0</v>
      </c>
      <c r="Q160" s="61">
        <f t="shared" si="29"/>
        <v>0</v>
      </c>
      <c r="S160" s="61">
        <f t="shared" si="25"/>
        <v>0</v>
      </c>
      <c r="U160" s="61">
        <f t="shared" si="31"/>
        <v>0</v>
      </c>
      <c r="X160" s="61">
        <f t="shared" si="33"/>
        <v>0</v>
      </c>
      <c r="Y160" s="61">
        <f t="shared" si="32"/>
        <v>0</v>
      </c>
      <c r="Z160" s="61">
        <f t="shared" si="32"/>
        <v>0</v>
      </c>
      <c r="AA160" s="61">
        <f t="shared" si="32"/>
        <v>0</v>
      </c>
      <c r="AB160" s="61">
        <f t="shared" si="32"/>
        <v>0</v>
      </c>
      <c r="AC160" s="61">
        <f t="shared" si="32"/>
        <v>158</v>
      </c>
    </row>
    <row r="161" spans="1:29" ht="16.8" x14ac:dyDescent="0.3">
      <c r="A161" s="70">
        <f>'BASE MAESTRA'!B167</f>
        <v>159</v>
      </c>
      <c r="B161" s="61">
        <f t="shared" si="34"/>
        <v>0</v>
      </c>
      <c r="C161" s="61">
        <f t="shared" si="34"/>
        <v>0</v>
      </c>
      <c r="D161" s="61">
        <f t="shared" si="34"/>
        <v>0</v>
      </c>
      <c r="E161" s="61">
        <f t="shared" si="34"/>
        <v>0</v>
      </c>
      <c r="F161" s="61">
        <f t="shared" si="34"/>
        <v>0</v>
      </c>
      <c r="G161" s="61">
        <f t="shared" si="34"/>
        <v>0</v>
      </c>
      <c r="H161" s="61">
        <f t="shared" si="34"/>
        <v>0</v>
      </c>
      <c r="I161" s="61">
        <f t="shared" si="34"/>
        <v>0</v>
      </c>
      <c r="J161" s="61">
        <f t="shared" si="34"/>
        <v>0</v>
      </c>
      <c r="K161" s="61">
        <f t="shared" si="34"/>
        <v>0</v>
      </c>
      <c r="L161" s="61">
        <f t="shared" si="34"/>
        <v>0</v>
      </c>
      <c r="M161" s="61">
        <f t="shared" si="34"/>
        <v>0</v>
      </c>
      <c r="N161" s="61">
        <f t="shared" si="34"/>
        <v>0</v>
      </c>
      <c r="Q161" s="61">
        <f t="shared" si="29"/>
        <v>0</v>
      </c>
      <c r="S161" s="61">
        <f t="shared" si="25"/>
        <v>0</v>
      </c>
      <c r="U161" s="61">
        <f t="shared" si="31"/>
        <v>0</v>
      </c>
      <c r="X161" s="61">
        <f t="shared" si="33"/>
        <v>0</v>
      </c>
      <c r="Y161" s="61">
        <f t="shared" si="32"/>
        <v>0</v>
      </c>
      <c r="Z161" s="61">
        <f t="shared" si="32"/>
        <v>0</v>
      </c>
      <c r="AA161" s="61">
        <f t="shared" si="32"/>
        <v>0</v>
      </c>
      <c r="AB161" s="61">
        <f t="shared" si="32"/>
        <v>0</v>
      </c>
      <c r="AC161" s="61">
        <f t="shared" si="32"/>
        <v>159</v>
      </c>
    </row>
    <row r="162" spans="1:29" ht="16.8" x14ac:dyDescent="0.3">
      <c r="A162" s="70">
        <f>'BASE MAESTRA'!B168</f>
        <v>160</v>
      </c>
      <c r="B162" s="61">
        <f t="shared" si="34"/>
        <v>0</v>
      </c>
      <c r="C162" s="61">
        <f t="shared" si="34"/>
        <v>0</v>
      </c>
      <c r="D162" s="61">
        <f t="shared" si="34"/>
        <v>0</v>
      </c>
      <c r="E162" s="61">
        <f t="shared" si="34"/>
        <v>0</v>
      </c>
      <c r="F162" s="61">
        <f t="shared" si="34"/>
        <v>0</v>
      </c>
      <c r="G162" s="61">
        <f t="shared" si="34"/>
        <v>0</v>
      </c>
      <c r="H162" s="61">
        <f t="shared" si="34"/>
        <v>0</v>
      </c>
      <c r="I162" s="61">
        <f t="shared" si="34"/>
        <v>0</v>
      </c>
      <c r="J162" s="61">
        <f t="shared" si="34"/>
        <v>0</v>
      </c>
      <c r="K162" s="61">
        <f t="shared" si="34"/>
        <v>0</v>
      </c>
      <c r="L162" s="61">
        <f t="shared" si="34"/>
        <v>0</v>
      </c>
      <c r="M162" s="61">
        <f t="shared" si="34"/>
        <v>0</v>
      </c>
      <c r="N162" s="61">
        <f t="shared" si="34"/>
        <v>0</v>
      </c>
      <c r="Q162" s="61">
        <f t="shared" si="29"/>
        <v>0</v>
      </c>
      <c r="S162" s="61">
        <f t="shared" ref="S162:S202" si="35">VLOOKUP($A162,DatosEspecies,S$2,FALSE)</f>
        <v>0</v>
      </c>
      <c r="U162" s="61">
        <f t="shared" si="31"/>
        <v>0</v>
      </c>
      <c r="X162" s="61">
        <f t="shared" si="33"/>
        <v>0</v>
      </c>
      <c r="Y162" s="61">
        <f t="shared" si="32"/>
        <v>0</v>
      </c>
      <c r="Z162" s="61">
        <f t="shared" si="32"/>
        <v>0</v>
      </c>
      <c r="AA162" s="61">
        <f t="shared" si="32"/>
        <v>0</v>
      </c>
      <c r="AB162" s="61">
        <f t="shared" si="32"/>
        <v>0</v>
      </c>
      <c r="AC162" s="61">
        <f t="shared" si="32"/>
        <v>160</v>
      </c>
    </row>
    <row r="163" spans="1:29" ht="16.8" x14ac:dyDescent="0.3">
      <c r="A163" s="70">
        <f>'BASE MAESTRA'!B169</f>
        <v>161</v>
      </c>
      <c r="B163" s="61">
        <f t="shared" si="34"/>
        <v>0</v>
      </c>
      <c r="C163" s="61">
        <f t="shared" si="34"/>
        <v>0</v>
      </c>
      <c r="D163" s="61">
        <f t="shared" si="34"/>
        <v>0</v>
      </c>
      <c r="E163" s="61">
        <f t="shared" si="34"/>
        <v>0</v>
      </c>
      <c r="F163" s="61">
        <f t="shared" si="34"/>
        <v>0</v>
      </c>
      <c r="G163" s="61">
        <f t="shared" si="34"/>
        <v>0</v>
      </c>
      <c r="H163" s="61">
        <f t="shared" si="34"/>
        <v>0</v>
      </c>
      <c r="I163" s="61">
        <f t="shared" si="34"/>
        <v>0</v>
      </c>
      <c r="J163" s="61">
        <f t="shared" si="34"/>
        <v>0</v>
      </c>
      <c r="K163" s="61">
        <f t="shared" si="34"/>
        <v>0</v>
      </c>
      <c r="L163" s="61">
        <f t="shared" si="34"/>
        <v>0</v>
      </c>
      <c r="M163" s="61">
        <f t="shared" si="34"/>
        <v>0</v>
      </c>
      <c r="N163" s="61">
        <f t="shared" si="34"/>
        <v>0</v>
      </c>
      <c r="Q163" s="61">
        <f t="shared" si="29"/>
        <v>0</v>
      </c>
      <c r="S163" s="61">
        <f t="shared" si="35"/>
        <v>0</v>
      </c>
      <c r="U163" s="61">
        <f t="shared" si="31"/>
        <v>0</v>
      </c>
      <c r="X163" s="61">
        <f t="shared" si="33"/>
        <v>0</v>
      </c>
      <c r="Y163" s="61">
        <f t="shared" si="32"/>
        <v>0</v>
      </c>
      <c r="Z163" s="61">
        <f t="shared" si="32"/>
        <v>0</v>
      </c>
      <c r="AA163" s="61">
        <f t="shared" si="32"/>
        <v>0</v>
      </c>
      <c r="AB163" s="61">
        <f t="shared" si="32"/>
        <v>0</v>
      </c>
      <c r="AC163" s="61">
        <f t="shared" si="32"/>
        <v>161</v>
      </c>
    </row>
    <row r="164" spans="1:29" ht="16.8" x14ac:dyDescent="0.3">
      <c r="A164" s="70">
        <f>'BASE MAESTRA'!B170</f>
        <v>162</v>
      </c>
      <c r="B164" s="61">
        <f t="shared" si="34"/>
        <v>0</v>
      </c>
      <c r="C164" s="61">
        <f t="shared" si="34"/>
        <v>0</v>
      </c>
      <c r="D164" s="61">
        <f t="shared" si="34"/>
        <v>0</v>
      </c>
      <c r="E164" s="61">
        <f t="shared" si="34"/>
        <v>0</v>
      </c>
      <c r="F164" s="61">
        <f t="shared" si="34"/>
        <v>0</v>
      </c>
      <c r="G164" s="61">
        <f t="shared" si="34"/>
        <v>0</v>
      </c>
      <c r="H164" s="61">
        <f t="shared" si="34"/>
        <v>0</v>
      </c>
      <c r="I164" s="61">
        <f t="shared" si="34"/>
        <v>0</v>
      </c>
      <c r="J164" s="61">
        <f t="shared" si="34"/>
        <v>0</v>
      </c>
      <c r="K164" s="61">
        <f t="shared" si="34"/>
        <v>0</v>
      </c>
      <c r="L164" s="61">
        <f t="shared" si="34"/>
        <v>0</v>
      </c>
      <c r="M164" s="61">
        <f t="shared" si="34"/>
        <v>0</v>
      </c>
      <c r="N164" s="61">
        <f t="shared" si="34"/>
        <v>0</v>
      </c>
      <c r="Q164" s="61">
        <f t="shared" si="29"/>
        <v>0</v>
      </c>
      <c r="S164" s="61">
        <f t="shared" si="35"/>
        <v>0</v>
      </c>
      <c r="U164" s="61">
        <f t="shared" si="31"/>
        <v>0</v>
      </c>
      <c r="X164" s="61">
        <f t="shared" si="33"/>
        <v>0</v>
      </c>
      <c r="Y164" s="61">
        <f t="shared" si="32"/>
        <v>0</v>
      </c>
      <c r="Z164" s="61">
        <f t="shared" si="32"/>
        <v>0</v>
      </c>
      <c r="AA164" s="61">
        <f t="shared" si="32"/>
        <v>0</v>
      </c>
      <c r="AB164" s="61">
        <f t="shared" si="32"/>
        <v>0</v>
      </c>
      <c r="AC164" s="61">
        <f t="shared" si="32"/>
        <v>162</v>
      </c>
    </row>
    <row r="165" spans="1:29" ht="16.8" x14ac:dyDescent="0.3">
      <c r="A165" s="70">
        <f>'BASE MAESTRA'!B171</f>
        <v>163</v>
      </c>
      <c r="B165" s="61">
        <f t="shared" si="34"/>
        <v>0</v>
      </c>
      <c r="C165" s="61">
        <f t="shared" si="34"/>
        <v>0</v>
      </c>
      <c r="D165" s="61">
        <f t="shared" si="34"/>
        <v>0</v>
      </c>
      <c r="E165" s="61">
        <f t="shared" si="34"/>
        <v>0</v>
      </c>
      <c r="F165" s="61">
        <f t="shared" si="34"/>
        <v>0</v>
      </c>
      <c r="G165" s="61">
        <f t="shared" si="34"/>
        <v>0</v>
      </c>
      <c r="H165" s="61">
        <f t="shared" si="34"/>
        <v>0</v>
      </c>
      <c r="I165" s="61">
        <f t="shared" si="34"/>
        <v>0</v>
      </c>
      <c r="J165" s="61">
        <f t="shared" si="34"/>
        <v>0</v>
      </c>
      <c r="K165" s="61">
        <f t="shared" si="34"/>
        <v>0</v>
      </c>
      <c r="L165" s="61">
        <f t="shared" si="34"/>
        <v>0</v>
      </c>
      <c r="M165" s="61">
        <f t="shared" si="34"/>
        <v>0</v>
      </c>
      <c r="N165" s="61">
        <f t="shared" si="34"/>
        <v>0</v>
      </c>
      <c r="Q165" s="61">
        <f t="shared" si="29"/>
        <v>0</v>
      </c>
      <c r="S165" s="61">
        <f t="shared" si="35"/>
        <v>0</v>
      </c>
      <c r="U165" s="61">
        <f t="shared" si="31"/>
        <v>0</v>
      </c>
      <c r="X165" s="61">
        <f t="shared" si="33"/>
        <v>0</v>
      </c>
      <c r="Y165" s="61">
        <f t="shared" si="32"/>
        <v>0</v>
      </c>
      <c r="Z165" s="61">
        <f t="shared" si="32"/>
        <v>0</v>
      </c>
      <c r="AA165" s="61">
        <f t="shared" si="32"/>
        <v>0</v>
      </c>
      <c r="AB165" s="61">
        <f t="shared" si="32"/>
        <v>0</v>
      </c>
      <c r="AC165" s="61">
        <f t="shared" si="32"/>
        <v>163</v>
      </c>
    </row>
    <row r="166" spans="1:29" ht="16.8" x14ac:dyDescent="0.3">
      <c r="A166" s="70">
        <f>'BASE MAESTRA'!B172</f>
        <v>164</v>
      </c>
      <c r="B166" s="61">
        <f t="shared" si="34"/>
        <v>0</v>
      </c>
      <c r="C166" s="61">
        <f t="shared" si="34"/>
        <v>0</v>
      </c>
      <c r="D166" s="61">
        <f t="shared" si="34"/>
        <v>0</v>
      </c>
      <c r="E166" s="61">
        <f t="shared" si="34"/>
        <v>0</v>
      </c>
      <c r="F166" s="61">
        <f t="shared" si="34"/>
        <v>0</v>
      </c>
      <c r="G166" s="61">
        <f t="shared" si="34"/>
        <v>0</v>
      </c>
      <c r="H166" s="61">
        <f t="shared" si="34"/>
        <v>0</v>
      </c>
      <c r="I166" s="61">
        <f t="shared" si="34"/>
        <v>0</v>
      </c>
      <c r="J166" s="61">
        <f t="shared" si="34"/>
        <v>0</v>
      </c>
      <c r="K166" s="61">
        <f t="shared" si="34"/>
        <v>0</v>
      </c>
      <c r="L166" s="61">
        <f t="shared" si="34"/>
        <v>0</v>
      </c>
      <c r="M166" s="61">
        <f t="shared" si="34"/>
        <v>0</v>
      </c>
      <c r="N166" s="61">
        <f t="shared" si="34"/>
        <v>0</v>
      </c>
      <c r="Q166" s="61">
        <f t="shared" si="29"/>
        <v>0</v>
      </c>
      <c r="S166" s="61">
        <f t="shared" si="35"/>
        <v>0</v>
      </c>
      <c r="U166" s="61">
        <f t="shared" si="31"/>
        <v>0</v>
      </c>
      <c r="X166" s="61">
        <f t="shared" si="33"/>
        <v>0</v>
      </c>
      <c r="Y166" s="61">
        <f t="shared" si="32"/>
        <v>0</v>
      </c>
      <c r="Z166" s="61">
        <f t="shared" si="32"/>
        <v>0</v>
      </c>
      <c r="AA166" s="61">
        <f t="shared" si="32"/>
        <v>0</v>
      </c>
      <c r="AB166" s="61">
        <f t="shared" si="32"/>
        <v>0</v>
      </c>
      <c r="AC166" s="61">
        <f t="shared" si="32"/>
        <v>164</v>
      </c>
    </row>
    <row r="167" spans="1:29" ht="16.8" x14ac:dyDescent="0.3">
      <c r="A167" s="70">
        <f>'BASE MAESTRA'!B173</f>
        <v>165</v>
      </c>
      <c r="B167" s="61">
        <f t="shared" si="34"/>
        <v>0</v>
      </c>
      <c r="C167" s="61">
        <f t="shared" si="34"/>
        <v>0</v>
      </c>
      <c r="D167" s="61">
        <f t="shared" si="34"/>
        <v>0</v>
      </c>
      <c r="E167" s="61">
        <f t="shared" si="34"/>
        <v>0</v>
      </c>
      <c r="F167" s="61">
        <f t="shared" si="34"/>
        <v>0</v>
      </c>
      <c r="G167" s="61">
        <f t="shared" si="34"/>
        <v>0</v>
      </c>
      <c r="H167" s="61">
        <f t="shared" si="34"/>
        <v>0</v>
      </c>
      <c r="I167" s="61">
        <f t="shared" si="34"/>
        <v>0</v>
      </c>
      <c r="J167" s="61">
        <f t="shared" si="34"/>
        <v>0</v>
      </c>
      <c r="K167" s="61">
        <f t="shared" si="34"/>
        <v>0</v>
      </c>
      <c r="L167" s="61">
        <f t="shared" si="34"/>
        <v>0</v>
      </c>
      <c r="M167" s="61">
        <f t="shared" si="34"/>
        <v>0</v>
      </c>
      <c r="N167" s="61">
        <f t="shared" si="34"/>
        <v>0</v>
      </c>
      <c r="Q167" s="61">
        <f t="shared" si="29"/>
        <v>0</v>
      </c>
      <c r="S167" s="61">
        <f t="shared" si="35"/>
        <v>0</v>
      </c>
      <c r="U167" s="61">
        <f t="shared" si="31"/>
        <v>0</v>
      </c>
      <c r="X167" s="61">
        <f t="shared" si="33"/>
        <v>0</v>
      </c>
      <c r="Y167" s="61">
        <f t="shared" si="32"/>
        <v>0</v>
      </c>
      <c r="Z167" s="61">
        <f t="shared" si="32"/>
        <v>0</v>
      </c>
      <c r="AA167" s="61">
        <f t="shared" si="32"/>
        <v>0</v>
      </c>
      <c r="AB167" s="61">
        <f t="shared" si="32"/>
        <v>0</v>
      </c>
      <c r="AC167" s="61">
        <f t="shared" si="32"/>
        <v>165</v>
      </c>
    </row>
    <row r="168" spans="1:29" ht="16.8" x14ac:dyDescent="0.3">
      <c r="A168" s="70">
        <f>'BASE MAESTRA'!B174</f>
        <v>166</v>
      </c>
      <c r="B168" s="61">
        <f t="shared" si="34"/>
        <v>0</v>
      </c>
      <c r="C168" s="61">
        <f t="shared" si="34"/>
        <v>0</v>
      </c>
      <c r="D168" s="61">
        <f t="shared" si="34"/>
        <v>0</v>
      </c>
      <c r="E168" s="61">
        <f t="shared" si="34"/>
        <v>0</v>
      </c>
      <c r="F168" s="61">
        <f t="shared" si="34"/>
        <v>0</v>
      </c>
      <c r="G168" s="61">
        <f t="shared" si="34"/>
        <v>0</v>
      </c>
      <c r="H168" s="61">
        <f t="shared" si="34"/>
        <v>0</v>
      </c>
      <c r="I168" s="61">
        <f t="shared" si="34"/>
        <v>0</v>
      </c>
      <c r="J168" s="61">
        <f t="shared" si="34"/>
        <v>0</v>
      </c>
      <c r="K168" s="61">
        <f t="shared" si="34"/>
        <v>0</v>
      </c>
      <c r="L168" s="61">
        <f t="shared" si="34"/>
        <v>0</v>
      </c>
      <c r="M168" s="61">
        <f t="shared" si="34"/>
        <v>0</v>
      </c>
      <c r="N168" s="61">
        <f t="shared" si="34"/>
        <v>0</v>
      </c>
      <c r="Q168" s="61">
        <f t="shared" si="29"/>
        <v>0</v>
      </c>
      <c r="S168" s="61">
        <f t="shared" si="35"/>
        <v>0</v>
      </c>
      <c r="U168" s="61">
        <f t="shared" si="31"/>
        <v>0</v>
      </c>
      <c r="X168" s="61">
        <f t="shared" si="33"/>
        <v>0</v>
      </c>
      <c r="Y168" s="61">
        <f t="shared" si="32"/>
        <v>0</v>
      </c>
      <c r="Z168" s="61">
        <f t="shared" si="32"/>
        <v>0</v>
      </c>
      <c r="AA168" s="61">
        <f t="shared" si="32"/>
        <v>0</v>
      </c>
      <c r="AB168" s="61">
        <f t="shared" si="32"/>
        <v>0</v>
      </c>
      <c r="AC168" s="61">
        <f t="shared" si="32"/>
        <v>166</v>
      </c>
    </row>
    <row r="169" spans="1:29" ht="16.8" x14ac:dyDescent="0.3">
      <c r="A169" s="70">
        <f>'BASE MAESTRA'!B175</f>
        <v>167</v>
      </c>
      <c r="B169" s="61">
        <f t="shared" si="34"/>
        <v>0</v>
      </c>
      <c r="C169" s="61">
        <f t="shared" si="34"/>
        <v>0</v>
      </c>
      <c r="D169" s="61">
        <f t="shared" si="34"/>
        <v>0</v>
      </c>
      <c r="E169" s="61">
        <f t="shared" si="34"/>
        <v>0</v>
      </c>
      <c r="F169" s="61">
        <f t="shared" si="34"/>
        <v>0</v>
      </c>
      <c r="G169" s="61">
        <f t="shared" si="34"/>
        <v>0</v>
      </c>
      <c r="H169" s="61">
        <f t="shared" si="34"/>
        <v>0</v>
      </c>
      <c r="I169" s="61">
        <f t="shared" si="34"/>
        <v>0</v>
      </c>
      <c r="J169" s="61">
        <f t="shared" si="34"/>
        <v>0</v>
      </c>
      <c r="K169" s="61">
        <f t="shared" si="34"/>
        <v>0</v>
      </c>
      <c r="L169" s="61">
        <f t="shared" si="34"/>
        <v>0</v>
      </c>
      <c r="M169" s="61">
        <f t="shared" si="34"/>
        <v>0</v>
      </c>
      <c r="N169" s="61">
        <f t="shared" si="34"/>
        <v>0</v>
      </c>
      <c r="Q169" s="61">
        <f t="shared" si="29"/>
        <v>0</v>
      </c>
      <c r="S169" s="61">
        <f t="shared" si="35"/>
        <v>0</v>
      </c>
      <c r="U169" s="61">
        <f t="shared" si="31"/>
        <v>0</v>
      </c>
      <c r="X169" s="61">
        <f t="shared" si="33"/>
        <v>0</v>
      </c>
      <c r="Y169" s="61">
        <f t="shared" si="32"/>
        <v>0</v>
      </c>
      <c r="Z169" s="61">
        <f t="shared" si="32"/>
        <v>0</v>
      </c>
      <c r="AA169" s="61">
        <f t="shared" si="32"/>
        <v>0</v>
      </c>
      <c r="AB169" s="61">
        <f t="shared" si="32"/>
        <v>0</v>
      </c>
      <c r="AC169" s="61">
        <f t="shared" si="32"/>
        <v>167</v>
      </c>
    </row>
    <row r="170" spans="1:29" ht="16.8" x14ac:dyDescent="0.3">
      <c r="A170" s="70">
        <f>'BASE MAESTRA'!B176</f>
        <v>168</v>
      </c>
      <c r="B170" s="61">
        <f t="shared" si="34"/>
        <v>0</v>
      </c>
      <c r="C170" s="61">
        <f t="shared" si="34"/>
        <v>0</v>
      </c>
      <c r="D170" s="61">
        <f t="shared" si="34"/>
        <v>0</v>
      </c>
      <c r="E170" s="61">
        <f t="shared" si="34"/>
        <v>0</v>
      </c>
      <c r="F170" s="61">
        <f t="shared" si="34"/>
        <v>0</v>
      </c>
      <c r="G170" s="61">
        <f t="shared" si="34"/>
        <v>0</v>
      </c>
      <c r="H170" s="61">
        <f t="shared" si="34"/>
        <v>0</v>
      </c>
      <c r="I170" s="61">
        <f t="shared" si="34"/>
        <v>0</v>
      </c>
      <c r="J170" s="61">
        <f t="shared" si="34"/>
        <v>0</v>
      </c>
      <c r="K170" s="61">
        <f t="shared" si="34"/>
        <v>0</v>
      </c>
      <c r="L170" s="61">
        <f t="shared" si="34"/>
        <v>0</v>
      </c>
      <c r="M170" s="61">
        <f t="shared" si="34"/>
        <v>0</v>
      </c>
      <c r="N170" s="61">
        <f t="shared" si="34"/>
        <v>0</v>
      </c>
      <c r="Q170" s="61">
        <f t="shared" si="29"/>
        <v>0</v>
      </c>
      <c r="S170" s="61">
        <f t="shared" si="35"/>
        <v>0</v>
      </c>
      <c r="U170" s="61">
        <f t="shared" si="31"/>
        <v>0</v>
      </c>
      <c r="X170" s="61">
        <f t="shared" si="33"/>
        <v>0</v>
      </c>
      <c r="Y170" s="61">
        <f t="shared" si="32"/>
        <v>0</v>
      </c>
      <c r="Z170" s="61">
        <f t="shared" si="32"/>
        <v>0</v>
      </c>
      <c r="AA170" s="61">
        <f t="shared" si="32"/>
        <v>0</v>
      </c>
      <c r="AB170" s="61">
        <f t="shared" si="32"/>
        <v>0</v>
      </c>
      <c r="AC170" s="61">
        <f t="shared" si="32"/>
        <v>168</v>
      </c>
    </row>
    <row r="171" spans="1:29" ht="16.8" x14ac:dyDescent="0.3">
      <c r="A171" s="70">
        <f>'BASE MAESTRA'!B177</f>
        <v>169</v>
      </c>
      <c r="B171" s="61">
        <f t="shared" si="34"/>
        <v>0</v>
      </c>
      <c r="C171" s="61">
        <f t="shared" si="34"/>
        <v>0</v>
      </c>
      <c r="D171" s="61">
        <f t="shared" si="34"/>
        <v>0</v>
      </c>
      <c r="E171" s="61">
        <f t="shared" si="34"/>
        <v>0</v>
      </c>
      <c r="F171" s="61">
        <f t="shared" si="34"/>
        <v>0</v>
      </c>
      <c r="G171" s="61">
        <f t="shared" si="34"/>
        <v>0</v>
      </c>
      <c r="H171" s="61">
        <f t="shared" si="34"/>
        <v>0</v>
      </c>
      <c r="I171" s="61">
        <f t="shared" si="34"/>
        <v>0</v>
      </c>
      <c r="J171" s="61">
        <f t="shared" si="34"/>
        <v>0</v>
      </c>
      <c r="K171" s="61">
        <f t="shared" si="34"/>
        <v>0</v>
      </c>
      <c r="L171" s="61">
        <f t="shared" si="34"/>
        <v>0</v>
      </c>
      <c r="M171" s="61">
        <f t="shared" si="34"/>
        <v>0</v>
      </c>
      <c r="N171" s="61">
        <f t="shared" si="34"/>
        <v>0</v>
      </c>
      <c r="Q171" s="61">
        <f t="shared" si="29"/>
        <v>0</v>
      </c>
      <c r="S171" s="61">
        <f t="shared" si="35"/>
        <v>0</v>
      </c>
      <c r="U171" s="61">
        <f t="shared" ref="U171:X202" si="36">VLOOKUP($A171,DatosEspecies,U$2,FALSE)</f>
        <v>0</v>
      </c>
      <c r="X171" s="61">
        <f t="shared" si="36"/>
        <v>0</v>
      </c>
      <c r="Y171" s="61">
        <f t="shared" si="32"/>
        <v>0</v>
      </c>
      <c r="Z171" s="61">
        <f t="shared" si="32"/>
        <v>0</v>
      </c>
      <c r="AA171" s="61">
        <f t="shared" si="32"/>
        <v>0</v>
      </c>
      <c r="AB171" s="61">
        <f t="shared" si="32"/>
        <v>0</v>
      </c>
      <c r="AC171" s="61">
        <f t="shared" si="32"/>
        <v>169</v>
      </c>
    </row>
    <row r="172" spans="1:29" ht="16.8" x14ac:dyDescent="0.3">
      <c r="A172" s="70">
        <f>'BASE MAESTRA'!B178</f>
        <v>170</v>
      </c>
      <c r="B172" s="61">
        <f t="shared" si="34"/>
        <v>0</v>
      </c>
      <c r="C172" s="61">
        <f t="shared" si="34"/>
        <v>0</v>
      </c>
      <c r="D172" s="61">
        <f t="shared" si="34"/>
        <v>0</v>
      </c>
      <c r="E172" s="61">
        <f t="shared" si="34"/>
        <v>0</v>
      </c>
      <c r="F172" s="61">
        <f t="shared" si="34"/>
        <v>0</v>
      </c>
      <c r="G172" s="61">
        <f t="shared" si="34"/>
        <v>0</v>
      </c>
      <c r="H172" s="61">
        <f t="shared" si="34"/>
        <v>0</v>
      </c>
      <c r="I172" s="61">
        <f t="shared" si="34"/>
        <v>0</v>
      </c>
      <c r="J172" s="61">
        <f t="shared" si="34"/>
        <v>0</v>
      </c>
      <c r="K172" s="61">
        <f t="shared" si="34"/>
        <v>0</v>
      </c>
      <c r="L172" s="61">
        <f t="shared" si="34"/>
        <v>0</v>
      </c>
      <c r="M172" s="61">
        <f t="shared" si="34"/>
        <v>0</v>
      </c>
      <c r="N172" s="61">
        <f t="shared" si="34"/>
        <v>0</v>
      </c>
      <c r="Q172" s="61">
        <f t="shared" si="29"/>
        <v>0</v>
      </c>
      <c r="S172" s="61">
        <f t="shared" si="35"/>
        <v>0</v>
      </c>
      <c r="U172" s="61">
        <f t="shared" si="36"/>
        <v>0</v>
      </c>
      <c r="X172" s="61">
        <f t="shared" si="36"/>
        <v>0</v>
      </c>
      <c r="Y172" s="61">
        <f t="shared" si="32"/>
        <v>0</v>
      </c>
      <c r="Z172" s="61">
        <f t="shared" si="32"/>
        <v>0</v>
      </c>
      <c r="AA172" s="61">
        <f t="shared" si="32"/>
        <v>0</v>
      </c>
      <c r="AB172" s="61">
        <f t="shared" si="32"/>
        <v>0</v>
      </c>
      <c r="AC172" s="61">
        <f t="shared" si="32"/>
        <v>170</v>
      </c>
    </row>
    <row r="173" spans="1:29" ht="16.8" x14ac:dyDescent="0.3">
      <c r="A173" s="70">
        <f>'BASE MAESTRA'!B179</f>
        <v>171</v>
      </c>
      <c r="B173" s="61">
        <f t="shared" si="34"/>
        <v>0</v>
      </c>
      <c r="C173" s="61">
        <f t="shared" si="34"/>
        <v>0</v>
      </c>
      <c r="D173" s="61">
        <f t="shared" si="34"/>
        <v>0</v>
      </c>
      <c r="E173" s="61">
        <f t="shared" si="34"/>
        <v>0</v>
      </c>
      <c r="F173" s="61">
        <f t="shared" si="34"/>
        <v>0</v>
      </c>
      <c r="G173" s="61">
        <f t="shared" si="34"/>
        <v>0</v>
      </c>
      <c r="H173" s="61">
        <f t="shared" si="34"/>
        <v>0</v>
      </c>
      <c r="I173" s="61">
        <f t="shared" si="34"/>
        <v>0</v>
      </c>
      <c r="J173" s="61">
        <f t="shared" si="34"/>
        <v>0</v>
      </c>
      <c r="K173" s="61">
        <f t="shared" si="34"/>
        <v>0</v>
      </c>
      <c r="L173" s="61">
        <f t="shared" si="34"/>
        <v>0</v>
      </c>
      <c r="M173" s="61">
        <f t="shared" si="34"/>
        <v>0</v>
      </c>
      <c r="N173" s="61">
        <f t="shared" si="34"/>
        <v>0</v>
      </c>
      <c r="Q173" s="61">
        <f t="shared" si="29"/>
        <v>0</v>
      </c>
      <c r="S173" s="61">
        <f t="shared" si="35"/>
        <v>0</v>
      </c>
      <c r="U173" s="61">
        <f t="shared" si="36"/>
        <v>0</v>
      </c>
      <c r="X173" s="61">
        <f t="shared" si="36"/>
        <v>0</v>
      </c>
      <c r="Y173" s="61">
        <f t="shared" si="32"/>
        <v>0</v>
      </c>
      <c r="Z173" s="61">
        <f t="shared" si="32"/>
        <v>0</v>
      </c>
      <c r="AA173" s="61">
        <f t="shared" si="32"/>
        <v>0</v>
      </c>
      <c r="AB173" s="61">
        <f t="shared" si="32"/>
        <v>0</v>
      </c>
      <c r="AC173" s="61">
        <f t="shared" si="32"/>
        <v>171</v>
      </c>
    </row>
    <row r="174" spans="1:29" ht="16.8" x14ac:dyDescent="0.3">
      <c r="A174" s="70">
        <f>'BASE MAESTRA'!B180</f>
        <v>172</v>
      </c>
      <c r="B174" s="61">
        <f t="shared" si="34"/>
        <v>0</v>
      </c>
      <c r="C174" s="61">
        <f t="shared" si="34"/>
        <v>0</v>
      </c>
      <c r="D174" s="61">
        <f t="shared" si="34"/>
        <v>0</v>
      </c>
      <c r="E174" s="61">
        <f t="shared" si="34"/>
        <v>0</v>
      </c>
      <c r="F174" s="61">
        <f t="shared" si="34"/>
        <v>0</v>
      </c>
      <c r="G174" s="61">
        <f t="shared" si="34"/>
        <v>0</v>
      </c>
      <c r="H174" s="61">
        <f t="shared" si="34"/>
        <v>0</v>
      </c>
      <c r="I174" s="61">
        <f t="shared" si="34"/>
        <v>0</v>
      </c>
      <c r="J174" s="61">
        <f t="shared" si="34"/>
        <v>0</v>
      </c>
      <c r="K174" s="61">
        <f t="shared" si="34"/>
        <v>0</v>
      </c>
      <c r="L174" s="61">
        <f t="shared" si="34"/>
        <v>0</v>
      </c>
      <c r="M174" s="61">
        <f t="shared" si="34"/>
        <v>0</v>
      </c>
      <c r="N174" s="61">
        <f t="shared" si="34"/>
        <v>0</v>
      </c>
      <c r="Q174" s="61">
        <f t="shared" si="29"/>
        <v>0</v>
      </c>
      <c r="S174" s="61">
        <f t="shared" si="35"/>
        <v>0</v>
      </c>
      <c r="U174" s="61">
        <f t="shared" si="36"/>
        <v>0</v>
      </c>
      <c r="X174" s="61">
        <f t="shared" si="36"/>
        <v>0</v>
      </c>
      <c r="Y174" s="61">
        <f t="shared" si="32"/>
        <v>0</v>
      </c>
      <c r="Z174" s="61">
        <f t="shared" si="32"/>
        <v>0</v>
      </c>
      <c r="AA174" s="61">
        <f t="shared" si="32"/>
        <v>0</v>
      </c>
      <c r="AB174" s="61">
        <f t="shared" si="32"/>
        <v>0</v>
      </c>
      <c r="AC174" s="61">
        <f t="shared" si="32"/>
        <v>172</v>
      </c>
    </row>
    <row r="175" spans="1:29" ht="16.8" x14ac:dyDescent="0.3">
      <c r="A175" s="70">
        <f>'BASE MAESTRA'!B181</f>
        <v>173</v>
      </c>
      <c r="B175" s="61">
        <f t="shared" si="34"/>
        <v>0</v>
      </c>
      <c r="C175" s="61">
        <f t="shared" si="34"/>
        <v>0</v>
      </c>
      <c r="D175" s="61">
        <f t="shared" si="34"/>
        <v>0</v>
      </c>
      <c r="E175" s="61">
        <f t="shared" si="34"/>
        <v>0</v>
      </c>
      <c r="F175" s="61">
        <f t="shared" si="34"/>
        <v>0</v>
      </c>
      <c r="G175" s="61">
        <f t="shared" si="34"/>
        <v>0</v>
      </c>
      <c r="H175" s="61">
        <f t="shared" si="34"/>
        <v>0</v>
      </c>
      <c r="I175" s="61">
        <f t="shared" si="34"/>
        <v>0</v>
      </c>
      <c r="J175" s="61">
        <f t="shared" si="34"/>
        <v>0</v>
      </c>
      <c r="K175" s="61">
        <f t="shared" si="34"/>
        <v>0</v>
      </c>
      <c r="L175" s="61">
        <f t="shared" si="34"/>
        <v>0</v>
      </c>
      <c r="M175" s="61">
        <f t="shared" si="34"/>
        <v>0</v>
      </c>
      <c r="N175" s="61">
        <f t="shared" si="34"/>
        <v>0</v>
      </c>
      <c r="Q175" s="61">
        <f t="shared" si="29"/>
        <v>0</v>
      </c>
      <c r="S175" s="61">
        <f t="shared" si="35"/>
        <v>0</v>
      </c>
      <c r="U175" s="61">
        <f t="shared" si="36"/>
        <v>0</v>
      </c>
      <c r="X175" s="61">
        <f t="shared" si="36"/>
        <v>0</v>
      </c>
      <c r="Y175" s="61">
        <f t="shared" si="32"/>
        <v>0</v>
      </c>
      <c r="Z175" s="61">
        <f t="shared" si="32"/>
        <v>0</v>
      </c>
      <c r="AA175" s="61">
        <f t="shared" si="32"/>
        <v>0</v>
      </c>
      <c r="AB175" s="61">
        <f t="shared" si="32"/>
        <v>0</v>
      </c>
      <c r="AC175" s="61">
        <f t="shared" si="32"/>
        <v>173</v>
      </c>
    </row>
    <row r="176" spans="1:29" ht="16.8" x14ac:dyDescent="0.3">
      <c r="A176" s="70">
        <f>'BASE MAESTRA'!B182</f>
        <v>174</v>
      </c>
      <c r="B176" s="61">
        <f t="shared" si="34"/>
        <v>0</v>
      </c>
      <c r="C176" s="61">
        <f t="shared" ref="B176:N195" si="37">VLOOKUP($A176,DatosEspecies,C$2,FALSE)</f>
        <v>0</v>
      </c>
      <c r="D176" s="61">
        <f t="shared" si="37"/>
        <v>0</v>
      </c>
      <c r="E176" s="61">
        <f t="shared" si="37"/>
        <v>0</v>
      </c>
      <c r="F176" s="61">
        <f t="shared" si="37"/>
        <v>0</v>
      </c>
      <c r="G176" s="61">
        <f t="shared" si="37"/>
        <v>0</v>
      </c>
      <c r="H176" s="61">
        <f t="shared" si="37"/>
        <v>0</v>
      </c>
      <c r="I176" s="61">
        <f t="shared" si="37"/>
        <v>0</v>
      </c>
      <c r="J176" s="61">
        <f t="shared" si="37"/>
        <v>0</v>
      </c>
      <c r="K176" s="61">
        <f t="shared" si="37"/>
        <v>0</v>
      </c>
      <c r="L176" s="61">
        <f t="shared" si="37"/>
        <v>0</v>
      </c>
      <c r="M176" s="61">
        <f t="shared" si="37"/>
        <v>0</v>
      </c>
      <c r="N176" s="61">
        <f t="shared" si="37"/>
        <v>0</v>
      </c>
      <c r="Q176" s="61">
        <f t="shared" si="29"/>
        <v>0</v>
      </c>
      <c r="S176" s="61">
        <f t="shared" si="35"/>
        <v>0</v>
      </c>
      <c r="U176" s="61">
        <f t="shared" si="36"/>
        <v>0</v>
      </c>
      <c r="X176" s="61">
        <f t="shared" si="36"/>
        <v>0</v>
      </c>
      <c r="Y176" s="61">
        <f t="shared" si="32"/>
        <v>0</v>
      </c>
      <c r="Z176" s="61">
        <f t="shared" si="32"/>
        <v>0</v>
      </c>
      <c r="AA176" s="61">
        <f t="shared" si="32"/>
        <v>0</v>
      </c>
      <c r="AB176" s="61">
        <f t="shared" si="32"/>
        <v>0</v>
      </c>
      <c r="AC176" s="61">
        <f t="shared" si="32"/>
        <v>174</v>
      </c>
    </row>
    <row r="177" spans="1:29" ht="16.8" x14ac:dyDescent="0.3">
      <c r="A177" s="70">
        <f>'BASE MAESTRA'!B183</f>
        <v>175</v>
      </c>
      <c r="B177" s="61">
        <f t="shared" si="37"/>
        <v>0</v>
      </c>
      <c r="C177" s="61">
        <f t="shared" si="37"/>
        <v>0</v>
      </c>
      <c r="D177" s="61">
        <f t="shared" si="37"/>
        <v>0</v>
      </c>
      <c r="E177" s="61">
        <f t="shared" si="37"/>
        <v>0</v>
      </c>
      <c r="F177" s="61">
        <f t="shared" si="37"/>
        <v>0</v>
      </c>
      <c r="G177" s="61">
        <f t="shared" si="37"/>
        <v>0</v>
      </c>
      <c r="H177" s="61">
        <f t="shared" si="37"/>
        <v>0</v>
      </c>
      <c r="I177" s="61">
        <f t="shared" si="37"/>
        <v>0</v>
      </c>
      <c r="J177" s="61">
        <f t="shared" si="37"/>
        <v>0</v>
      </c>
      <c r="K177" s="61">
        <f t="shared" si="37"/>
        <v>0</v>
      </c>
      <c r="L177" s="61">
        <f t="shared" si="37"/>
        <v>0</v>
      </c>
      <c r="M177" s="61">
        <f t="shared" si="37"/>
        <v>0</v>
      </c>
      <c r="N177" s="61">
        <f t="shared" si="37"/>
        <v>0</v>
      </c>
      <c r="Q177" s="61">
        <f t="shared" si="29"/>
        <v>0</v>
      </c>
      <c r="S177" s="61">
        <f t="shared" si="35"/>
        <v>0</v>
      </c>
      <c r="U177" s="61">
        <f t="shared" si="36"/>
        <v>0</v>
      </c>
      <c r="X177" s="61">
        <f t="shared" si="36"/>
        <v>0</v>
      </c>
      <c r="Y177" s="61">
        <f t="shared" si="32"/>
        <v>0</v>
      </c>
      <c r="Z177" s="61">
        <f t="shared" si="32"/>
        <v>0</v>
      </c>
      <c r="AA177" s="61">
        <f t="shared" si="32"/>
        <v>0</v>
      </c>
      <c r="AB177" s="61">
        <f t="shared" si="32"/>
        <v>0</v>
      </c>
      <c r="AC177" s="61">
        <f t="shared" si="32"/>
        <v>175</v>
      </c>
    </row>
    <row r="178" spans="1:29" ht="16.8" x14ac:dyDescent="0.3">
      <c r="A178" s="70">
        <f>'BASE MAESTRA'!B184</f>
        <v>176</v>
      </c>
      <c r="B178" s="61">
        <f t="shared" si="37"/>
        <v>0</v>
      </c>
      <c r="C178" s="61">
        <f t="shared" si="37"/>
        <v>0</v>
      </c>
      <c r="D178" s="61">
        <f t="shared" si="37"/>
        <v>0</v>
      </c>
      <c r="E178" s="61">
        <f t="shared" si="37"/>
        <v>0</v>
      </c>
      <c r="F178" s="61">
        <f t="shared" si="37"/>
        <v>0</v>
      </c>
      <c r="G178" s="61">
        <f t="shared" si="37"/>
        <v>0</v>
      </c>
      <c r="H178" s="61">
        <f t="shared" si="37"/>
        <v>0</v>
      </c>
      <c r="I178" s="61">
        <f t="shared" si="37"/>
        <v>0</v>
      </c>
      <c r="J178" s="61">
        <f t="shared" si="37"/>
        <v>0</v>
      </c>
      <c r="K178" s="61">
        <f t="shared" si="37"/>
        <v>0</v>
      </c>
      <c r="L178" s="61">
        <f t="shared" si="37"/>
        <v>0</v>
      </c>
      <c r="M178" s="61">
        <f t="shared" si="37"/>
        <v>0</v>
      </c>
      <c r="N178" s="61">
        <f t="shared" si="37"/>
        <v>0</v>
      </c>
      <c r="Q178" s="61">
        <f t="shared" si="29"/>
        <v>0</v>
      </c>
      <c r="S178" s="61">
        <f t="shared" si="35"/>
        <v>0</v>
      </c>
      <c r="U178" s="61">
        <f t="shared" si="36"/>
        <v>0</v>
      </c>
      <c r="X178" s="61">
        <f t="shared" si="36"/>
        <v>0</v>
      </c>
      <c r="Y178" s="61">
        <f t="shared" si="32"/>
        <v>0</v>
      </c>
      <c r="Z178" s="61">
        <f t="shared" si="32"/>
        <v>0</v>
      </c>
      <c r="AA178" s="61">
        <f t="shared" si="32"/>
        <v>0</v>
      </c>
      <c r="AB178" s="61">
        <f t="shared" si="32"/>
        <v>0</v>
      </c>
      <c r="AC178" s="61">
        <f t="shared" si="32"/>
        <v>176</v>
      </c>
    </row>
    <row r="179" spans="1:29" ht="16.8" x14ac:dyDescent="0.3">
      <c r="A179" s="70">
        <f>'BASE MAESTRA'!B185</f>
        <v>177</v>
      </c>
      <c r="B179" s="61">
        <f t="shared" si="37"/>
        <v>0</v>
      </c>
      <c r="C179" s="61">
        <f t="shared" si="37"/>
        <v>0</v>
      </c>
      <c r="D179" s="61">
        <f t="shared" si="37"/>
        <v>0</v>
      </c>
      <c r="E179" s="61">
        <f t="shared" si="37"/>
        <v>0</v>
      </c>
      <c r="F179" s="61">
        <f t="shared" si="37"/>
        <v>0</v>
      </c>
      <c r="G179" s="61">
        <f t="shared" si="37"/>
        <v>0</v>
      </c>
      <c r="H179" s="61">
        <f t="shared" si="37"/>
        <v>0</v>
      </c>
      <c r="I179" s="61">
        <f t="shared" si="37"/>
        <v>0</v>
      </c>
      <c r="J179" s="61">
        <f t="shared" si="37"/>
        <v>0</v>
      </c>
      <c r="K179" s="61">
        <f t="shared" si="37"/>
        <v>0</v>
      </c>
      <c r="L179" s="61">
        <f t="shared" si="37"/>
        <v>0</v>
      </c>
      <c r="M179" s="61">
        <f t="shared" si="37"/>
        <v>0</v>
      </c>
      <c r="N179" s="61">
        <f t="shared" si="37"/>
        <v>0</v>
      </c>
      <c r="Q179" s="61">
        <f t="shared" si="29"/>
        <v>0</v>
      </c>
      <c r="S179" s="61">
        <f t="shared" si="35"/>
        <v>0</v>
      </c>
      <c r="U179" s="61">
        <f t="shared" si="36"/>
        <v>0</v>
      </c>
      <c r="X179" s="61">
        <f t="shared" si="36"/>
        <v>0</v>
      </c>
      <c r="Y179" s="61">
        <f t="shared" si="32"/>
        <v>0</v>
      </c>
      <c r="Z179" s="61">
        <f t="shared" si="32"/>
        <v>0</v>
      </c>
      <c r="AA179" s="61">
        <f t="shared" si="32"/>
        <v>0</v>
      </c>
      <c r="AB179" s="61">
        <f t="shared" si="32"/>
        <v>0</v>
      </c>
      <c r="AC179" s="61">
        <f t="shared" si="32"/>
        <v>177</v>
      </c>
    </row>
    <row r="180" spans="1:29" ht="16.8" x14ac:dyDescent="0.3">
      <c r="A180" s="70">
        <f>'BASE MAESTRA'!B186</f>
        <v>178</v>
      </c>
      <c r="B180" s="61">
        <f t="shared" si="37"/>
        <v>0</v>
      </c>
      <c r="C180" s="61">
        <f t="shared" si="37"/>
        <v>0</v>
      </c>
      <c r="D180" s="61">
        <f t="shared" si="37"/>
        <v>0</v>
      </c>
      <c r="E180" s="61">
        <f t="shared" si="37"/>
        <v>0</v>
      </c>
      <c r="F180" s="61">
        <f t="shared" si="37"/>
        <v>0</v>
      </c>
      <c r="G180" s="61">
        <f t="shared" si="37"/>
        <v>0</v>
      </c>
      <c r="H180" s="61">
        <f t="shared" si="37"/>
        <v>0</v>
      </c>
      <c r="I180" s="61">
        <f t="shared" si="37"/>
        <v>0</v>
      </c>
      <c r="J180" s="61">
        <f t="shared" si="37"/>
        <v>0</v>
      </c>
      <c r="K180" s="61">
        <f t="shared" si="37"/>
        <v>0</v>
      </c>
      <c r="L180" s="61">
        <f t="shared" si="37"/>
        <v>0</v>
      </c>
      <c r="M180" s="61">
        <f t="shared" si="37"/>
        <v>0</v>
      </c>
      <c r="N180" s="61">
        <f t="shared" si="37"/>
        <v>0</v>
      </c>
      <c r="Q180" s="61">
        <f t="shared" si="29"/>
        <v>0</v>
      </c>
      <c r="S180" s="61">
        <f t="shared" si="35"/>
        <v>0</v>
      </c>
      <c r="U180" s="61">
        <f t="shared" si="36"/>
        <v>0</v>
      </c>
      <c r="X180" s="61">
        <f t="shared" si="36"/>
        <v>0</v>
      </c>
      <c r="Y180" s="61">
        <f t="shared" si="32"/>
        <v>0</v>
      </c>
      <c r="Z180" s="61">
        <f t="shared" si="32"/>
        <v>0</v>
      </c>
      <c r="AA180" s="61">
        <f t="shared" si="32"/>
        <v>0</v>
      </c>
      <c r="AB180" s="61">
        <f t="shared" si="32"/>
        <v>0</v>
      </c>
      <c r="AC180" s="61">
        <f t="shared" si="32"/>
        <v>178</v>
      </c>
    </row>
    <row r="181" spans="1:29" ht="16.8" x14ac:dyDescent="0.3">
      <c r="A181" s="70">
        <f>'BASE MAESTRA'!B187</f>
        <v>179</v>
      </c>
      <c r="B181" s="61">
        <f t="shared" si="37"/>
        <v>0</v>
      </c>
      <c r="C181" s="61">
        <f t="shared" si="37"/>
        <v>0</v>
      </c>
      <c r="D181" s="61">
        <f t="shared" si="37"/>
        <v>0</v>
      </c>
      <c r="E181" s="61">
        <f t="shared" si="37"/>
        <v>0</v>
      </c>
      <c r="F181" s="61">
        <f t="shared" si="37"/>
        <v>0</v>
      </c>
      <c r="G181" s="61">
        <f t="shared" si="37"/>
        <v>0</v>
      </c>
      <c r="H181" s="61">
        <f t="shared" si="37"/>
        <v>0</v>
      </c>
      <c r="I181" s="61">
        <f t="shared" si="37"/>
        <v>0</v>
      </c>
      <c r="J181" s="61">
        <f t="shared" si="37"/>
        <v>0</v>
      </c>
      <c r="K181" s="61">
        <f t="shared" si="37"/>
        <v>0</v>
      </c>
      <c r="L181" s="61">
        <f t="shared" si="37"/>
        <v>0</v>
      </c>
      <c r="M181" s="61">
        <f t="shared" si="37"/>
        <v>0</v>
      </c>
      <c r="N181" s="61">
        <f t="shared" si="37"/>
        <v>0</v>
      </c>
      <c r="Q181" s="61">
        <f t="shared" si="29"/>
        <v>0</v>
      </c>
      <c r="S181" s="61">
        <f t="shared" si="35"/>
        <v>0</v>
      </c>
      <c r="U181" s="61">
        <f t="shared" si="36"/>
        <v>0</v>
      </c>
      <c r="X181" s="61">
        <f t="shared" si="36"/>
        <v>0</v>
      </c>
      <c r="Y181" s="61">
        <f t="shared" si="32"/>
        <v>0</v>
      </c>
      <c r="Z181" s="61">
        <f t="shared" si="32"/>
        <v>0</v>
      </c>
      <c r="AA181" s="61">
        <f t="shared" si="32"/>
        <v>0</v>
      </c>
      <c r="AB181" s="61">
        <f t="shared" si="32"/>
        <v>0</v>
      </c>
      <c r="AC181" s="61">
        <f t="shared" si="32"/>
        <v>179</v>
      </c>
    </row>
    <row r="182" spans="1:29" ht="16.8" x14ac:dyDescent="0.3">
      <c r="A182" s="70">
        <f>'BASE MAESTRA'!B188</f>
        <v>180</v>
      </c>
      <c r="B182" s="61">
        <f t="shared" si="37"/>
        <v>0</v>
      </c>
      <c r="C182" s="61">
        <f t="shared" si="37"/>
        <v>0</v>
      </c>
      <c r="D182" s="61">
        <f t="shared" si="37"/>
        <v>0</v>
      </c>
      <c r="E182" s="61">
        <f t="shared" si="37"/>
        <v>0</v>
      </c>
      <c r="F182" s="61">
        <f t="shared" si="37"/>
        <v>0</v>
      </c>
      <c r="G182" s="61">
        <f t="shared" si="37"/>
        <v>0</v>
      </c>
      <c r="H182" s="61">
        <f t="shared" si="37"/>
        <v>0</v>
      </c>
      <c r="I182" s="61">
        <f t="shared" si="37"/>
        <v>0</v>
      </c>
      <c r="J182" s="61">
        <f t="shared" si="37"/>
        <v>0</v>
      </c>
      <c r="K182" s="61">
        <f t="shared" si="37"/>
        <v>0</v>
      </c>
      <c r="L182" s="61">
        <f t="shared" si="37"/>
        <v>0</v>
      </c>
      <c r="M182" s="61">
        <f t="shared" si="37"/>
        <v>0</v>
      </c>
      <c r="N182" s="61">
        <f t="shared" si="37"/>
        <v>0</v>
      </c>
      <c r="Q182" s="61">
        <f t="shared" si="29"/>
        <v>0</v>
      </c>
      <c r="S182" s="61">
        <f t="shared" si="35"/>
        <v>0</v>
      </c>
      <c r="U182" s="61">
        <f t="shared" si="36"/>
        <v>0</v>
      </c>
      <c r="X182" s="61">
        <f t="shared" si="36"/>
        <v>0</v>
      </c>
      <c r="Y182" s="61">
        <f t="shared" si="32"/>
        <v>0</v>
      </c>
      <c r="Z182" s="61">
        <f t="shared" si="32"/>
        <v>0</v>
      </c>
      <c r="AA182" s="61">
        <f t="shared" si="32"/>
        <v>0</v>
      </c>
      <c r="AB182" s="61">
        <f t="shared" si="32"/>
        <v>0</v>
      </c>
      <c r="AC182" s="61">
        <f t="shared" si="32"/>
        <v>180</v>
      </c>
    </row>
    <row r="183" spans="1:29" ht="16.8" x14ac:dyDescent="0.3">
      <c r="A183" s="70">
        <f>'BASE MAESTRA'!B189</f>
        <v>181</v>
      </c>
      <c r="B183" s="61">
        <f t="shared" si="37"/>
        <v>0</v>
      </c>
      <c r="C183" s="61">
        <f t="shared" si="37"/>
        <v>0</v>
      </c>
      <c r="D183" s="61">
        <f t="shared" si="37"/>
        <v>0</v>
      </c>
      <c r="E183" s="61">
        <f t="shared" si="37"/>
        <v>0</v>
      </c>
      <c r="F183" s="61">
        <f t="shared" si="37"/>
        <v>0</v>
      </c>
      <c r="G183" s="61">
        <f t="shared" si="37"/>
        <v>0</v>
      </c>
      <c r="H183" s="61">
        <f t="shared" si="37"/>
        <v>0</v>
      </c>
      <c r="I183" s="61">
        <f t="shared" si="37"/>
        <v>0</v>
      </c>
      <c r="J183" s="61">
        <f t="shared" si="37"/>
        <v>0</v>
      </c>
      <c r="K183" s="61">
        <f t="shared" si="37"/>
        <v>0</v>
      </c>
      <c r="L183" s="61">
        <f t="shared" si="37"/>
        <v>0</v>
      </c>
      <c r="M183" s="61">
        <f t="shared" si="37"/>
        <v>0</v>
      </c>
      <c r="N183" s="61">
        <f t="shared" si="37"/>
        <v>0</v>
      </c>
      <c r="Q183" s="61">
        <f t="shared" si="29"/>
        <v>0</v>
      </c>
      <c r="S183" s="61">
        <f t="shared" si="35"/>
        <v>0</v>
      </c>
      <c r="U183" s="61">
        <f t="shared" si="36"/>
        <v>0</v>
      </c>
      <c r="X183" s="61">
        <f t="shared" si="36"/>
        <v>0</v>
      </c>
      <c r="Y183" s="61">
        <f t="shared" si="32"/>
        <v>0</v>
      </c>
      <c r="Z183" s="61">
        <f t="shared" si="32"/>
        <v>0</v>
      </c>
      <c r="AA183" s="61">
        <f t="shared" si="32"/>
        <v>0</v>
      </c>
      <c r="AB183" s="61">
        <f t="shared" si="32"/>
        <v>0</v>
      </c>
      <c r="AC183" s="61">
        <f t="shared" si="32"/>
        <v>181</v>
      </c>
    </row>
    <row r="184" spans="1:29" ht="16.8" x14ac:dyDescent="0.3">
      <c r="A184" s="70">
        <f>'BASE MAESTRA'!B190</f>
        <v>182</v>
      </c>
      <c r="B184" s="61">
        <f t="shared" si="37"/>
        <v>0</v>
      </c>
      <c r="C184" s="61">
        <f t="shared" si="37"/>
        <v>0</v>
      </c>
      <c r="D184" s="61">
        <f t="shared" si="37"/>
        <v>0</v>
      </c>
      <c r="E184" s="61">
        <f t="shared" si="37"/>
        <v>0</v>
      </c>
      <c r="F184" s="61">
        <f t="shared" si="37"/>
        <v>0</v>
      </c>
      <c r="G184" s="61">
        <f t="shared" si="37"/>
        <v>0</v>
      </c>
      <c r="H184" s="61">
        <f t="shared" si="37"/>
        <v>0</v>
      </c>
      <c r="I184" s="61">
        <f t="shared" si="37"/>
        <v>0</v>
      </c>
      <c r="J184" s="61">
        <f t="shared" si="37"/>
        <v>0</v>
      </c>
      <c r="K184" s="61">
        <f t="shared" si="37"/>
        <v>0</v>
      </c>
      <c r="L184" s="61">
        <f t="shared" si="37"/>
        <v>0</v>
      </c>
      <c r="M184" s="61">
        <f t="shared" si="37"/>
        <v>0</v>
      </c>
      <c r="N184" s="61">
        <f t="shared" si="37"/>
        <v>0</v>
      </c>
      <c r="Q184" s="61">
        <f t="shared" si="29"/>
        <v>0</v>
      </c>
      <c r="S184" s="61">
        <f t="shared" si="35"/>
        <v>0</v>
      </c>
      <c r="U184" s="61">
        <f t="shared" si="36"/>
        <v>0</v>
      </c>
      <c r="X184" s="61">
        <f t="shared" si="36"/>
        <v>0</v>
      </c>
      <c r="Y184" s="61">
        <f t="shared" si="32"/>
        <v>0</v>
      </c>
      <c r="Z184" s="61">
        <f t="shared" si="32"/>
        <v>0</v>
      </c>
      <c r="AA184" s="61">
        <f t="shared" si="32"/>
        <v>0</v>
      </c>
      <c r="AB184" s="61">
        <f t="shared" si="32"/>
        <v>0</v>
      </c>
      <c r="AC184" s="61">
        <f t="shared" si="32"/>
        <v>182</v>
      </c>
    </row>
    <row r="185" spans="1:29" ht="16.8" x14ac:dyDescent="0.3">
      <c r="A185" s="70">
        <f>'BASE MAESTRA'!B191</f>
        <v>183</v>
      </c>
      <c r="B185" s="61">
        <f t="shared" si="37"/>
        <v>0</v>
      </c>
      <c r="C185" s="61">
        <f t="shared" si="37"/>
        <v>0</v>
      </c>
      <c r="D185" s="61">
        <f t="shared" si="37"/>
        <v>0</v>
      </c>
      <c r="E185" s="61">
        <f t="shared" si="37"/>
        <v>0</v>
      </c>
      <c r="F185" s="61">
        <f t="shared" si="37"/>
        <v>0</v>
      </c>
      <c r="G185" s="61">
        <f t="shared" si="37"/>
        <v>0</v>
      </c>
      <c r="H185" s="61">
        <f t="shared" si="37"/>
        <v>0</v>
      </c>
      <c r="I185" s="61">
        <f t="shared" si="37"/>
        <v>0</v>
      </c>
      <c r="J185" s="61">
        <f t="shared" si="37"/>
        <v>0</v>
      </c>
      <c r="K185" s="61">
        <f t="shared" si="37"/>
        <v>0</v>
      </c>
      <c r="L185" s="61">
        <f t="shared" si="37"/>
        <v>0</v>
      </c>
      <c r="M185" s="61">
        <f t="shared" si="37"/>
        <v>0</v>
      </c>
      <c r="N185" s="61">
        <f t="shared" si="37"/>
        <v>0</v>
      </c>
      <c r="Q185" s="61">
        <f t="shared" si="29"/>
        <v>0</v>
      </c>
      <c r="S185" s="61">
        <f t="shared" si="35"/>
        <v>0</v>
      </c>
      <c r="U185" s="61">
        <f t="shared" si="36"/>
        <v>0</v>
      </c>
      <c r="X185" s="61">
        <f t="shared" si="36"/>
        <v>0</v>
      </c>
      <c r="Y185" s="61">
        <f t="shared" si="32"/>
        <v>0</v>
      </c>
      <c r="Z185" s="61">
        <f t="shared" si="32"/>
        <v>0</v>
      </c>
      <c r="AA185" s="61">
        <f t="shared" si="32"/>
        <v>0</v>
      </c>
      <c r="AB185" s="61">
        <f t="shared" si="32"/>
        <v>0</v>
      </c>
      <c r="AC185" s="61">
        <f t="shared" si="32"/>
        <v>183</v>
      </c>
    </row>
    <row r="186" spans="1:29" ht="16.8" x14ac:dyDescent="0.3">
      <c r="A186" s="70">
        <f>'BASE MAESTRA'!B192</f>
        <v>184</v>
      </c>
      <c r="B186" s="61">
        <f t="shared" si="37"/>
        <v>0</v>
      </c>
      <c r="C186" s="61">
        <f t="shared" si="37"/>
        <v>0</v>
      </c>
      <c r="D186" s="61">
        <f t="shared" si="37"/>
        <v>0</v>
      </c>
      <c r="E186" s="61">
        <f t="shared" si="37"/>
        <v>0</v>
      </c>
      <c r="F186" s="61">
        <f t="shared" si="37"/>
        <v>0</v>
      </c>
      <c r="G186" s="61">
        <f t="shared" si="37"/>
        <v>0</v>
      </c>
      <c r="H186" s="61">
        <f t="shared" si="37"/>
        <v>0</v>
      </c>
      <c r="I186" s="61">
        <f t="shared" si="37"/>
        <v>0</v>
      </c>
      <c r="J186" s="61">
        <f t="shared" si="37"/>
        <v>0</v>
      </c>
      <c r="K186" s="61">
        <f t="shared" si="37"/>
        <v>0</v>
      </c>
      <c r="L186" s="61">
        <f t="shared" si="37"/>
        <v>0</v>
      </c>
      <c r="M186" s="61">
        <f t="shared" si="37"/>
        <v>0</v>
      </c>
      <c r="N186" s="61">
        <f t="shared" si="37"/>
        <v>0</v>
      </c>
      <c r="Q186" s="61">
        <f t="shared" si="29"/>
        <v>0</v>
      </c>
      <c r="S186" s="61">
        <f t="shared" si="35"/>
        <v>0</v>
      </c>
      <c r="U186" s="61">
        <f t="shared" si="36"/>
        <v>0</v>
      </c>
      <c r="X186" s="61">
        <f t="shared" si="36"/>
        <v>0</v>
      </c>
      <c r="Y186" s="61">
        <f t="shared" si="32"/>
        <v>0</v>
      </c>
      <c r="Z186" s="61">
        <f t="shared" si="32"/>
        <v>0</v>
      </c>
      <c r="AA186" s="61">
        <f t="shared" si="32"/>
        <v>0</v>
      </c>
      <c r="AB186" s="61">
        <f t="shared" si="32"/>
        <v>0</v>
      </c>
      <c r="AC186" s="61">
        <f t="shared" si="32"/>
        <v>184</v>
      </c>
    </row>
    <row r="187" spans="1:29" ht="16.8" x14ac:dyDescent="0.3">
      <c r="A187" s="70">
        <f>'BASE MAESTRA'!B193</f>
        <v>185</v>
      </c>
      <c r="B187" s="61">
        <f t="shared" si="37"/>
        <v>0</v>
      </c>
      <c r="C187" s="61">
        <f t="shared" si="37"/>
        <v>0</v>
      </c>
      <c r="D187" s="61">
        <f t="shared" si="37"/>
        <v>0</v>
      </c>
      <c r="E187" s="61">
        <f t="shared" si="37"/>
        <v>0</v>
      </c>
      <c r="F187" s="61">
        <f t="shared" si="37"/>
        <v>0</v>
      </c>
      <c r="G187" s="61">
        <f t="shared" si="37"/>
        <v>0</v>
      </c>
      <c r="H187" s="61">
        <f t="shared" si="37"/>
        <v>0</v>
      </c>
      <c r="I187" s="61">
        <f t="shared" si="37"/>
        <v>0</v>
      </c>
      <c r="J187" s="61">
        <f t="shared" si="37"/>
        <v>0</v>
      </c>
      <c r="K187" s="61">
        <f t="shared" si="37"/>
        <v>0</v>
      </c>
      <c r="L187" s="61">
        <f t="shared" si="37"/>
        <v>0</v>
      </c>
      <c r="M187" s="61">
        <f t="shared" si="37"/>
        <v>0</v>
      </c>
      <c r="N187" s="61">
        <f t="shared" si="37"/>
        <v>0</v>
      </c>
      <c r="Q187" s="61">
        <f t="shared" si="29"/>
        <v>0</v>
      </c>
      <c r="S187" s="61">
        <f t="shared" si="35"/>
        <v>0</v>
      </c>
      <c r="U187" s="61">
        <f t="shared" si="36"/>
        <v>0</v>
      </c>
      <c r="X187" s="61">
        <f t="shared" si="36"/>
        <v>0</v>
      </c>
      <c r="Y187" s="61">
        <f t="shared" si="32"/>
        <v>0</v>
      </c>
      <c r="Z187" s="61">
        <f t="shared" si="32"/>
        <v>0</v>
      </c>
      <c r="AA187" s="61">
        <f t="shared" si="32"/>
        <v>0</v>
      </c>
      <c r="AB187" s="61">
        <f t="shared" si="32"/>
        <v>0</v>
      </c>
      <c r="AC187" s="61">
        <f t="shared" si="32"/>
        <v>185</v>
      </c>
    </row>
    <row r="188" spans="1:29" ht="16.8" x14ac:dyDescent="0.3">
      <c r="A188" s="70">
        <f>'BASE MAESTRA'!B194</f>
        <v>186</v>
      </c>
      <c r="B188" s="61">
        <f t="shared" si="37"/>
        <v>0</v>
      </c>
      <c r="C188" s="61">
        <f t="shared" si="37"/>
        <v>0</v>
      </c>
      <c r="D188" s="61">
        <f t="shared" si="37"/>
        <v>0</v>
      </c>
      <c r="E188" s="61">
        <f t="shared" si="37"/>
        <v>0</v>
      </c>
      <c r="F188" s="61">
        <f t="shared" si="37"/>
        <v>0</v>
      </c>
      <c r="G188" s="61">
        <f t="shared" si="37"/>
        <v>0</v>
      </c>
      <c r="H188" s="61">
        <f t="shared" si="37"/>
        <v>0</v>
      </c>
      <c r="I188" s="61">
        <f t="shared" si="37"/>
        <v>0</v>
      </c>
      <c r="J188" s="61">
        <f t="shared" si="37"/>
        <v>0</v>
      </c>
      <c r="K188" s="61">
        <f t="shared" si="37"/>
        <v>0</v>
      </c>
      <c r="L188" s="61">
        <f t="shared" si="37"/>
        <v>0</v>
      </c>
      <c r="M188" s="61">
        <f t="shared" si="37"/>
        <v>0</v>
      </c>
      <c r="N188" s="61">
        <f t="shared" si="37"/>
        <v>0</v>
      </c>
      <c r="Q188" s="61">
        <f t="shared" si="29"/>
        <v>0</v>
      </c>
      <c r="S188" s="61">
        <f t="shared" si="35"/>
        <v>0</v>
      </c>
      <c r="U188" s="61">
        <f t="shared" si="36"/>
        <v>0</v>
      </c>
      <c r="X188" s="61">
        <f t="shared" si="36"/>
        <v>0</v>
      </c>
      <c r="Y188" s="61">
        <f t="shared" si="32"/>
        <v>0</v>
      </c>
      <c r="Z188" s="61">
        <f t="shared" si="32"/>
        <v>0</v>
      </c>
      <c r="AA188" s="61">
        <f t="shared" si="32"/>
        <v>0</v>
      </c>
      <c r="AB188" s="61">
        <f t="shared" si="32"/>
        <v>0</v>
      </c>
      <c r="AC188" s="61">
        <f t="shared" si="32"/>
        <v>186</v>
      </c>
    </row>
    <row r="189" spans="1:29" ht="16.8" x14ac:dyDescent="0.3">
      <c r="A189" s="70">
        <f>'BASE MAESTRA'!B195</f>
        <v>187</v>
      </c>
      <c r="B189" s="61">
        <f t="shared" si="37"/>
        <v>0</v>
      </c>
      <c r="C189" s="61">
        <f t="shared" si="37"/>
        <v>0</v>
      </c>
      <c r="D189" s="61">
        <f t="shared" si="37"/>
        <v>0</v>
      </c>
      <c r="E189" s="61">
        <f t="shared" si="37"/>
        <v>0</v>
      </c>
      <c r="F189" s="61">
        <f t="shared" si="37"/>
        <v>0</v>
      </c>
      <c r="G189" s="61">
        <f t="shared" si="37"/>
        <v>0</v>
      </c>
      <c r="H189" s="61">
        <f t="shared" si="37"/>
        <v>0</v>
      </c>
      <c r="I189" s="61">
        <f t="shared" si="37"/>
        <v>0</v>
      </c>
      <c r="J189" s="61">
        <f t="shared" si="37"/>
        <v>0</v>
      </c>
      <c r="K189" s="61">
        <f t="shared" si="37"/>
        <v>0</v>
      </c>
      <c r="L189" s="61">
        <f t="shared" si="37"/>
        <v>0</v>
      </c>
      <c r="M189" s="61">
        <f t="shared" si="37"/>
        <v>0</v>
      </c>
      <c r="N189" s="61">
        <f t="shared" si="37"/>
        <v>0</v>
      </c>
      <c r="Q189" s="61">
        <f t="shared" si="29"/>
        <v>0</v>
      </c>
      <c r="S189" s="61">
        <f t="shared" si="35"/>
        <v>0</v>
      </c>
      <c r="U189" s="61">
        <f t="shared" si="36"/>
        <v>0</v>
      </c>
      <c r="X189" s="61">
        <f t="shared" si="36"/>
        <v>0</v>
      </c>
      <c r="Y189" s="61">
        <f t="shared" si="32"/>
        <v>0</v>
      </c>
      <c r="Z189" s="61">
        <f t="shared" si="32"/>
        <v>0</v>
      </c>
      <c r="AA189" s="61">
        <f t="shared" si="32"/>
        <v>0</v>
      </c>
      <c r="AB189" s="61">
        <f t="shared" si="32"/>
        <v>0</v>
      </c>
      <c r="AC189" s="61">
        <f t="shared" si="32"/>
        <v>187</v>
      </c>
    </row>
    <row r="190" spans="1:29" ht="16.8" x14ac:dyDescent="0.3">
      <c r="A190" s="70">
        <f>'BASE MAESTRA'!B196</f>
        <v>188</v>
      </c>
      <c r="B190" s="61">
        <f t="shared" si="37"/>
        <v>0</v>
      </c>
      <c r="C190" s="61">
        <f t="shared" si="37"/>
        <v>0</v>
      </c>
      <c r="D190" s="61">
        <f t="shared" si="37"/>
        <v>0</v>
      </c>
      <c r="E190" s="61">
        <f t="shared" si="37"/>
        <v>0</v>
      </c>
      <c r="F190" s="61">
        <f t="shared" si="37"/>
        <v>0</v>
      </c>
      <c r="G190" s="61">
        <f t="shared" si="37"/>
        <v>0</v>
      </c>
      <c r="H190" s="61">
        <f t="shared" si="37"/>
        <v>0</v>
      </c>
      <c r="I190" s="61">
        <f t="shared" si="37"/>
        <v>0</v>
      </c>
      <c r="J190" s="61">
        <f t="shared" si="37"/>
        <v>0</v>
      </c>
      <c r="K190" s="61">
        <f t="shared" si="37"/>
        <v>0</v>
      </c>
      <c r="L190" s="61">
        <f t="shared" si="37"/>
        <v>0</v>
      </c>
      <c r="M190" s="61">
        <f t="shared" si="37"/>
        <v>0</v>
      </c>
      <c r="N190" s="61">
        <f t="shared" si="37"/>
        <v>0</v>
      </c>
      <c r="Q190" s="61">
        <f t="shared" si="29"/>
        <v>0</v>
      </c>
      <c r="S190" s="61">
        <f t="shared" si="35"/>
        <v>0</v>
      </c>
      <c r="U190" s="61">
        <f t="shared" si="36"/>
        <v>0</v>
      </c>
      <c r="X190" s="61">
        <f t="shared" si="36"/>
        <v>0</v>
      </c>
      <c r="Y190" s="61">
        <f t="shared" si="32"/>
        <v>0</v>
      </c>
      <c r="Z190" s="61">
        <f t="shared" si="32"/>
        <v>0</v>
      </c>
      <c r="AA190" s="61">
        <f t="shared" si="32"/>
        <v>0</v>
      </c>
      <c r="AB190" s="61">
        <f t="shared" si="32"/>
        <v>0</v>
      </c>
      <c r="AC190" s="61">
        <f t="shared" si="32"/>
        <v>188</v>
      </c>
    </row>
    <row r="191" spans="1:29" ht="16.8" x14ac:dyDescent="0.3">
      <c r="A191" s="70">
        <f>'BASE MAESTRA'!B197</f>
        <v>189</v>
      </c>
      <c r="B191" s="61">
        <f t="shared" si="37"/>
        <v>0</v>
      </c>
      <c r="C191" s="61">
        <f t="shared" si="37"/>
        <v>0</v>
      </c>
      <c r="D191" s="61">
        <f t="shared" si="37"/>
        <v>0</v>
      </c>
      <c r="E191" s="61">
        <f t="shared" si="37"/>
        <v>0</v>
      </c>
      <c r="F191" s="61">
        <f t="shared" si="37"/>
        <v>0</v>
      </c>
      <c r="G191" s="61">
        <f t="shared" si="37"/>
        <v>0</v>
      </c>
      <c r="H191" s="61">
        <f t="shared" si="37"/>
        <v>0</v>
      </c>
      <c r="I191" s="61">
        <f t="shared" si="37"/>
        <v>0</v>
      </c>
      <c r="J191" s="61">
        <f t="shared" si="37"/>
        <v>0</v>
      </c>
      <c r="K191" s="61">
        <f t="shared" si="37"/>
        <v>0</v>
      </c>
      <c r="L191" s="61">
        <f t="shared" si="37"/>
        <v>0</v>
      </c>
      <c r="M191" s="61">
        <f t="shared" si="37"/>
        <v>0</v>
      </c>
      <c r="N191" s="61">
        <f t="shared" si="37"/>
        <v>0</v>
      </c>
      <c r="Q191" s="61">
        <f t="shared" si="29"/>
        <v>0</v>
      </c>
      <c r="S191" s="61">
        <f t="shared" si="35"/>
        <v>0</v>
      </c>
      <c r="U191" s="61">
        <f t="shared" si="36"/>
        <v>0</v>
      </c>
      <c r="X191" s="61">
        <f t="shared" si="36"/>
        <v>0</v>
      </c>
      <c r="Y191" s="61">
        <f t="shared" si="32"/>
        <v>0</v>
      </c>
      <c r="Z191" s="61">
        <f t="shared" si="32"/>
        <v>0</v>
      </c>
      <c r="AA191" s="61">
        <f t="shared" si="32"/>
        <v>0</v>
      </c>
      <c r="AB191" s="61">
        <f t="shared" si="32"/>
        <v>0</v>
      </c>
      <c r="AC191" s="61">
        <f t="shared" si="32"/>
        <v>189</v>
      </c>
    </row>
    <row r="192" spans="1:29" ht="16.8" x14ac:dyDescent="0.3">
      <c r="A192" s="70">
        <f>'BASE MAESTRA'!B198</f>
        <v>190</v>
      </c>
      <c r="B192" s="61">
        <f t="shared" si="37"/>
        <v>0</v>
      </c>
      <c r="C192" s="61">
        <f t="shared" si="37"/>
        <v>0</v>
      </c>
      <c r="D192" s="61">
        <f t="shared" si="37"/>
        <v>0</v>
      </c>
      <c r="E192" s="61">
        <f t="shared" si="37"/>
        <v>0</v>
      </c>
      <c r="F192" s="61">
        <f t="shared" si="37"/>
        <v>0</v>
      </c>
      <c r="G192" s="61">
        <f t="shared" si="37"/>
        <v>0</v>
      </c>
      <c r="H192" s="61">
        <f t="shared" si="37"/>
        <v>0</v>
      </c>
      <c r="I192" s="61">
        <f t="shared" si="37"/>
        <v>0</v>
      </c>
      <c r="J192" s="61">
        <f t="shared" si="37"/>
        <v>0</v>
      </c>
      <c r="K192" s="61">
        <f t="shared" si="37"/>
        <v>0</v>
      </c>
      <c r="L192" s="61">
        <f t="shared" si="37"/>
        <v>0</v>
      </c>
      <c r="M192" s="61">
        <f t="shared" si="37"/>
        <v>0</v>
      </c>
      <c r="N192" s="61">
        <f t="shared" si="37"/>
        <v>0</v>
      </c>
      <c r="Q192" s="61">
        <f t="shared" si="29"/>
        <v>0</v>
      </c>
      <c r="S192" s="61">
        <f t="shared" si="35"/>
        <v>0</v>
      </c>
      <c r="U192" s="61">
        <f t="shared" si="36"/>
        <v>0</v>
      </c>
      <c r="X192" s="61">
        <f t="shared" si="36"/>
        <v>0</v>
      </c>
      <c r="Y192" s="61">
        <f t="shared" si="32"/>
        <v>0</v>
      </c>
      <c r="Z192" s="61">
        <f t="shared" si="32"/>
        <v>0</v>
      </c>
      <c r="AA192" s="61">
        <f t="shared" si="32"/>
        <v>0</v>
      </c>
      <c r="AB192" s="61">
        <f t="shared" si="32"/>
        <v>0</v>
      </c>
      <c r="AC192" s="61">
        <f t="shared" si="32"/>
        <v>190</v>
      </c>
    </row>
    <row r="193" spans="1:29" ht="16.8" x14ac:dyDescent="0.3">
      <c r="A193" s="70">
        <f>'BASE MAESTRA'!B199</f>
        <v>191</v>
      </c>
      <c r="B193" s="61">
        <f t="shared" si="37"/>
        <v>0</v>
      </c>
      <c r="C193" s="61">
        <f t="shared" si="37"/>
        <v>0</v>
      </c>
      <c r="D193" s="61">
        <f t="shared" si="37"/>
        <v>0</v>
      </c>
      <c r="E193" s="61">
        <f t="shared" si="37"/>
        <v>0</v>
      </c>
      <c r="F193" s="61">
        <f t="shared" si="37"/>
        <v>0</v>
      </c>
      <c r="G193" s="61">
        <f t="shared" si="37"/>
        <v>0</v>
      </c>
      <c r="H193" s="61">
        <f t="shared" si="37"/>
        <v>0</v>
      </c>
      <c r="I193" s="61">
        <f t="shared" si="37"/>
        <v>0</v>
      </c>
      <c r="J193" s="61">
        <f t="shared" si="37"/>
        <v>0</v>
      </c>
      <c r="K193" s="61">
        <f t="shared" si="37"/>
        <v>0</v>
      </c>
      <c r="L193" s="61">
        <f t="shared" si="37"/>
        <v>0</v>
      </c>
      <c r="M193" s="61">
        <f t="shared" si="37"/>
        <v>0</v>
      </c>
      <c r="N193" s="61">
        <f t="shared" si="37"/>
        <v>0</v>
      </c>
      <c r="Q193" s="61">
        <f t="shared" si="29"/>
        <v>0</v>
      </c>
      <c r="S193" s="61">
        <f t="shared" si="35"/>
        <v>0</v>
      </c>
      <c r="U193" s="61">
        <f t="shared" si="36"/>
        <v>0</v>
      </c>
      <c r="X193" s="61">
        <f t="shared" si="36"/>
        <v>0</v>
      </c>
      <c r="Y193" s="61">
        <f t="shared" si="32"/>
        <v>0</v>
      </c>
      <c r="Z193" s="61">
        <f t="shared" ref="Y193:AC202" si="38">VLOOKUP($A193,DatosEspecies,Z$2,FALSE)</f>
        <v>0</v>
      </c>
      <c r="AA193" s="61">
        <f t="shared" si="38"/>
        <v>0</v>
      </c>
      <c r="AB193" s="61">
        <f t="shared" si="38"/>
        <v>0</v>
      </c>
      <c r="AC193" s="61">
        <f t="shared" si="38"/>
        <v>191</v>
      </c>
    </row>
    <row r="194" spans="1:29" ht="16.8" x14ac:dyDescent="0.3">
      <c r="A194" s="70">
        <f>'BASE MAESTRA'!B200</f>
        <v>192</v>
      </c>
      <c r="B194" s="61">
        <f t="shared" si="37"/>
        <v>0</v>
      </c>
      <c r="C194" s="61">
        <f t="shared" si="37"/>
        <v>0</v>
      </c>
      <c r="D194" s="61">
        <f t="shared" si="37"/>
        <v>0</v>
      </c>
      <c r="E194" s="61">
        <f t="shared" si="37"/>
        <v>0</v>
      </c>
      <c r="F194" s="61">
        <f t="shared" si="37"/>
        <v>0</v>
      </c>
      <c r="G194" s="61">
        <f t="shared" si="37"/>
        <v>0</v>
      </c>
      <c r="H194" s="61">
        <f t="shared" si="37"/>
        <v>0</v>
      </c>
      <c r="I194" s="61">
        <f t="shared" si="37"/>
        <v>0</v>
      </c>
      <c r="J194" s="61">
        <f t="shared" si="37"/>
        <v>0</v>
      </c>
      <c r="K194" s="61">
        <f t="shared" si="37"/>
        <v>0</v>
      </c>
      <c r="L194" s="61">
        <f t="shared" si="37"/>
        <v>0</v>
      </c>
      <c r="M194" s="61">
        <f t="shared" si="37"/>
        <v>0</v>
      </c>
      <c r="N194" s="61">
        <f t="shared" si="37"/>
        <v>0</v>
      </c>
      <c r="Q194" s="61">
        <f t="shared" si="29"/>
        <v>0</v>
      </c>
      <c r="S194" s="61">
        <f t="shared" si="35"/>
        <v>0</v>
      </c>
      <c r="U194" s="61">
        <f t="shared" si="36"/>
        <v>0</v>
      </c>
      <c r="X194" s="61">
        <f t="shared" si="36"/>
        <v>0</v>
      </c>
      <c r="Y194" s="61">
        <f t="shared" si="38"/>
        <v>0</v>
      </c>
      <c r="Z194" s="61">
        <f t="shared" si="38"/>
        <v>0</v>
      </c>
      <c r="AA194" s="61">
        <f t="shared" si="38"/>
        <v>0</v>
      </c>
      <c r="AB194" s="61">
        <f t="shared" si="38"/>
        <v>0</v>
      </c>
      <c r="AC194" s="61">
        <f t="shared" si="38"/>
        <v>192</v>
      </c>
    </row>
    <row r="195" spans="1:29" ht="16.8" x14ac:dyDescent="0.3">
      <c r="A195" s="70">
        <f>'BASE MAESTRA'!B201</f>
        <v>193</v>
      </c>
      <c r="B195" s="61">
        <f t="shared" si="37"/>
        <v>0</v>
      </c>
      <c r="C195" s="61">
        <f t="shared" si="37"/>
        <v>0</v>
      </c>
      <c r="D195" s="61">
        <f t="shared" si="37"/>
        <v>0</v>
      </c>
      <c r="E195" s="61">
        <f t="shared" si="37"/>
        <v>0</v>
      </c>
      <c r="F195" s="61">
        <f t="shared" si="37"/>
        <v>0</v>
      </c>
      <c r="G195" s="61">
        <f t="shared" si="37"/>
        <v>0</v>
      </c>
      <c r="H195" s="61">
        <f t="shared" si="37"/>
        <v>0</v>
      </c>
      <c r="I195" s="61">
        <f t="shared" si="37"/>
        <v>0</v>
      </c>
      <c r="J195" s="61">
        <f t="shared" si="37"/>
        <v>0</v>
      </c>
      <c r="K195" s="61">
        <f t="shared" ref="B195:N202" si="39">VLOOKUP($A195,DatosEspecies,K$2,FALSE)</f>
        <v>0</v>
      </c>
      <c r="L195" s="61">
        <f t="shared" si="39"/>
        <v>0</v>
      </c>
      <c r="M195" s="61">
        <f t="shared" si="39"/>
        <v>0</v>
      </c>
      <c r="N195" s="61">
        <f t="shared" si="39"/>
        <v>0</v>
      </c>
      <c r="Q195" s="61">
        <f t="shared" ref="Q195:Q202" si="40">VLOOKUP($A195,DatosEspecies,Q$2,FALSE)</f>
        <v>0</v>
      </c>
      <c r="S195" s="61">
        <f t="shared" si="35"/>
        <v>0</v>
      </c>
      <c r="U195" s="61">
        <f t="shared" si="36"/>
        <v>0</v>
      </c>
      <c r="X195" s="61">
        <f t="shared" si="36"/>
        <v>0</v>
      </c>
      <c r="Y195" s="61">
        <f t="shared" si="38"/>
        <v>0</v>
      </c>
      <c r="Z195" s="61">
        <f t="shared" si="38"/>
        <v>0</v>
      </c>
      <c r="AA195" s="61">
        <f t="shared" si="38"/>
        <v>0</v>
      </c>
      <c r="AB195" s="61">
        <f t="shared" si="38"/>
        <v>0</v>
      </c>
      <c r="AC195" s="61">
        <f t="shared" si="38"/>
        <v>193</v>
      </c>
    </row>
    <row r="196" spans="1:29" ht="16.8" x14ac:dyDescent="0.3">
      <c r="A196" s="70">
        <f>'BASE MAESTRA'!B202</f>
        <v>194</v>
      </c>
      <c r="B196" s="61">
        <f t="shared" si="39"/>
        <v>0</v>
      </c>
      <c r="C196" s="61">
        <f t="shared" si="39"/>
        <v>0</v>
      </c>
      <c r="D196" s="61">
        <f t="shared" si="39"/>
        <v>0</v>
      </c>
      <c r="E196" s="61">
        <f t="shared" si="39"/>
        <v>0</v>
      </c>
      <c r="F196" s="61">
        <f t="shared" si="39"/>
        <v>0</v>
      </c>
      <c r="G196" s="61">
        <f t="shared" si="39"/>
        <v>0</v>
      </c>
      <c r="H196" s="61">
        <f t="shared" si="39"/>
        <v>0</v>
      </c>
      <c r="I196" s="61">
        <f t="shared" si="39"/>
        <v>0</v>
      </c>
      <c r="J196" s="61">
        <f t="shared" si="39"/>
        <v>0</v>
      </c>
      <c r="K196" s="61">
        <f t="shared" si="39"/>
        <v>0</v>
      </c>
      <c r="L196" s="61">
        <f t="shared" si="39"/>
        <v>0</v>
      </c>
      <c r="M196" s="61">
        <f t="shared" si="39"/>
        <v>0</v>
      </c>
      <c r="N196" s="61">
        <f t="shared" si="39"/>
        <v>0</v>
      </c>
      <c r="Q196" s="61">
        <f t="shared" si="40"/>
        <v>0</v>
      </c>
      <c r="S196" s="61">
        <f t="shared" si="35"/>
        <v>0</v>
      </c>
      <c r="U196" s="61">
        <f t="shared" si="36"/>
        <v>0</v>
      </c>
      <c r="X196" s="61">
        <f t="shared" si="36"/>
        <v>0</v>
      </c>
      <c r="Y196" s="61">
        <f t="shared" si="38"/>
        <v>0</v>
      </c>
      <c r="Z196" s="61">
        <f t="shared" si="38"/>
        <v>0</v>
      </c>
      <c r="AA196" s="61">
        <f t="shared" si="38"/>
        <v>0</v>
      </c>
      <c r="AB196" s="61">
        <f t="shared" si="38"/>
        <v>0</v>
      </c>
      <c r="AC196" s="61">
        <f t="shared" si="38"/>
        <v>194</v>
      </c>
    </row>
    <row r="197" spans="1:29" ht="16.8" x14ac:dyDescent="0.3">
      <c r="A197" s="70">
        <f>'BASE MAESTRA'!B203</f>
        <v>195</v>
      </c>
      <c r="B197" s="61">
        <f t="shared" si="39"/>
        <v>0</v>
      </c>
      <c r="C197" s="61">
        <f t="shared" si="39"/>
        <v>0</v>
      </c>
      <c r="D197" s="61">
        <f t="shared" si="39"/>
        <v>0</v>
      </c>
      <c r="E197" s="61">
        <f t="shared" si="39"/>
        <v>0</v>
      </c>
      <c r="F197" s="61">
        <f t="shared" si="39"/>
        <v>0</v>
      </c>
      <c r="G197" s="61">
        <f t="shared" si="39"/>
        <v>0</v>
      </c>
      <c r="H197" s="61">
        <f t="shared" si="39"/>
        <v>0</v>
      </c>
      <c r="I197" s="61">
        <f t="shared" si="39"/>
        <v>0</v>
      </c>
      <c r="J197" s="61">
        <f t="shared" si="39"/>
        <v>0</v>
      </c>
      <c r="K197" s="61">
        <f t="shared" si="39"/>
        <v>0</v>
      </c>
      <c r="L197" s="61">
        <f t="shared" si="39"/>
        <v>0</v>
      </c>
      <c r="M197" s="61">
        <f t="shared" si="39"/>
        <v>0</v>
      </c>
      <c r="N197" s="61">
        <f t="shared" si="39"/>
        <v>0</v>
      </c>
      <c r="Q197" s="61">
        <f t="shared" si="40"/>
        <v>0</v>
      </c>
      <c r="S197" s="61">
        <f t="shared" si="35"/>
        <v>0</v>
      </c>
      <c r="U197" s="61">
        <f t="shared" si="36"/>
        <v>0</v>
      </c>
      <c r="X197" s="61">
        <f t="shared" si="36"/>
        <v>0</v>
      </c>
      <c r="Y197" s="61">
        <f t="shared" si="38"/>
        <v>0</v>
      </c>
      <c r="Z197" s="61">
        <f t="shared" si="38"/>
        <v>0</v>
      </c>
      <c r="AA197" s="61">
        <f t="shared" si="38"/>
        <v>0</v>
      </c>
      <c r="AB197" s="61">
        <f t="shared" si="38"/>
        <v>0</v>
      </c>
      <c r="AC197" s="61">
        <f t="shared" si="38"/>
        <v>195</v>
      </c>
    </row>
    <row r="198" spans="1:29" ht="16.8" x14ac:dyDescent="0.3">
      <c r="A198" s="70">
        <f>'BASE MAESTRA'!B204</f>
        <v>196</v>
      </c>
      <c r="B198" s="61">
        <f t="shared" si="39"/>
        <v>0</v>
      </c>
      <c r="C198" s="61">
        <f t="shared" si="39"/>
        <v>0</v>
      </c>
      <c r="D198" s="61">
        <f t="shared" si="39"/>
        <v>0</v>
      </c>
      <c r="E198" s="61">
        <f t="shared" si="39"/>
        <v>0</v>
      </c>
      <c r="F198" s="61">
        <f t="shared" si="39"/>
        <v>0</v>
      </c>
      <c r="G198" s="61">
        <f t="shared" si="39"/>
        <v>0</v>
      </c>
      <c r="H198" s="61">
        <f t="shared" si="39"/>
        <v>0</v>
      </c>
      <c r="I198" s="61">
        <f t="shared" si="39"/>
        <v>0</v>
      </c>
      <c r="J198" s="61">
        <f t="shared" si="39"/>
        <v>0</v>
      </c>
      <c r="K198" s="61">
        <f t="shared" si="39"/>
        <v>0</v>
      </c>
      <c r="L198" s="61">
        <f t="shared" si="39"/>
        <v>0</v>
      </c>
      <c r="M198" s="61">
        <f t="shared" si="39"/>
        <v>0</v>
      </c>
      <c r="N198" s="61">
        <f t="shared" si="39"/>
        <v>0</v>
      </c>
      <c r="Q198" s="61">
        <f t="shared" si="40"/>
        <v>0</v>
      </c>
      <c r="S198" s="61">
        <f t="shared" si="35"/>
        <v>0</v>
      </c>
      <c r="U198" s="61">
        <f t="shared" si="36"/>
        <v>0</v>
      </c>
      <c r="X198" s="61">
        <f t="shared" si="36"/>
        <v>0</v>
      </c>
      <c r="Y198" s="61">
        <f t="shared" si="38"/>
        <v>0</v>
      </c>
      <c r="Z198" s="61">
        <f t="shared" si="38"/>
        <v>0</v>
      </c>
      <c r="AA198" s="61">
        <f t="shared" si="38"/>
        <v>0</v>
      </c>
      <c r="AB198" s="61">
        <f t="shared" si="38"/>
        <v>0</v>
      </c>
      <c r="AC198" s="61">
        <f t="shared" si="38"/>
        <v>196</v>
      </c>
    </row>
    <row r="199" spans="1:29" ht="16.8" x14ac:dyDescent="0.3">
      <c r="A199" s="70">
        <f>'BASE MAESTRA'!B205</f>
        <v>197</v>
      </c>
      <c r="B199" s="61">
        <f t="shared" si="39"/>
        <v>0</v>
      </c>
      <c r="C199" s="61">
        <f t="shared" si="39"/>
        <v>0</v>
      </c>
      <c r="D199" s="61">
        <f t="shared" si="39"/>
        <v>0</v>
      </c>
      <c r="E199" s="61">
        <f t="shared" si="39"/>
        <v>0</v>
      </c>
      <c r="F199" s="61">
        <f t="shared" si="39"/>
        <v>0</v>
      </c>
      <c r="G199" s="61">
        <f t="shared" si="39"/>
        <v>0</v>
      </c>
      <c r="H199" s="61">
        <f t="shared" si="39"/>
        <v>0</v>
      </c>
      <c r="I199" s="61">
        <f t="shared" si="39"/>
        <v>0</v>
      </c>
      <c r="J199" s="61">
        <f t="shared" si="39"/>
        <v>0</v>
      </c>
      <c r="K199" s="61">
        <f t="shared" si="39"/>
        <v>0</v>
      </c>
      <c r="L199" s="61">
        <f t="shared" si="39"/>
        <v>0</v>
      </c>
      <c r="M199" s="61">
        <f t="shared" si="39"/>
        <v>0</v>
      </c>
      <c r="N199" s="61">
        <f t="shared" si="39"/>
        <v>0</v>
      </c>
      <c r="Q199" s="61">
        <f t="shared" si="40"/>
        <v>0</v>
      </c>
      <c r="S199" s="61">
        <f t="shared" si="35"/>
        <v>0</v>
      </c>
      <c r="U199" s="61">
        <f t="shared" si="36"/>
        <v>0</v>
      </c>
      <c r="X199" s="61">
        <f t="shared" si="36"/>
        <v>0</v>
      </c>
      <c r="Y199" s="61">
        <f t="shared" si="38"/>
        <v>0</v>
      </c>
      <c r="Z199" s="61">
        <f t="shared" si="38"/>
        <v>0</v>
      </c>
      <c r="AA199" s="61">
        <f t="shared" si="38"/>
        <v>0</v>
      </c>
      <c r="AB199" s="61">
        <f t="shared" si="38"/>
        <v>0</v>
      </c>
      <c r="AC199" s="61">
        <f t="shared" si="38"/>
        <v>197</v>
      </c>
    </row>
    <row r="200" spans="1:29" ht="16.8" x14ac:dyDescent="0.3">
      <c r="A200" s="70">
        <f>'BASE MAESTRA'!B206</f>
        <v>198</v>
      </c>
      <c r="B200" s="61">
        <f t="shared" si="39"/>
        <v>0</v>
      </c>
      <c r="C200" s="61">
        <f t="shared" si="39"/>
        <v>0</v>
      </c>
      <c r="D200" s="61">
        <f t="shared" si="39"/>
        <v>0</v>
      </c>
      <c r="E200" s="61">
        <f t="shared" si="39"/>
        <v>0</v>
      </c>
      <c r="F200" s="61">
        <f t="shared" si="39"/>
        <v>0</v>
      </c>
      <c r="G200" s="61">
        <f t="shared" si="39"/>
        <v>0</v>
      </c>
      <c r="H200" s="61">
        <f t="shared" si="39"/>
        <v>0</v>
      </c>
      <c r="I200" s="61">
        <f t="shared" si="39"/>
        <v>0</v>
      </c>
      <c r="J200" s="61">
        <f t="shared" si="39"/>
        <v>0</v>
      </c>
      <c r="K200" s="61">
        <f t="shared" si="39"/>
        <v>0</v>
      </c>
      <c r="L200" s="61">
        <f t="shared" si="39"/>
        <v>0</v>
      </c>
      <c r="M200" s="61">
        <f t="shared" si="39"/>
        <v>0</v>
      </c>
      <c r="N200" s="61">
        <f t="shared" si="39"/>
        <v>0</v>
      </c>
      <c r="Q200" s="61">
        <f t="shared" si="40"/>
        <v>0</v>
      </c>
      <c r="S200" s="61">
        <f t="shared" si="35"/>
        <v>0</v>
      </c>
      <c r="U200" s="61">
        <f t="shared" si="36"/>
        <v>0</v>
      </c>
      <c r="X200" s="61">
        <f t="shared" si="36"/>
        <v>0</v>
      </c>
      <c r="Y200" s="61">
        <f t="shared" si="38"/>
        <v>0</v>
      </c>
      <c r="Z200" s="61">
        <f t="shared" si="38"/>
        <v>0</v>
      </c>
      <c r="AA200" s="61">
        <f t="shared" si="38"/>
        <v>0</v>
      </c>
      <c r="AB200" s="61">
        <f t="shared" si="38"/>
        <v>0</v>
      </c>
      <c r="AC200" s="61">
        <f t="shared" si="38"/>
        <v>198</v>
      </c>
    </row>
    <row r="201" spans="1:29" ht="16.8" x14ac:dyDescent="0.3">
      <c r="A201" s="70">
        <f>'BASE MAESTRA'!B207</f>
        <v>199</v>
      </c>
      <c r="B201" s="61">
        <f t="shared" si="39"/>
        <v>0</v>
      </c>
      <c r="C201" s="61">
        <f t="shared" si="39"/>
        <v>0</v>
      </c>
      <c r="D201" s="61">
        <f t="shared" si="39"/>
        <v>0</v>
      </c>
      <c r="E201" s="61">
        <f t="shared" si="39"/>
        <v>0</v>
      </c>
      <c r="F201" s="61">
        <f t="shared" si="39"/>
        <v>0</v>
      </c>
      <c r="G201" s="61">
        <f t="shared" si="39"/>
        <v>0</v>
      </c>
      <c r="H201" s="61">
        <f t="shared" si="39"/>
        <v>0</v>
      </c>
      <c r="I201" s="61">
        <f t="shared" si="39"/>
        <v>0</v>
      </c>
      <c r="J201" s="61">
        <f t="shared" si="39"/>
        <v>0</v>
      </c>
      <c r="K201" s="61">
        <f t="shared" si="39"/>
        <v>0</v>
      </c>
      <c r="L201" s="61">
        <f t="shared" si="39"/>
        <v>0</v>
      </c>
      <c r="M201" s="61">
        <f t="shared" si="39"/>
        <v>0</v>
      </c>
      <c r="N201" s="61">
        <f t="shared" si="39"/>
        <v>0</v>
      </c>
      <c r="Q201" s="61">
        <f t="shared" si="40"/>
        <v>0</v>
      </c>
      <c r="S201" s="61">
        <f t="shared" si="35"/>
        <v>0</v>
      </c>
      <c r="U201" s="61">
        <f t="shared" si="36"/>
        <v>0</v>
      </c>
      <c r="X201" s="61">
        <f t="shared" si="36"/>
        <v>0</v>
      </c>
      <c r="Y201" s="61">
        <f t="shared" si="38"/>
        <v>0</v>
      </c>
      <c r="Z201" s="61">
        <f t="shared" si="38"/>
        <v>0</v>
      </c>
      <c r="AA201" s="61">
        <f t="shared" si="38"/>
        <v>0</v>
      </c>
      <c r="AB201" s="61">
        <f t="shared" si="38"/>
        <v>0</v>
      </c>
      <c r="AC201" s="61">
        <f t="shared" si="38"/>
        <v>199</v>
      </c>
    </row>
    <row r="202" spans="1:29" ht="16.8" x14ac:dyDescent="0.3">
      <c r="A202" s="70">
        <f>'BASE MAESTRA'!B208</f>
        <v>200</v>
      </c>
      <c r="B202" s="61">
        <f t="shared" si="39"/>
        <v>0</v>
      </c>
      <c r="C202" s="61">
        <f t="shared" si="39"/>
        <v>0</v>
      </c>
      <c r="D202" s="61">
        <f t="shared" si="39"/>
        <v>0</v>
      </c>
      <c r="E202" s="61">
        <f t="shared" si="39"/>
        <v>0</v>
      </c>
      <c r="F202" s="61">
        <f t="shared" si="39"/>
        <v>0</v>
      </c>
      <c r="G202" s="61">
        <f t="shared" si="39"/>
        <v>0</v>
      </c>
      <c r="H202" s="61">
        <f t="shared" si="39"/>
        <v>0</v>
      </c>
      <c r="I202" s="61">
        <f t="shared" si="39"/>
        <v>0</v>
      </c>
      <c r="J202" s="61">
        <f t="shared" si="39"/>
        <v>0</v>
      </c>
      <c r="K202" s="61">
        <f t="shared" si="39"/>
        <v>0</v>
      </c>
      <c r="L202" s="61">
        <f t="shared" si="39"/>
        <v>0</v>
      </c>
      <c r="M202" s="61">
        <f t="shared" si="39"/>
        <v>0</v>
      </c>
      <c r="N202" s="61">
        <f t="shared" si="39"/>
        <v>0</v>
      </c>
      <c r="Q202" s="61">
        <f t="shared" si="40"/>
        <v>0</v>
      </c>
      <c r="S202" s="61">
        <f t="shared" si="35"/>
        <v>0</v>
      </c>
      <c r="U202" s="61">
        <f t="shared" si="36"/>
        <v>0</v>
      </c>
      <c r="X202" s="61">
        <f t="shared" si="36"/>
        <v>0</v>
      </c>
      <c r="Y202" s="61">
        <f t="shared" si="38"/>
        <v>0</v>
      </c>
      <c r="Z202" s="61">
        <f t="shared" si="38"/>
        <v>0</v>
      </c>
      <c r="AA202" s="61">
        <f t="shared" si="38"/>
        <v>0</v>
      </c>
      <c r="AB202" s="61">
        <f t="shared" si="38"/>
        <v>0</v>
      </c>
      <c r="AC202" s="61">
        <f t="shared" si="38"/>
        <v>200</v>
      </c>
    </row>
  </sheetData>
  <customSheetViews>
    <customSheetView guid="{03A28D0E-D221-430C-9036-787CFB666EE7}" scale="90">
      <selection activeCell="A3" sqref="A3:A138"/>
      <pageMargins left="0.7" right="0.7" top="0.75" bottom="0.75" header="0.3" footer="0.3"/>
    </customSheetView>
  </customSheetView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02"/>
  <sheetViews>
    <sheetView zoomScaleNormal="100" workbookViewId="0"/>
  </sheetViews>
  <sheetFormatPr defaultColWidth="11.44140625" defaultRowHeight="15.6" x14ac:dyDescent="0.3"/>
  <cols>
    <col min="1" max="1" width="11.44140625" style="151"/>
    <col min="2" max="2" width="16.33203125" style="150" customWidth="1"/>
    <col min="3" max="3" width="16" style="150" customWidth="1"/>
    <col min="4" max="4" width="20.77734375" style="150" customWidth="1"/>
    <col min="5" max="16384" width="11.44140625" style="150"/>
  </cols>
  <sheetData>
    <row r="1" spans="1:5" s="147" customFormat="1" ht="22.5" customHeight="1" x14ac:dyDescent="0.3">
      <c r="A1" s="145" t="s">
        <v>310</v>
      </c>
      <c r="B1" s="146" t="s">
        <v>8</v>
      </c>
      <c r="C1" s="146" t="s">
        <v>200</v>
      </c>
      <c r="D1" s="146" t="s">
        <v>201</v>
      </c>
      <c r="E1" s="146" t="s">
        <v>202</v>
      </c>
    </row>
    <row r="2" spans="1:5" s="148" customFormat="1" ht="31.2" x14ac:dyDescent="0.3">
      <c r="A2" s="145" t="s">
        <v>323</v>
      </c>
      <c r="B2" s="145">
        <f>VLOOKUP(B1,CamposSIS,2,FALSE)</f>
        <v>1</v>
      </c>
      <c r="C2" s="145">
        <f>VLOOKUP(C1,CamposSIS,2,FALSE)</f>
        <v>17</v>
      </c>
      <c r="D2" s="145">
        <v>16</v>
      </c>
      <c r="E2" s="145">
        <f>VLOOKUP(E1,CamposSIS,2,FALSE)</f>
        <v>18</v>
      </c>
    </row>
    <row r="3" spans="1:5" x14ac:dyDescent="0.3">
      <c r="A3" s="149" t="str">
        <f>'BASE MAESTRA'!B7</f>
        <v>3</v>
      </c>
      <c r="B3" s="150" t="str">
        <f t="shared" ref="B3:B68" si="0">A3</f>
        <v>3</v>
      </c>
      <c r="C3" s="150" t="str">
        <f t="shared" ref="C3:E22" si="1">VLOOKUP($A3,DatosEspecies,C$2,FALSE)</f>
        <v>N/A</v>
      </c>
      <c r="D3" s="150" t="str">
        <f t="shared" si="1"/>
        <v>N/A</v>
      </c>
      <c r="E3" s="150" t="str">
        <f t="shared" si="1"/>
        <v>N/A</v>
      </c>
    </row>
    <row r="4" spans="1:5" x14ac:dyDescent="0.3">
      <c r="A4" s="149" t="str">
        <f>'BASE MAESTRA'!B8</f>
        <v>4</v>
      </c>
      <c r="B4" s="150" t="str">
        <f t="shared" si="0"/>
        <v>4</v>
      </c>
      <c r="C4" s="150" t="str">
        <f t="shared" si="1"/>
        <v>Portuguese</v>
      </c>
      <c r="D4" s="150" t="str">
        <f t="shared" si="1"/>
        <v>Avento in Pernambuco, Brazil (Fonseca 20343, UFP).</v>
      </c>
      <c r="E4" s="150" t="str">
        <f t="shared" si="1"/>
        <v>TRUE</v>
      </c>
    </row>
    <row r="5" spans="1:5" x14ac:dyDescent="0.3">
      <c r="A5" s="149" t="str">
        <f>'BASE MAESTRA'!B10</f>
        <v>6</v>
      </c>
      <c r="B5" s="150" t="str">
        <f t="shared" si="0"/>
        <v>6</v>
      </c>
      <c r="C5" s="150" t="str">
        <f t="shared" si="1"/>
        <v>N/A</v>
      </c>
      <c r="D5" s="150" t="str">
        <f t="shared" si="1"/>
        <v>N/A</v>
      </c>
      <c r="E5" s="150" t="str">
        <f t="shared" si="1"/>
        <v>N/A</v>
      </c>
    </row>
    <row r="6" spans="1:5" x14ac:dyDescent="0.3">
      <c r="A6" s="149" t="str">
        <f>'BASE MAESTRA'!B11</f>
        <v>7</v>
      </c>
      <c r="B6" s="150" t="str">
        <f t="shared" si="0"/>
        <v>7</v>
      </c>
      <c r="C6" s="150" t="str">
        <f t="shared" si="1"/>
        <v>N/A</v>
      </c>
      <c r="D6" s="150" t="str">
        <f t="shared" si="1"/>
        <v>Kalahuala in Guatemala (Williams et al. 40250, F).</v>
      </c>
      <c r="E6" s="150" t="str">
        <f t="shared" si="1"/>
        <v>TRUE</v>
      </c>
    </row>
    <row r="7" spans="1:5" x14ac:dyDescent="0.3">
      <c r="A7" s="149" t="str">
        <f>'BASE MAESTRA'!B12</f>
        <v>8</v>
      </c>
      <c r="B7" s="150" t="str">
        <f t="shared" si="0"/>
        <v>8</v>
      </c>
      <c r="C7" s="150" t="str">
        <f t="shared" si="1"/>
        <v>N/A</v>
      </c>
      <c r="D7" s="150" t="str">
        <f t="shared" si="1"/>
        <v>N/A</v>
      </c>
      <c r="E7" s="150" t="str">
        <f t="shared" si="1"/>
        <v>N/A</v>
      </c>
    </row>
    <row r="8" spans="1:5" x14ac:dyDescent="0.3">
      <c r="A8" s="149" t="str">
        <f>'BASE MAESTRA'!B13</f>
        <v>9</v>
      </c>
      <c r="B8" s="150" t="str">
        <f t="shared" si="0"/>
        <v>9</v>
      </c>
      <c r="C8" s="150" t="str">
        <f t="shared" si="1"/>
        <v>South American Indian (Other)</v>
      </c>
      <c r="D8" s="150" t="str">
        <f t="shared" si="1"/>
        <v>Jé yei remedio tape (Cayapa language) (Kvist &amp; Asanza 40798, QCA).</v>
      </c>
      <c r="E8" s="150" t="str">
        <f t="shared" si="1"/>
        <v>TRUE</v>
      </c>
    </row>
    <row r="9" spans="1:5" x14ac:dyDescent="0.3">
      <c r="A9" s="149" t="str">
        <f>'BASE MAESTRA'!B14</f>
        <v>10</v>
      </c>
      <c r="B9" s="150" t="str">
        <f t="shared" si="0"/>
        <v>10</v>
      </c>
      <c r="C9" s="150" t="str">
        <f t="shared" si="1"/>
        <v>N/A</v>
      </c>
      <c r="D9" s="150" t="str">
        <f t="shared" si="1"/>
        <v>N/A</v>
      </c>
      <c r="E9" s="150" t="str">
        <f t="shared" si="1"/>
        <v>N/A</v>
      </c>
    </row>
    <row r="10" spans="1:5" x14ac:dyDescent="0.3">
      <c r="A10" s="149" t="str">
        <f>'BASE MAESTRA'!B15</f>
        <v>11</v>
      </c>
      <c r="B10" s="150" t="str">
        <f t="shared" si="0"/>
        <v>11</v>
      </c>
      <c r="C10" s="150" t="str">
        <f t="shared" si="1"/>
        <v>South American Indian (Other)</v>
      </c>
      <c r="D10" s="150" t="str">
        <f t="shared" si="1"/>
        <v>Calaguala by the Saraguro in Ecuador (Ellemann 66815, QCA).</v>
      </c>
      <c r="E10" s="150" t="str">
        <f t="shared" si="1"/>
        <v>TRUE</v>
      </c>
    </row>
    <row r="11" spans="1:5" x14ac:dyDescent="0.3">
      <c r="A11" s="149" t="str">
        <f>'BASE MAESTRA'!B16</f>
        <v>12</v>
      </c>
      <c r="B11" s="150" t="str">
        <f t="shared" si="0"/>
        <v>12</v>
      </c>
      <c r="C11" s="150" t="str">
        <f t="shared" si="1"/>
        <v>N/A</v>
      </c>
      <c r="D11" s="150" t="str">
        <f t="shared" si="1"/>
        <v>N/A</v>
      </c>
      <c r="E11" s="150" t="str">
        <f t="shared" si="1"/>
        <v>N/A</v>
      </c>
    </row>
    <row r="12" spans="1:5" x14ac:dyDescent="0.3">
      <c r="A12" s="149" t="str">
        <f>'BASE MAESTRA'!B17</f>
        <v>13</v>
      </c>
      <c r="B12" s="150" t="str">
        <f t="shared" si="0"/>
        <v>13</v>
      </c>
      <c r="C12" s="150" t="str">
        <f t="shared" si="1"/>
        <v>South American Indian (Other)</v>
      </c>
      <c r="D12" s="150" t="str">
        <f t="shared" si="1"/>
        <v>Jala wala in Quechua from Peru (Morales Huamán 7, Herbarium of University of San Cristóbal de Huamanga, Ayacucho).</v>
      </c>
      <c r="E12" s="150" t="str">
        <f t="shared" si="1"/>
        <v>TRUE</v>
      </c>
    </row>
    <row r="13" spans="1:5" x14ac:dyDescent="0.3">
      <c r="A13" s="149" t="str">
        <f>'BASE MAESTRA'!B18</f>
        <v>14</v>
      </c>
      <c r="B13" s="150" t="str">
        <f t="shared" si="0"/>
        <v>14</v>
      </c>
      <c r="C13" s="150" t="str">
        <f t="shared" si="1"/>
        <v>N/A</v>
      </c>
      <c r="D13" s="150" t="str">
        <f t="shared" si="1"/>
        <v>N/A</v>
      </c>
      <c r="E13" s="150" t="str">
        <f t="shared" si="1"/>
        <v>N/A</v>
      </c>
    </row>
    <row r="14" spans="1:5" x14ac:dyDescent="0.3">
      <c r="A14" s="149" t="str">
        <f>'BASE MAESTRA'!B19</f>
        <v>15</v>
      </c>
      <c r="B14" s="150" t="str">
        <f t="shared" si="0"/>
        <v>15</v>
      </c>
      <c r="C14" s="150" t="str">
        <f t="shared" si="1"/>
        <v>N/A</v>
      </c>
      <c r="D14" s="150" t="str">
        <f t="shared" si="1"/>
        <v>N/A</v>
      </c>
      <c r="E14" s="150" t="str">
        <f t="shared" si="1"/>
        <v>N/A</v>
      </c>
    </row>
    <row r="15" spans="1:5" x14ac:dyDescent="0.3">
      <c r="A15" s="149" t="str">
        <f>'BASE MAESTRA'!B20</f>
        <v>16</v>
      </c>
      <c r="B15" s="150" t="str">
        <f t="shared" si="0"/>
        <v>16</v>
      </c>
      <c r="C15" s="150" t="str">
        <f t="shared" si="1"/>
        <v>N/A</v>
      </c>
      <c r="D15" s="150" t="str">
        <f t="shared" si="1"/>
        <v>N/A</v>
      </c>
      <c r="E15" s="150" t="str">
        <f t="shared" si="1"/>
        <v>N/A</v>
      </c>
    </row>
    <row r="16" spans="1:5" x14ac:dyDescent="0.3">
      <c r="A16" s="149" t="str">
        <f>'BASE MAESTRA'!B21</f>
        <v>17</v>
      </c>
      <c r="B16" s="150" t="str">
        <f t="shared" si="0"/>
        <v>17</v>
      </c>
      <c r="C16" s="150" t="str">
        <f t="shared" si="1"/>
        <v>South American Indian (Other)</v>
      </c>
      <c r="D16" s="150" t="str">
        <f t="shared" si="1"/>
        <v>Yashpilla in Azuay, Ecuador (Steyermark 52684, F).</v>
      </c>
      <c r="E16" s="150" t="str">
        <f t="shared" si="1"/>
        <v>TRUE</v>
      </c>
    </row>
    <row r="17" spans="1:5" x14ac:dyDescent="0.3">
      <c r="A17" s="149" t="str">
        <f>'BASE MAESTRA'!B22</f>
        <v>18</v>
      </c>
      <c r="B17" s="150" t="str">
        <f t="shared" si="0"/>
        <v>18</v>
      </c>
      <c r="C17" s="150" t="str">
        <f t="shared" si="1"/>
        <v>South American Indian (Other)</v>
      </c>
      <c r="D17" s="150" t="str">
        <f t="shared" si="1"/>
        <v>Uap-hia in Zulia Province, Venezuela (Matos &amp; Arias 1270, CAR).</v>
      </c>
      <c r="E17" s="150" t="str">
        <f t="shared" si="1"/>
        <v>TRUE</v>
      </c>
    </row>
    <row r="18" spans="1:5" x14ac:dyDescent="0.3">
      <c r="A18" s="149" t="str">
        <f>'BASE MAESTRA'!B23</f>
        <v>19</v>
      </c>
      <c r="B18" s="150" t="str">
        <f t="shared" si="0"/>
        <v>19</v>
      </c>
      <c r="C18" s="150" t="str">
        <f t="shared" si="1"/>
        <v>N/A</v>
      </c>
      <c r="D18" s="150" t="str">
        <f t="shared" si="1"/>
        <v>N/A</v>
      </c>
      <c r="E18" s="150" t="str">
        <f t="shared" si="1"/>
        <v>N/A</v>
      </c>
    </row>
    <row r="19" spans="1:5" x14ac:dyDescent="0.3">
      <c r="A19" s="149" t="str">
        <f>'BASE MAESTRA'!B25</f>
        <v>20</v>
      </c>
      <c r="B19" s="150" t="str">
        <f t="shared" si="0"/>
        <v>20</v>
      </c>
      <c r="C19" s="150" t="str">
        <f t="shared" si="1"/>
        <v>N/A</v>
      </c>
      <c r="D19" s="150" t="str">
        <f t="shared" si="1"/>
        <v>N/A</v>
      </c>
      <c r="E19" s="150" t="str">
        <f t="shared" si="1"/>
        <v>N/A</v>
      </c>
    </row>
    <row r="20" spans="1:5" x14ac:dyDescent="0.3">
      <c r="A20" s="149" t="str">
        <f>'BASE MAESTRA'!B26</f>
        <v>21</v>
      </c>
      <c r="B20" s="150" t="str">
        <f t="shared" si="0"/>
        <v>21</v>
      </c>
      <c r="C20" s="150" t="str">
        <f t="shared" si="1"/>
        <v>N/A</v>
      </c>
      <c r="D20" s="150" t="str">
        <f t="shared" si="1"/>
        <v>N/A</v>
      </c>
      <c r="E20" s="150" t="str">
        <f t="shared" si="1"/>
        <v>N/A</v>
      </c>
    </row>
    <row r="21" spans="1:5" x14ac:dyDescent="0.3">
      <c r="A21" s="149" t="str">
        <f>'BASE MAESTRA'!B27</f>
        <v>22</v>
      </c>
      <c r="B21" s="150" t="str">
        <f t="shared" si="0"/>
        <v>22</v>
      </c>
      <c r="C21" s="150" t="str">
        <f t="shared" si="1"/>
        <v>South American Indian (Other)</v>
      </c>
      <c r="D21" s="150" t="str">
        <f t="shared" si="1"/>
        <v>Calaguala in Honduras (Gómez 55, F).</v>
      </c>
      <c r="E21" s="150" t="str">
        <f t="shared" si="1"/>
        <v>TRUE</v>
      </c>
    </row>
    <row r="22" spans="1:5" x14ac:dyDescent="0.3">
      <c r="A22" s="149" t="str">
        <f>'BASE MAESTRA'!B28</f>
        <v>23</v>
      </c>
      <c r="B22" s="150" t="str">
        <f t="shared" si="0"/>
        <v>23</v>
      </c>
      <c r="C22" s="150" t="str">
        <f t="shared" si="1"/>
        <v>South American Indian (Other)</v>
      </c>
      <c r="D22" s="150" t="str">
        <f t="shared" si="1"/>
        <v>The Chacobo from the Amazonian province of Vaca Díez, Bolivia, has used two names: xëqui jahëhua (Boom 4380, LPB, NY) and mitaisa (Boom 5050, LPB, NY)</v>
      </c>
      <c r="E22" s="150" t="str">
        <f t="shared" si="1"/>
        <v>TRUE</v>
      </c>
    </row>
    <row r="23" spans="1:5" x14ac:dyDescent="0.3">
      <c r="A23" s="149" t="str">
        <f>'BASE MAESTRA'!B29</f>
        <v>24</v>
      </c>
      <c r="B23" s="150" t="str">
        <f t="shared" si="0"/>
        <v>24</v>
      </c>
      <c r="C23" s="150">
        <f t="shared" ref="C23:E42" si="2">VLOOKUP($A23,DatosEspecies,C$2,FALSE)</f>
        <v>0</v>
      </c>
      <c r="D23" s="150">
        <f t="shared" si="2"/>
        <v>0</v>
      </c>
      <c r="E23" s="150">
        <f t="shared" si="2"/>
        <v>0</v>
      </c>
    </row>
    <row r="24" spans="1:5" x14ac:dyDescent="0.3">
      <c r="A24" s="149" t="str">
        <f>'BASE MAESTRA'!B30</f>
        <v>25</v>
      </c>
      <c r="B24" s="150" t="str">
        <f t="shared" si="0"/>
        <v>25</v>
      </c>
      <c r="C24" s="150">
        <f t="shared" si="2"/>
        <v>0</v>
      </c>
      <c r="D24" s="150">
        <f t="shared" si="2"/>
        <v>0</v>
      </c>
      <c r="E24" s="150">
        <f t="shared" si="2"/>
        <v>0</v>
      </c>
    </row>
    <row r="25" spans="1:5" x14ac:dyDescent="0.3">
      <c r="A25" s="149" t="str">
        <f>'BASE MAESTRA'!B31</f>
        <v>26</v>
      </c>
      <c r="B25" s="150" t="str">
        <f t="shared" si="0"/>
        <v>26</v>
      </c>
      <c r="C25" s="150">
        <f t="shared" si="2"/>
        <v>0</v>
      </c>
      <c r="D25" s="150">
        <f t="shared" si="2"/>
        <v>0</v>
      </c>
      <c r="E25" s="150">
        <f t="shared" si="2"/>
        <v>0</v>
      </c>
    </row>
    <row r="26" spans="1:5" x14ac:dyDescent="0.3">
      <c r="A26" s="149" t="str">
        <f>'BASE MAESTRA'!B32</f>
        <v>27</v>
      </c>
      <c r="B26" s="150" t="str">
        <f t="shared" si="0"/>
        <v>27</v>
      </c>
      <c r="C26" s="150">
        <f t="shared" si="2"/>
        <v>0</v>
      </c>
      <c r="D26" s="150">
        <f t="shared" si="2"/>
        <v>0</v>
      </c>
      <c r="E26" s="150">
        <f t="shared" si="2"/>
        <v>0</v>
      </c>
    </row>
    <row r="27" spans="1:5" x14ac:dyDescent="0.3">
      <c r="A27" s="149" t="str">
        <f>'BASE MAESTRA'!B33</f>
        <v>28</v>
      </c>
      <c r="B27" s="150" t="str">
        <f t="shared" si="0"/>
        <v>28</v>
      </c>
      <c r="C27" s="150">
        <f t="shared" si="2"/>
        <v>0</v>
      </c>
      <c r="D27" s="150">
        <f t="shared" si="2"/>
        <v>0</v>
      </c>
      <c r="E27" s="150">
        <f t="shared" si="2"/>
        <v>0</v>
      </c>
    </row>
    <row r="28" spans="1:5" x14ac:dyDescent="0.3">
      <c r="A28" s="149" t="str">
        <f>'BASE MAESTRA'!B34</f>
        <v>29</v>
      </c>
      <c r="B28" s="150" t="str">
        <f t="shared" si="0"/>
        <v>29</v>
      </c>
      <c r="C28" s="150">
        <f t="shared" si="2"/>
        <v>0</v>
      </c>
      <c r="D28" s="150">
        <f t="shared" si="2"/>
        <v>0</v>
      </c>
      <c r="E28" s="150">
        <f t="shared" si="2"/>
        <v>0</v>
      </c>
    </row>
    <row r="29" spans="1:5" x14ac:dyDescent="0.3">
      <c r="A29" s="149" t="str">
        <f>'BASE MAESTRA'!B35</f>
        <v>30</v>
      </c>
      <c r="B29" s="150" t="str">
        <f t="shared" si="0"/>
        <v>30</v>
      </c>
      <c r="C29" s="150">
        <f t="shared" si="2"/>
        <v>0</v>
      </c>
      <c r="D29" s="150">
        <f t="shared" si="2"/>
        <v>0</v>
      </c>
      <c r="E29" s="150">
        <f t="shared" si="2"/>
        <v>0</v>
      </c>
    </row>
    <row r="30" spans="1:5" x14ac:dyDescent="0.3">
      <c r="A30" s="149" t="str">
        <f>'BASE MAESTRA'!B36</f>
        <v>31</v>
      </c>
      <c r="B30" s="150" t="str">
        <f t="shared" si="0"/>
        <v>31</v>
      </c>
      <c r="C30" s="150">
        <f t="shared" si="2"/>
        <v>0</v>
      </c>
      <c r="D30" s="150">
        <f t="shared" si="2"/>
        <v>0</v>
      </c>
      <c r="E30" s="150">
        <f t="shared" si="2"/>
        <v>0</v>
      </c>
    </row>
    <row r="31" spans="1:5" x14ac:dyDescent="0.3">
      <c r="A31" s="149" t="str">
        <f>'BASE MAESTRA'!B37</f>
        <v>32</v>
      </c>
      <c r="B31" s="150" t="str">
        <f t="shared" si="0"/>
        <v>32</v>
      </c>
      <c r="C31" s="150">
        <f t="shared" si="2"/>
        <v>0</v>
      </c>
      <c r="D31" s="150">
        <f t="shared" si="2"/>
        <v>0</v>
      </c>
      <c r="E31" s="150">
        <f t="shared" si="2"/>
        <v>0</v>
      </c>
    </row>
    <row r="32" spans="1:5" x14ac:dyDescent="0.3">
      <c r="A32" s="149" t="str">
        <f>'BASE MAESTRA'!B38</f>
        <v>33</v>
      </c>
      <c r="B32" s="150" t="str">
        <f t="shared" si="0"/>
        <v>33</v>
      </c>
      <c r="C32" s="150">
        <f t="shared" si="2"/>
        <v>0</v>
      </c>
      <c r="D32" s="150">
        <f t="shared" si="2"/>
        <v>0</v>
      </c>
      <c r="E32" s="150">
        <f t="shared" si="2"/>
        <v>0</v>
      </c>
    </row>
    <row r="33" spans="1:5" x14ac:dyDescent="0.3">
      <c r="A33" s="149" t="str">
        <f>'BASE MAESTRA'!B39</f>
        <v>34</v>
      </c>
      <c r="B33" s="150" t="str">
        <f>A33</f>
        <v>34</v>
      </c>
      <c r="C33" s="150">
        <f t="shared" si="2"/>
        <v>0</v>
      </c>
      <c r="D33" s="150">
        <f t="shared" si="2"/>
        <v>0</v>
      </c>
      <c r="E33" s="150">
        <f t="shared" si="2"/>
        <v>0</v>
      </c>
    </row>
    <row r="34" spans="1:5" x14ac:dyDescent="0.3">
      <c r="A34" s="149" t="str">
        <f>'BASE MAESTRA'!B40</f>
        <v>35</v>
      </c>
      <c r="B34" s="150" t="str">
        <f>A34</f>
        <v>35</v>
      </c>
      <c r="C34" s="150">
        <f t="shared" si="2"/>
        <v>0</v>
      </c>
      <c r="D34" s="150">
        <f t="shared" si="2"/>
        <v>0</v>
      </c>
      <c r="E34" s="150">
        <f t="shared" si="2"/>
        <v>0</v>
      </c>
    </row>
    <row r="35" spans="1:5" x14ac:dyDescent="0.3">
      <c r="A35" s="149" t="str">
        <f>'BASE MAESTRA'!B41</f>
        <v>36</v>
      </c>
      <c r="B35" s="150" t="str">
        <f t="shared" si="0"/>
        <v>36</v>
      </c>
      <c r="C35" s="150">
        <f t="shared" si="2"/>
        <v>0</v>
      </c>
      <c r="D35" s="150">
        <f t="shared" si="2"/>
        <v>0</v>
      </c>
      <c r="E35" s="150">
        <f t="shared" si="2"/>
        <v>0</v>
      </c>
    </row>
    <row r="36" spans="1:5" x14ac:dyDescent="0.3">
      <c r="A36" s="149" t="str">
        <f>'BASE MAESTRA'!B42</f>
        <v>37</v>
      </c>
      <c r="B36" s="150" t="str">
        <f t="shared" si="0"/>
        <v>37</v>
      </c>
      <c r="C36" s="150">
        <f t="shared" si="2"/>
        <v>0</v>
      </c>
      <c r="D36" s="150">
        <f t="shared" si="2"/>
        <v>0</v>
      </c>
      <c r="E36" s="150">
        <f t="shared" si="2"/>
        <v>0</v>
      </c>
    </row>
    <row r="37" spans="1:5" x14ac:dyDescent="0.3">
      <c r="A37" s="149" t="str">
        <f>'BASE MAESTRA'!B43</f>
        <v>38</v>
      </c>
      <c r="B37" s="150" t="str">
        <f t="shared" si="0"/>
        <v>38</v>
      </c>
      <c r="C37" s="150">
        <f t="shared" si="2"/>
        <v>0</v>
      </c>
      <c r="D37" s="150">
        <f t="shared" si="2"/>
        <v>0</v>
      </c>
      <c r="E37" s="150">
        <f t="shared" si="2"/>
        <v>0</v>
      </c>
    </row>
    <row r="38" spans="1:5" x14ac:dyDescent="0.3">
      <c r="A38" s="149" t="str">
        <f>'BASE MAESTRA'!B44</f>
        <v>39</v>
      </c>
      <c r="B38" s="150" t="str">
        <f t="shared" si="0"/>
        <v>39</v>
      </c>
      <c r="C38" s="150">
        <f t="shared" si="2"/>
        <v>0</v>
      </c>
      <c r="D38" s="150">
        <f t="shared" si="2"/>
        <v>0</v>
      </c>
      <c r="E38" s="150">
        <f t="shared" si="2"/>
        <v>0</v>
      </c>
    </row>
    <row r="39" spans="1:5" x14ac:dyDescent="0.3">
      <c r="A39" s="149">
        <f>'BASE MAESTRA'!B45</f>
        <v>37</v>
      </c>
      <c r="B39" s="150">
        <f t="shared" si="0"/>
        <v>37</v>
      </c>
      <c r="C39" s="150">
        <f t="shared" si="2"/>
        <v>0</v>
      </c>
      <c r="D39" s="150">
        <f t="shared" si="2"/>
        <v>0</v>
      </c>
      <c r="E39" s="150">
        <f t="shared" si="2"/>
        <v>0</v>
      </c>
    </row>
    <row r="40" spans="1:5" x14ac:dyDescent="0.3">
      <c r="A40" s="149">
        <f>'BASE MAESTRA'!B46</f>
        <v>38</v>
      </c>
      <c r="B40" s="150">
        <f t="shared" si="0"/>
        <v>38</v>
      </c>
      <c r="C40" s="150">
        <f t="shared" si="2"/>
        <v>0</v>
      </c>
      <c r="D40" s="150">
        <f t="shared" si="2"/>
        <v>0</v>
      </c>
      <c r="E40" s="150">
        <f t="shared" si="2"/>
        <v>0</v>
      </c>
    </row>
    <row r="41" spans="1:5" x14ac:dyDescent="0.3">
      <c r="A41" s="149">
        <f>'BASE MAESTRA'!B47</f>
        <v>39</v>
      </c>
      <c r="B41" s="150">
        <f t="shared" si="0"/>
        <v>39</v>
      </c>
      <c r="C41" s="150">
        <f t="shared" si="2"/>
        <v>0</v>
      </c>
      <c r="D41" s="150">
        <f t="shared" si="2"/>
        <v>0</v>
      </c>
      <c r="E41" s="150">
        <f t="shared" si="2"/>
        <v>0</v>
      </c>
    </row>
    <row r="42" spans="1:5" x14ac:dyDescent="0.3">
      <c r="A42" s="149">
        <f>'BASE MAESTRA'!B48</f>
        <v>40</v>
      </c>
      <c r="B42" s="150">
        <f t="shared" si="0"/>
        <v>40</v>
      </c>
      <c r="C42" s="150">
        <f t="shared" si="2"/>
        <v>0</v>
      </c>
      <c r="D42" s="150">
        <f t="shared" si="2"/>
        <v>0</v>
      </c>
      <c r="E42" s="150">
        <f t="shared" si="2"/>
        <v>0</v>
      </c>
    </row>
    <row r="43" spans="1:5" x14ac:dyDescent="0.3">
      <c r="A43" s="149">
        <f>'BASE MAESTRA'!B49</f>
        <v>41</v>
      </c>
      <c r="B43" s="150">
        <f t="shared" si="0"/>
        <v>41</v>
      </c>
      <c r="C43" s="150">
        <f t="shared" ref="C43:E62" si="3">VLOOKUP($A43,DatosEspecies,C$2,FALSE)</f>
        <v>0</v>
      </c>
      <c r="D43" s="150">
        <f t="shared" si="3"/>
        <v>0</v>
      </c>
      <c r="E43" s="150">
        <f t="shared" si="3"/>
        <v>0</v>
      </c>
    </row>
    <row r="44" spans="1:5" x14ac:dyDescent="0.3">
      <c r="A44" s="149">
        <f>'BASE MAESTRA'!B50</f>
        <v>42</v>
      </c>
      <c r="B44" s="150">
        <f t="shared" si="0"/>
        <v>42</v>
      </c>
      <c r="C44" s="150">
        <f t="shared" si="3"/>
        <v>0</v>
      </c>
      <c r="D44" s="150">
        <f t="shared" si="3"/>
        <v>0</v>
      </c>
      <c r="E44" s="150">
        <f t="shared" si="3"/>
        <v>0</v>
      </c>
    </row>
    <row r="45" spans="1:5" x14ac:dyDescent="0.3">
      <c r="A45" s="149">
        <f>'BASE MAESTRA'!B51</f>
        <v>43</v>
      </c>
      <c r="B45" s="150">
        <f t="shared" si="0"/>
        <v>43</v>
      </c>
      <c r="C45" s="150">
        <f t="shared" si="3"/>
        <v>0</v>
      </c>
      <c r="D45" s="150">
        <f t="shared" si="3"/>
        <v>0</v>
      </c>
      <c r="E45" s="150">
        <f t="shared" si="3"/>
        <v>0</v>
      </c>
    </row>
    <row r="46" spans="1:5" x14ac:dyDescent="0.3">
      <c r="A46" s="149">
        <f>'BASE MAESTRA'!B52</f>
        <v>44</v>
      </c>
      <c r="B46" s="150">
        <f t="shared" si="0"/>
        <v>44</v>
      </c>
      <c r="C46" s="150">
        <f t="shared" si="3"/>
        <v>0</v>
      </c>
      <c r="D46" s="150">
        <f t="shared" si="3"/>
        <v>0</v>
      </c>
      <c r="E46" s="150">
        <f t="shared" si="3"/>
        <v>0</v>
      </c>
    </row>
    <row r="47" spans="1:5" x14ac:dyDescent="0.3">
      <c r="A47" s="149">
        <f>'BASE MAESTRA'!B53</f>
        <v>45</v>
      </c>
      <c r="B47" s="150">
        <f t="shared" si="0"/>
        <v>45</v>
      </c>
      <c r="C47" s="150">
        <f t="shared" si="3"/>
        <v>0</v>
      </c>
      <c r="D47" s="150">
        <f t="shared" si="3"/>
        <v>0</v>
      </c>
      <c r="E47" s="150">
        <f t="shared" si="3"/>
        <v>0</v>
      </c>
    </row>
    <row r="48" spans="1:5" x14ac:dyDescent="0.3">
      <c r="A48" s="149">
        <f>'BASE MAESTRA'!B54</f>
        <v>46</v>
      </c>
      <c r="B48" s="150">
        <f t="shared" si="0"/>
        <v>46</v>
      </c>
      <c r="C48" s="150">
        <f t="shared" si="3"/>
        <v>0</v>
      </c>
      <c r="D48" s="150">
        <f t="shared" si="3"/>
        <v>0</v>
      </c>
      <c r="E48" s="150">
        <f t="shared" si="3"/>
        <v>0</v>
      </c>
    </row>
    <row r="49" spans="1:5" x14ac:dyDescent="0.3">
      <c r="A49" s="149">
        <f>'BASE MAESTRA'!B55</f>
        <v>47</v>
      </c>
      <c r="B49" s="150">
        <f t="shared" si="0"/>
        <v>47</v>
      </c>
      <c r="C49" s="150">
        <f t="shared" si="3"/>
        <v>0</v>
      </c>
      <c r="D49" s="150">
        <f t="shared" si="3"/>
        <v>0</v>
      </c>
      <c r="E49" s="150">
        <f t="shared" si="3"/>
        <v>0</v>
      </c>
    </row>
    <row r="50" spans="1:5" x14ac:dyDescent="0.3">
      <c r="A50" s="149">
        <f>'BASE MAESTRA'!B56</f>
        <v>48</v>
      </c>
      <c r="B50" s="150">
        <f t="shared" si="0"/>
        <v>48</v>
      </c>
      <c r="C50" s="150">
        <f t="shared" si="3"/>
        <v>0</v>
      </c>
      <c r="D50" s="150">
        <f t="shared" si="3"/>
        <v>0</v>
      </c>
      <c r="E50" s="150">
        <f t="shared" si="3"/>
        <v>0</v>
      </c>
    </row>
    <row r="51" spans="1:5" x14ac:dyDescent="0.3">
      <c r="A51" s="149">
        <f>'BASE MAESTRA'!B57</f>
        <v>49</v>
      </c>
      <c r="B51" s="150">
        <f t="shared" si="0"/>
        <v>49</v>
      </c>
      <c r="C51" s="150">
        <f t="shared" si="3"/>
        <v>0</v>
      </c>
      <c r="D51" s="150">
        <f t="shared" si="3"/>
        <v>0</v>
      </c>
      <c r="E51" s="150">
        <f t="shared" si="3"/>
        <v>0</v>
      </c>
    </row>
    <row r="52" spans="1:5" x14ac:dyDescent="0.3">
      <c r="A52" s="149">
        <f>'BASE MAESTRA'!B58</f>
        <v>50</v>
      </c>
      <c r="B52" s="150">
        <f t="shared" si="0"/>
        <v>50</v>
      </c>
      <c r="C52" s="150">
        <f t="shared" si="3"/>
        <v>0</v>
      </c>
      <c r="D52" s="150">
        <f t="shared" si="3"/>
        <v>0</v>
      </c>
      <c r="E52" s="150">
        <f t="shared" si="3"/>
        <v>0</v>
      </c>
    </row>
    <row r="53" spans="1:5" x14ac:dyDescent="0.3">
      <c r="A53" s="149">
        <f>'BASE MAESTRA'!B59</f>
        <v>51</v>
      </c>
      <c r="B53" s="150">
        <f t="shared" si="0"/>
        <v>51</v>
      </c>
      <c r="C53" s="150">
        <f t="shared" si="3"/>
        <v>0</v>
      </c>
      <c r="D53" s="150">
        <f t="shared" si="3"/>
        <v>0</v>
      </c>
      <c r="E53" s="150">
        <f t="shared" si="3"/>
        <v>0</v>
      </c>
    </row>
    <row r="54" spans="1:5" x14ac:dyDescent="0.3">
      <c r="A54" s="149">
        <f>'BASE MAESTRA'!B60</f>
        <v>52</v>
      </c>
      <c r="B54" s="150">
        <f t="shared" si="0"/>
        <v>52</v>
      </c>
      <c r="C54" s="150">
        <f t="shared" si="3"/>
        <v>0</v>
      </c>
      <c r="D54" s="150">
        <f t="shared" si="3"/>
        <v>0</v>
      </c>
      <c r="E54" s="150">
        <f t="shared" si="3"/>
        <v>0</v>
      </c>
    </row>
    <row r="55" spans="1:5" x14ac:dyDescent="0.3">
      <c r="A55" s="149">
        <f>'BASE MAESTRA'!B61</f>
        <v>53</v>
      </c>
      <c r="B55" s="150">
        <f t="shared" si="0"/>
        <v>53</v>
      </c>
      <c r="C55" s="150">
        <f t="shared" si="3"/>
        <v>0</v>
      </c>
      <c r="D55" s="150">
        <f t="shared" si="3"/>
        <v>0</v>
      </c>
      <c r="E55" s="150">
        <f t="shared" si="3"/>
        <v>0</v>
      </c>
    </row>
    <row r="56" spans="1:5" x14ac:dyDescent="0.3">
      <c r="A56" s="149">
        <f>'BASE MAESTRA'!B62</f>
        <v>54</v>
      </c>
      <c r="B56" s="150">
        <f t="shared" si="0"/>
        <v>54</v>
      </c>
      <c r="C56" s="150">
        <f t="shared" si="3"/>
        <v>0</v>
      </c>
      <c r="D56" s="150">
        <f t="shared" si="3"/>
        <v>0</v>
      </c>
      <c r="E56" s="150">
        <f t="shared" si="3"/>
        <v>0</v>
      </c>
    </row>
    <row r="57" spans="1:5" x14ac:dyDescent="0.3">
      <c r="A57" s="149">
        <f>'BASE MAESTRA'!B63</f>
        <v>55</v>
      </c>
      <c r="B57" s="150">
        <f t="shared" si="0"/>
        <v>55</v>
      </c>
      <c r="C57" s="150">
        <f t="shared" si="3"/>
        <v>0</v>
      </c>
      <c r="D57" s="150">
        <f t="shared" si="3"/>
        <v>0</v>
      </c>
      <c r="E57" s="150">
        <f t="shared" si="3"/>
        <v>0</v>
      </c>
    </row>
    <row r="58" spans="1:5" x14ac:dyDescent="0.3">
      <c r="A58" s="149">
        <f>'BASE MAESTRA'!B64</f>
        <v>56</v>
      </c>
      <c r="B58" s="150">
        <f t="shared" si="0"/>
        <v>56</v>
      </c>
      <c r="C58" s="150">
        <f t="shared" si="3"/>
        <v>0</v>
      </c>
      <c r="D58" s="150">
        <f t="shared" si="3"/>
        <v>0</v>
      </c>
      <c r="E58" s="150">
        <f t="shared" si="3"/>
        <v>0</v>
      </c>
    </row>
    <row r="59" spans="1:5" x14ac:dyDescent="0.3">
      <c r="A59" s="149">
        <f>'BASE MAESTRA'!B65</f>
        <v>57</v>
      </c>
      <c r="B59" s="150">
        <f t="shared" si="0"/>
        <v>57</v>
      </c>
      <c r="C59" s="150">
        <f t="shared" si="3"/>
        <v>0</v>
      </c>
      <c r="D59" s="150">
        <f t="shared" si="3"/>
        <v>0</v>
      </c>
      <c r="E59" s="150">
        <f t="shared" si="3"/>
        <v>0</v>
      </c>
    </row>
    <row r="60" spans="1:5" x14ac:dyDescent="0.3">
      <c r="A60" s="149">
        <f>'BASE MAESTRA'!B66</f>
        <v>58</v>
      </c>
      <c r="B60" s="150">
        <f t="shared" si="0"/>
        <v>58</v>
      </c>
      <c r="C60" s="150">
        <f t="shared" si="3"/>
        <v>0</v>
      </c>
      <c r="D60" s="150">
        <f t="shared" si="3"/>
        <v>0</v>
      </c>
      <c r="E60" s="150">
        <f t="shared" si="3"/>
        <v>0</v>
      </c>
    </row>
    <row r="61" spans="1:5" x14ac:dyDescent="0.3">
      <c r="A61" s="149">
        <f>'BASE MAESTRA'!B67</f>
        <v>59</v>
      </c>
      <c r="B61" s="150">
        <f t="shared" si="0"/>
        <v>59</v>
      </c>
      <c r="C61" s="150">
        <f t="shared" si="3"/>
        <v>0</v>
      </c>
      <c r="D61" s="150">
        <f t="shared" si="3"/>
        <v>0</v>
      </c>
      <c r="E61" s="150">
        <f t="shared" si="3"/>
        <v>0</v>
      </c>
    </row>
    <row r="62" spans="1:5" x14ac:dyDescent="0.3">
      <c r="A62" s="149">
        <f>'BASE MAESTRA'!B68</f>
        <v>60</v>
      </c>
      <c r="B62" s="150">
        <f t="shared" si="0"/>
        <v>60</v>
      </c>
      <c r="C62" s="150">
        <f t="shared" si="3"/>
        <v>0</v>
      </c>
      <c r="D62" s="150">
        <f t="shared" si="3"/>
        <v>0</v>
      </c>
      <c r="E62" s="150">
        <f t="shared" si="3"/>
        <v>0</v>
      </c>
    </row>
    <row r="63" spans="1:5" x14ac:dyDescent="0.3">
      <c r="A63" s="149">
        <f>'BASE MAESTRA'!B69</f>
        <v>61</v>
      </c>
      <c r="B63" s="150">
        <f t="shared" si="0"/>
        <v>61</v>
      </c>
      <c r="C63" s="150">
        <f t="shared" ref="C63:E82" si="4">VLOOKUP($A63,DatosEspecies,C$2,FALSE)</f>
        <v>0</v>
      </c>
      <c r="D63" s="150">
        <f t="shared" si="4"/>
        <v>0</v>
      </c>
      <c r="E63" s="150">
        <f t="shared" si="4"/>
        <v>0</v>
      </c>
    </row>
    <row r="64" spans="1:5" x14ac:dyDescent="0.3">
      <c r="A64" s="149">
        <f>'BASE MAESTRA'!B70</f>
        <v>62</v>
      </c>
      <c r="B64" s="150">
        <f t="shared" si="0"/>
        <v>62</v>
      </c>
      <c r="C64" s="150">
        <f t="shared" si="4"/>
        <v>0</v>
      </c>
      <c r="D64" s="150">
        <f t="shared" si="4"/>
        <v>0</v>
      </c>
      <c r="E64" s="150">
        <f t="shared" si="4"/>
        <v>0</v>
      </c>
    </row>
    <row r="65" spans="1:5" x14ac:dyDescent="0.3">
      <c r="A65" s="149">
        <f>'BASE MAESTRA'!B71</f>
        <v>63</v>
      </c>
      <c r="B65" s="150">
        <f>A65</f>
        <v>63</v>
      </c>
      <c r="C65" s="150">
        <f t="shared" si="4"/>
        <v>0</v>
      </c>
      <c r="D65" s="150">
        <f t="shared" si="4"/>
        <v>0</v>
      </c>
      <c r="E65" s="150">
        <f t="shared" si="4"/>
        <v>0</v>
      </c>
    </row>
    <row r="66" spans="1:5" x14ac:dyDescent="0.3">
      <c r="A66" s="149">
        <f>'BASE MAESTRA'!B72</f>
        <v>64</v>
      </c>
      <c r="B66" s="150">
        <f t="shared" si="0"/>
        <v>64</v>
      </c>
      <c r="C66" s="150">
        <f t="shared" si="4"/>
        <v>0</v>
      </c>
      <c r="D66" s="150">
        <f t="shared" si="4"/>
        <v>0</v>
      </c>
      <c r="E66" s="150">
        <f t="shared" si="4"/>
        <v>0</v>
      </c>
    </row>
    <row r="67" spans="1:5" x14ac:dyDescent="0.3">
      <c r="A67" s="149">
        <f>'BASE MAESTRA'!B73</f>
        <v>65</v>
      </c>
      <c r="B67" s="150">
        <f t="shared" si="0"/>
        <v>65</v>
      </c>
      <c r="C67" s="150">
        <f t="shared" si="4"/>
        <v>0</v>
      </c>
      <c r="D67" s="150">
        <f t="shared" si="4"/>
        <v>0</v>
      </c>
      <c r="E67" s="150">
        <f t="shared" si="4"/>
        <v>0</v>
      </c>
    </row>
    <row r="68" spans="1:5" x14ac:dyDescent="0.3">
      <c r="A68" s="149">
        <f>'BASE MAESTRA'!B74</f>
        <v>66</v>
      </c>
      <c r="B68" s="150">
        <f t="shared" si="0"/>
        <v>66</v>
      </c>
      <c r="C68" s="150">
        <f t="shared" si="4"/>
        <v>0</v>
      </c>
      <c r="D68" s="150">
        <f t="shared" si="4"/>
        <v>0</v>
      </c>
      <c r="E68" s="150">
        <f t="shared" si="4"/>
        <v>0</v>
      </c>
    </row>
    <row r="69" spans="1:5" x14ac:dyDescent="0.3">
      <c r="A69" s="149">
        <f>'BASE MAESTRA'!B75</f>
        <v>67</v>
      </c>
      <c r="B69" s="150">
        <f t="shared" ref="B69:B132" si="5">A69</f>
        <v>67</v>
      </c>
      <c r="C69" s="150">
        <f t="shared" si="4"/>
        <v>0</v>
      </c>
      <c r="D69" s="150">
        <f t="shared" si="4"/>
        <v>0</v>
      </c>
      <c r="E69" s="150">
        <f t="shared" si="4"/>
        <v>0</v>
      </c>
    </row>
    <row r="70" spans="1:5" x14ac:dyDescent="0.3">
      <c r="A70" s="149">
        <f>'BASE MAESTRA'!B76</f>
        <v>68</v>
      </c>
      <c r="B70" s="150">
        <f t="shared" si="5"/>
        <v>68</v>
      </c>
      <c r="C70" s="150">
        <f t="shared" si="4"/>
        <v>0</v>
      </c>
      <c r="D70" s="150">
        <f t="shared" si="4"/>
        <v>0</v>
      </c>
      <c r="E70" s="150">
        <f t="shared" si="4"/>
        <v>0</v>
      </c>
    </row>
    <row r="71" spans="1:5" x14ac:dyDescent="0.3">
      <c r="A71" s="149">
        <f>'BASE MAESTRA'!B77</f>
        <v>69</v>
      </c>
      <c r="B71" s="150">
        <f t="shared" si="5"/>
        <v>69</v>
      </c>
      <c r="C71" s="150">
        <f t="shared" si="4"/>
        <v>0</v>
      </c>
      <c r="D71" s="150">
        <f t="shared" si="4"/>
        <v>0</v>
      </c>
      <c r="E71" s="150">
        <f t="shared" si="4"/>
        <v>0</v>
      </c>
    </row>
    <row r="72" spans="1:5" x14ac:dyDescent="0.3">
      <c r="A72" s="149">
        <f>'BASE MAESTRA'!B78</f>
        <v>70</v>
      </c>
      <c r="B72" s="150">
        <f t="shared" si="5"/>
        <v>70</v>
      </c>
      <c r="C72" s="150">
        <f t="shared" si="4"/>
        <v>0</v>
      </c>
      <c r="D72" s="150">
        <f t="shared" si="4"/>
        <v>0</v>
      </c>
      <c r="E72" s="150">
        <f t="shared" si="4"/>
        <v>0</v>
      </c>
    </row>
    <row r="73" spans="1:5" x14ac:dyDescent="0.3">
      <c r="A73" s="149">
        <f>'BASE MAESTRA'!B79</f>
        <v>71</v>
      </c>
      <c r="B73" s="150">
        <f t="shared" si="5"/>
        <v>71</v>
      </c>
      <c r="C73" s="150">
        <f t="shared" si="4"/>
        <v>0</v>
      </c>
      <c r="D73" s="150">
        <f t="shared" si="4"/>
        <v>0</v>
      </c>
      <c r="E73" s="150">
        <f t="shared" si="4"/>
        <v>0</v>
      </c>
    </row>
    <row r="74" spans="1:5" x14ac:dyDescent="0.3">
      <c r="A74" s="149">
        <f>'BASE MAESTRA'!B80</f>
        <v>72</v>
      </c>
      <c r="B74" s="150">
        <f t="shared" si="5"/>
        <v>72</v>
      </c>
      <c r="C74" s="150">
        <f t="shared" si="4"/>
        <v>0</v>
      </c>
      <c r="D74" s="150">
        <f t="shared" si="4"/>
        <v>0</v>
      </c>
      <c r="E74" s="150">
        <f t="shared" si="4"/>
        <v>0</v>
      </c>
    </row>
    <row r="75" spans="1:5" x14ac:dyDescent="0.3">
      <c r="A75" s="149">
        <f>'BASE MAESTRA'!B81</f>
        <v>73</v>
      </c>
      <c r="B75" s="150">
        <f t="shared" si="5"/>
        <v>73</v>
      </c>
      <c r="C75" s="150">
        <f t="shared" si="4"/>
        <v>0</v>
      </c>
      <c r="D75" s="150">
        <f t="shared" si="4"/>
        <v>0</v>
      </c>
      <c r="E75" s="150">
        <f t="shared" si="4"/>
        <v>0</v>
      </c>
    </row>
    <row r="76" spans="1:5" x14ac:dyDescent="0.3">
      <c r="A76" s="149">
        <f>'BASE MAESTRA'!B82</f>
        <v>74</v>
      </c>
      <c r="B76" s="150">
        <f t="shared" si="5"/>
        <v>74</v>
      </c>
      <c r="C76" s="150">
        <f t="shared" si="4"/>
        <v>0</v>
      </c>
      <c r="D76" s="150">
        <f t="shared" si="4"/>
        <v>0</v>
      </c>
      <c r="E76" s="150">
        <f t="shared" si="4"/>
        <v>0</v>
      </c>
    </row>
    <row r="77" spans="1:5" x14ac:dyDescent="0.3">
      <c r="A77" s="149">
        <f>'BASE MAESTRA'!B83</f>
        <v>75</v>
      </c>
      <c r="B77" s="150">
        <f t="shared" si="5"/>
        <v>75</v>
      </c>
      <c r="C77" s="150">
        <f t="shared" si="4"/>
        <v>0</v>
      </c>
      <c r="D77" s="150">
        <f t="shared" si="4"/>
        <v>0</v>
      </c>
      <c r="E77" s="150">
        <f t="shared" si="4"/>
        <v>0</v>
      </c>
    </row>
    <row r="78" spans="1:5" x14ac:dyDescent="0.3">
      <c r="A78" s="149">
        <f>'BASE MAESTRA'!B84</f>
        <v>76</v>
      </c>
      <c r="B78" s="150">
        <f t="shared" si="5"/>
        <v>76</v>
      </c>
      <c r="C78" s="150">
        <f t="shared" si="4"/>
        <v>0</v>
      </c>
      <c r="D78" s="150">
        <f t="shared" si="4"/>
        <v>0</v>
      </c>
      <c r="E78" s="150">
        <f t="shared" si="4"/>
        <v>0</v>
      </c>
    </row>
    <row r="79" spans="1:5" x14ac:dyDescent="0.3">
      <c r="A79" s="149">
        <f>'BASE MAESTRA'!B85</f>
        <v>77</v>
      </c>
      <c r="B79" s="150">
        <f t="shared" si="5"/>
        <v>77</v>
      </c>
      <c r="C79" s="150">
        <f t="shared" si="4"/>
        <v>0</v>
      </c>
      <c r="D79" s="150">
        <f t="shared" si="4"/>
        <v>0</v>
      </c>
      <c r="E79" s="150">
        <f t="shared" si="4"/>
        <v>0</v>
      </c>
    </row>
    <row r="80" spans="1:5" x14ac:dyDescent="0.3">
      <c r="A80" s="149">
        <f>'BASE MAESTRA'!B86</f>
        <v>78</v>
      </c>
      <c r="B80" s="150">
        <f t="shared" si="5"/>
        <v>78</v>
      </c>
      <c r="C80" s="150">
        <f t="shared" si="4"/>
        <v>0</v>
      </c>
      <c r="D80" s="150">
        <f t="shared" si="4"/>
        <v>0</v>
      </c>
      <c r="E80" s="150">
        <f t="shared" si="4"/>
        <v>0</v>
      </c>
    </row>
    <row r="81" spans="1:5" x14ac:dyDescent="0.3">
      <c r="A81" s="149">
        <f>'BASE MAESTRA'!B87</f>
        <v>79</v>
      </c>
      <c r="B81" s="150">
        <f t="shared" si="5"/>
        <v>79</v>
      </c>
      <c r="C81" s="150">
        <f t="shared" si="4"/>
        <v>0</v>
      </c>
      <c r="D81" s="150">
        <f t="shared" si="4"/>
        <v>0</v>
      </c>
      <c r="E81" s="150">
        <f t="shared" si="4"/>
        <v>0</v>
      </c>
    </row>
    <row r="82" spans="1:5" x14ac:dyDescent="0.3">
      <c r="A82" s="149">
        <f>'BASE MAESTRA'!B88</f>
        <v>80</v>
      </c>
      <c r="B82" s="150">
        <f t="shared" si="5"/>
        <v>80</v>
      </c>
      <c r="C82" s="150">
        <f t="shared" si="4"/>
        <v>0</v>
      </c>
      <c r="D82" s="150">
        <f t="shared" si="4"/>
        <v>0</v>
      </c>
      <c r="E82" s="150">
        <f t="shared" si="4"/>
        <v>0</v>
      </c>
    </row>
    <row r="83" spans="1:5" x14ac:dyDescent="0.3">
      <c r="A83" s="149">
        <f>'BASE MAESTRA'!B89</f>
        <v>81</v>
      </c>
      <c r="B83" s="150">
        <f t="shared" si="5"/>
        <v>81</v>
      </c>
      <c r="C83" s="150">
        <f t="shared" ref="C83:E102" si="6">VLOOKUP($A83,DatosEspecies,C$2,FALSE)</f>
        <v>0</v>
      </c>
      <c r="D83" s="150">
        <f t="shared" si="6"/>
        <v>0</v>
      </c>
      <c r="E83" s="150">
        <f t="shared" si="6"/>
        <v>0</v>
      </c>
    </row>
    <row r="84" spans="1:5" x14ac:dyDescent="0.3">
      <c r="A84" s="149">
        <f>'BASE MAESTRA'!B90</f>
        <v>82</v>
      </c>
      <c r="B84" s="150">
        <f t="shared" si="5"/>
        <v>82</v>
      </c>
      <c r="C84" s="150">
        <f t="shared" si="6"/>
        <v>0</v>
      </c>
      <c r="D84" s="150">
        <f t="shared" si="6"/>
        <v>0</v>
      </c>
      <c r="E84" s="150">
        <f t="shared" si="6"/>
        <v>0</v>
      </c>
    </row>
    <row r="85" spans="1:5" x14ac:dyDescent="0.3">
      <c r="A85" s="149">
        <f>'BASE MAESTRA'!B91</f>
        <v>83</v>
      </c>
      <c r="B85" s="150">
        <f t="shared" si="5"/>
        <v>83</v>
      </c>
      <c r="C85" s="150">
        <f t="shared" si="6"/>
        <v>0</v>
      </c>
      <c r="D85" s="150">
        <f t="shared" si="6"/>
        <v>0</v>
      </c>
      <c r="E85" s="150">
        <f t="shared" si="6"/>
        <v>0</v>
      </c>
    </row>
    <row r="86" spans="1:5" x14ac:dyDescent="0.3">
      <c r="A86" s="149">
        <f>'BASE MAESTRA'!B92</f>
        <v>84</v>
      </c>
      <c r="B86" s="150">
        <f t="shared" si="5"/>
        <v>84</v>
      </c>
      <c r="C86" s="150">
        <f t="shared" si="6"/>
        <v>0</v>
      </c>
      <c r="D86" s="150">
        <f t="shared" si="6"/>
        <v>0</v>
      </c>
      <c r="E86" s="150">
        <f t="shared" si="6"/>
        <v>0</v>
      </c>
    </row>
    <row r="87" spans="1:5" x14ac:dyDescent="0.3">
      <c r="A87" s="149">
        <f>'BASE MAESTRA'!B93</f>
        <v>85</v>
      </c>
      <c r="B87" s="150">
        <f t="shared" si="5"/>
        <v>85</v>
      </c>
      <c r="C87" s="150">
        <f t="shared" si="6"/>
        <v>0</v>
      </c>
      <c r="D87" s="150">
        <f t="shared" si="6"/>
        <v>0</v>
      </c>
      <c r="E87" s="150">
        <f t="shared" si="6"/>
        <v>0</v>
      </c>
    </row>
    <row r="88" spans="1:5" x14ac:dyDescent="0.3">
      <c r="A88" s="149">
        <f>'BASE MAESTRA'!B94</f>
        <v>86</v>
      </c>
      <c r="B88" s="150">
        <f t="shared" si="5"/>
        <v>86</v>
      </c>
      <c r="C88" s="150">
        <f t="shared" si="6"/>
        <v>0</v>
      </c>
      <c r="D88" s="150">
        <f t="shared" si="6"/>
        <v>0</v>
      </c>
      <c r="E88" s="150">
        <f t="shared" si="6"/>
        <v>0</v>
      </c>
    </row>
    <row r="89" spans="1:5" x14ac:dyDescent="0.3">
      <c r="A89" s="149">
        <f>'BASE MAESTRA'!B95</f>
        <v>87</v>
      </c>
      <c r="B89" s="150">
        <f t="shared" si="5"/>
        <v>87</v>
      </c>
      <c r="C89" s="150">
        <f t="shared" si="6"/>
        <v>0</v>
      </c>
      <c r="D89" s="150">
        <f t="shared" si="6"/>
        <v>0</v>
      </c>
      <c r="E89" s="150">
        <f t="shared" si="6"/>
        <v>0</v>
      </c>
    </row>
    <row r="90" spans="1:5" x14ac:dyDescent="0.3">
      <c r="A90" s="149">
        <f>'BASE MAESTRA'!B96</f>
        <v>88</v>
      </c>
      <c r="B90" s="150">
        <f t="shared" si="5"/>
        <v>88</v>
      </c>
      <c r="C90" s="150">
        <f t="shared" si="6"/>
        <v>0</v>
      </c>
      <c r="D90" s="150">
        <f t="shared" si="6"/>
        <v>0</v>
      </c>
      <c r="E90" s="150">
        <f t="shared" si="6"/>
        <v>0</v>
      </c>
    </row>
    <row r="91" spans="1:5" x14ac:dyDescent="0.3">
      <c r="A91" s="149">
        <f>'BASE MAESTRA'!B97</f>
        <v>89</v>
      </c>
      <c r="B91" s="150">
        <f t="shared" si="5"/>
        <v>89</v>
      </c>
      <c r="C91" s="150">
        <f t="shared" si="6"/>
        <v>0</v>
      </c>
      <c r="D91" s="150">
        <f t="shared" si="6"/>
        <v>0</v>
      </c>
      <c r="E91" s="150">
        <f t="shared" si="6"/>
        <v>0</v>
      </c>
    </row>
    <row r="92" spans="1:5" x14ac:dyDescent="0.3">
      <c r="A92" s="149">
        <f>'BASE MAESTRA'!B98</f>
        <v>90</v>
      </c>
      <c r="B92" s="150">
        <f t="shared" si="5"/>
        <v>90</v>
      </c>
      <c r="C92" s="150">
        <f t="shared" si="6"/>
        <v>0</v>
      </c>
      <c r="D92" s="150">
        <f t="shared" si="6"/>
        <v>0</v>
      </c>
      <c r="E92" s="150">
        <f t="shared" si="6"/>
        <v>0</v>
      </c>
    </row>
    <row r="93" spans="1:5" x14ac:dyDescent="0.3">
      <c r="A93" s="149">
        <f>'BASE MAESTRA'!B99</f>
        <v>91</v>
      </c>
      <c r="B93" s="150">
        <f t="shared" si="5"/>
        <v>91</v>
      </c>
      <c r="C93" s="150">
        <f t="shared" si="6"/>
        <v>0</v>
      </c>
      <c r="D93" s="150">
        <f t="shared" si="6"/>
        <v>0</v>
      </c>
      <c r="E93" s="150">
        <f t="shared" si="6"/>
        <v>0</v>
      </c>
    </row>
    <row r="94" spans="1:5" x14ac:dyDescent="0.3">
      <c r="A94" s="149">
        <f>'BASE MAESTRA'!B100</f>
        <v>92</v>
      </c>
      <c r="B94" s="150">
        <f t="shared" si="5"/>
        <v>92</v>
      </c>
      <c r="C94" s="150">
        <f t="shared" si="6"/>
        <v>0</v>
      </c>
      <c r="D94" s="150">
        <f t="shared" si="6"/>
        <v>0</v>
      </c>
      <c r="E94" s="150">
        <f t="shared" si="6"/>
        <v>0</v>
      </c>
    </row>
    <row r="95" spans="1:5" x14ac:dyDescent="0.3">
      <c r="A95" s="149">
        <f>'BASE MAESTRA'!B101</f>
        <v>93</v>
      </c>
      <c r="B95" s="150">
        <f t="shared" si="5"/>
        <v>93</v>
      </c>
      <c r="C95" s="150">
        <f t="shared" si="6"/>
        <v>0</v>
      </c>
      <c r="D95" s="150">
        <f t="shared" si="6"/>
        <v>0</v>
      </c>
      <c r="E95" s="150">
        <f t="shared" si="6"/>
        <v>0</v>
      </c>
    </row>
    <row r="96" spans="1:5" x14ac:dyDescent="0.3">
      <c r="A96" s="149">
        <f>'BASE MAESTRA'!B102</f>
        <v>94</v>
      </c>
      <c r="B96" s="150">
        <f t="shared" si="5"/>
        <v>94</v>
      </c>
      <c r="C96" s="150">
        <f t="shared" si="6"/>
        <v>0</v>
      </c>
      <c r="D96" s="150">
        <f t="shared" si="6"/>
        <v>0</v>
      </c>
      <c r="E96" s="150">
        <f t="shared" si="6"/>
        <v>0</v>
      </c>
    </row>
    <row r="97" spans="1:5" x14ac:dyDescent="0.3">
      <c r="A97" s="149">
        <f>'BASE MAESTRA'!B103</f>
        <v>95</v>
      </c>
      <c r="B97" s="150">
        <f t="shared" si="5"/>
        <v>95</v>
      </c>
      <c r="C97" s="150">
        <f t="shared" si="6"/>
        <v>0</v>
      </c>
      <c r="D97" s="150">
        <f t="shared" si="6"/>
        <v>0</v>
      </c>
      <c r="E97" s="150">
        <f t="shared" si="6"/>
        <v>0</v>
      </c>
    </row>
    <row r="98" spans="1:5" x14ac:dyDescent="0.3">
      <c r="A98" s="149">
        <f>'BASE MAESTRA'!B104</f>
        <v>96</v>
      </c>
      <c r="B98" s="150">
        <f t="shared" si="5"/>
        <v>96</v>
      </c>
      <c r="C98" s="150">
        <f t="shared" si="6"/>
        <v>0</v>
      </c>
      <c r="D98" s="150">
        <f t="shared" si="6"/>
        <v>0</v>
      </c>
      <c r="E98" s="150">
        <f t="shared" si="6"/>
        <v>0</v>
      </c>
    </row>
    <row r="99" spans="1:5" x14ac:dyDescent="0.3">
      <c r="A99" s="149">
        <f>'BASE MAESTRA'!B105</f>
        <v>97</v>
      </c>
      <c r="B99" s="150">
        <f t="shared" si="5"/>
        <v>97</v>
      </c>
      <c r="C99" s="150">
        <f t="shared" si="6"/>
        <v>0</v>
      </c>
      <c r="D99" s="150">
        <f t="shared" si="6"/>
        <v>0</v>
      </c>
      <c r="E99" s="150">
        <f t="shared" si="6"/>
        <v>0</v>
      </c>
    </row>
    <row r="100" spans="1:5" x14ac:dyDescent="0.3">
      <c r="A100" s="149">
        <f>'BASE MAESTRA'!B106</f>
        <v>98</v>
      </c>
      <c r="B100" s="150">
        <f t="shared" si="5"/>
        <v>98</v>
      </c>
      <c r="C100" s="150">
        <f t="shared" si="6"/>
        <v>0</v>
      </c>
      <c r="D100" s="150">
        <f t="shared" si="6"/>
        <v>0</v>
      </c>
      <c r="E100" s="150">
        <f t="shared" si="6"/>
        <v>0</v>
      </c>
    </row>
    <row r="101" spans="1:5" x14ac:dyDescent="0.3">
      <c r="A101" s="149">
        <f>'BASE MAESTRA'!B107</f>
        <v>99</v>
      </c>
      <c r="B101" s="150">
        <f t="shared" si="5"/>
        <v>99</v>
      </c>
      <c r="C101" s="150">
        <f t="shared" si="6"/>
        <v>0</v>
      </c>
      <c r="D101" s="150">
        <f t="shared" si="6"/>
        <v>0</v>
      </c>
      <c r="E101" s="150">
        <f t="shared" si="6"/>
        <v>0</v>
      </c>
    </row>
    <row r="102" spans="1:5" x14ac:dyDescent="0.3">
      <c r="A102" s="149">
        <f>'BASE MAESTRA'!B108</f>
        <v>100</v>
      </c>
      <c r="B102" s="150">
        <f t="shared" si="5"/>
        <v>100</v>
      </c>
      <c r="C102" s="150">
        <f t="shared" si="6"/>
        <v>0</v>
      </c>
      <c r="D102" s="150">
        <f t="shared" si="6"/>
        <v>0</v>
      </c>
      <c r="E102" s="150">
        <f t="shared" si="6"/>
        <v>0</v>
      </c>
    </row>
    <row r="103" spans="1:5" x14ac:dyDescent="0.3">
      <c r="A103" s="149">
        <f>'BASE MAESTRA'!B109</f>
        <v>101</v>
      </c>
      <c r="B103" s="150">
        <f t="shared" si="5"/>
        <v>101</v>
      </c>
      <c r="C103" s="150">
        <f t="shared" ref="C103:E122" si="7">VLOOKUP($A103,DatosEspecies,C$2,FALSE)</f>
        <v>0</v>
      </c>
      <c r="D103" s="150">
        <f t="shared" si="7"/>
        <v>0</v>
      </c>
      <c r="E103" s="150">
        <f t="shared" si="7"/>
        <v>0</v>
      </c>
    </row>
    <row r="104" spans="1:5" x14ac:dyDescent="0.3">
      <c r="A104" s="149">
        <f>'BASE MAESTRA'!B110</f>
        <v>102</v>
      </c>
      <c r="B104" s="150">
        <f t="shared" si="5"/>
        <v>102</v>
      </c>
      <c r="C104" s="150">
        <f t="shared" si="7"/>
        <v>0</v>
      </c>
      <c r="D104" s="150">
        <f t="shared" si="7"/>
        <v>0</v>
      </c>
      <c r="E104" s="150">
        <f t="shared" si="7"/>
        <v>0</v>
      </c>
    </row>
    <row r="105" spans="1:5" x14ac:dyDescent="0.3">
      <c r="A105" s="149">
        <f>'BASE MAESTRA'!B111</f>
        <v>103</v>
      </c>
      <c r="B105" s="150">
        <f t="shared" si="5"/>
        <v>103</v>
      </c>
      <c r="C105" s="150">
        <f t="shared" si="7"/>
        <v>0</v>
      </c>
      <c r="D105" s="150">
        <f t="shared" si="7"/>
        <v>0</v>
      </c>
      <c r="E105" s="150">
        <f t="shared" si="7"/>
        <v>0</v>
      </c>
    </row>
    <row r="106" spans="1:5" x14ac:dyDescent="0.3">
      <c r="A106" s="149">
        <f>'BASE MAESTRA'!B112</f>
        <v>104</v>
      </c>
      <c r="B106" s="150">
        <f t="shared" si="5"/>
        <v>104</v>
      </c>
      <c r="C106" s="150">
        <f t="shared" si="7"/>
        <v>0</v>
      </c>
      <c r="D106" s="150">
        <f t="shared" si="7"/>
        <v>0</v>
      </c>
      <c r="E106" s="150">
        <f t="shared" si="7"/>
        <v>0</v>
      </c>
    </row>
    <row r="107" spans="1:5" x14ac:dyDescent="0.3">
      <c r="A107" s="149">
        <f>'BASE MAESTRA'!B113</f>
        <v>105</v>
      </c>
      <c r="B107" s="150">
        <f t="shared" si="5"/>
        <v>105</v>
      </c>
      <c r="C107" s="150">
        <f t="shared" si="7"/>
        <v>0</v>
      </c>
      <c r="D107" s="150">
        <f t="shared" si="7"/>
        <v>0</v>
      </c>
      <c r="E107" s="150">
        <f t="shared" si="7"/>
        <v>0</v>
      </c>
    </row>
    <row r="108" spans="1:5" x14ac:dyDescent="0.3">
      <c r="A108" s="149">
        <f>'BASE MAESTRA'!B114</f>
        <v>106</v>
      </c>
      <c r="B108" s="150">
        <f t="shared" si="5"/>
        <v>106</v>
      </c>
      <c r="C108" s="150">
        <f t="shared" si="7"/>
        <v>0</v>
      </c>
      <c r="D108" s="150">
        <f t="shared" si="7"/>
        <v>0</v>
      </c>
      <c r="E108" s="150">
        <f t="shared" si="7"/>
        <v>0</v>
      </c>
    </row>
    <row r="109" spans="1:5" x14ac:dyDescent="0.3">
      <c r="A109" s="149">
        <f>'BASE MAESTRA'!B115</f>
        <v>107</v>
      </c>
      <c r="B109" s="150">
        <f t="shared" si="5"/>
        <v>107</v>
      </c>
      <c r="C109" s="150">
        <f t="shared" si="7"/>
        <v>0</v>
      </c>
      <c r="D109" s="150">
        <f t="shared" si="7"/>
        <v>0</v>
      </c>
      <c r="E109" s="150">
        <f t="shared" si="7"/>
        <v>0</v>
      </c>
    </row>
    <row r="110" spans="1:5" x14ac:dyDescent="0.3">
      <c r="A110" s="149">
        <f>'BASE MAESTRA'!B116</f>
        <v>108</v>
      </c>
      <c r="B110" s="150">
        <f t="shared" si="5"/>
        <v>108</v>
      </c>
      <c r="C110" s="150">
        <f t="shared" si="7"/>
        <v>0</v>
      </c>
      <c r="D110" s="150">
        <f t="shared" si="7"/>
        <v>0</v>
      </c>
      <c r="E110" s="150">
        <f t="shared" si="7"/>
        <v>0</v>
      </c>
    </row>
    <row r="111" spans="1:5" x14ac:dyDescent="0.3">
      <c r="A111" s="149">
        <f>'BASE MAESTRA'!B117</f>
        <v>109</v>
      </c>
      <c r="B111" s="150">
        <f t="shared" si="5"/>
        <v>109</v>
      </c>
      <c r="C111" s="150">
        <f t="shared" si="7"/>
        <v>0</v>
      </c>
      <c r="D111" s="150">
        <f t="shared" si="7"/>
        <v>0</v>
      </c>
      <c r="E111" s="150">
        <f t="shared" si="7"/>
        <v>0</v>
      </c>
    </row>
    <row r="112" spans="1:5" x14ac:dyDescent="0.3">
      <c r="A112" s="149">
        <f>'BASE MAESTRA'!B118</f>
        <v>110</v>
      </c>
      <c r="B112" s="150">
        <f t="shared" si="5"/>
        <v>110</v>
      </c>
      <c r="C112" s="150">
        <f t="shared" si="7"/>
        <v>0</v>
      </c>
      <c r="D112" s="150">
        <f t="shared" si="7"/>
        <v>0</v>
      </c>
      <c r="E112" s="150">
        <f t="shared" si="7"/>
        <v>0</v>
      </c>
    </row>
    <row r="113" spans="1:5" x14ac:dyDescent="0.3">
      <c r="A113" s="149">
        <f>'BASE MAESTRA'!B119</f>
        <v>111</v>
      </c>
      <c r="B113" s="150">
        <f t="shared" si="5"/>
        <v>111</v>
      </c>
      <c r="C113" s="150">
        <f t="shared" si="7"/>
        <v>0</v>
      </c>
      <c r="D113" s="150">
        <f t="shared" si="7"/>
        <v>0</v>
      </c>
      <c r="E113" s="150">
        <f t="shared" si="7"/>
        <v>0</v>
      </c>
    </row>
    <row r="114" spans="1:5" x14ac:dyDescent="0.3">
      <c r="A114" s="149">
        <f>'BASE MAESTRA'!B120</f>
        <v>112</v>
      </c>
      <c r="B114" s="150">
        <f t="shared" si="5"/>
        <v>112</v>
      </c>
      <c r="C114" s="150">
        <f t="shared" si="7"/>
        <v>0</v>
      </c>
      <c r="D114" s="150">
        <f t="shared" si="7"/>
        <v>0</v>
      </c>
      <c r="E114" s="150">
        <f t="shared" si="7"/>
        <v>0</v>
      </c>
    </row>
    <row r="115" spans="1:5" x14ac:dyDescent="0.3">
      <c r="A115" s="149">
        <f>'BASE MAESTRA'!B121</f>
        <v>113</v>
      </c>
      <c r="B115" s="150">
        <f t="shared" si="5"/>
        <v>113</v>
      </c>
      <c r="C115" s="150">
        <f t="shared" si="7"/>
        <v>0</v>
      </c>
      <c r="D115" s="150">
        <f t="shared" si="7"/>
        <v>0</v>
      </c>
      <c r="E115" s="150">
        <f t="shared" si="7"/>
        <v>0</v>
      </c>
    </row>
    <row r="116" spans="1:5" x14ac:dyDescent="0.3">
      <c r="A116" s="149">
        <f>'BASE MAESTRA'!B122</f>
        <v>114</v>
      </c>
      <c r="B116" s="150">
        <f t="shared" si="5"/>
        <v>114</v>
      </c>
      <c r="C116" s="150">
        <f t="shared" si="7"/>
        <v>0</v>
      </c>
      <c r="D116" s="150">
        <f t="shared" si="7"/>
        <v>0</v>
      </c>
      <c r="E116" s="150">
        <f t="shared" si="7"/>
        <v>0</v>
      </c>
    </row>
    <row r="117" spans="1:5" x14ac:dyDescent="0.3">
      <c r="A117" s="149">
        <f>'BASE MAESTRA'!B123</f>
        <v>115</v>
      </c>
      <c r="B117" s="150">
        <f t="shared" si="5"/>
        <v>115</v>
      </c>
      <c r="C117" s="150">
        <f t="shared" si="7"/>
        <v>0</v>
      </c>
      <c r="D117" s="150">
        <f t="shared" si="7"/>
        <v>0</v>
      </c>
      <c r="E117" s="150">
        <f t="shared" si="7"/>
        <v>0</v>
      </c>
    </row>
    <row r="118" spans="1:5" x14ac:dyDescent="0.3">
      <c r="A118" s="149">
        <f>'BASE MAESTRA'!B124</f>
        <v>116</v>
      </c>
      <c r="B118" s="150">
        <f t="shared" si="5"/>
        <v>116</v>
      </c>
      <c r="C118" s="150">
        <f t="shared" si="7"/>
        <v>0</v>
      </c>
      <c r="D118" s="150">
        <f t="shared" si="7"/>
        <v>0</v>
      </c>
      <c r="E118" s="150">
        <f t="shared" si="7"/>
        <v>0</v>
      </c>
    </row>
    <row r="119" spans="1:5" x14ac:dyDescent="0.3">
      <c r="A119" s="149">
        <f>'BASE MAESTRA'!B125</f>
        <v>117</v>
      </c>
      <c r="B119" s="150">
        <f t="shared" si="5"/>
        <v>117</v>
      </c>
      <c r="C119" s="150">
        <f t="shared" si="7"/>
        <v>0</v>
      </c>
      <c r="D119" s="150">
        <f t="shared" si="7"/>
        <v>0</v>
      </c>
      <c r="E119" s="150">
        <f t="shared" si="7"/>
        <v>0</v>
      </c>
    </row>
    <row r="120" spans="1:5" x14ac:dyDescent="0.3">
      <c r="A120" s="149">
        <f>'BASE MAESTRA'!B126</f>
        <v>118</v>
      </c>
      <c r="B120" s="150">
        <f t="shared" si="5"/>
        <v>118</v>
      </c>
      <c r="C120" s="150">
        <f t="shared" si="7"/>
        <v>0</v>
      </c>
      <c r="D120" s="150">
        <f t="shared" si="7"/>
        <v>0</v>
      </c>
      <c r="E120" s="150">
        <f t="shared" si="7"/>
        <v>0</v>
      </c>
    </row>
    <row r="121" spans="1:5" x14ac:dyDescent="0.3">
      <c r="A121" s="149">
        <f>'BASE MAESTRA'!B127</f>
        <v>119</v>
      </c>
      <c r="B121" s="150">
        <f t="shared" si="5"/>
        <v>119</v>
      </c>
      <c r="C121" s="150">
        <f t="shared" si="7"/>
        <v>0</v>
      </c>
      <c r="D121" s="150">
        <f t="shared" si="7"/>
        <v>0</v>
      </c>
      <c r="E121" s="150">
        <f t="shared" si="7"/>
        <v>0</v>
      </c>
    </row>
    <row r="122" spans="1:5" x14ac:dyDescent="0.3">
      <c r="A122" s="149">
        <f>'BASE MAESTRA'!B128</f>
        <v>120</v>
      </c>
      <c r="B122" s="150">
        <f t="shared" si="5"/>
        <v>120</v>
      </c>
      <c r="C122" s="150">
        <f t="shared" si="7"/>
        <v>0</v>
      </c>
      <c r="D122" s="150">
        <f t="shared" si="7"/>
        <v>0</v>
      </c>
      <c r="E122" s="150">
        <f t="shared" si="7"/>
        <v>0</v>
      </c>
    </row>
    <row r="123" spans="1:5" x14ac:dyDescent="0.3">
      <c r="A123" s="149">
        <f>'BASE MAESTRA'!B129</f>
        <v>121</v>
      </c>
      <c r="B123" s="150">
        <f t="shared" si="5"/>
        <v>121</v>
      </c>
      <c r="C123" s="150">
        <f t="shared" ref="C123:E136" si="8">VLOOKUP($A123,DatosEspecies,C$2,FALSE)</f>
        <v>0</v>
      </c>
      <c r="D123" s="150">
        <f t="shared" si="8"/>
        <v>0</v>
      </c>
      <c r="E123" s="150">
        <f t="shared" si="8"/>
        <v>0</v>
      </c>
    </row>
    <row r="124" spans="1:5" x14ac:dyDescent="0.3">
      <c r="A124" s="149">
        <f>'BASE MAESTRA'!B130</f>
        <v>122</v>
      </c>
      <c r="B124" s="150">
        <f t="shared" si="5"/>
        <v>122</v>
      </c>
      <c r="C124" s="150">
        <f t="shared" si="8"/>
        <v>0</v>
      </c>
      <c r="D124" s="150">
        <f t="shared" si="8"/>
        <v>0</v>
      </c>
      <c r="E124" s="150">
        <f t="shared" si="8"/>
        <v>0</v>
      </c>
    </row>
    <row r="125" spans="1:5" x14ac:dyDescent="0.3">
      <c r="A125" s="149">
        <f>'BASE MAESTRA'!B131</f>
        <v>123</v>
      </c>
      <c r="B125" s="150">
        <f t="shared" si="5"/>
        <v>123</v>
      </c>
      <c r="C125" s="150">
        <f t="shared" si="8"/>
        <v>0</v>
      </c>
      <c r="D125" s="150">
        <f t="shared" si="8"/>
        <v>0</v>
      </c>
      <c r="E125" s="150">
        <f t="shared" si="8"/>
        <v>0</v>
      </c>
    </row>
    <row r="126" spans="1:5" x14ac:dyDescent="0.3">
      <c r="A126" s="149">
        <f>'BASE MAESTRA'!B132</f>
        <v>124</v>
      </c>
      <c r="B126" s="150">
        <f t="shared" si="5"/>
        <v>124</v>
      </c>
      <c r="C126" s="150">
        <f t="shared" si="8"/>
        <v>0</v>
      </c>
      <c r="D126" s="150">
        <f t="shared" si="8"/>
        <v>0</v>
      </c>
      <c r="E126" s="150">
        <f t="shared" si="8"/>
        <v>0</v>
      </c>
    </row>
    <row r="127" spans="1:5" x14ac:dyDescent="0.3">
      <c r="A127" s="149">
        <f>'BASE MAESTRA'!B133</f>
        <v>125</v>
      </c>
      <c r="B127" s="150">
        <f t="shared" si="5"/>
        <v>125</v>
      </c>
      <c r="C127" s="150">
        <f t="shared" si="8"/>
        <v>0</v>
      </c>
      <c r="D127" s="150">
        <f t="shared" si="8"/>
        <v>0</v>
      </c>
      <c r="E127" s="150">
        <f t="shared" si="8"/>
        <v>0</v>
      </c>
    </row>
    <row r="128" spans="1:5" x14ac:dyDescent="0.3">
      <c r="A128" s="149">
        <f>'BASE MAESTRA'!B134</f>
        <v>126</v>
      </c>
      <c r="B128" s="150">
        <f t="shared" si="5"/>
        <v>126</v>
      </c>
      <c r="C128" s="150">
        <f t="shared" si="8"/>
        <v>0</v>
      </c>
      <c r="D128" s="150">
        <f t="shared" si="8"/>
        <v>0</v>
      </c>
      <c r="E128" s="150">
        <f t="shared" si="8"/>
        <v>0</v>
      </c>
    </row>
    <row r="129" spans="1:5" x14ac:dyDescent="0.3">
      <c r="A129" s="149">
        <f>'BASE MAESTRA'!B135</f>
        <v>127</v>
      </c>
      <c r="B129" s="150">
        <f t="shared" si="5"/>
        <v>127</v>
      </c>
      <c r="C129" s="150">
        <f t="shared" si="8"/>
        <v>0</v>
      </c>
      <c r="D129" s="150">
        <f t="shared" si="8"/>
        <v>0</v>
      </c>
      <c r="E129" s="150">
        <f t="shared" si="8"/>
        <v>0</v>
      </c>
    </row>
    <row r="130" spans="1:5" x14ac:dyDescent="0.3">
      <c r="A130" s="149">
        <f>'BASE MAESTRA'!B136</f>
        <v>128</v>
      </c>
      <c r="B130" s="150">
        <f t="shared" si="5"/>
        <v>128</v>
      </c>
      <c r="C130" s="150">
        <f t="shared" si="8"/>
        <v>0</v>
      </c>
      <c r="D130" s="150">
        <f t="shared" si="8"/>
        <v>0</v>
      </c>
      <c r="E130" s="150">
        <f t="shared" si="8"/>
        <v>0</v>
      </c>
    </row>
    <row r="131" spans="1:5" x14ac:dyDescent="0.3">
      <c r="A131" s="149">
        <f>'BASE MAESTRA'!B137</f>
        <v>129</v>
      </c>
      <c r="B131" s="150">
        <f t="shared" si="5"/>
        <v>129</v>
      </c>
      <c r="C131" s="150">
        <f t="shared" si="8"/>
        <v>0</v>
      </c>
      <c r="D131" s="150">
        <f t="shared" si="8"/>
        <v>0</v>
      </c>
      <c r="E131" s="150">
        <f t="shared" si="8"/>
        <v>0</v>
      </c>
    </row>
    <row r="132" spans="1:5" x14ac:dyDescent="0.3">
      <c r="A132" s="149">
        <f>'BASE MAESTRA'!B138</f>
        <v>130</v>
      </c>
      <c r="B132" s="150">
        <f t="shared" si="5"/>
        <v>130</v>
      </c>
      <c r="C132" s="150">
        <f t="shared" si="8"/>
        <v>0</v>
      </c>
      <c r="D132" s="150">
        <f t="shared" si="8"/>
        <v>0</v>
      </c>
      <c r="E132" s="150">
        <f t="shared" si="8"/>
        <v>0</v>
      </c>
    </row>
    <row r="133" spans="1:5" x14ac:dyDescent="0.3">
      <c r="A133" s="149">
        <f>'BASE MAESTRA'!B139</f>
        <v>131</v>
      </c>
      <c r="B133" s="150">
        <f t="shared" ref="B133:B196" si="9">A133</f>
        <v>131</v>
      </c>
      <c r="C133" s="150">
        <f t="shared" si="8"/>
        <v>0</v>
      </c>
      <c r="D133" s="150">
        <f t="shared" si="8"/>
        <v>0</v>
      </c>
      <c r="E133" s="150">
        <f t="shared" si="8"/>
        <v>0</v>
      </c>
    </row>
    <row r="134" spans="1:5" x14ac:dyDescent="0.3">
      <c r="A134" s="149">
        <f>'BASE MAESTRA'!B140</f>
        <v>132</v>
      </c>
      <c r="B134" s="150">
        <f t="shared" si="9"/>
        <v>132</v>
      </c>
      <c r="C134" s="150">
        <f t="shared" si="8"/>
        <v>0</v>
      </c>
      <c r="D134" s="150">
        <f t="shared" si="8"/>
        <v>0</v>
      </c>
      <c r="E134" s="150">
        <f t="shared" si="8"/>
        <v>0</v>
      </c>
    </row>
    <row r="135" spans="1:5" x14ac:dyDescent="0.3">
      <c r="A135" s="149">
        <f>'BASE MAESTRA'!B141</f>
        <v>133</v>
      </c>
      <c r="B135" s="150">
        <f t="shared" si="9"/>
        <v>133</v>
      </c>
      <c r="C135" s="150">
        <f t="shared" si="8"/>
        <v>0</v>
      </c>
      <c r="D135" s="150">
        <f t="shared" si="8"/>
        <v>0</v>
      </c>
      <c r="E135" s="150">
        <f t="shared" si="8"/>
        <v>0</v>
      </c>
    </row>
    <row r="136" spans="1:5" x14ac:dyDescent="0.3">
      <c r="A136" s="149">
        <f>'BASE MAESTRA'!B142</f>
        <v>134</v>
      </c>
      <c r="B136" s="150">
        <f t="shared" si="9"/>
        <v>134</v>
      </c>
      <c r="C136" s="150">
        <f t="shared" si="8"/>
        <v>0</v>
      </c>
      <c r="D136" s="150">
        <f t="shared" si="8"/>
        <v>0</v>
      </c>
      <c r="E136" s="150">
        <f t="shared" si="8"/>
        <v>0</v>
      </c>
    </row>
    <row r="137" spans="1:5" x14ac:dyDescent="0.3">
      <c r="A137" s="149">
        <f>'BASE MAESTRA'!B143</f>
        <v>135</v>
      </c>
      <c r="B137" s="150">
        <f t="shared" si="9"/>
        <v>135</v>
      </c>
      <c r="C137" s="150">
        <f t="shared" ref="C137:E143" si="10">VLOOKUP($A137,DatosEspecies,C$2,FALSE)</f>
        <v>0</v>
      </c>
      <c r="D137" s="150">
        <f t="shared" si="10"/>
        <v>0</v>
      </c>
      <c r="E137" s="150">
        <f t="shared" si="10"/>
        <v>0</v>
      </c>
    </row>
    <row r="138" spans="1:5" x14ac:dyDescent="0.3">
      <c r="A138" s="149">
        <f>'BASE MAESTRA'!B144</f>
        <v>136</v>
      </c>
      <c r="B138" s="150">
        <f t="shared" si="9"/>
        <v>136</v>
      </c>
      <c r="C138" s="150">
        <f t="shared" si="10"/>
        <v>0</v>
      </c>
      <c r="D138" s="150">
        <f t="shared" si="10"/>
        <v>0</v>
      </c>
      <c r="E138" s="150">
        <f t="shared" si="10"/>
        <v>0</v>
      </c>
    </row>
    <row r="139" spans="1:5" x14ac:dyDescent="0.3">
      <c r="A139" s="149">
        <f>'BASE MAESTRA'!B145</f>
        <v>137</v>
      </c>
      <c r="B139" s="150">
        <f t="shared" si="9"/>
        <v>137</v>
      </c>
      <c r="C139" s="150">
        <f t="shared" si="10"/>
        <v>0</v>
      </c>
      <c r="D139" s="150">
        <f t="shared" si="10"/>
        <v>0</v>
      </c>
      <c r="E139" s="150">
        <f t="shared" si="10"/>
        <v>0</v>
      </c>
    </row>
    <row r="140" spans="1:5" x14ac:dyDescent="0.3">
      <c r="A140" s="149">
        <f>'BASE MAESTRA'!B146</f>
        <v>138</v>
      </c>
      <c r="B140" s="150">
        <f t="shared" si="9"/>
        <v>138</v>
      </c>
      <c r="C140" s="150">
        <f t="shared" si="10"/>
        <v>0</v>
      </c>
      <c r="D140" s="150">
        <f t="shared" si="10"/>
        <v>0</v>
      </c>
      <c r="E140" s="150">
        <f t="shared" si="10"/>
        <v>0</v>
      </c>
    </row>
    <row r="141" spans="1:5" x14ac:dyDescent="0.3">
      <c r="A141" s="149">
        <f>'BASE MAESTRA'!B147</f>
        <v>139</v>
      </c>
      <c r="B141" s="150">
        <f t="shared" si="9"/>
        <v>139</v>
      </c>
      <c r="C141" s="150">
        <f t="shared" si="10"/>
        <v>0</v>
      </c>
      <c r="D141" s="150">
        <f t="shared" si="10"/>
        <v>0</v>
      </c>
      <c r="E141" s="150">
        <f t="shared" si="10"/>
        <v>0</v>
      </c>
    </row>
    <row r="142" spans="1:5" x14ac:dyDescent="0.3">
      <c r="A142" s="149">
        <f>'BASE MAESTRA'!B148</f>
        <v>140</v>
      </c>
      <c r="B142" s="150">
        <f t="shared" si="9"/>
        <v>140</v>
      </c>
      <c r="C142" s="150">
        <f t="shared" si="10"/>
        <v>0</v>
      </c>
      <c r="D142" s="150">
        <f t="shared" si="10"/>
        <v>0</v>
      </c>
      <c r="E142" s="150">
        <f t="shared" si="10"/>
        <v>0</v>
      </c>
    </row>
    <row r="143" spans="1:5" x14ac:dyDescent="0.3">
      <c r="A143" s="149">
        <f>'BASE MAESTRA'!B149</f>
        <v>141</v>
      </c>
      <c r="B143" s="150">
        <f t="shared" si="9"/>
        <v>141</v>
      </c>
      <c r="C143" s="150">
        <f t="shared" si="10"/>
        <v>0</v>
      </c>
      <c r="D143" s="150">
        <f t="shared" si="10"/>
        <v>0</v>
      </c>
      <c r="E143" s="150">
        <f t="shared" si="10"/>
        <v>0</v>
      </c>
    </row>
    <row r="144" spans="1:5" x14ac:dyDescent="0.3">
      <c r="A144" s="149">
        <f>'BASE MAESTRA'!B150</f>
        <v>142</v>
      </c>
      <c r="B144" s="150">
        <f t="shared" si="9"/>
        <v>142</v>
      </c>
      <c r="C144" s="150">
        <f t="shared" ref="C144:E202" si="11">VLOOKUP($A144,DatosEspecies,C$2,FALSE)</f>
        <v>0</v>
      </c>
      <c r="D144" s="150">
        <f t="shared" si="11"/>
        <v>0</v>
      </c>
      <c r="E144" s="150">
        <f t="shared" si="11"/>
        <v>0</v>
      </c>
    </row>
    <row r="145" spans="1:5" x14ac:dyDescent="0.3">
      <c r="A145" s="149">
        <f>'BASE MAESTRA'!B151</f>
        <v>143</v>
      </c>
      <c r="B145" s="150">
        <f t="shared" si="9"/>
        <v>143</v>
      </c>
      <c r="C145" s="150">
        <f t="shared" si="11"/>
        <v>0</v>
      </c>
      <c r="D145" s="150">
        <f t="shared" si="11"/>
        <v>0</v>
      </c>
      <c r="E145" s="150">
        <f t="shared" si="11"/>
        <v>0</v>
      </c>
    </row>
    <row r="146" spans="1:5" x14ac:dyDescent="0.3">
      <c r="A146" s="149">
        <f>'BASE MAESTRA'!B152</f>
        <v>144</v>
      </c>
      <c r="B146" s="150">
        <f t="shared" si="9"/>
        <v>144</v>
      </c>
      <c r="C146" s="150">
        <f t="shared" si="11"/>
        <v>0</v>
      </c>
      <c r="D146" s="150">
        <f t="shared" si="11"/>
        <v>0</v>
      </c>
      <c r="E146" s="150">
        <f t="shared" si="11"/>
        <v>0</v>
      </c>
    </row>
    <row r="147" spans="1:5" x14ac:dyDescent="0.3">
      <c r="A147" s="149">
        <f>'BASE MAESTRA'!B153</f>
        <v>145</v>
      </c>
      <c r="B147" s="150">
        <f t="shared" si="9"/>
        <v>145</v>
      </c>
      <c r="C147" s="150">
        <f t="shared" si="11"/>
        <v>0</v>
      </c>
      <c r="D147" s="150">
        <f t="shared" si="11"/>
        <v>0</v>
      </c>
      <c r="E147" s="150">
        <f t="shared" si="11"/>
        <v>0</v>
      </c>
    </row>
    <row r="148" spans="1:5" x14ac:dyDescent="0.3">
      <c r="A148" s="149">
        <f>'BASE MAESTRA'!B154</f>
        <v>146</v>
      </c>
      <c r="B148" s="150">
        <f t="shared" si="9"/>
        <v>146</v>
      </c>
      <c r="C148" s="150">
        <f t="shared" si="11"/>
        <v>0</v>
      </c>
      <c r="D148" s="150">
        <f t="shared" si="11"/>
        <v>0</v>
      </c>
      <c r="E148" s="150">
        <f t="shared" si="11"/>
        <v>0</v>
      </c>
    </row>
    <row r="149" spans="1:5" x14ac:dyDescent="0.3">
      <c r="A149" s="149">
        <f>'BASE MAESTRA'!B155</f>
        <v>147</v>
      </c>
      <c r="B149" s="150">
        <f t="shared" si="9"/>
        <v>147</v>
      </c>
      <c r="C149" s="150">
        <f t="shared" si="11"/>
        <v>0</v>
      </c>
      <c r="D149" s="150">
        <f t="shared" si="11"/>
        <v>0</v>
      </c>
      <c r="E149" s="150">
        <f t="shared" si="11"/>
        <v>0</v>
      </c>
    </row>
    <row r="150" spans="1:5" x14ac:dyDescent="0.3">
      <c r="A150" s="149">
        <f>'BASE MAESTRA'!B156</f>
        <v>148</v>
      </c>
      <c r="B150" s="150">
        <f t="shared" si="9"/>
        <v>148</v>
      </c>
      <c r="C150" s="150">
        <f t="shared" si="11"/>
        <v>0</v>
      </c>
      <c r="D150" s="150">
        <f t="shared" si="11"/>
        <v>0</v>
      </c>
      <c r="E150" s="150">
        <f t="shared" si="11"/>
        <v>0</v>
      </c>
    </row>
    <row r="151" spans="1:5" x14ac:dyDescent="0.3">
      <c r="A151" s="149">
        <f>'BASE MAESTRA'!B157</f>
        <v>149</v>
      </c>
      <c r="B151" s="150">
        <f t="shared" si="9"/>
        <v>149</v>
      </c>
      <c r="C151" s="150">
        <f t="shared" si="11"/>
        <v>0</v>
      </c>
      <c r="D151" s="150">
        <f t="shared" si="11"/>
        <v>0</v>
      </c>
      <c r="E151" s="150">
        <f t="shared" si="11"/>
        <v>0</v>
      </c>
    </row>
    <row r="152" spans="1:5" x14ac:dyDescent="0.3">
      <c r="A152" s="149">
        <f>'BASE MAESTRA'!B158</f>
        <v>150</v>
      </c>
      <c r="B152" s="150">
        <f t="shared" si="9"/>
        <v>150</v>
      </c>
      <c r="C152" s="150">
        <f t="shared" si="11"/>
        <v>0</v>
      </c>
      <c r="D152" s="150">
        <f t="shared" si="11"/>
        <v>0</v>
      </c>
      <c r="E152" s="150">
        <f t="shared" si="11"/>
        <v>0</v>
      </c>
    </row>
    <row r="153" spans="1:5" x14ac:dyDescent="0.3">
      <c r="A153" s="149">
        <f>'BASE MAESTRA'!B159</f>
        <v>151</v>
      </c>
      <c r="B153" s="150">
        <f t="shared" si="9"/>
        <v>151</v>
      </c>
      <c r="C153" s="150">
        <f t="shared" si="11"/>
        <v>0</v>
      </c>
      <c r="D153" s="150">
        <f t="shared" si="11"/>
        <v>0</v>
      </c>
      <c r="E153" s="150">
        <f t="shared" si="11"/>
        <v>0</v>
      </c>
    </row>
    <row r="154" spans="1:5" x14ac:dyDescent="0.3">
      <c r="A154" s="149">
        <f>'BASE MAESTRA'!B160</f>
        <v>152</v>
      </c>
      <c r="B154" s="150">
        <f t="shared" si="9"/>
        <v>152</v>
      </c>
      <c r="C154" s="150">
        <f t="shared" si="11"/>
        <v>0</v>
      </c>
      <c r="D154" s="150">
        <f t="shared" si="11"/>
        <v>0</v>
      </c>
      <c r="E154" s="150">
        <f t="shared" si="11"/>
        <v>0</v>
      </c>
    </row>
    <row r="155" spans="1:5" x14ac:dyDescent="0.3">
      <c r="A155" s="149">
        <f>'BASE MAESTRA'!B161</f>
        <v>153</v>
      </c>
      <c r="B155" s="150">
        <f t="shared" si="9"/>
        <v>153</v>
      </c>
      <c r="C155" s="150">
        <f t="shared" si="11"/>
        <v>0</v>
      </c>
      <c r="D155" s="150">
        <f t="shared" si="11"/>
        <v>0</v>
      </c>
      <c r="E155" s="150">
        <f t="shared" si="11"/>
        <v>0</v>
      </c>
    </row>
    <row r="156" spans="1:5" x14ac:dyDescent="0.3">
      <c r="A156" s="149">
        <f>'BASE MAESTRA'!B162</f>
        <v>154</v>
      </c>
      <c r="B156" s="150">
        <f t="shared" si="9"/>
        <v>154</v>
      </c>
      <c r="C156" s="150">
        <f t="shared" si="11"/>
        <v>0</v>
      </c>
      <c r="D156" s="150">
        <f t="shared" si="11"/>
        <v>0</v>
      </c>
      <c r="E156" s="150">
        <f t="shared" si="11"/>
        <v>0</v>
      </c>
    </row>
    <row r="157" spans="1:5" x14ac:dyDescent="0.3">
      <c r="A157" s="149">
        <f>'BASE MAESTRA'!B163</f>
        <v>155</v>
      </c>
      <c r="B157" s="150">
        <f t="shared" si="9"/>
        <v>155</v>
      </c>
      <c r="C157" s="150">
        <f t="shared" si="11"/>
        <v>0</v>
      </c>
      <c r="D157" s="150">
        <f t="shared" si="11"/>
        <v>0</v>
      </c>
      <c r="E157" s="150">
        <f t="shared" si="11"/>
        <v>0</v>
      </c>
    </row>
    <row r="158" spans="1:5" x14ac:dyDescent="0.3">
      <c r="A158" s="149">
        <f>'BASE MAESTRA'!B164</f>
        <v>156</v>
      </c>
      <c r="B158" s="150">
        <f t="shared" si="9"/>
        <v>156</v>
      </c>
      <c r="C158" s="150">
        <f t="shared" si="11"/>
        <v>0</v>
      </c>
      <c r="D158" s="150">
        <f t="shared" si="11"/>
        <v>0</v>
      </c>
      <c r="E158" s="150">
        <f t="shared" si="11"/>
        <v>0</v>
      </c>
    </row>
    <row r="159" spans="1:5" x14ac:dyDescent="0.3">
      <c r="A159" s="149">
        <f>'BASE MAESTRA'!B165</f>
        <v>157</v>
      </c>
      <c r="B159" s="150">
        <f t="shared" si="9"/>
        <v>157</v>
      </c>
      <c r="C159" s="150">
        <f t="shared" si="11"/>
        <v>0</v>
      </c>
      <c r="D159" s="150">
        <f t="shared" si="11"/>
        <v>0</v>
      </c>
      <c r="E159" s="150">
        <f t="shared" si="11"/>
        <v>0</v>
      </c>
    </row>
    <row r="160" spans="1:5" x14ac:dyDescent="0.3">
      <c r="A160" s="149">
        <f>'BASE MAESTRA'!B166</f>
        <v>158</v>
      </c>
      <c r="B160" s="150">
        <f t="shared" si="9"/>
        <v>158</v>
      </c>
      <c r="C160" s="150">
        <f t="shared" si="11"/>
        <v>0</v>
      </c>
      <c r="D160" s="150">
        <f t="shared" si="11"/>
        <v>0</v>
      </c>
      <c r="E160" s="150">
        <f t="shared" si="11"/>
        <v>0</v>
      </c>
    </row>
    <row r="161" spans="1:5" x14ac:dyDescent="0.3">
      <c r="A161" s="149">
        <f>'BASE MAESTRA'!B167</f>
        <v>159</v>
      </c>
      <c r="B161" s="150">
        <f t="shared" si="9"/>
        <v>159</v>
      </c>
      <c r="C161" s="150">
        <f t="shared" si="11"/>
        <v>0</v>
      </c>
      <c r="D161" s="150">
        <f t="shared" si="11"/>
        <v>0</v>
      </c>
      <c r="E161" s="150">
        <f t="shared" si="11"/>
        <v>0</v>
      </c>
    </row>
    <row r="162" spans="1:5" x14ac:dyDescent="0.3">
      <c r="A162" s="149">
        <f>'BASE MAESTRA'!B168</f>
        <v>160</v>
      </c>
      <c r="B162" s="150">
        <f t="shared" si="9"/>
        <v>160</v>
      </c>
      <c r="C162" s="150">
        <f t="shared" si="11"/>
        <v>0</v>
      </c>
      <c r="D162" s="150">
        <f t="shared" si="11"/>
        <v>0</v>
      </c>
      <c r="E162" s="150">
        <f t="shared" si="11"/>
        <v>0</v>
      </c>
    </row>
    <row r="163" spans="1:5" x14ac:dyDescent="0.3">
      <c r="A163" s="149">
        <f>'BASE MAESTRA'!B169</f>
        <v>161</v>
      </c>
      <c r="B163" s="150">
        <f t="shared" si="9"/>
        <v>161</v>
      </c>
      <c r="C163" s="150">
        <f t="shared" si="11"/>
        <v>0</v>
      </c>
      <c r="D163" s="150">
        <f t="shared" si="11"/>
        <v>0</v>
      </c>
      <c r="E163" s="150">
        <f t="shared" si="11"/>
        <v>0</v>
      </c>
    </row>
    <row r="164" spans="1:5" x14ac:dyDescent="0.3">
      <c r="A164" s="149">
        <f>'BASE MAESTRA'!B170</f>
        <v>162</v>
      </c>
      <c r="B164" s="150">
        <f t="shared" si="9"/>
        <v>162</v>
      </c>
      <c r="C164" s="150">
        <f t="shared" si="11"/>
        <v>0</v>
      </c>
      <c r="D164" s="150">
        <f t="shared" si="11"/>
        <v>0</v>
      </c>
      <c r="E164" s="150">
        <f t="shared" si="11"/>
        <v>0</v>
      </c>
    </row>
    <row r="165" spans="1:5" x14ac:dyDescent="0.3">
      <c r="A165" s="149">
        <f>'BASE MAESTRA'!B171</f>
        <v>163</v>
      </c>
      <c r="B165" s="150">
        <f t="shared" si="9"/>
        <v>163</v>
      </c>
      <c r="C165" s="150">
        <f t="shared" si="11"/>
        <v>0</v>
      </c>
      <c r="D165" s="150">
        <f t="shared" si="11"/>
        <v>0</v>
      </c>
      <c r="E165" s="150">
        <f t="shared" si="11"/>
        <v>0</v>
      </c>
    </row>
    <row r="166" spans="1:5" x14ac:dyDescent="0.3">
      <c r="A166" s="149">
        <f>'BASE MAESTRA'!B172</f>
        <v>164</v>
      </c>
      <c r="B166" s="150">
        <f t="shared" si="9"/>
        <v>164</v>
      </c>
      <c r="C166" s="150">
        <f t="shared" si="11"/>
        <v>0</v>
      </c>
      <c r="D166" s="150">
        <f t="shared" si="11"/>
        <v>0</v>
      </c>
      <c r="E166" s="150">
        <f t="shared" si="11"/>
        <v>0</v>
      </c>
    </row>
    <row r="167" spans="1:5" x14ac:dyDescent="0.3">
      <c r="A167" s="149">
        <f>'BASE MAESTRA'!B173</f>
        <v>165</v>
      </c>
      <c r="B167" s="150">
        <f t="shared" si="9"/>
        <v>165</v>
      </c>
      <c r="C167" s="150">
        <f t="shared" si="11"/>
        <v>0</v>
      </c>
      <c r="D167" s="150">
        <f t="shared" si="11"/>
        <v>0</v>
      </c>
      <c r="E167" s="150">
        <f t="shared" si="11"/>
        <v>0</v>
      </c>
    </row>
    <row r="168" spans="1:5" x14ac:dyDescent="0.3">
      <c r="A168" s="149">
        <f>'BASE MAESTRA'!B174</f>
        <v>166</v>
      </c>
      <c r="B168" s="150">
        <f t="shared" si="9"/>
        <v>166</v>
      </c>
      <c r="C168" s="150">
        <f t="shared" si="11"/>
        <v>0</v>
      </c>
      <c r="D168" s="150">
        <f t="shared" si="11"/>
        <v>0</v>
      </c>
      <c r="E168" s="150">
        <f t="shared" si="11"/>
        <v>0</v>
      </c>
    </row>
    <row r="169" spans="1:5" x14ac:dyDescent="0.3">
      <c r="A169" s="149">
        <f>'BASE MAESTRA'!B175</f>
        <v>167</v>
      </c>
      <c r="B169" s="150">
        <f t="shared" si="9"/>
        <v>167</v>
      </c>
      <c r="C169" s="150">
        <f t="shared" si="11"/>
        <v>0</v>
      </c>
      <c r="D169" s="150">
        <f t="shared" si="11"/>
        <v>0</v>
      </c>
      <c r="E169" s="150">
        <f t="shared" si="11"/>
        <v>0</v>
      </c>
    </row>
    <row r="170" spans="1:5" x14ac:dyDescent="0.3">
      <c r="A170" s="149">
        <f>'BASE MAESTRA'!B176</f>
        <v>168</v>
      </c>
      <c r="B170" s="150">
        <f t="shared" si="9"/>
        <v>168</v>
      </c>
      <c r="C170" s="150">
        <f t="shared" si="11"/>
        <v>0</v>
      </c>
      <c r="D170" s="150">
        <f t="shared" si="11"/>
        <v>0</v>
      </c>
      <c r="E170" s="150">
        <f t="shared" si="11"/>
        <v>0</v>
      </c>
    </row>
    <row r="171" spans="1:5" x14ac:dyDescent="0.3">
      <c r="A171" s="149">
        <f>'BASE MAESTRA'!B177</f>
        <v>169</v>
      </c>
      <c r="B171" s="150">
        <f t="shared" si="9"/>
        <v>169</v>
      </c>
      <c r="C171" s="150">
        <f t="shared" si="11"/>
        <v>0</v>
      </c>
      <c r="D171" s="150">
        <f t="shared" si="11"/>
        <v>0</v>
      </c>
      <c r="E171" s="150">
        <f t="shared" si="11"/>
        <v>0</v>
      </c>
    </row>
    <row r="172" spans="1:5" x14ac:dyDescent="0.3">
      <c r="A172" s="149">
        <f>'BASE MAESTRA'!B178</f>
        <v>170</v>
      </c>
      <c r="B172" s="150">
        <f t="shared" si="9"/>
        <v>170</v>
      </c>
      <c r="C172" s="150">
        <f t="shared" si="11"/>
        <v>0</v>
      </c>
      <c r="D172" s="150">
        <f t="shared" si="11"/>
        <v>0</v>
      </c>
      <c r="E172" s="150">
        <f t="shared" si="11"/>
        <v>0</v>
      </c>
    </row>
    <row r="173" spans="1:5" x14ac:dyDescent="0.3">
      <c r="A173" s="149">
        <f>'BASE MAESTRA'!B179</f>
        <v>171</v>
      </c>
      <c r="B173" s="150">
        <f t="shared" si="9"/>
        <v>171</v>
      </c>
      <c r="C173" s="150">
        <f t="shared" si="11"/>
        <v>0</v>
      </c>
      <c r="D173" s="150">
        <f t="shared" si="11"/>
        <v>0</v>
      </c>
      <c r="E173" s="150">
        <f t="shared" si="11"/>
        <v>0</v>
      </c>
    </row>
    <row r="174" spans="1:5" x14ac:dyDescent="0.3">
      <c r="A174" s="149">
        <f>'BASE MAESTRA'!B180</f>
        <v>172</v>
      </c>
      <c r="B174" s="150">
        <f t="shared" si="9"/>
        <v>172</v>
      </c>
      <c r="C174" s="150">
        <f t="shared" si="11"/>
        <v>0</v>
      </c>
      <c r="D174" s="150">
        <f t="shared" si="11"/>
        <v>0</v>
      </c>
      <c r="E174" s="150">
        <f t="shared" si="11"/>
        <v>0</v>
      </c>
    </row>
    <row r="175" spans="1:5" x14ac:dyDescent="0.3">
      <c r="A175" s="149">
        <f>'BASE MAESTRA'!B181</f>
        <v>173</v>
      </c>
      <c r="B175" s="150">
        <f t="shared" si="9"/>
        <v>173</v>
      </c>
      <c r="C175" s="150">
        <f t="shared" si="11"/>
        <v>0</v>
      </c>
      <c r="D175" s="150">
        <f t="shared" si="11"/>
        <v>0</v>
      </c>
      <c r="E175" s="150">
        <f t="shared" si="11"/>
        <v>0</v>
      </c>
    </row>
    <row r="176" spans="1:5" x14ac:dyDescent="0.3">
      <c r="A176" s="149">
        <f>'BASE MAESTRA'!B182</f>
        <v>174</v>
      </c>
      <c r="B176" s="150">
        <f t="shared" si="9"/>
        <v>174</v>
      </c>
      <c r="C176" s="150">
        <f t="shared" si="11"/>
        <v>0</v>
      </c>
      <c r="D176" s="150">
        <f t="shared" si="11"/>
        <v>0</v>
      </c>
      <c r="E176" s="150">
        <f t="shared" si="11"/>
        <v>0</v>
      </c>
    </row>
    <row r="177" spans="1:5" x14ac:dyDescent="0.3">
      <c r="A177" s="149">
        <f>'BASE MAESTRA'!B183</f>
        <v>175</v>
      </c>
      <c r="B177" s="150">
        <f t="shared" si="9"/>
        <v>175</v>
      </c>
      <c r="C177" s="150">
        <f t="shared" si="11"/>
        <v>0</v>
      </c>
      <c r="D177" s="150">
        <f t="shared" si="11"/>
        <v>0</v>
      </c>
      <c r="E177" s="150">
        <f t="shared" si="11"/>
        <v>0</v>
      </c>
    </row>
    <row r="178" spans="1:5" x14ac:dyDescent="0.3">
      <c r="A178" s="149">
        <f>'BASE MAESTRA'!B184</f>
        <v>176</v>
      </c>
      <c r="B178" s="150">
        <f t="shared" si="9"/>
        <v>176</v>
      </c>
      <c r="C178" s="150">
        <f t="shared" si="11"/>
        <v>0</v>
      </c>
      <c r="D178" s="150">
        <f t="shared" si="11"/>
        <v>0</v>
      </c>
      <c r="E178" s="150">
        <f t="shared" si="11"/>
        <v>0</v>
      </c>
    </row>
    <row r="179" spans="1:5" x14ac:dyDescent="0.3">
      <c r="A179" s="149">
        <f>'BASE MAESTRA'!B185</f>
        <v>177</v>
      </c>
      <c r="B179" s="150">
        <f t="shared" si="9"/>
        <v>177</v>
      </c>
      <c r="C179" s="150">
        <f t="shared" si="11"/>
        <v>0</v>
      </c>
      <c r="D179" s="150">
        <f t="shared" si="11"/>
        <v>0</v>
      </c>
      <c r="E179" s="150">
        <f t="shared" si="11"/>
        <v>0</v>
      </c>
    </row>
    <row r="180" spans="1:5" x14ac:dyDescent="0.3">
      <c r="A180" s="149">
        <f>'BASE MAESTRA'!B186</f>
        <v>178</v>
      </c>
      <c r="B180" s="150">
        <f t="shared" si="9"/>
        <v>178</v>
      </c>
      <c r="C180" s="150">
        <f t="shared" si="11"/>
        <v>0</v>
      </c>
      <c r="D180" s="150">
        <f t="shared" si="11"/>
        <v>0</v>
      </c>
      <c r="E180" s="150">
        <f t="shared" si="11"/>
        <v>0</v>
      </c>
    </row>
    <row r="181" spans="1:5" x14ac:dyDescent="0.3">
      <c r="A181" s="149">
        <f>'BASE MAESTRA'!B187</f>
        <v>179</v>
      </c>
      <c r="B181" s="150">
        <f t="shared" si="9"/>
        <v>179</v>
      </c>
      <c r="C181" s="150">
        <f t="shared" si="11"/>
        <v>0</v>
      </c>
      <c r="D181" s="150">
        <f t="shared" si="11"/>
        <v>0</v>
      </c>
      <c r="E181" s="150">
        <f t="shared" si="11"/>
        <v>0</v>
      </c>
    </row>
    <row r="182" spans="1:5" x14ac:dyDescent="0.3">
      <c r="A182" s="149">
        <f>'BASE MAESTRA'!B188</f>
        <v>180</v>
      </c>
      <c r="B182" s="150">
        <f t="shared" si="9"/>
        <v>180</v>
      </c>
      <c r="C182" s="150">
        <f t="shared" si="11"/>
        <v>0</v>
      </c>
      <c r="D182" s="150">
        <f t="shared" si="11"/>
        <v>0</v>
      </c>
      <c r="E182" s="150">
        <f t="shared" si="11"/>
        <v>0</v>
      </c>
    </row>
    <row r="183" spans="1:5" x14ac:dyDescent="0.3">
      <c r="A183" s="149">
        <f>'BASE MAESTRA'!B189</f>
        <v>181</v>
      </c>
      <c r="B183" s="150">
        <f t="shared" si="9"/>
        <v>181</v>
      </c>
      <c r="C183" s="150">
        <f t="shared" si="11"/>
        <v>0</v>
      </c>
      <c r="D183" s="150">
        <f t="shared" si="11"/>
        <v>0</v>
      </c>
      <c r="E183" s="150">
        <f t="shared" si="11"/>
        <v>0</v>
      </c>
    </row>
    <row r="184" spans="1:5" x14ac:dyDescent="0.3">
      <c r="A184" s="149">
        <f>'BASE MAESTRA'!B190</f>
        <v>182</v>
      </c>
      <c r="B184" s="150">
        <f t="shared" si="9"/>
        <v>182</v>
      </c>
      <c r="C184" s="150">
        <f t="shared" si="11"/>
        <v>0</v>
      </c>
      <c r="D184" s="150">
        <f t="shared" si="11"/>
        <v>0</v>
      </c>
      <c r="E184" s="150">
        <f t="shared" si="11"/>
        <v>0</v>
      </c>
    </row>
    <row r="185" spans="1:5" x14ac:dyDescent="0.3">
      <c r="A185" s="149">
        <f>'BASE MAESTRA'!B191</f>
        <v>183</v>
      </c>
      <c r="B185" s="150">
        <f t="shared" si="9"/>
        <v>183</v>
      </c>
      <c r="C185" s="150">
        <f t="shared" si="11"/>
        <v>0</v>
      </c>
      <c r="D185" s="150">
        <f t="shared" si="11"/>
        <v>0</v>
      </c>
      <c r="E185" s="150">
        <f t="shared" si="11"/>
        <v>0</v>
      </c>
    </row>
    <row r="186" spans="1:5" x14ac:dyDescent="0.3">
      <c r="A186" s="149">
        <f>'BASE MAESTRA'!B192</f>
        <v>184</v>
      </c>
      <c r="B186" s="150">
        <f t="shared" si="9"/>
        <v>184</v>
      </c>
      <c r="C186" s="150">
        <f t="shared" si="11"/>
        <v>0</v>
      </c>
      <c r="D186" s="150">
        <f t="shared" si="11"/>
        <v>0</v>
      </c>
      <c r="E186" s="150">
        <f t="shared" si="11"/>
        <v>0</v>
      </c>
    </row>
    <row r="187" spans="1:5" x14ac:dyDescent="0.3">
      <c r="A187" s="149">
        <f>'BASE MAESTRA'!B193</f>
        <v>185</v>
      </c>
      <c r="B187" s="150">
        <f t="shared" si="9"/>
        <v>185</v>
      </c>
      <c r="C187" s="150">
        <f t="shared" si="11"/>
        <v>0</v>
      </c>
      <c r="D187" s="150">
        <f t="shared" si="11"/>
        <v>0</v>
      </c>
      <c r="E187" s="150">
        <f t="shared" si="11"/>
        <v>0</v>
      </c>
    </row>
    <row r="188" spans="1:5" x14ac:dyDescent="0.3">
      <c r="A188" s="149">
        <f>'BASE MAESTRA'!B194</f>
        <v>186</v>
      </c>
      <c r="B188" s="150">
        <f t="shared" si="9"/>
        <v>186</v>
      </c>
      <c r="C188" s="150">
        <f t="shared" si="11"/>
        <v>0</v>
      </c>
      <c r="D188" s="150">
        <f t="shared" si="11"/>
        <v>0</v>
      </c>
      <c r="E188" s="150">
        <f t="shared" si="11"/>
        <v>0</v>
      </c>
    </row>
    <row r="189" spans="1:5" x14ac:dyDescent="0.3">
      <c r="A189" s="149">
        <f>'BASE MAESTRA'!B195</f>
        <v>187</v>
      </c>
      <c r="B189" s="150">
        <f t="shared" si="9"/>
        <v>187</v>
      </c>
      <c r="C189" s="150">
        <f t="shared" si="11"/>
        <v>0</v>
      </c>
      <c r="D189" s="150">
        <f t="shared" si="11"/>
        <v>0</v>
      </c>
      <c r="E189" s="150">
        <f t="shared" si="11"/>
        <v>0</v>
      </c>
    </row>
    <row r="190" spans="1:5" x14ac:dyDescent="0.3">
      <c r="A190" s="149">
        <f>'BASE MAESTRA'!B196</f>
        <v>188</v>
      </c>
      <c r="B190" s="150">
        <f t="shared" si="9"/>
        <v>188</v>
      </c>
      <c r="C190" s="150">
        <f t="shared" si="11"/>
        <v>0</v>
      </c>
      <c r="D190" s="150">
        <f t="shared" si="11"/>
        <v>0</v>
      </c>
      <c r="E190" s="150">
        <f t="shared" si="11"/>
        <v>0</v>
      </c>
    </row>
    <row r="191" spans="1:5" x14ac:dyDescent="0.3">
      <c r="A191" s="149">
        <f>'BASE MAESTRA'!B197</f>
        <v>189</v>
      </c>
      <c r="B191" s="150">
        <f t="shared" si="9"/>
        <v>189</v>
      </c>
      <c r="C191" s="150">
        <f t="shared" si="11"/>
        <v>0</v>
      </c>
      <c r="D191" s="150">
        <f t="shared" si="11"/>
        <v>0</v>
      </c>
      <c r="E191" s="150">
        <f t="shared" si="11"/>
        <v>0</v>
      </c>
    </row>
    <row r="192" spans="1:5" x14ac:dyDescent="0.3">
      <c r="A192" s="149">
        <f>'BASE MAESTRA'!B198</f>
        <v>190</v>
      </c>
      <c r="B192" s="150">
        <f t="shared" si="9"/>
        <v>190</v>
      </c>
      <c r="C192" s="150">
        <f t="shared" si="11"/>
        <v>0</v>
      </c>
      <c r="D192" s="150">
        <f t="shared" si="11"/>
        <v>0</v>
      </c>
      <c r="E192" s="150">
        <f t="shared" si="11"/>
        <v>0</v>
      </c>
    </row>
    <row r="193" spans="1:5" x14ac:dyDescent="0.3">
      <c r="A193" s="149">
        <f>'BASE MAESTRA'!B199</f>
        <v>191</v>
      </c>
      <c r="B193" s="150">
        <f t="shared" si="9"/>
        <v>191</v>
      </c>
      <c r="C193" s="150">
        <f t="shared" si="11"/>
        <v>0</v>
      </c>
      <c r="D193" s="150">
        <f t="shared" si="11"/>
        <v>0</v>
      </c>
      <c r="E193" s="150">
        <f t="shared" si="11"/>
        <v>0</v>
      </c>
    </row>
    <row r="194" spans="1:5" x14ac:dyDescent="0.3">
      <c r="A194" s="149">
        <f>'BASE MAESTRA'!B200</f>
        <v>192</v>
      </c>
      <c r="B194" s="150">
        <f t="shared" si="9"/>
        <v>192</v>
      </c>
      <c r="C194" s="150">
        <f t="shared" si="11"/>
        <v>0</v>
      </c>
      <c r="D194" s="150">
        <f t="shared" si="11"/>
        <v>0</v>
      </c>
      <c r="E194" s="150">
        <f t="shared" si="11"/>
        <v>0</v>
      </c>
    </row>
    <row r="195" spans="1:5" x14ac:dyDescent="0.3">
      <c r="A195" s="149">
        <f>'BASE MAESTRA'!B201</f>
        <v>193</v>
      </c>
      <c r="B195" s="150">
        <f t="shared" si="9"/>
        <v>193</v>
      </c>
      <c r="C195" s="150">
        <f t="shared" si="11"/>
        <v>0</v>
      </c>
      <c r="D195" s="150">
        <f t="shared" si="11"/>
        <v>0</v>
      </c>
      <c r="E195" s="150">
        <f t="shared" si="11"/>
        <v>0</v>
      </c>
    </row>
    <row r="196" spans="1:5" x14ac:dyDescent="0.3">
      <c r="A196" s="149">
        <f>'BASE MAESTRA'!B202</f>
        <v>194</v>
      </c>
      <c r="B196" s="150">
        <f t="shared" si="9"/>
        <v>194</v>
      </c>
      <c r="C196" s="150">
        <f t="shared" si="11"/>
        <v>0</v>
      </c>
      <c r="D196" s="150">
        <f t="shared" si="11"/>
        <v>0</v>
      </c>
      <c r="E196" s="150">
        <f t="shared" si="11"/>
        <v>0</v>
      </c>
    </row>
    <row r="197" spans="1:5" x14ac:dyDescent="0.3">
      <c r="A197" s="149">
        <f>'BASE MAESTRA'!B203</f>
        <v>195</v>
      </c>
      <c r="B197" s="150">
        <f t="shared" ref="B197:B202" si="12">A197</f>
        <v>195</v>
      </c>
      <c r="C197" s="150">
        <f t="shared" si="11"/>
        <v>0</v>
      </c>
      <c r="D197" s="150">
        <f t="shared" si="11"/>
        <v>0</v>
      </c>
      <c r="E197" s="150">
        <f t="shared" si="11"/>
        <v>0</v>
      </c>
    </row>
    <row r="198" spans="1:5" x14ac:dyDescent="0.3">
      <c r="A198" s="149">
        <f>'BASE MAESTRA'!B204</f>
        <v>196</v>
      </c>
      <c r="B198" s="150">
        <f t="shared" si="12"/>
        <v>196</v>
      </c>
      <c r="C198" s="150">
        <f t="shared" si="11"/>
        <v>0</v>
      </c>
      <c r="D198" s="150">
        <f t="shared" si="11"/>
        <v>0</v>
      </c>
      <c r="E198" s="150">
        <f t="shared" si="11"/>
        <v>0</v>
      </c>
    </row>
    <row r="199" spans="1:5" x14ac:dyDescent="0.3">
      <c r="A199" s="149">
        <f>'BASE MAESTRA'!B205</f>
        <v>197</v>
      </c>
      <c r="B199" s="150">
        <f t="shared" si="12"/>
        <v>197</v>
      </c>
      <c r="C199" s="150">
        <f t="shared" si="11"/>
        <v>0</v>
      </c>
      <c r="D199" s="150">
        <f t="shared" si="11"/>
        <v>0</v>
      </c>
      <c r="E199" s="150">
        <f t="shared" si="11"/>
        <v>0</v>
      </c>
    </row>
    <row r="200" spans="1:5" x14ac:dyDescent="0.3">
      <c r="A200" s="149">
        <f>'BASE MAESTRA'!B206</f>
        <v>198</v>
      </c>
      <c r="B200" s="150">
        <f t="shared" si="12"/>
        <v>198</v>
      </c>
      <c r="C200" s="150">
        <f t="shared" si="11"/>
        <v>0</v>
      </c>
      <c r="D200" s="150">
        <f t="shared" si="11"/>
        <v>0</v>
      </c>
      <c r="E200" s="150">
        <f t="shared" si="11"/>
        <v>0</v>
      </c>
    </row>
    <row r="201" spans="1:5" x14ac:dyDescent="0.3">
      <c r="A201" s="149">
        <f>'BASE MAESTRA'!B207</f>
        <v>199</v>
      </c>
      <c r="B201" s="150">
        <f t="shared" si="12"/>
        <v>199</v>
      </c>
      <c r="C201" s="150">
        <f t="shared" si="11"/>
        <v>0</v>
      </c>
      <c r="D201" s="150">
        <f t="shared" si="11"/>
        <v>0</v>
      </c>
      <c r="E201" s="150">
        <f t="shared" si="11"/>
        <v>0</v>
      </c>
    </row>
    <row r="202" spans="1:5" x14ac:dyDescent="0.3">
      <c r="A202" s="149">
        <f>'BASE MAESTRA'!B208</f>
        <v>200</v>
      </c>
      <c r="B202" s="150">
        <f t="shared" si="12"/>
        <v>200</v>
      </c>
      <c r="C202" s="150">
        <f t="shared" si="11"/>
        <v>0</v>
      </c>
      <c r="D202" s="150">
        <f t="shared" si="11"/>
        <v>0</v>
      </c>
      <c r="E202" s="150">
        <f t="shared" si="11"/>
        <v>0</v>
      </c>
    </row>
  </sheetData>
  <customSheetViews>
    <customSheetView guid="{03A28D0E-D221-430C-9036-787CFB666EE7}">
      <selection activeCell="A3" sqref="A3:A138"/>
      <pageMargins left="0.7" right="0.7" top="0.75" bottom="0.75" header="0.3" footer="0.3"/>
      <pageSetup orientation="portrait" r:id="rId1"/>
    </customSheetView>
  </customSheetViews>
  <pageMargins left="0.7" right="0.7" top="0.75" bottom="0.75" header="0.3" footer="0.3"/>
  <pageSetup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02"/>
  <sheetViews>
    <sheetView zoomScaleNormal="100" workbookViewId="0"/>
  </sheetViews>
  <sheetFormatPr defaultColWidth="11.44140625" defaultRowHeight="13.2" x14ac:dyDescent="0.3"/>
  <cols>
    <col min="1" max="1" width="11.44140625" style="22"/>
    <col min="2" max="2" width="22.33203125" style="5" customWidth="1"/>
    <col min="3" max="3" width="20" style="5" customWidth="1"/>
    <col min="4" max="4" width="22.44140625" style="5" customWidth="1"/>
    <col min="5" max="5" width="16.109375" style="5" customWidth="1"/>
    <col min="6" max="6" width="20" style="19" customWidth="1"/>
    <col min="7" max="7" width="11" style="19"/>
    <col min="8" max="16384" width="11.44140625" style="5"/>
  </cols>
  <sheetData>
    <row r="1" spans="1:5" s="6" customFormat="1" ht="47.7" customHeight="1" x14ac:dyDescent="0.3">
      <c r="A1" s="21" t="s">
        <v>310</v>
      </c>
      <c r="B1" s="2" t="s">
        <v>276</v>
      </c>
      <c r="C1" s="2" t="s">
        <v>277</v>
      </c>
      <c r="D1" s="2" t="s">
        <v>278</v>
      </c>
      <c r="E1" s="2" t="s">
        <v>8</v>
      </c>
    </row>
    <row r="2" spans="1:5" s="22" customFormat="1" ht="27.3" customHeight="1" x14ac:dyDescent="0.3">
      <c r="A2" s="21" t="s">
        <v>323</v>
      </c>
      <c r="B2" s="21">
        <f>VLOOKUP(B1,CamposSIS,2,FALSE)</f>
        <v>78</v>
      </c>
      <c r="C2" s="21"/>
      <c r="D2" s="21"/>
      <c r="E2" s="21">
        <f>VLOOKUP(E1,CamposSIS,2,FALSE)</f>
        <v>1</v>
      </c>
    </row>
    <row r="3" spans="1:5" ht="16.8" x14ac:dyDescent="0.3">
      <c r="A3" s="70" t="str">
        <f>'BASE MAESTRA'!B7</f>
        <v>3</v>
      </c>
      <c r="B3" s="5">
        <f>VLOOKUP($A3,DatosEspecies,B$2,FALSE)</f>
        <v>0</v>
      </c>
      <c r="E3" s="5" t="str">
        <f t="shared" ref="E3:E66" si="0">VLOOKUP($A3,DatosEspecies,E$2,FALSE)</f>
        <v>3</v>
      </c>
    </row>
    <row r="4" spans="1:5" ht="16.8" x14ac:dyDescent="0.3">
      <c r="A4" s="70" t="str">
        <f>'BASE MAESTRA'!B8</f>
        <v>4</v>
      </c>
      <c r="B4" s="5">
        <f t="shared" ref="B4:B66" si="1">VLOOKUP($A4,DatosEspecies,B$2,FALSE)</f>
        <v>0</v>
      </c>
      <c r="E4" s="5" t="str">
        <f t="shared" si="0"/>
        <v>4</v>
      </c>
    </row>
    <row r="5" spans="1:5" ht="16.8" x14ac:dyDescent="0.3">
      <c r="A5" s="70" t="str">
        <f>'BASE MAESTRA'!B10</f>
        <v>6</v>
      </c>
      <c r="B5" s="5">
        <f t="shared" si="1"/>
        <v>0</v>
      </c>
      <c r="E5" s="5" t="str">
        <f t="shared" si="0"/>
        <v>6</v>
      </c>
    </row>
    <row r="6" spans="1:5" ht="16.8" x14ac:dyDescent="0.3">
      <c r="A6" s="70" t="str">
        <f>'BASE MAESTRA'!B11</f>
        <v>7</v>
      </c>
      <c r="B6" s="5">
        <f t="shared" si="1"/>
        <v>0</v>
      </c>
      <c r="E6" s="5" t="str">
        <f t="shared" si="0"/>
        <v>7</v>
      </c>
    </row>
    <row r="7" spans="1:5" ht="16.8" x14ac:dyDescent="0.3">
      <c r="A7" s="70" t="str">
        <f>'BASE MAESTRA'!B12</f>
        <v>8</v>
      </c>
      <c r="B7" s="5">
        <f t="shared" si="1"/>
        <v>0</v>
      </c>
      <c r="E7" s="5" t="str">
        <f t="shared" si="0"/>
        <v>8</v>
      </c>
    </row>
    <row r="8" spans="1:5" ht="16.8" x14ac:dyDescent="0.3">
      <c r="A8" s="70" t="str">
        <f>'BASE MAESTRA'!B13</f>
        <v>9</v>
      </c>
      <c r="B8" s="5">
        <f t="shared" si="1"/>
        <v>0</v>
      </c>
      <c r="E8" s="5" t="str">
        <f t="shared" si="0"/>
        <v>9</v>
      </c>
    </row>
    <row r="9" spans="1:5" ht="16.8" x14ac:dyDescent="0.3">
      <c r="A9" s="70" t="str">
        <f>'BASE MAESTRA'!B14</f>
        <v>10</v>
      </c>
      <c r="B9" s="5">
        <f t="shared" si="1"/>
        <v>0</v>
      </c>
      <c r="E9" s="5" t="str">
        <f t="shared" si="0"/>
        <v>10</v>
      </c>
    </row>
    <row r="10" spans="1:5" ht="16.8" x14ac:dyDescent="0.3">
      <c r="A10" s="70" t="str">
        <f>'BASE MAESTRA'!B15</f>
        <v>11</v>
      </c>
      <c r="B10" s="5">
        <f t="shared" si="1"/>
        <v>0</v>
      </c>
      <c r="E10" s="5" t="str">
        <f t="shared" si="0"/>
        <v>11</v>
      </c>
    </row>
    <row r="11" spans="1:5" ht="16.8" x14ac:dyDescent="0.3">
      <c r="A11" s="70" t="str">
        <f>'BASE MAESTRA'!B16</f>
        <v>12</v>
      </c>
      <c r="B11" s="5">
        <f t="shared" si="1"/>
        <v>0</v>
      </c>
      <c r="E11" s="5" t="str">
        <f t="shared" si="0"/>
        <v>12</v>
      </c>
    </row>
    <row r="12" spans="1:5" ht="16.8" x14ac:dyDescent="0.3">
      <c r="A12" s="70" t="str">
        <f>'BASE MAESTRA'!B17</f>
        <v>13</v>
      </c>
      <c r="B12" s="5">
        <f t="shared" si="1"/>
        <v>0</v>
      </c>
      <c r="E12" s="5" t="str">
        <f t="shared" si="0"/>
        <v>13</v>
      </c>
    </row>
    <row r="13" spans="1:5" ht="16.8" x14ac:dyDescent="0.3">
      <c r="A13" s="70" t="str">
        <f>'BASE MAESTRA'!B18</f>
        <v>14</v>
      </c>
      <c r="B13" s="5">
        <f t="shared" si="1"/>
        <v>0</v>
      </c>
      <c r="E13" s="5" t="str">
        <f t="shared" si="0"/>
        <v>14</v>
      </c>
    </row>
    <row r="14" spans="1:5" ht="16.8" x14ac:dyDescent="0.3">
      <c r="A14" s="70" t="str">
        <f>'BASE MAESTRA'!B19</f>
        <v>15</v>
      </c>
      <c r="B14" s="5">
        <f t="shared" si="1"/>
        <v>0</v>
      </c>
      <c r="E14" s="5" t="str">
        <f t="shared" si="0"/>
        <v>15</v>
      </c>
    </row>
    <row r="15" spans="1:5" ht="16.8" x14ac:dyDescent="0.3">
      <c r="A15" s="70" t="str">
        <f>'BASE MAESTRA'!B20</f>
        <v>16</v>
      </c>
      <c r="B15" s="5">
        <f t="shared" si="1"/>
        <v>0</v>
      </c>
      <c r="E15" s="5" t="str">
        <f t="shared" si="0"/>
        <v>16</v>
      </c>
    </row>
    <row r="16" spans="1:5" ht="16.8" x14ac:dyDescent="0.3">
      <c r="A16" s="70" t="str">
        <f>'BASE MAESTRA'!B21</f>
        <v>17</v>
      </c>
      <c r="B16" s="5">
        <f t="shared" si="1"/>
        <v>0</v>
      </c>
      <c r="E16" s="5" t="str">
        <f t="shared" si="0"/>
        <v>17</v>
      </c>
    </row>
    <row r="17" spans="1:5" ht="16.8" x14ac:dyDescent="0.3">
      <c r="A17" s="70" t="str">
        <f>'BASE MAESTRA'!B22</f>
        <v>18</v>
      </c>
      <c r="B17" s="5">
        <f t="shared" si="1"/>
        <v>0</v>
      </c>
      <c r="E17" s="5" t="str">
        <f t="shared" si="0"/>
        <v>18</v>
      </c>
    </row>
    <row r="18" spans="1:5" ht="16.8" x14ac:dyDescent="0.3">
      <c r="A18" s="70" t="str">
        <f>'BASE MAESTRA'!B23</f>
        <v>19</v>
      </c>
      <c r="B18" s="5">
        <f t="shared" si="1"/>
        <v>0</v>
      </c>
      <c r="E18" s="5" t="str">
        <f t="shared" si="0"/>
        <v>19</v>
      </c>
    </row>
    <row r="19" spans="1:5" ht="16.8" x14ac:dyDescent="0.3">
      <c r="A19" s="70" t="str">
        <f>'BASE MAESTRA'!B25</f>
        <v>20</v>
      </c>
      <c r="B19" s="5">
        <f t="shared" si="1"/>
        <v>0</v>
      </c>
      <c r="E19" s="5" t="str">
        <f t="shared" si="0"/>
        <v>20</v>
      </c>
    </row>
    <row r="20" spans="1:5" ht="16.8" x14ac:dyDescent="0.3">
      <c r="A20" s="70" t="str">
        <f>'BASE MAESTRA'!B26</f>
        <v>21</v>
      </c>
      <c r="B20" s="5">
        <f t="shared" si="1"/>
        <v>0</v>
      </c>
      <c r="E20" s="5" t="str">
        <f t="shared" si="0"/>
        <v>21</v>
      </c>
    </row>
    <row r="21" spans="1:5" ht="16.8" x14ac:dyDescent="0.3">
      <c r="A21" s="70" t="str">
        <f>'BASE MAESTRA'!B27</f>
        <v>22</v>
      </c>
      <c r="B21" s="5">
        <f t="shared" si="1"/>
        <v>0</v>
      </c>
      <c r="E21" s="5" t="str">
        <f t="shared" si="0"/>
        <v>22</v>
      </c>
    </row>
    <row r="22" spans="1:5" ht="16.8" x14ac:dyDescent="0.3">
      <c r="A22" s="70" t="str">
        <f>'BASE MAESTRA'!B28</f>
        <v>23</v>
      </c>
      <c r="B22" s="5">
        <f t="shared" si="1"/>
        <v>0</v>
      </c>
      <c r="E22" s="5" t="str">
        <f t="shared" si="0"/>
        <v>23</v>
      </c>
    </row>
    <row r="23" spans="1:5" ht="16.8" x14ac:dyDescent="0.3">
      <c r="A23" s="70" t="str">
        <f>'BASE MAESTRA'!B29</f>
        <v>24</v>
      </c>
      <c r="B23" s="5">
        <f t="shared" si="1"/>
        <v>0</v>
      </c>
      <c r="E23" s="5" t="str">
        <f t="shared" si="0"/>
        <v>24</v>
      </c>
    </row>
    <row r="24" spans="1:5" ht="16.8" x14ac:dyDescent="0.3">
      <c r="A24" s="70" t="str">
        <f>'BASE MAESTRA'!B30</f>
        <v>25</v>
      </c>
      <c r="B24" s="5">
        <f t="shared" si="1"/>
        <v>0</v>
      </c>
      <c r="E24" s="5" t="str">
        <f t="shared" si="0"/>
        <v>25</v>
      </c>
    </row>
    <row r="25" spans="1:5" ht="16.8" x14ac:dyDescent="0.3">
      <c r="A25" s="70" t="str">
        <f>'BASE MAESTRA'!B31</f>
        <v>26</v>
      </c>
      <c r="B25" s="5">
        <f t="shared" si="1"/>
        <v>0</v>
      </c>
      <c r="E25" s="5" t="str">
        <f t="shared" si="0"/>
        <v>26</v>
      </c>
    </row>
    <row r="26" spans="1:5" ht="16.8" x14ac:dyDescent="0.3">
      <c r="A26" s="70" t="str">
        <f>'BASE MAESTRA'!B32</f>
        <v>27</v>
      </c>
      <c r="B26" s="5">
        <f t="shared" si="1"/>
        <v>0</v>
      </c>
      <c r="E26" s="5" t="str">
        <f t="shared" si="0"/>
        <v>27</v>
      </c>
    </row>
    <row r="27" spans="1:5" ht="16.8" x14ac:dyDescent="0.3">
      <c r="A27" s="70" t="str">
        <f>'BASE MAESTRA'!B33</f>
        <v>28</v>
      </c>
      <c r="B27" s="5">
        <f t="shared" si="1"/>
        <v>0</v>
      </c>
      <c r="E27" s="5" t="str">
        <f t="shared" si="0"/>
        <v>28</v>
      </c>
    </row>
    <row r="28" spans="1:5" ht="16.8" x14ac:dyDescent="0.3">
      <c r="A28" s="70" t="str">
        <f>'BASE MAESTRA'!B34</f>
        <v>29</v>
      </c>
      <c r="B28" s="5">
        <f t="shared" si="1"/>
        <v>0</v>
      </c>
      <c r="E28" s="5" t="str">
        <f t="shared" si="0"/>
        <v>29</v>
      </c>
    </row>
    <row r="29" spans="1:5" ht="16.8" x14ac:dyDescent="0.3">
      <c r="A29" s="70" t="str">
        <f>'BASE MAESTRA'!B35</f>
        <v>30</v>
      </c>
      <c r="B29" s="5">
        <f t="shared" si="1"/>
        <v>0</v>
      </c>
      <c r="E29" s="5" t="str">
        <f t="shared" si="0"/>
        <v>30</v>
      </c>
    </row>
    <row r="30" spans="1:5" ht="16.8" x14ac:dyDescent="0.3">
      <c r="A30" s="70" t="str">
        <f>'BASE MAESTRA'!B36</f>
        <v>31</v>
      </c>
      <c r="B30" s="5">
        <f t="shared" si="1"/>
        <v>0</v>
      </c>
      <c r="E30" s="5" t="str">
        <f t="shared" si="0"/>
        <v>31</v>
      </c>
    </row>
    <row r="31" spans="1:5" ht="16.8" x14ac:dyDescent="0.3">
      <c r="A31" s="70" t="str">
        <f>'BASE MAESTRA'!B37</f>
        <v>32</v>
      </c>
      <c r="B31" s="5">
        <f t="shared" si="1"/>
        <v>0</v>
      </c>
      <c r="E31" s="5" t="str">
        <f t="shared" si="0"/>
        <v>32</v>
      </c>
    </row>
    <row r="32" spans="1:5" ht="16.8" x14ac:dyDescent="0.3">
      <c r="A32" s="70" t="str">
        <f>'BASE MAESTRA'!B38</f>
        <v>33</v>
      </c>
      <c r="B32" s="5">
        <f t="shared" si="1"/>
        <v>0</v>
      </c>
      <c r="E32" s="5" t="str">
        <f t="shared" si="0"/>
        <v>33</v>
      </c>
    </row>
    <row r="33" spans="1:5" ht="16.8" x14ac:dyDescent="0.3">
      <c r="A33" s="70" t="str">
        <f>'BASE MAESTRA'!B39</f>
        <v>34</v>
      </c>
      <c r="B33" s="5">
        <f t="shared" si="1"/>
        <v>0</v>
      </c>
      <c r="E33" s="5" t="str">
        <f t="shared" si="0"/>
        <v>34</v>
      </c>
    </row>
    <row r="34" spans="1:5" ht="16.8" x14ac:dyDescent="0.3">
      <c r="A34" s="70" t="str">
        <f>'BASE MAESTRA'!B40</f>
        <v>35</v>
      </c>
      <c r="B34" s="5">
        <f t="shared" si="1"/>
        <v>0</v>
      </c>
      <c r="E34" s="5" t="str">
        <f t="shared" si="0"/>
        <v>35</v>
      </c>
    </row>
    <row r="35" spans="1:5" ht="16.8" x14ac:dyDescent="0.3">
      <c r="A35" s="70" t="str">
        <f>'BASE MAESTRA'!B41</f>
        <v>36</v>
      </c>
      <c r="B35" s="5">
        <f t="shared" si="1"/>
        <v>0</v>
      </c>
      <c r="E35" s="5" t="str">
        <f t="shared" si="0"/>
        <v>36</v>
      </c>
    </row>
    <row r="36" spans="1:5" ht="16.8" x14ac:dyDescent="0.3">
      <c r="A36" s="70" t="str">
        <f>'BASE MAESTRA'!B42</f>
        <v>37</v>
      </c>
      <c r="B36" s="5">
        <f t="shared" si="1"/>
        <v>0</v>
      </c>
      <c r="E36" s="5" t="str">
        <f t="shared" si="0"/>
        <v>37</v>
      </c>
    </row>
    <row r="37" spans="1:5" ht="16.8" x14ac:dyDescent="0.3">
      <c r="A37" s="70" t="str">
        <f>'BASE MAESTRA'!B43</f>
        <v>38</v>
      </c>
      <c r="B37" s="5">
        <f t="shared" si="1"/>
        <v>0</v>
      </c>
      <c r="E37" s="5" t="str">
        <f t="shared" si="0"/>
        <v>38</v>
      </c>
    </row>
    <row r="38" spans="1:5" ht="16.8" x14ac:dyDescent="0.3">
      <c r="A38" s="70" t="str">
        <f>'BASE MAESTRA'!B44</f>
        <v>39</v>
      </c>
      <c r="B38" s="5">
        <f t="shared" si="1"/>
        <v>0</v>
      </c>
      <c r="E38" s="5" t="str">
        <f t="shared" si="0"/>
        <v>39</v>
      </c>
    </row>
    <row r="39" spans="1:5" ht="16.8" x14ac:dyDescent="0.3">
      <c r="A39" s="70">
        <f>'BASE MAESTRA'!B45</f>
        <v>37</v>
      </c>
      <c r="B39" s="5">
        <f t="shared" si="1"/>
        <v>0</v>
      </c>
      <c r="E39" s="5">
        <f t="shared" si="0"/>
        <v>37</v>
      </c>
    </row>
    <row r="40" spans="1:5" ht="16.8" x14ac:dyDescent="0.3">
      <c r="A40" s="70">
        <f>'BASE MAESTRA'!B46</f>
        <v>38</v>
      </c>
      <c r="B40" s="5">
        <f t="shared" si="1"/>
        <v>0</v>
      </c>
      <c r="E40" s="5">
        <f t="shared" si="0"/>
        <v>38</v>
      </c>
    </row>
    <row r="41" spans="1:5" ht="16.8" x14ac:dyDescent="0.3">
      <c r="A41" s="70">
        <f>'BASE MAESTRA'!B47</f>
        <v>39</v>
      </c>
      <c r="B41" s="5">
        <f t="shared" si="1"/>
        <v>0</v>
      </c>
      <c r="E41" s="5">
        <f t="shared" si="0"/>
        <v>39</v>
      </c>
    </row>
    <row r="42" spans="1:5" ht="16.8" x14ac:dyDescent="0.3">
      <c r="A42" s="70">
        <f>'BASE MAESTRA'!B48</f>
        <v>40</v>
      </c>
      <c r="B42" s="5">
        <f t="shared" si="1"/>
        <v>0</v>
      </c>
      <c r="E42" s="5">
        <f t="shared" si="0"/>
        <v>40</v>
      </c>
    </row>
    <row r="43" spans="1:5" ht="16.8" x14ac:dyDescent="0.3">
      <c r="A43" s="70">
        <f>'BASE MAESTRA'!B49</f>
        <v>41</v>
      </c>
      <c r="B43" s="5">
        <f t="shared" si="1"/>
        <v>0</v>
      </c>
      <c r="E43" s="5">
        <f t="shared" si="0"/>
        <v>41</v>
      </c>
    </row>
    <row r="44" spans="1:5" ht="16.8" x14ac:dyDescent="0.3">
      <c r="A44" s="70">
        <f>'BASE MAESTRA'!B50</f>
        <v>42</v>
      </c>
      <c r="B44" s="5">
        <f t="shared" si="1"/>
        <v>0</v>
      </c>
      <c r="E44" s="5">
        <f t="shared" si="0"/>
        <v>42</v>
      </c>
    </row>
    <row r="45" spans="1:5" ht="16.8" x14ac:dyDescent="0.3">
      <c r="A45" s="70">
        <f>'BASE MAESTRA'!B51</f>
        <v>43</v>
      </c>
      <c r="B45" s="5">
        <f t="shared" si="1"/>
        <v>0</v>
      </c>
      <c r="E45" s="5">
        <f t="shared" si="0"/>
        <v>43</v>
      </c>
    </row>
    <row r="46" spans="1:5" ht="16.8" x14ac:dyDescent="0.3">
      <c r="A46" s="70">
        <f>'BASE MAESTRA'!B52</f>
        <v>44</v>
      </c>
      <c r="B46" s="5">
        <f t="shared" si="1"/>
        <v>0</v>
      </c>
      <c r="E46" s="5">
        <f t="shared" si="0"/>
        <v>44</v>
      </c>
    </row>
    <row r="47" spans="1:5" ht="16.8" x14ac:dyDescent="0.3">
      <c r="A47" s="70">
        <f>'BASE MAESTRA'!B53</f>
        <v>45</v>
      </c>
      <c r="B47" s="5">
        <f t="shared" si="1"/>
        <v>0</v>
      </c>
      <c r="E47" s="5">
        <f t="shared" si="0"/>
        <v>45</v>
      </c>
    </row>
    <row r="48" spans="1:5" ht="16.8" x14ac:dyDescent="0.3">
      <c r="A48" s="70">
        <f>'BASE MAESTRA'!B54</f>
        <v>46</v>
      </c>
      <c r="B48" s="5">
        <f t="shared" si="1"/>
        <v>0</v>
      </c>
      <c r="E48" s="5">
        <f t="shared" si="0"/>
        <v>46</v>
      </c>
    </row>
    <row r="49" spans="1:5" ht="16.8" x14ac:dyDescent="0.3">
      <c r="A49" s="70">
        <f>'BASE MAESTRA'!B55</f>
        <v>47</v>
      </c>
      <c r="B49" s="5">
        <f t="shared" si="1"/>
        <v>0</v>
      </c>
      <c r="E49" s="5">
        <f t="shared" si="0"/>
        <v>47</v>
      </c>
    </row>
    <row r="50" spans="1:5" ht="16.8" x14ac:dyDescent="0.3">
      <c r="A50" s="70">
        <f>'BASE MAESTRA'!B56</f>
        <v>48</v>
      </c>
      <c r="B50" s="5">
        <f t="shared" si="1"/>
        <v>0</v>
      </c>
      <c r="E50" s="5">
        <f t="shared" si="0"/>
        <v>48</v>
      </c>
    </row>
    <row r="51" spans="1:5" ht="16.8" x14ac:dyDescent="0.3">
      <c r="A51" s="70">
        <f>'BASE MAESTRA'!B57</f>
        <v>49</v>
      </c>
      <c r="B51" s="5">
        <f t="shared" si="1"/>
        <v>0</v>
      </c>
      <c r="E51" s="5">
        <f t="shared" si="0"/>
        <v>49</v>
      </c>
    </row>
    <row r="52" spans="1:5" ht="16.8" x14ac:dyDescent="0.3">
      <c r="A52" s="70">
        <f>'BASE MAESTRA'!B58</f>
        <v>50</v>
      </c>
      <c r="B52" s="5">
        <f t="shared" si="1"/>
        <v>0</v>
      </c>
      <c r="E52" s="5">
        <f t="shared" si="0"/>
        <v>50</v>
      </c>
    </row>
    <row r="53" spans="1:5" ht="16.8" x14ac:dyDescent="0.3">
      <c r="A53" s="70">
        <f>'BASE MAESTRA'!B59</f>
        <v>51</v>
      </c>
      <c r="B53" s="5">
        <f t="shared" si="1"/>
        <v>0</v>
      </c>
      <c r="E53" s="5">
        <f t="shared" si="0"/>
        <v>51</v>
      </c>
    </row>
    <row r="54" spans="1:5" ht="16.8" x14ac:dyDescent="0.3">
      <c r="A54" s="70">
        <f>'BASE MAESTRA'!B60</f>
        <v>52</v>
      </c>
      <c r="B54" s="5">
        <f t="shared" si="1"/>
        <v>0</v>
      </c>
      <c r="E54" s="5">
        <f t="shared" si="0"/>
        <v>52</v>
      </c>
    </row>
    <row r="55" spans="1:5" ht="16.8" x14ac:dyDescent="0.3">
      <c r="A55" s="70">
        <f>'BASE MAESTRA'!B61</f>
        <v>53</v>
      </c>
      <c r="B55" s="5">
        <f t="shared" si="1"/>
        <v>0</v>
      </c>
      <c r="E55" s="5">
        <f t="shared" si="0"/>
        <v>53</v>
      </c>
    </row>
    <row r="56" spans="1:5" ht="16.8" x14ac:dyDescent="0.3">
      <c r="A56" s="70">
        <f>'BASE MAESTRA'!B62</f>
        <v>54</v>
      </c>
      <c r="B56" s="5">
        <f t="shared" si="1"/>
        <v>0</v>
      </c>
      <c r="E56" s="5">
        <f t="shared" si="0"/>
        <v>54</v>
      </c>
    </row>
    <row r="57" spans="1:5" ht="16.8" x14ac:dyDescent="0.3">
      <c r="A57" s="70">
        <f>'BASE MAESTRA'!B63</f>
        <v>55</v>
      </c>
      <c r="B57" s="5">
        <f t="shared" si="1"/>
        <v>0</v>
      </c>
      <c r="E57" s="5">
        <f t="shared" si="0"/>
        <v>55</v>
      </c>
    </row>
    <row r="58" spans="1:5" ht="16.8" x14ac:dyDescent="0.3">
      <c r="A58" s="70">
        <f>'BASE MAESTRA'!B64</f>
        <v>56</v>
      </c>
      <c r="B58" s="5">
        <f t="shared" si="1"/>
        <v>0</v>
      </c>
      <c r="E58" s="5">
        <f t="shared" si="0"/>
        <v>56</v>
      </c>
    </row>
    <row r="59" spans="1:5" ht="16.8" x14ac:dyDescent="0.3">
      <c r="A59" s="70">
        <f>'BASE MAESTRA'!B65</f>
        <v>57</v>
      </c>
      <c r="B59" s="5">
        <f t="shared" si="1"/>
        <v>0</v>
      </c>
      <c r="E59" s="5">
        <f t="shared" si="0"/>
        <v>57</v>
      </c>
    </row>
    <row r="60" spans="1:5" ht="16.8" x14ac:dyDescent="0.3">
      <c r="A60" s="70">
        <f>'BASE MAESTRA'!B66</f>
        <v>58</v>
      </c>
      <c r="B60" s="5">
        <f t="shared" si="1"/>
        <v>0</v>
      </c>
      <c r="E60" s="5">
        <f t="shared" si="0"/>
        <v>58</v>
      </c>
    </row>
    <row r="61" spans="1:5" ht="16.8" x14ac:dyDescent="0.3">
      <c r="A61" s="70">
        <f>'BASE MAESTRA'!B67</f>
        <v>59</v>
      </c>
      <c r="B61" s="5">
        <f t="shared" si="1"/>
        <v>0</v>
      </c>
      <c r="E61" s="5">
        <f t="shared" si="0"/>
        <v>59</v>
      </c>
    </row>
    <row r="62" spans="1:5" ht="16.8" x14ac:dyDescent="0.3">
      <c r="A62" s="70">
        <f>'BASE MAESTRA'!B68</f>
        <v>60</v>
      </c>
      <c r="B62" s="5">
        <f t="shared" si="1"/>
        <v>0</v>
      </c>
      <c r="E62" s="5">
        <f t="shared" si="0"/>
        <v>60</v>
      </c>
    </row>
    <row r="63" spans="1:5" ht="16.8" x14ac:dyDescent="0.3">
      <c r="A63" s="70">
        <f>'BASE MAESTRA'!B69</f>
        <v>61</v>
      </c>
      <c r="B63" s="5">
        <f t="shared" si="1"/>
        <v>0</v>
      </c>
      <c r="E63" s="5">
        <f t="shared" si="0"/>
        <v>61</v>
      </c>
    </row>
    <row r="64" spans="1:5" ht="16.8" x14ac:dyDescent="0.3">
      <c r="A64" s="70">
        <f>'BASE MAESTRA'!B70</f>
        <v>62</v>
      </c>
      <c r="B64" s="5">
        <f t="shared" si="1"/>
        <v>0</v>
      </c>
      <c r="E64" s="5">
        <f t="shared" si="0"/>
        <v>62</v>
      </c>
    </row>
    <row r="65" spans="1:5" ht="16.8" x14ac:dyDescent="0.3">
      <c r="A65" s="70">
        <f>'BASE MAESTRA'!B71</f>
        <v>63</v>
      </c>
      <c r="B65" s="5">
        <f t="shared" si="1"/>
        <v>0</v>
      </c>
      <c r="E65" s="5">
        <f t="shared" si="0"/>
        <v>63</v>
      </c>
    </row>
    <row r="66" spans="1:5" ht="16.8" x14ac:dyDescent="0.3">
      <c r="A66" s="70">
        <f>'BASE MAESTRA'!B72</f>
        <v>64</v>
      </c>
      <c r="B66" s="5">
        <f t="shared" si="1"/>
        <v>0</v>
      </c>
      <c r="E66" s="5">
        <f t="shared" si="0"/>
        <v>64</v>
      </c>
    </row>
    <row r="67" spans="1:5" ht="16.8" x14ac:dyDescent="0.3">
      <c r="A67" s="70">
        <f>'BASE MAESTRA'!B73</f>
        <v>65</v>
      </c>
      <c r="B67" s="5">
        <f t="shared" ref="B67:B130" si="2">VLOOKUP($A67,DatosEspecies,B$2,FALSE)</f>
        <v>0</v>
      </c>
      <c r="E67" s="5">
        <f t="shared" ref="E67:E130" si="3">VLOOKUP($A67,DatosEspecies,E$2,FALSE)</f>
        <v>65</v>
      </c>
    </row>
    <row r="68" spans="1:5" ht="16.8" x14ac:dyDescent="0.3">
      <c r="A68" s="70">
        <f>'BASE MAESTRA'!B74</f>
        <v>66</v>
      </c>
      <c r="B68" s="5">
        <f t="shared" si="2"/>
        <v>0</v>
      </c>
      <c r="E68" s="5">
        <f t="shared" si="3"/>
        <v>66</v>
      </c>
    </row>
    <row r="69" spans="1:5" ht="16.8" x14ac:dyDescent="0.3">
      <c r="A69" s="70">
        <f>'BASE MAESTRA'!B75</f>
        <v>67</v>
      </c>
      <c r="B69" s="5">
        <f t="shared" si="2"/>
        <v>0</v>
      </c>
      <c r="E69" s="5">
        <f t="shared" si="3"/>
        <v>67</v>
      </c>
    </row>
    <row r="70" spans="1:5" ht="16.8" x14ac:dyDescent="0.3">
      <c r="A70" s="70">
        <f>'BASE MAESTRA'!B76</f>
        <v>68</v>
      </c>
      <c r="B70" s="5">
        <f t="shared" si="2"/>
        <v>0</v>
      </c>
      <c r="E70" s="5">
        <f t="shared" si="3"/>
        <v>68</v>
      </c>
    </row>
    <row r="71" spans="1:5" ht="16.8" x14ac:dyDescent="0.3">
      <c r="A71" s="70">
        <f>'BASE MAESTRA'!B77</f>
        <v>69</v>
      </c>
      <c r="B71" s="5">
        <f t="shared" si="2"/>
        <v>0</v>
      </c>
      <c r="E71" s="5">
        <f t="shared" si="3"/>
        <v>69</v>
      </c>
    </row>
    <row r="72" spans="1:5" ht="16.8" x14ac:dyDescent="0.3">
      <c r="A72" s="70">
        <f>'BASE MAESTRA'!B78</f>
        <v>70</v>
      </c>
      <c r="B72" s="5">
        <f t="shared" si="2"/>
        <v>0</v>
      </c>
      <c r="E72" s="5">
        <f t="shared" si="3"/>
        <v>70</v>
      </c>
    </row>
    <row r="73" spans="1:5" ht="16.8" x14ac:dyDescent="0.3">
      <c r="A73" s="70">
        <f>'BASE MAESTRA'!B79</f>
        <v>71</v>
      </c>
      <c r="B73" s="5">
        <f t="shared" si="2"/>
        <v>0</v>
      </c>
      <c r="E73" s="5">
        <f t="shared" si="3"/>
        <v>71</v>
      </c>
    </row>
    <row r="74" spans="1:5" ht="16.8" x14ac:dyDescent="0.3">
      <c r="A74" s="70">
        <f>'BASE MAESTRA'!B80</f>
        <v>72</v>
      </c>
      <c r="B74" s="5">
        <f t="shared" si="2"/>
        <v>0</v>
      </c>
      <c r="E74" s="5">
        <f t="shared" si="3"/>
        <v>72</v>
      </c>
    </row>
    <row r="75" spans="1:5" ht="16.8" x14ac:dyDescent="0.3">
      <c r="A75" s="70">
        <f>'BASE MAESTRA'!B81</f>
        <v>73</v>
      </c>
      <c r="B75" s="5">
        <f t="shared" si="2"/>
        <v>0</v>
      </c>
      <c r="E75" s="5">
        <f t="shared" si="3"/>
        <v>73</v>
      </c>
    </row>
    <row r="76" spans="1:5" ht="16.8" x14ac:dyDescent="0.3">
      <c r="A76" s="70">
        <f>'BASE MAESTRA'!B82</f>
        <v>74</v>
      </c>
      <c r="B76" s="5">
        <f t="shared" si="2"/>
        <v>0</v>
      </c>
      <c r="E76" s="5">
        <f t="shared" si="3"/>
        <v>74</v>
      </c>
    </row>
    <row r="77" spans="1:5" ht="16.8" x14ac:dyDescent="0.3">
      <c r="A77" s="70">
        <f>'BASE MAESTRA'!B83</f>
        <v>75</v>
      </c>
      <c r="B77" s="5">
        <f t="shared" si="2"/>
        <v>0</v>
      </c>
      <c r="E77" s="5">
        <f t="shared" si="3"/>
        <v>75</v>
      </c>
    </row>
    <row r="78" spans="1:5" ht="16.8" x14ac:dyDescent="0.3">
      <c r="A78" s="70">
        <f>'BASE MAESTRA'!B84</f>
        <v>76</v>
      </c>
      <c r="B78" s="5">
        <f t="shared" si="2"/>
        <v>0</v>
      </c>
      <c r="E78" s="5">
        <f t="shared" si="3"/>
        <v>76</v>
      </c>
    </row>
    <row r="79" spans="1:5" ht="16.8" x14ac:dyDescent="0.3">
      <c r="A79" s="70">
        <f>'BASE MAESTRA'!B85</f>
        <v>77</v>
      </c>
      <c r="B79" s="5">
        <f t="shared" si="2"/>
        <v>0</v>
      </c>
      <c r="E79" s="5">
        <f t="shared" si="3"/>
        <v>77</v>
      </c>
    </row>
    <row r="80" spans="1:5" ht="16.8" x14ac:dyDescent="0.3">
      <c r="A80" s="70">
        <f>'BASE MAESTRA'!B86</f>
        <v>78</v>
      </c>
      <c r="B80" s="5">
        <f t="shared" si="2"/>
        <v>0</v>
      </c>
      <c r="E80" s="5">
        <f t="shared" si="3"/>
        <v>78</v>
      </c>
    </row>
    <row r="81" spans="1:5" ht="16.8" x14ac:dyDescent="0.3">
      <c r="A81" s="70">
        <f>'BASE MAESTRA'!B87</f>
        <v>79</v>
      </c>
      <c r="B81" s="5">
        <f t="shared" si="2"/>
        <v>0</v>
      </c>
      <c r="E81" s="5">
        <f t="shared" si="3"/>
        <v>79</v>
      </c>
    </row>
    <row r="82" spans="1:5" ht="16.8" x14ac:dyDescent="0.3">
      <c r="A82" s="70">
        <f>'BASE MAESTRA'!B88</f>
        <v>80</v>
      </c>
      <c r="B82" s="5">
        <f t="shared" si="2"/>
        <v>0</v>
      </c>
      <c r="E82" s="5">
        <f t="shared" si="3"/>
        <v>80</v>
      </c>
    </row>
    <row r="83" spans="1:5" ht="16.8" x14ac:dyDescent="0.3">
      <c r="A83" s="70">
        <f>'BASE MAESTRA'!B89</f>
        <v>81</v>
      </c>
      <c r="B83" s="5">
        <f t="shared" si="2"/>
        <v>0</v>
      </c>
      <c r="E83" s="5">
        <f t="shared" si="3"/>
        <v>81</v>
      </c>
    </row>
    <row r="84" spans="1:5" ht="16.8" x14ac:dyDescent="0.3">
      <c r="A84" s="70">
        <f>'BASE MAESTRA'!B90</f>
        <v>82</v>
      </c>
      <c r="B84" s="5">
        <f t="shared" si="2"/>
        <v>0</v>
      </c>
      <c r="E84" s="5">
        <f t="shared" si="3"/>
        <v>82</v>
      </c>
    </row>
    <row r="85" spans="1:5" ht="16.8" x14ac:dyDescent="0.3">
      <c r="A85" s="70">
        <f>'BASE MAESTRA'!B91</f>
        <v>83</v>
      </c>
      <c r="B85" s="5">
        <f t="shared" si="2"/>
        <v>0</v>
      </c>
      <c r="E85" s="5">
        <f t="shared" si="3"/>
        <v>83</v>
      </c>
    </row>
    <row r="86" spans="1:5" ht="16.8" x14ac:dyDescent="0.3">
      <c r="A86" s="70">
        <f>'BASE MAESTRA'!B92</f>
        <v>84</v>
      </c>
      <c r="B86" s="5">
        <f t="shared" si="2"/>
        <v>0</v>
      </c>
      <c r="E86" s="5">
        <f t="shared" si="3"/>
        <v>84</v>
      </c>
    </row>
    <row r="87" spans="1:5" ht="16.8" x14ac:dyDescent="0.3">
      <c r="A87" s="70">
        <f>'BASE MAESTRA'!B93</f>
        <v>85</v>
      </c>
      <c r="B87" s="5">
        <f t="shared" si="2"/>
        <v>0</v>
      </c>
      <c r="E87" s="5">
        <f t="shared" si="3"/>
        <v>85</v>
      </c>
    </row>
    <row r="88" spans="1:5" ht="16.8" x14ac:dyDescent="0.3">
      <c r="A88" s="70">
        <f>'BASE MAESTRA'!B94</f>
        <v>86</v>
      </c>
      <c r="B88" s="5">
        <f t="shared" si="2"/>
        <v>0</v>
      </c>
      <c r="E88" s="5">
        <f t="shared" si="3"/>
        <v>86</v>
      </c>
    </row>
    <row r="89" spans="1:5" ht="16.8" x14ac:dyDescent="0.3">
      <c r="A89" s="70">
        <f>'BASE MAESTRA'!B95</f>
        <v>87</v>
      </c>
      <c r="B89" s="5">
        <f t="shared" si="2"/>
        <v>0</v>
      </c>
      <c r="E89" s="5">
        <f t="shared" si="3"/>
        <v>87</v>
      </c>
    </row>
    <row r="90" spans="1:5" ht="16.8" x14ac:dyDescent="0.3">
      <c r="A90" s="70">
        <f>'BASE MAESTRA'!B96</f>
        <v>88</v>
      </c>
      <c r="B90" s="5">
        <f t="shared" si="2"/>
        <v>0</v>
      </c>
      <c r="E90" s="5">
        <f t="shared" si="3"/>
        <v>88</v>
      </c>
    </row>
    <row r="91" spans="1:5" ht="16.8" x14ac:dyDescent="0.3">
      <c r="A91" s="70">
        <f>'BASE MAESTRA'!B97</f>
        <v>89</v>
      </c>
      <c r="B91" s="5">
        <f t="shared" si="2"/>
        <v>0</v>
      </c>
      <c r="E91" s="5">
        <f t="shared" si="3"/>
        <v>89</v>
      </c>
    </row>
    <row r="92" spans="1:5" ht="16.8" x14ac:dyDescent="0.3">
      <c r="A92" s="70">
        <f>'BASE MAESTRA'!B98</f>
        <v>90</v>
      </c>
      <c r="B92" s="5">
        <f t="shared" si="2"/>
        <v>0</v>
      </c>
      <c r="E92" s="5">
        <f t="shared" si="3"/>
        <v>90</v>
      </c>
    </row>
    <row r="93" spans="1:5" ht="16.8" x14ac:dyDescent="0.3">
      <c r="A93" s="70">
        <f>'BASE MAESTRA'!B99</f>
        <v>91</v>
      </c>
      <c r="B93" s="5">
        <f t="shared" si="2"/>
        <v>0</v>
      </c>
      <c r="E93" s="5">
        <f t="shared" si="3"/>
        <v>91</v>
      </c>
    </row>
    <row r="94" spans="1:5" ht="16.8" x14ac:dyDescent="0.3">
      <c r="A94" s="70">
        <f>'BASE MAESTRA'!B100</f>
        <v>92</v>
      </c>
      <c r="B94" s="5">
        <f t="shared" si="2"/>
        <v>0</v>
      </c>
      <c r="E94" s="5">
        <f t="shared" si="3"/>
        <v>92</v>
      </c>
    </row>
    <row r="95" spans="1:5" ht="16.8" x14ac:dyDescent="0.3">
      <c r="A95" s="70">
        <f>'BASE MAESTRA'!B101</f>
        <v>93</v>
      </c>
      <c r="B95" s="5">
        <f t="shared" si="2"/>
        <v>0</v>
      </c>
      <c r="E95" s="5">
        <f t="shared" si="3"/>
        <v>93</v>
      </c>
    </row>
    <row r="96" spans="1:5" ht="16.8" x14ac:dyDescent="0.3">
      <c r="A96" s="70">
        <f>'BASE MAESTRA'!B102</f>
        <v>94</v>
      </c>
      <c r="B96" s="5">
        <f t="shared" si="2"/>
        <v>0</v>
      </c>
      <c r="E96" s="5">
        <f t="shared" si="3"/>
        <v>94</v>
      </c>
    </row>
    <row r="97" spans="1:5" ht="16.8" x14ac:dyDescent="0.3">
      <c r="A97" s="70">
        <f>'BASE MAESTRA'!B103</f>
        <v>95</v>
      </c>
      <c r="B97" s="5">
        <f t="shared" si="2"/>
        <v>0</v>
      </c>
      <c r="E97" s="5">
        <f t="shared" si="3"/>
        <v>95</v>
      </c>
    </row>
    <row r="98" spans="1:5" ht="16.8" x14ac:dyDescent="0.3">
      <c r="A98" s="70">
        <f>'BASE MAESTRA'!B104</f>
        <v>96</v>
      </c>
      <c r="B98" s="5">
        <f t="shared" si="2"/>
        <v>0</v>
      </c>
      <c r="E98" s="5">
        <f t="shared" si="3"/>
        <v>96</v>
      </c>
    </row>
    <row r="99" spans="1:5" ht="16.8" x14ac:dyDescent="0.3">
      <c r="A99" s="70">
        <f>'BASE MAESTRA'!B105</f>
        <v>97</v>
      </c>
      <c r="B99" s="5">
        <f t="shared" si="2"/>
        <v>0</v>
      </c>
      <c r="E99" s="5">
        <f t="shared" si="3"/>
        <v>97</v>
      </c>
    </row>
    <row r="100" spans="1:5" ht="16.8" x14ac:dyDescent="0.3">
      <c r="A100" s="70">
        <f>'BASE MAESTRA'!B106</f>
        <v>98</v>
      </c>
      <c r="B100" s="5">
        <f t="shared" si="2"/>
        <v>0</v>
      </c>
      <c r="E100" s="5">
        <f t="shared" si="3"/>
        <v>98</v>
      </c>
    </row>
    <row r="101" spans="1:5" ht="16.8" x14ac:dyDescent="0.3">
      <c r="A101" s="70">
        <f>'BASE MAESTRA'!B107</f>
        <v>99</v>
      </c>
      <c r="B101" s="5">
        <f t="shared" si="2"/>
        <v>0</v>
      </c>
      <c r="E101" s="5">
        <f t="shared" si="3"/>
        <v>99</v>
      </c>
    </row>
    <row r="102" spans="1:5" ht="16.8" x14ac:dyDescent="0.3">
      <c r="A102" s="70">
        <f>'BASE MAESTRA'!B108</f>
        <v>100</v>
      </c>
      <c r="B102" s="5">
        <f t="shared" si="2"/>
        <v>0</v>
      </c>
      <c r="E102" s="5">
        <f t="shared" si="3"/>
        <v>100</v>
      </c>
    </row>
    <row r="103" spans="1:5" ht="16.8" x14ac:dyDescent="0.3">
      <c r="A103" s="70">
        <f>'BASE MAESTRA'!B109</f>
        <v>101</v>
      </c>
      <c r="B103" s="5">
        <f t="shared" si="2"/>
        <v>0</v>
      </c>
      <c r="E103" s="5">
        <f t="shared" si="3"/>
        <v>101</v>
      </c>
    </row>
    <row r="104" spans="1:5" ht="16.8" x14ac:dyDescent="0.3">
      <c r="A104" s="70">
        <f>'BASE MAESTRA'!B110</f>
        <v>102</v>
      </c>
      <c r="B104" s="5">
        <f t="shared" si="2"/>
        <v>0</v>
      </c>
      <c r="E104" s="5">
        <f t="shared" si="3"/>
        <v>102</v>
      </c>
    </row>
    <row r="105" spans="1:5" ht="16.8" x14ac:dyDescent="0.3">
      <c r="A105" s="70">
        <f>'BASE MAESTRA'!B111</f>
        <v>103</v>
      </c>
      <c r="B105" s="5">
        <f t="shared" si="2"/>
        <v>0</v>
      </c>
      <c r="E105" s="5">
        <f t="shared" si="3"/>
        <v>103</v>
      </c>
    </row>
    <row r="106" spans="1:5" ht="16.8" x14ac:dyDescent="0.3">
      <c r="A106" s="70">
        <f>'BASE MAESTRA'!B112</f>
        <v>104</v>
      </c>
      <c r="B106" s="5">
        <f t="shared" si="2"/>
        <v>0</v>
      </c>
      <c r="E106" s="5">
        <f t="shared" si="3"/>
        <v>104</v>
      </c>
    </row>
    <row r="107" spans="1:5" ht="16.8" x14ac:dyDescent="0.3">
      <c r="A107" s="70">
        <f>'BASE MAESTRA'!B113</f>
        <v>105</v>
      </c>
      <c r="B107" s="5">
        <f t="shared" si="2"/>
        <v>0</v>
      </c>
      <c r="E107" s="5">
        <f t="shared" si="3"/>
        <v>105</v>
      </c>
    </row>
    <row r="108" spans="1:5" ht="16.8" x14ac:dyDescent="0.3">
      <c r="A108" s="70">
        <f>'BASE MAESTRA'!B114</f>
        <v>106</v>
      </c>
      <c r="B108" s="5">
        <f t="shared" si="2"/>
        <v>0</v>
      </c>
      <c r="E108" s="5">
        <f t="shared" si="3"/>
        <v>106</v>
      </c>
    </row>
    <row r="109" spans="1:5" ht="16.8" x14ac:dyDescent="0.3">
      <c r="A109" s="70">
        <f>'BASE MAESTRA'!B115</f>
        <v>107</v>
      </c>
      <c r="B109" s="5">
        <f t="shared" si="2"/>
        <v>0</v>
      </c>
      <c r="E109" s="5">
        <f t="shared" si="3"/>
        <v>107</v>
      </c>
    </row>
    <row r="110" spans="1:5" ht="16.8" x14ac:dyDescent="0.3">
      <c r="A110" s="70">
        <f>'BASE MAESTRA'!B116</f>
        <v>108</v>
      </c>
      <c r="B110" s="5">
        <f t="shared" si="2"/>
        <v>0</v>
      </c>
      <c r="E110" s="5">
        <f t="shared" si="3"/>
        <v>108</v>
      </c>
    </row>
    <row r="111" spans="1:5" ht="16.8" x14ac:dyDescent="0.3">
      <c r="A111" s="70">
        <f>'BASE MAESTRA'!B117</f>
        <v>109</v>
      </c>
      <c r="B111" s="5">
        <f t="shared" si="2"/>
        <v>0</v>
      </c>
      <c r="E111" s="5">
        <f t="shared" si="3"/>
        <v>109</v>
      </c>
    </row>
    <row r="112" spans="1:5" ht="16.8" x14ac:dyDescent="0.3">
      <c r="A112" s="70">
        <f>'BASE MAESTRA'!B118</f>
        <v>110</v>
      </c>
      <c r="B112" s="5">
        <f t="shared" si="2"/>
        <v>0</v>
      </c>
      <c r="E112" s="5">
        <f t="shared" si="3"/>
        <v>110</v>
      </c>
    </row>
    <row r="113" spans="1:5" ht="16.8" x14ac:dyDescent="0.3">
      <c r="A113" s="70">
        <f>'BASE MAESTRA'!B119</f>
        <v>111</v>
      </c>
      <c r="B113" s="5">
        <f t="shared" si="2"/>
        <v>0</v>
      </c>
      <c r="E113" s="5">
        <f t="shared" si="3"/>
        <v>111</v>
      </c>
    </row>
    <row r="114" spans="1:5" ht="16.8" x14ac:dyDescent="0.3">
      <c r="A114" s="70">
        <f>'BASE MAESTRA'!B120</f>
        <v>112</v>
      </c>
      <c r="B114" s="5">
        <f t="shared" si="2"/>
        <v>0</v>
      </c>
      <c r="E114" s="5">
        <f t="shared" si="3"/>
        <v>112</v>
      </c>
    </row>
    <row r="115" spans="1:5" ht="16.8" x14ac:dyDescent="0.3">
      <c r="A115" s="70">
        <f>'BASE MAESTRA'!B121</f>
        <v>113</v>
      </c>
      <c r="B115" s="5">
        <f t="shared" si="2"/>
        <v>0</v>
      </c>
      <c r="E115" s="5">
        <f t="shared" si="3"/>
        <v>113</v>
      </c>
    </row>
    <row r="116" spans="1:5" ht="16.8" x14ac:dyDescent="0.3">
      <c r="A116" s="70">
        <f>'BASE MAESTRA'!B122</f>
        <v>114</v>
      </c>
      <c r="B116" s="5">
        <f t="shared" si="2"/>
        <v>0</v>
      </c>
      <c r="E116" s="5">
        <f t="shared" si="3"/>
        <v>114</v>
      </c>
    </row>
    <row r="117" spans="1:5" ht="16.8" x14ac:dyDescent="0.3">
      <c r="A117" s="70">
        <f>'BASE MAESTRA'!B123</f>
        <v>115</v>
      </c>
      <c r="B117" s="5">
        <f t="shared" si="2"/>
        <v>0</v>
      </c>
      <c r="E117" s="5">
        <f t="shared" si="3"/>
        <v>115</v>
      </c>
    </row>
    <row r="118" spans="1:5" ht="16.8" x14ac:dyDescent="0.3">
      <c r="A118" s="70">
        <f>'BASE MAESTRA'!B124</f>
        <v>116</v>
      </c>
      <c r="B118" s="5">
        <f t="shared" si="2"/>
        <v>0</v>
      </c>
      <c r="E118" s="5">
        <f t="shared" si="3"/>
        <v>116</v>
      </c>
    </row>
    <row r="119" spans="1:5" ht="16.8" x14ac:dyDescent="0.3">
      <c r="A119" s="70">
        <f>'BASE MAESTRA'!B125</f>
        <v>117</v>
      </c>
      <c r="B119" s="5">
        <f t="shared" si="2"/>
        <v>0</v>
      </c>
      <c r="E119" s="5">
        <f t="shared" si="3"/>
        <v>117</v>
      </c>
    </row>
    <row r="120" spans="1:5" ht="16.8" x14ac:dyDescent="0.3">
      <c r="A120" s="70">
        <f>'BASE MAESTRA'!B126</f>
        <v>118</v>
      </c>
      <c r="B120" s="5">
        <f t="shared" si="2"/>
        <v>0</v>
      </c>
      <c r="E120" s="5">
        <f t="shared" si="3"/>
        <v>118</v>
      </c>
    </row>
    <row r="121" spans="1:5" ht="16.8" x14ac:dyDescent="0.3">
      <c r="A121" s="70">
        <f>'BASE MAESTRA'!B127</f>
        <v>119</v>
      </c>
      <c r="B121" s="5">
        <f t="shared" si="2"/>
        <v>0</v>
      </c>
      <c r="E121" s="5">
        <f t="shared" si="3"/>
        <v>119</v>
      </c>
    </row>
    <row r="122" spans="1:5" ht="16.8" x14ac:dyDescent="0.3">
      <c r="A122" s="70">
        <f>'BASE MAESTRA'!B128</f>
        <v>120</v>
      </c>
      <c r="B122" s="5">
        <f t="shared" si="2"/>
        <v>0</v>
      </c>
      <c r="E122" s="5">
        <f t="shared" si="3"/>
        <v>120</v>
      </c>
    </row>
    <row r="123" spans="1:5" ht="16.8" x14ac:dyDescent="0.3">
      <c r="A123" s="70">
        <f>'BASE MAESTRA'!B129</f>
        <v>121</v>
      </c>
      <c r="B123" s="5">
        <f t="shared" si="2"/>
        <v>0</v>
      </c>
      <c r="E123" s="5">
        <f t="shared" si="3"/>
        <v>121</v>
      </c>
    </row>
    <row r="124" spans="1:5" ht="16.8" x14ac:dyDescent="0.3">
      <c r="A124" s="70">
        <f>'BASE MAESTRA'!B130</f>
        <v>122</v>
      </c>
      <c r="B124" s="5">
        <f t="shared" si="2"/>
        <v>0</v>
      </c>
      <c r="E124" s="5">
        <f t="shared" si="3"/>
        <v>122</v>
      </c>
    </row>
    <row r="125" spans="1:5" ht="16.8" x14ac:dyDescent="0.3">
      <c r="A125" s="70">
        <f>'BASE MAESTRA'!B131</f>
        <v>123</v>
      </c>
      <c r="B125" s="5">
        <f t="shared" si="2"/>
        <v>0</v>
      </c>
      <c r="E125" s="5">
        <f t="shared" si="3"/>
        <v>123</v>
      </c>
    </row>
    <row r="126" spans="1:5" ht="16.8" x14ac:dyDescent="0.3">
      <c r="A126" s="70">
        <f>'BASE MAESTRA'!B132</f>
        <v>124</v>
      </c>
      <c r="B126" s="5">
        <f t="shared" si="2"/>
        <v>0</v>
      </c>
      <c r="E126" s="5">
        <f t="shared" si="3"/>
        <v>124</v>
      </c>
    </row>
    <row r="127" spans="1:5" ht="16.8" x14ac:dyDescent="0.3">
      <c r="A127" s="70">
        <f>'BASE MAESTRA'!B133</f>
        <v>125</v>
      </c>
      <c r="B127" s="5">
        <f t="shared" si="2"/>
        <v>0</v>
      </c>
      <c r="E127" s="5">
        <f t="shared" si="3"/>
        <v>125</v>
      </c>
    </row>
    <row r="128" spans="1:5" ht="16.8" x14ac:dyDescent="0.3">
      <c r="A128" s="70">
        <f>'BASE MAESTRA'!B134</f>
        <v>126</v>
      </c>
      <c r="B128" s="5">
        <f t="shared" si="2"/>
        <v>0</v>
      </c>
      <c r="E128" s="5">
        <f t="shared" si="3"/>
        <v>126</v>
      </c>
    </row>
    <row r="129" spans="1:5" ht="16.8" x14ac:dyDescent="0.3">
      <c r="A129" s="70">
        <f>'BASE MAESTRA'!B135</f>
        <v>127</v>
      </c>
      <c r="B129" s="5">
        <f t="shared" si="2"/>
        <v>0</v>
      </c>
      <c r="E129" s="5">
        <f t="shared" si="3"/>
        <v>127</v>
      </c>
    </row>
    <row r="130" spans="1:5" ht="16.8" x14ac:dyDescent="0.3">
      <c r="A130" s="70">
        <f>'BASE MAESTRA'!B136</f>
        <v>128</v>
      </c>
      <c r="B130" s="5">
        <f t="shared" si="2"/>
        <v>0</v>
      </c>
      <c r="E130" s="5">
        <f t="shared" si="3"/>
        <v>128</v>
      </c>
    </row>
    <row r="131" spans="1:5" ht="16.8" x14ac:dyDescent="0.3">
      <c r="A131" s="70">
        <f>'BASE MAESTRA'!B137</f>
        <v>129</v>
      </c>
      <c r="B131" s="5">
        <f t="shared" ref="B131:B194" si="4">VLOOKUP($A131,DatosEspecies,B$2,FALSE)</f>
        <v>0</v>
      </c>
      <c r="E131" s="5">
        <f t="shared" ref="E131:E194" si="5">VLOOKUP($A131,DatosEspecies,E$2,FALSE)</f>
        <v>129</v>
      </c>
    </row>
    <row r="132" spans="1:5" ht="16.8" x14ac:dyDescent="0.3">
      <c r="A132" s="70">
        <f>'BASE MAESTRA'!B138</f>
        <v>130</v>
      </c>
      <c r="B132" s="5">
        <f t="shared" si="4"/>
        <v>0</v>
      </c>
      <c r="E132" s="5">
        <f t="shared" si="5"/>
        <v>130</v>
      </c>
    </row>
    <row r="133" spans="1:5" ht="16.8" x14ac:dyDescent="0.3">
      <c r="A133" s="70">
        <f>'BASE MAESTRA'!B139</f>
        <v>131</v>
      </c>
      <c r="B133" s="5">
        <f t="shared" si="4"/>
        <v>0</v>
      </c>
      <c r="E133" s="5">
        <f t="shared" si="5"/>
        <v>131</v>
      </c>
    </row>
    <row r="134" spans="1:5" ht="16.8" x14ac:dyDescent="0.3">
      <c r="A134" s="70">
        <f>'BASE MAESTRA'!B140</f>
        <v>132</v>
      </c>
      <c r="B134" s="5">
        <f t="shared" si="4"/>
        <v>0</v>
      </c>
      <c r="E134" s="5">
        <f t="shared" si="5"/>
        <v>132</v>
      </c>
    </row>
    <row r="135" spans="1:5" ht="16.8" x14ac:dyDescent="0.3">
      <c r="A135" s="70">
        <f>'BASE MAESTRA'!B141</f>
        <v>133</v>
      </c>
      <c r="B135" s="5">
        <f t="shared" si="4"/>
        <v>0</v>
      </c>
      <c r="E135" s="5">
        <f t="shared" si="5"/>
        <v>133</v>
      </c>
    </row>
    <row r="136" spans="1:5" ht="16.8" x14ac:dyDescent="0.3">
      <c r="A136" s="70">
        <f>'BASE MAESTRA'!B142</f>
        <v>134</v>
      </c>
      <c r="B136" s="5">
        <f t="shared" si="4"/>
        <v>0</v>
      </c>
      <c r="E136" s="5">
        <f t="shared" si="5"/>
        <v>134</v>
      </c>
    </row>
    <row r="137" spans="1:5" ht="16.8" x14ac:dyDescent="0.3">
      <c r="A137" s="70">
        <f>'BASE MAESTRA'!B143</f>
        <v>135</v>
      </c>
      <c r="B137" s="5">
        <f t="shared" si="4"/>
        <v>0</v>
      </c>
      <c r="E137" s="5">
        <f t="shared" si="5"/>
        <v>135</v>
      </c>
    </row>
    <row r="138" spans="1:5" ht="16.8" x14ac:dyDescent="0.3">
      <c r="A138" s="70">
        <f>'BASE MAESTRA'!B144</f>
        <v>136</v>
      </c>
      <c r="B138" s="5">
        <f t="shared" si="4"/>
        <v>0</v>
      </c>
      <c r="E138" s="5">
        <f t="shared" si="5"/>
        <v>136</v>
      </c>
    </row>
    <row r="139" spans="1:5" ht="16.8" x14ac:dyDescent="0.3">
      <c r="A139" s="70">
        <f>'BASE MAESTRA'!B145</f>
        <v>137</v>
      </c>
      <c r="B139" s="5">
        <f t="shared" si="4"/>
        <v>0</v>
      </c>
      <c r="E139" s="5">
        <f t="shared" si="5"/>
        <v>137</v>
      </c>
    </row>
    <row r="140" spans="1:5" ht="16.8" x14ac:dyDescent="0.3">
      <c r="A140" s="70">
        <f>'BASE MAESTRA'!B146</f>
        <v>138</v>
      </c>
      <c r="B140" s="5">
        <f t="shared" si="4"/>
        <v>0</v>
      </c>
      <c r="E140" s="5">
        <f t="shared" si="5"/>
        <v>138</v>
      </c>
    </row>
    <row r="141" spans="1:5" ht="16.8" x14ac:dyDescent="0.3">
      <c r="A141" s="70">
        <f>'BASE MAESTRA'!B147</f>
        <v>139</v>
      </c>
      <c r="B141" s="5">
        <f t="shared" si="4"/>
        <v>0</v>
      </c>
      <c r="E141" s="5">
        <f t="shared" si="5"/>
        <v>139</v>
      </c>
    </row>
    <row r="142" spans="1:5" ht="16.8" x14ac:dyDescent="0.3">
      <c r="A142" s="70">
        <f>'BASE MAESTRA'!B148</f>
        <v>140</v>
      </c>
      <c r="B142" s="5">
        <f t="shared" si="4"/>
        <v>0</v>
      </c>
      <c r="E142" s="5">
        <f t="shared" si="5"/>
        <v>140</v>
      </c>
    </row>
    <row r="143" spans="1:5" ht="16.8" x14ac:dyDescent="0.3">
      <c r="A143" s="70">
        <f>'BASE MAESTRA'!B149</f>
        <v>141</v>
      </c>
      <c r="B143" s="5">
        <f t="shared" si="4"/>
        <v>0</v>
      </c>
      <c r="E143" s="5">
        <f t="shared" si="5"/>
        <v>141</v>
      </c>
    </row>
    <row r="144" spans="1:5" ht="16.8" x14ac:dyDescent="0.3">
      <c r="A144" s="70">
        <f>'BASE MAESTRA'!B150</f>
        <v>142</v>
      </c>
      <c r="B144" s="5">
        <f t="shared" si="4"/>
        <v>0</v>
      </c>
      <c r="E144" s="5">
        <f t="shared" si="5"/>
        <v>142</v>
      </c>
    </row>
    <row r="145" spans="1:5" ht="16.8" x14ac:dyDescent="0.3">
      <c r="A145" s="70">
        <f>'BASE MAESTRA'!B151</f>
        <v>143</v>
      </c>
      <c r="B145" s="5">
        <f t="shared" si="4"/>
        <v>0</v>
      </c>
      <c r="E145" s="5">
        <f t="shared" si="5"/>
        <v>143</v>
      </c>
    </row>
    <row r="146" spans="1:5" ht="16.8" x14ac:dyDescent="0.3">
      <c r="A146" s="70">
        <f>'BASE MAESTRA'!B152</f>
        <v>144</v>
      </c>
      <c r="B146" s="5">
        <f t="shared" si="4"/>
        <v>0</v>
      </c>
      <c r="E146" s="5">
        <f t="shared" si="5"/>
        <v>144</v>
      </c>
    </row>
    <row r="147" spans="1:5" ht="16.8" x14ac:dyDescent="0.3">
      <c r="A147" s="70">
        <f>'BASE MAESTRA'!B153</f>
        <v>145</v>
      </c>
      <c r="B147" s="5">
        <f t="shared" si="4"/>
        <v>0</v>
      </c>
      <c r="E147" s="5">
        <f t="shared" si="5"/>
        <v>145</v>
      </c>
    </row>
    <row r="148" spans="1:5" ht="16.8" x14ac:dyDescent="0.3">
      <c r="A148" s="70">
        <f>'BASE MAESTRA'!B154</f>
        <v>146</v>
      </c>
      <c r="B148" s="5">
        <f t="shared" si="4"/>
        <v>0</v>
      </c>
      <c r="E148" s="5">
        <f t="shared" si="5"/>
        <v>146</v>
      </c>
    </row>
    <row r="149" spans="1:5" ht="16.8" x14ac:dyDescent="0.3">
      <c r="A149" s="70">
        <f>'BASE MAESTRA'!B155</f>
        <v>147</v>
      </c>
      <c r="B149" s="5">
        <f t="shared" si="4"/>
        <v>0</v>
      </c>
      <c r="E149" s="5">
        <f t="shared" si="5"/>
        <v>147</v>
      </c>
    </row>
    <row r="150" spans="1:5" ht="16.8" x14ac:dyDescent="0.3">
      <c r="A150" s="70">
        <f>'BASE MAESTRA'!B156</f>
        <v>148</v>
      </c>
      <c r="B150" s="5">
        <f t="shared" si="4"/>
        <v>0</v>
      </c>
      <c r="E150" s="5">
        <f t="shared" si="5"/>
        <v>148</v>
      </c>
    </row>
    <row r="151" spans="1:5" ht="16.8" x14ac:dyDescent="0.3">
      <c r="A151" s="70">
        <f>'BASE MAESTRA'!B157</f>
        <v>149</v>
      </c>
      <c r="B151" s="5">
        <f t="shared" si="4"/>
        <v>0</v>
      </c>
      <c r="E151" s="5">
        <f t="shared" si="5"/>
        <v>149</v>
      </c>
    </row>
    <row r="152" spans="1:5" ht="16.8" x14ac:dyDescent="0.3">
      <c r="A152" s="70">
        <f>'BASE MAESTRA'!B158</f>
        <v>150</v>
      </c>
      <c r="B152" s="5">
        <f t="shared" si="4"/>
        <v>0</v>
      </c>
      <c r="E152" s="5">
        <f t="shared" si="5"/>
        <v>150</v>
      </c>
    </row>
    <row r="153" spans="1:5" ht="16.8" x14ac:dyDescent="0.3">
      <c r="A153" s="70">
        <f>'BASE MAESTRA'!B159</f>
        <v>151</v>
      </c>
      <c r="B153" s="5">
        <f t="shared" si="4"/>
        <v>0</v>
      </c>
      <c r="E153" s="5">
        <f t="shared" si="5"/>
        <v>151</v>
      </c>
    </row>
    <row r="154" spans="1:5" ht="16.8" x14ac:dyDescent="0.3">
      <c r="A154" s="70">
        <f>'BASE MAESTRA'!B160</f>
        <v>152</v>
      </c>
      <c r="B154" s="5">
        <f t="shared" si="4"/>
        <v>0</v>
      </c>
      <c r="E154" s="5">
        <f t="shared" si="5"/>
        <v>152</v>
      </c>
    </row>
    <row r="155" spans="1:5" ht="16.8" x14ac:dyDescent="0.3">
      <c r="A155" s="70">
        <f>'BASE MAESTRA'!B161</f>
        <v>153</v>
      </c>
      <c r="B155" s="5">
        <f t="shared" si="4"/>
        <v>0</v>
      </c>
      <c r="E155" s="5">
        <f t="shared" si="5"/>
        <v>153</v>
      </c>
    </row>
    <row r="156" spans="1:5" ht="16.8" x14ac:dyDescent="0.3">
      <c r="A156" s="70">
        <f>'BASE MAESTRA'!B162</f>
        <v>154</v>
      </c>
      <c r="B156" s="5">
        <f t="shared" si="4"/>
        <v>0</v>
      </c>
      <c r="E156" s="5">
        <f t="shared" si="5"/>
        <v>154</v>
      </c>
    </row>
    <row r="157" spans="1:5" ht="16.8" x14ac:dyDescent="0.3">
      <c r="A157" s="70">
        <f>'BASE MAESTRA'!B163</f>
        <v>155</v>
      </c>
      <c r="B157" s="5">
        <f t="shared" si="4"/>
        <v>0</v>
      </c>
      <c r="E157" s="5">
        <f t="shared" si="5"/>
        <v>155</v>
      </c>
    </row>
    <row r="158" spans="1:5" ht="16.8" x14ac:dyDescent="0.3">
      <c r="A158" s="70">
        <f>'BASE MAESTRA'!B164</f>
        <v>156</v>
      </c>
      <c r="B158" s="5">
        <f t="shared" si="4"/>
        <v>0</v>
      </c>
      <c r="E158" s="5">
        <f t="shared" si="5"/>
        <v>156</v>
      </c>
    </row>
    <row r="159" spans="1:5" ht="16.8" x14ac:dyDescent="0.3">
      <c r="A159" s="70">
        <f>'BASE MAESTRA'!B165</f>
        <v>157</v>
      </c>
      <c r="B159" s="5">
        <f t="shared" si="4"/>
        <v>0</v>
      </c>
      <c r="E159" s="5">
        <f t="shared" si="5"/>
        <v>157</v>
      </c>
    </row>
    <row r="160" spans="1:5" ht="16.8" x14ac:dyDescent="0.3">
      <c r="A160" s="70">
        <f>'BASE MAESTRA'!B166</f>
        <v>158</v>
      </c>
      <c r="B160" s="5">
        <f t="shared" si="4"/>
        <v>0</v>
      </c>
      <c r="E160" s="5">
        <f t="shared" si="5"/>
        <v>158</v>
      </c>
    </row>
    <row r="161" spans="1:5" ht="16.8" x14ac:dyDescent="0.3">
      <c r="A161" s="70">
        <f>'BASE MAESTRA'!B167</f>
        <v>159</v>
      </c>
      <c r="B161" s="5">
        <f t="shared" si="4"/>
        <v>0</v>
      </c>
      <c r="E161" s="5">
        <f t="shared" si="5"/>
        <v>159</v>
      </c>
    </row>
    <row r="162" spans="1:5" ht="16.8" x14ac:dyDescent="0.3">
      <c r="A162" s="70">
        <f>'BASE MAESTRA'!B168</f>
        <v>160</v>
      </c>
      <c r="B162" s="5">
        <f t="shared" si="4"/>
        <v>0</v>
      </c>
      <c r="E162" s="5">
        <f t="shared" si="5"/>
        <v>160</v>
      </c>
    </row>
    <row r="163" spans="1:5" ht="16.8" x14ac:dyDescent="0.3">
      <c r="A163" s="70">
        <f>'BASE MAESTRA'!B169</f>
        <v>161</v>
      </c>
      <c r="B163" s="5">
        <f t="shared" si="4"/>
        <v>0</v>
      </c>
      <c r="E163" s="5">
        <f t="shared" si="5"/>
        <v>161</v>
      </c>
    </row>
    <row r="164" spans="1:5" ht="16.8" x14ac:dyDescent="0.3">
      <c r="A164" s="70">
        <f>'BASE MAESTRA'!B170</f>
        <v>162</v>
      </c>
      <c r="B164" s="5">
        <f t="shared" si="4"/>
        <v>0</v>
      </c>
      <c r="E164" s="5">
        <f t="shared" si="5"/>
        <v>162</v>
      </c>
    </row>
    <row r="165" spans="1:5" ht="16.8" x14ac:dyDescent="0.3">
      <c r="A165" s="70">
        <f>'BASE MAESTRA'!B171</f>
        <v>163</v>
      </c>
      <c r="B165" s="5">
        <f t="shared" si="4"/>
        <v>0</v>
      </c>
      <c r="E165" s="5">
        <f t="shared" si="5"/>
        <v>163</v>
      </c>
    </row>
    <row r="166" spans="1:5" ht="16.8" x14ac:dyDescent="0.3">
      <c r="A166" s="70">
        <f>'BASE MAESTRA'!B172</f>
        <v>164</v>
      </c>
      <c r="B166" s="5">
        <f t="shared" si="4"/>
        <v>0</v>
      </c>
      <c r="E166" s="5">
        <f t="shared" si="5"/>
        <v>164</v>
      </c>
    </row>
    <row r="167" spans="1:5" ht="16.8" x14ac:dyDescent="0.3">
      <c r="A167" s="70">
        <f>'BASE MAESTRA'!B173</f>
        <v>165</v>
      </c>
      <c r="B167" s="5">
        <f t="shared" si="4"/>
        <v>0</v>
      </c>
      <c r="E167" s="5">
        <f t="shared" si="5"/>
        <v>165</v>
      </c>
    </row>
    <row r="168" spans="1:5" ht="16.8" x14ac:dyDescent="0.3">
      <c r="A168" s="70">
        <f>'BASE MAESTRA'!B174</f>
        <v>166</v>
      </c>
      <c r="B168" s="5">
        <f t="shared" si="4"/>
        <v>0</v>
      </c>
      <c r="E168" s="5">
        <f t="shared" si="5"/>
        <v>166</v>
      </c>
    </row>
    <row r="169" spans="1:5" ht="16.8" x14ac:dyDescent="0.3">
      <c r="A169" s="70">
        <f>'BASE MAESTRA'!B175</f>
        <v>167</v>
      </c>
      <c r="B169" s="5">
        <f t="shared" si="4"/>
        <v>0</v>
      </c>
      <c r="E169" s="5">
        <f t="shared" si="5"/>
        <v>167</v>
      </c>
    </row>
    <row r="170" spans="1:5" ht="16.8" x14ac:dyDescent="0.3">
      <c r="A170" s="70">
        <f>'BASE MAESTRA'!B176</f>
        <v>168</v>
      </c>
      <c r="B170" s="5">
        <f t="shared" si="4"/>
        <v>0</v>
      </c>
      <c r="E170" s="5">
        <f t="shared" si="5"/>
        <v>168</v>
      </c>
    </row>
    <row r="171" spans="1:5" ht="16.8" x14ac:dyDescent="0.3">
      <c r="A171" s="70">
        <f>'BASE MAESTRA'!B177</f>
        <v>169</v>
      </c>
      <c r="B171" s="5">
        <f t="shared" si="4"/>
        <v>0</v>
      </c>
      <c r="E171" s="5">
        <f t="shared" si="5"/>
        <v>169</v>
      </c>
    </row>
    <row r="172" spans="1:5" ht="16.8" x14ac:dyDescent="0.3">
      <c r="A172" s="70">
        <f>'BASE MAESTRA'!B178</f>
        <v>170</v>
      </c>
      <c r="B172" s="5">
        <f t="shared" si="4"/>
        <v>0</v>
      </c>
      <c r="E172" s="5">
        <f t="shared" si="5"/>
        <v>170</v>
      </c>
    </row>
    <row r="173" spans="1:5" ht="16.8" x14ac:dyDescent="0.3">
      <c r="A173" s="70">
        <f>'BASE MAESTRA'!B179</f>
        <v>171</v>
      </c>
      <c r="B173" s="5">
        <f t="shared" si="4"/>
        <v>0</v>
      </c>
      <c r="E173" s="5">
        <f t="shared" si="5"/>
        <v>171</v>
      </c>
    </row>
    <row r="174" spans="1:5" ht="16.8" x14ac:dyDescent="0.3">
      <c r="A174" s="70">
        <f>'BASE MAESTRA'!B180</f>
        <v>172</v>
      </c>
      <c r="B174" s="5">
        <f t="shared" si="4"/>
        <v>0</v>
      </c>
      <c r="E174" s="5">
        <f t="shared" si="5"/>
        <v>172</v>
      </c>
    </row>
    <row r="175" spans="1:5" ht="16.8" x14ac:dyDescent="0.3">
      <c r="A175" s="70">
        <f>'BASE MAESTRA'!B181</f>
        <v>173</v>
      </c>
      <c r="B175" s="5">
        <f t="shared" si="4"/>
        <v>0</v>
      </c>
      <c r="E175" s="5">
        <f t="shared" si="5"/>
        <v>173</v>
      </c>
    </row>
    <row r="176" spans="1:5" ht="16.8" x14ac:dyDescent="0.3">
      <c r="A176" s="70">
        <f>'BASE MAESTRA'!B182</f>
        <v>174</v>
      </c>
      <c r="B176" s="5">
        <f t="shared" si="4"/>
        <v>0</v>
      </c>
      <c r="E176" s="5">
        <f t="shared" si="5"/>
        <v>174</v>
      </c>
    </row>
    <row r="177" spans="1:5" ht="16.8" x14ac:dyDescent="0.3">
      <c r="A177" s="70">
        <f>'BASE MAESTRA'!B183</f>
        <v>175</v>
      </c>
      <c r="B177" s="5">
        <f t="shared" si="4"/>
        <v>0</v>
      </c>
      <c r="E177" s="5">
        <f t="shared" si="5"/>
        <v>175</v>
      </c>
    </row>
    <row r="178" spans="1:5" ht="16.8" x14ac:dyDescent="0.3">
      <c r="A178" s="70">
        <f>'BASE MAESTRA'!B184</f>
        <v>176</v>
      </c>
      <c r="B178" s="5">
        <f t="shared" si="4"/>
        <v>0</v>
      </c>
      <c r="E178" s="5">
        <f t="shared" si="5"/>
        <v>176</v>
      </c>
    </row>
    <row r="179" spans="1:5" ht="16.8" x14ac:dyDescent="0.3">
      <c r="A179" s="70">
        <f>'BASE MAESTRA'!B185</f>
        <v>177</v>
      </c>
      <c r="B179" s="5">
        <f t="shared" si="4"/>
        <v>0</v>
      </c>
      <c r="E179" s="5">
        <f t="shared" si="5"/>
        <v>177</v>
      </c>
    </row>
    <row r="180" spans="1:5" ht="16.8" x14ac:dyDescent="0.3">
      <c r="A180" s="70">
        <f>'BASE MAESTRA'!B186</f>
        <v>178</v>
      </c>
      <c r="B180" s="5">
        <f t="shared" si="4"/>
        <v>0</v>
      </c>
      <c r="E180" s="5">
        <f t="shared" si="5"/>
        <v>178</v>
      </c>
    </row>
    <row r="181" spans="1:5" ht="16.8" x14ac:dyDescent="0.3">
      <c r="A181" s="70">
        <f>'BASE MAESTRA'!B187</f>
        <v>179</v>
      </c>
      <c r="B181" s="5">
        <f t="shared" si="4"/>
        <v>0</v>
      </c>
      <c r="E181" s="5">
        <f t="shared" si="5"/>
        <v>179</v>
      </c>
    </row>
    <row r="182" spans="1:5" ht="16.8" x14ac:dyDescent="0.3">
      <c r="A182" s="70">
        <f>'BASE MAESTRA'!B188</f>
        <v>180</v>
      </c>
      <c r="B182" s="5">
        <f t="shared" si="4"/>
        <v>0</v>
      </c>
      <c r="E182" s="5">
        <f t="shared" si="5"/>
        <v>180</v>
      </c>
    </row>
    <row r="183" spans="1:5" ht="16.8" x14ac:dyDescent="0.3">
      <c r="A183" s="70">
        <f>'BASE MAESTRA'!B189</f>
        <v>181</v>
      </c>
      <c r="B183" s="5">
        <f t="shared" si="4"/>
        <v>0</v>
      </c>
      <c r="E183" s="5">
        <f t="shared" si="5"/>
        <v>181</v>
      </c>
    </row>
    <row r="184" spans="1:5" ht="16.8" x14ac:dyDescent="0.3">
      <c r="A184" s="70">
        <f>'BASE MAESTRA'!B190</f>
        <v>182</v>
      </c>
      <c r="B184" s="5">
        <f t="shared" si="4"/>
        <v>0</v>
      </c>
      <c r="E184" s="5">
        <f t="shared" si="5"/>
        <v>182</v>
      </c>
    </row>
    <row r="185" spans="1:5" ht="16.8" x14ac:dyDescent="0.3">
      <c r="A185" s="70">
        <f>'BASE MAESTRA'!B191</f>
        <v>183</v>
      </c>
      <c r="B185" s="5">
        <f t="shared" si="4"/>
        <v>0</v>
      </c>
      <c r="E185" s="5">
        <f t="shared" si="5"/>
        <v>183</v>
      </c>
    </row>
    <row r="186" spans="1:5" ht="16.8" x14ac:dyDescent="0.3">
      <c r="A186" s="70">
        <f>'BASE MAESTRA'!B192</f>
        <v>184</v>
      </c>
      <c r="B186" s="5">
        <f t="shared" si="4"/>
        <v>0</v>
      </c>
      <c r="E186" s="5">
        <f t="shared" si="5"/>
        <v>184</v>
      </c>
    </row>
    <row r="187" spans="1:5" ht="16.8" x14ac:dyDescent="0.3">
      <c r="A187" s="70">
        <f>'BASE MAESTRA'!B193</f>
        <v>185</v>
      </c>
      <c r="B187" s="5">
        <f t="shared" si="4"/>
        <v>0</v>
      </c>
      <c r="E187" s="5">
        <f t="shared" si="5"/>
        <v>185</v>
      </c>
    </row>
    <row r="188" spans="1:5" ht="16.8" x14ac:dyDescent="0.3">
      <c r="A188" s="70">
        <f>'BASE MAESTRA'!B194</f>
        <v>186</v>
      </c>
      <c r="B188" s="5">
        <f t="shared" si="4"/>
        <v>0</v>
      </c>
      <c r="E188" s="5">
        <f t="shared" si="5"/>
        <v>186</v>
      </c>
    </row>
    <row r="189" spans="1:5" ht="16.8" x14ac:dyDescent="0.3">
      <c r="A189" s="70">
        <f>'BASE MAESTRA'!B195</f>
        <v>187</v>
      </c>
      <c r="B189" s="5">
        <f t="shared" si="4"/>
        <v>0</v>
      </c>
      <c r="E189" s="5">
        <f t="shared" si="5"/>
        <v>187</v>
      </c>
    </row>
    <row r="190" spans="1:5" ht="16.8" x14ac:dyDescent="0.3">
      <c r="A190" s="70">
        <f>'BASE MAESTRA'!B196</f>
        <v>188</v>
      </c>
      <c r="B190" s="5">
        <f t="shared" si="4"/>
        <v>0</v>
      </c>
      <c r="E190" s="5">
        <f t="shared" si="5"/>
        <v>188</v>
      </c>
    </row>
    <row r="191" spans="1:5" ht="16.8" x14ac:dyDescent="0.3">
      <c r="A191" s="70">
        <f>'BASE MAESTRA'!B197</f>
        <v>189</v>
      </c>
      <c r="B191" s="5">
        <f t="shared" si="4"/>
        <v>0</v>
      </c>
      <c r="E191" s="5">
        <f t="shared" si="5"/>
        <v>189</v>
      </c>
    </row>
    <row r="192" spans="1:5" ht="16.8" x14ac:dyDescent="0.3">
      <c r="A192" s="70">
        <f>'BASE MAESTRA'!B198</f>
        <v>190</v>
      </c>
      <c r="B192" s="5">
        <f t="shared" si="4"/>
        <v>0</v>
      </c>
      <c r="E192" s="5">
        <f t="shared" si="5"/>
        <v>190</v>
      </c>
    </row>
    <row r="193" spans="1:5" ht="16.8" x14ac:dyDescent="0.3">
      <c r="A193" s="70">
        <f>'BASE MAESTRA'!B199</f>
        <v>191</v>
      </c>
      <c r="B193" s="5">
        <f t="shared" si="4"/>
        <v>0</v>
      </c>
      <c r="E193" s="5">
        <f t="shared" si="5"/>
        <v>191</v>
      </c>
    </row>
    <row r="194" spans="1:5" ht="16.8" x14ac:dyDescent="0.3">
      <c r="A194" s="70">
        <f>'BASE MAESTRA'!B200</f>
        <v>192</v>
      </c>
      <c r="B194" s="5">
        <f t="shared" si="4"/>
        <v>0</v>
      </c>
      <c r="E194" s="5">
        <f t="shared" si="5"/>
        <v>192</v>
      </c>
    </row>
    <row r="195" spans="1:5" ht="16.8" x14ac:dyDescent="0.3">
      <c r="A195" s="70">
        <f>'BASE MAESTRA'!B201</f>
        <v>193</v>
      </c>
      <c r="B195" s="5">
        <f t="shared" ref="B195:B202" si="6">VLOOKUP($A195,DatosEspecies,B$2,FALSE)</f>
        <v>0</v>
      </c>
      <c r="E195" s="5">
        <f t="shared" ref="E195:E202" si="7">VLOOKUP($A195,DatosEspecies,E$2,FALSE)</f>
        <v>193</v>
      </c>
    </row>
    <row r="196" spans="1:5" ht="16.8" x14ac:dyDescent="0.3">
      <c r="A196" s="70">
        <f>'BASE MAESTRA'!B202</f>
        <v>194</v>
      </c>
      <c r="B196" s="5">
        <f t="shared" si="6"/>
        <v>0</v>
      </c>
      <c r="E196" s="5">
        <f t="shared" si="7"/>
        <v>194</v>
      </c>
    </row>
    <row r="197" spans="1:5" ht="16.8" x14ac:dyDescent="0.3">
      <c r="A197" s="70">
        <f>'BASE MAESTRA'!B203</f>
        <v>195</v>
      </c>
      <c r="B197" s="5">
        <f t="shared" si="6"/>
        <v>0</v>
      </c>
      <c r="E197" s="5">
        <f t="shared" si="7"/>
        <v>195</v>
      </c>
    </row>
    <row r="198" spans="1:5" ht="16.8" x14ac:dyDescent="0.3">
      <c r="A198" s="70">
        <f>'BASE MAESTRA'!B204</f>
        <v>196</v>
      </c>
      <c r="B198" s="5">
        <f t="shared" si="6"/>
        <v>0</v>
      </c>
      <c r="E198" s="5">
        <f t="shared" si="7"/>
        <v>196</v>
      </c>
    </row>
    <row r="199" spans="1:5" ht="16.8" x14ac:dyDescent="0.3">
      <c r="A199" s="70">
        <f>'BASE MAESTRA'!B205</f>
        <v>197</v>
      </c>
      <c r="B199" s="5">
        <f t="shared" si="6"/>
        <v>0</v>
      </c>
      <c r="E199" s="5">
        <f t="shared" si="7"/>
        <v>197</v>
      </c>
    </row>
    <row r="200" spans="1:5" ht="16.8" x14ac:dyDescent="0.3">
      <c r="A200" s="70">
        <f>'BASE MAESTRA'!B206</f>
        <v>198</v>
      </c>
      <c r="B200" s="5">
        <f t="shared" si="6"/>
        <v>0</v>
      </c>
      <c r="E200" s="5">
        <f t="shared" si="7"/>
        <v>198</v>
      </c>
    </row>
    <row r="201" spans="1:5" ht="16.8" x14ac:dyDescent="0.3">
      <c r="A201" s="70">
        <f>'BASE MAESTRA'!B207</f>
        <v>199</v>
      </c>
      <c r="B201" s="5">
        <f t="shared" si="6"/>
        <v>0</v>
      </c>
      <c r="E201" s="5">
        <f t="shared" si="7"/>
        <v>199</v>
      </c>
    </row>
    <row r="202" spans="1:5" ht="16.8" x14ac:dyDescent="0.3">
      <c r="A202" s="70">
        <f>'BASE MAESTRA'!B208</f>
        <v>200</v>
      </c>
      <c r="B202" s="5">
        <f t="shared" si="6"/>
        <v>0</v>
      </c>
      <c r="E202" s="5">
        <f t="shared" si="7"/>
        <v>200</v>
      </c>
    </row>
  </sheetData>
  <customSheetViews>
    <customSheetView guid="{03A28D0E-D221-430C-9036-787CFB666EE7}">
      <selection activeCell="A3" sqref="A3:A138"/>
      <pageMargins left="0.7" right="0.7" top="0.75" bottom="0.75" header="0.3" footer="0.3"/>
    </customSheetView>
  </customSheetView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202"/>
  <sheetViews>
    <sheetView zoomScaleNormal="100" workbookViewId="0"/>
  </sheetViews>
  <sheetFormatPr defaultColWidth="11" defaultRowHeight="13.2" x14ac:dyDescent="0.3"/>
  <cols>
    <col min="1" max="1" width="11" style="22"/>
    <col min="2" max="2" width="18.6640625" style="5" customWidth="1"/>
    <col min="3" max="5" width="15.109375" style="5" customWidth="1"/>
    <col min="6" max="6" width="16.44140625" style="5" customWidth="1"/>
    <col min="7" max="9" width="15.109375" style="5" customWidth="1"/>
    <col min="10" max="16384" width="11" style="5"/>
  </cols>
  <sheetData>
    <row r="1" spans="1:9" s="6" customFormat="1" ht="52.8" x14ac:dyDescent="0.3">
      <c r="A1" s="21" t="s">
        <v>310</v>
      </c>
      <c r="B1" s="2" t="s">
        <v>199</v>
      </c>
      <c r="C1" s="2" t="s">
        <v>195</v>
      </c>
      <c r="D1" s="2" t="s">
        <v>194</v>
      </c>
      <c r="E1" s="2" t="s">
        <v>198</v>
      </c>
      <c r="F1" s="2" t="s">
        <v>197</v>
      </c>
      <c r="G1" s="2" t="s">
        <v>196</v>
      </c>
      <c r="H1" s="2" t="s">
        <v>8</v>
      </c>
      <c r="I1" s="2"/>
    </row>
    <row r="2" spans="1:9" s="18" customFormat="1" ht="26.4" x14ac:dyDescent="0.3">
      <c r="A2" s="21" t="s">
        <v>323</v>
      </c>
      <c r="B2" s="21">
        <f>VLOOKUP(B1,CamposSIS,2,FALSE)</f>
        <v>26</v>
      </c>
      <c r="C2" s="21">
        <f>VLOOKUP(C1,CamposSIS,2,FALSE)</f>
        <v>27</v>
      </c>
      <c r="D2" s="21"/>
      <c r="E2" s="21">
        <f>VLOOKUP(E1,CamposSIS,2,FALSE)</f>
        <v>28</v>
      </c>
      <c r="F2" s="21">
        <f>VLOOKUP(F1,CamposSIS,2,FALSE)</f>
        <v>29</v>
      </c>
      <c r="G2" s="21"/>
      <c r="H2" s="21">
        <f>VLOOKUP(H1,CamposSIS,2,FALSE)</f>
        <v>1</v>
      </c>
      <c r="I2" s="26"/>
    </row>
    <row r="3" spans="1:9" ht="16.8" x14ac:dyDescent="0.3">
      <c r="A3" s="70" t="str">
        <f>'BASE MAESTRA'!B7</f>
        <v>3</v>
      </c>
      <c r="B3" s="5" t="str">
        <f t="shared" ref="B3:C21" si="0">VLOOKUP($A3,DatosEspecies,B$2,FALSE)</f>
        <v>CO</v>
      </c>
      <c r="C3" s="5" t="str">
        <f t="shared" si="0"/>
        <v>Colombia</v>
      </c>
      <c r="E3" s="5" t="str">
        <f t="shared" ref="E3:F21" si="1">VLOOKUP($A3,DatosEspecies,E$2,FALSE)</f>
        <v>Native</v>
      </c>
      <c r="F3" s="5" t="str">
        <f t="shared" si="1"/>
        <v>Extant</v>
      </c>
      <c r="H3" s="5" t="str">
        <f t="shared" ref="H3:H66" si="2">VLOOKUP($A3,DatosEspecies,H$2,FALSE)</f>
        <v>3</v>
      </c>
    </row>
    <row r="4" spans="1:9" ht="16.8" x14ac:dyDescent="0.3">
      <c r="A4" s="70" t="str">
        <f>'BASE MAESTRA'!B8</f>
        <v>4</v>
      </c>
      <c r="B4" s="5" t="str">
        <f t="shared" si="0"/>
        <v>CO</v>
      </c>
      <c r="C4" s="5" t="str">
        <f t="shared" si="0"/>
        <v>Colombia</v>
      </c>
      <c r="E4" s="5" t="str">
        <f t="shared" si="1"/>
        <v>Native</v>
      </c>
      <c r="F4" s="5" t="str">
        <f t="shared" si="1"/>
        <v>Extant</v>
      </c>
      <c r="H4" s="5" t="str">
        <f t="shared" si="2"/>
        <v>4</v>
      </c>
    </row>
    <row r="5" spans="1:9" ht="16.8" x14ac:dyDescent="0.3">
      <c r="A5" s="70" t="str">
        <f>'BASE MAESTRA'!B10</f>
        <v>6</v>
      </c>
      <c r="B5" s="5" t="str">
        <f t="shared" si="0"/>
        <v>CO</v>
      </c>
      <c r="C5" s="5" t="str">
        <f t="shared" si="0"/>
        <v>Colombia</v>
      </c>
      <c r="E5" s="5" t="str">
        <f t="shared" si="1"/>
        <v>Native</v>
      </c>
      <c r="F5" s="5" t="str">
        <f t="shared" si="1"/>
        <v>Extant</v>
      </c>
      <c r="H5" s="5" t="str">
        <f t="shared" si="2"/>
        <v>6</v>
      </c>
    </row>
    <row r="6" spans="1:9" ht="16.8" x14ac:dyDescent="0.3">
      <c r="A6" s="70" t="str">
        <f>'BASE MAESTRA'!B11</f>
        <v>7</v>
      </c>
      <c r="B6" s="5" t="str">
        <f t="shared" si="0"/>
        <v>CO</v>
      </c>
      <c r="C6" s="5" t="str">
        <f t="shared" si="0"/>
        <v>Colombia</v>
      </c>
      <c r="E6" s="5" t="str">
        <f t="shared" si="1"/>
        <v>Native</v>
      </c>
      <c r="F6" s="5" t="str">
        <f t="shared" si="1"/>
        <v>Extant</v>
      </c>
      <c r="H6" s="5" t="str">
        <f t="shared" si="2"/>
        <v>7</v>
      </c>
    </row>
    <row r="7" spans="1:9" ht="16.8" x14ac:dyDescent="0.3">
      <c r="A7" s="70" t="str">
        <f>'BASE MAESTRA'!B12</f>
        <v>8</v>
      </c>
      <c r="B7" s="5" t="str">
        <f t="shared" si="0"/>
        <v>CO</v>
      </c>
      <c r="C7" s="5" t="str">
        <f t="shared" si="0"/>
        <v>Colombia</v>
      </c>
      <c r="E7" s="5" t="str">
        <f t="shared" si="1"/>
        <v>Native</v>
      </c>
      <c r="F7" s="5" t="str">
        <f t="shared" si="1"/>
        <v>Extant</v>
      </c>
      <c r="H7" s="5" t="str">
        <f t="shared" si="2"/>
        <v>8</v>
      </c>
    </row>
    <row r="8" spans="1:9" ht="16.8" x14ac:dyDescent="0.3">
      <c r="A8" s="70" t="str">
        <f>'BASE MAESTRA'!B13</f>
        <v>9</v>
      </c>
      <c r="B8" s="5" t="str">
        <f t="shared" si="0"/>
        <v>CO</v>
      </c>
      <c r="C8" s="5" t="str">
        <f t="shared" si="0"/>
        <v>Colombia</v>
      </c>
      <c r="E8" s="5" t="str">
        <f t="shared" si="1"/>
        <v>Native</v>
      </c>
      <c r="F8" s="5" t="str">
        <f t="shared" si="1"/>
        <v>Extant</v>
      </c>
      <c r="H8" s="5" t="str">
        <f t="shared" si="2"/>
        <v>9</v>
      </c>
    </row>
    <row r="9" spans="1:9" ht="16.8" x14ac:dyDescent="0.3">
      <c r="A9" s="70" t="str">
        <f>'BASE MAESTRA'!B14</f>
        <v>10</v>
      </c>
      <c r="B9" s="5" t="str">
        <f t="shared" si="0"/>
        <v>CO</v>
      </c>
      <c r="C9" s="5" t="str">
        <f t="shared" si="0"/>
        <v>Colombia</v>
      </c>
      <c r="E9" s="5" t="str">
        <f t="shared" si="1"/>
        <v>Native</v>
      </c>
      <c r="F9" s="5" t="str">
        <f t="shared" si="1"/>
        <v>Extant</v>
      </c>
      <c r="H9" s="5" t="str">
        <f t="shared" si="2"/>
        <v>10</v>
      </c>
    </row>
    <row r="10" spans="1:9" ht="16.8" x14ac:dyDescent="0.3">
      <c r="A10" s="70" t="str">
        <f>'BASE MAESTRA'!B15</f>
        <v>11</v>
      </c>
      <c r="B10" s="5" t="str">
        <f t="shared" si="0"/>
        <v>CO</v>
      </c>
      <c r="C10" s="5" t="str">
        <f t="shared" si="0"/>
        <v>Colombia</v>
      </c>
      <c r="E10" s="5" t="str">
        <f t="shared" si="1"/>
        <v>Native</v>
      </c>
      <c r="F10" s="5" t="str">
        <f t="shared" si="1"/>
        <v>Extant</v>
      </c>
      <c r="H10" s="5" t="str">
        <f t="shared" si="2"/>
        <v>11</v>
      </c>
    </row>
    <row r="11" spans="1:9" ht="16.8" x14ac:dyDescent="0.3">
      <c r="A11" s="70" t="str">
        <f>'BASE MAESTRA'!B16</f>
        <v>12</v>
      </c>
      <c r="B11" s="5" t="str">
        <f t="shared" si="0"/>
        <v>CO</v>
      </c>
      <c r="C11" s="5" t="str">
        <f t="shared" si="0"/>
        <v>Colombia</v>
      </c>
      <c r="E11" s="5" t="str">
        <f t="shared" si="1"/>
        <v>Native</v>
      </c>
      <c r="F11" s="5" t="str">
        <f t="shared" si="1"/>
        <v>Extant</v>
      </c>
      <c r="H11" s="5" t="str">
        <f t="shared" si="2"/>
        <v>12</v>
      </c>
    </row>
    <row r="12" spans="1:9" ht="16.8" x14ac:dyDescent="0.3">
      <c r="A12" s="70" t="str">
        <f>'BASE MAESTRA'!B17</f>
        <v>13</v>
      </c>
      <c r="B12" s="5" t="str">
        <f t="shared" si="0"/>
        <v>CO</v>
      </c>
      <c r="C12" s="5" t="str">
        <f t="shared" si="0"/>
        <v>Colombia</v>
      </c>
      <c r="E12" s="5" t="str">
        <f t="shared" si="1"/>
        <v>Native</v>
      </c>
      <c r="F12" s="5" t="str">
        <f t="shared" si="1"/>
        <v>Extant</v>
      </c>
      <c r="H12" s="5" t="str">
        <f t="shared" si="2"/>
        <v>13</v>
      </c>
    </row>
    <row r="13" spans="1:9" ht="16.8" x14ac:dyDescent="0.3">
      <c r="A13" s="70" t="str">
        <f>'BASE MAESTRA'!B18</f>
        <v>14</v>
      </c>
      <c r="B13" s="5" t="str">
        <f t="shared" si="0"/>
        <v>CO</v>
      </c>
      <c r="C13" s="5" t="str">
        <f t="shared" si="0"/>
        <v>Colombia</v>
      </c>
      <c r="E13" s="5" t="str">
        <f t="shared" si="1"/>
        <v>Native</v>
      </c>
      <c r="F13" s="5" t="str">
        <f t="shared" si="1"/>
        <v>Extant</v>
      </c>
      <c r="H13" s="5" t="str">
        <f t="shared" si="2"/>
        <v>14</v>
      </c>
    </row>
    <row r="14" spans="1:9" ht="16.8" x14ac:dyDescent="0.3">
      <c r="A14" s="70" t="str">
        <f>'BASE MAESTRA'!B19</f>
        <v>15</v>
      </c>
      <c r="B14" s="5" t="str">
        <f t="shared" si="0"/>
        <v>CO</v>
      </c>
      <c r="C14" s="5" t="str">
        <f t="shared" si="0"/>
        <v>Colombia</v>
      </c>
      <c r="E14" s="5" t="str">
        <f t="shared" si="1"/>
        <v>Native</v>
      </c>
      <c r="F14" s="5" t="str">
        <f t="shared" si="1"/>
        <v>Extant</v>
      </c>
      <c r="H14" s="5" t="str">
        <f t="shared" si="2"/>
        <v>15</v>
      </c>
    </row>
    <row r="15" spans="1:9" ht="16.8" x14ac:dyDescent="0.3">
      <c r="A15" s="70" t="str">
        <f>'BASE MAESTRA'!B20</f>
        <v>16</v>
      </c>
      <c r="B15" s="5" t="str">
        <f t="shared" si="0"/>
        <v>CO</v>
      </c>
      <c r="C15" s="5" t="str">
        <f t="shared" si="0"/>
        <v>Colombia</v>
      </c>
      <c r="E15" s="5" t="str">
        <f t="shared" si="1"/>
        <v>Native</v>
      </c>
      <c r="F15" s="5" t="str">
        <f t="shared" si="1"/>
        <v>Extant</v>
      </c>
      <c r="H15" s="5" t="str">
        <f t="shared" si="2"/>
        <v>16</v>
      </c>
    </row>
    <row r="16" spans="1:9" ht="16.8" x14ac:dyDescent="0.3">
      <c r="A16" s="70" t="str">
        <f>'BASE MAESTRA'!B21</f>
        <v>17</v>
      </c>
      <c r="B16" s="5" t="str">
        <f t="shared" si="0"/>
        <v>CO</v>
      </c>
      <c r="C16" s="5" t="str">
        <f t="shared" si="0"/>
        <v>Colombia</v>
      </c>
      <c r="E16" s="5" t="str">
        <f t="shared" si="1"/>
        <v>Native</v>
      </c>
      <c r="F16" s="5" t="str">
        <f t="shared" si="1"/>
        <v>Extant</v>
      </c>
      <c r="H16" s="5" t="str">
        <f t="shared" si="2"/>
        <v>17</v>
      </c>
    </row>
    <row r="17" spans="1:8" ht="16.8" x14ac:dyDescent="0.3">
      <c r="A17" s="70" t="str">
        <f>'BASE MAESTRA'!B22</f>
        <v>18</v>
      </c>
      <c r="B17" s="5" t="str">
        <f t="shared" si="0"/>
        <v>CO</v>
      </c>
      <c r="C17" s="5" t="str">
        <f t="shared" si="0"/>
        <v>Colombia</v>
      </c>
      <c r="E17" s="5" t="str">
        <f t="shared" si="1"/>
        <v>Native</v>
      </c>
      <c r="F17" s="5" t="str">
        <f t="shared" si="1"/>
        <v>Extant</v>
      </c>
      <c r="H17" s="5" t="str">
        <f t="shared" si="2"/>
        <v>18</v>
      </c>
    </row>
    <row r="18" spans="1:8" ht="16.8" x14ac:dyDescent="0.3">
      <c r="A18" s="70" t="str">
        <f>'BASE MAESTRA'!B23</f>
        <v>19</v>
      </c>
      <c r="B18" s="5" t="str">
        <f t="shared" si="0"/>
        <v>CO</v>
      </c>
      <c r="C18" s="5" t="str">
        <f t="shared" si="0"/>
        <v>Colombia</v>
      </c>
      <c r="E18" s="5" t="str">
        <f t="shared" si="1"/>
        <v>Native</v>
      </c>
      <c r="F18" s="5" t="str">
        <f t="shared" si="1"/>
        <v>Extant</v>
      </c>
      <c r="H18" s="5" t="str">
        <f t="shared" si="2"/>
        <v>19</v>
      </c>
    </row>
    <row r="19" spans="1:8" ht="16.8" x14ac:dyDescent="0.3">
      <c r="A19" s="70" t="str">
        <f>'BASE MAESTRA'!B25</f>
        <v>20</v>
      </c>
      <c r="B19" s="5" t="str">
        <f t="shared" si="0"/>
        <v>CO</v>
      </c>
      <c r="C19" s="5" t="str">
        <f t="shared" si="0"/>
        <v>Colombia</v>
      </c>
      <c r="E19" s="5" t="str">
        <f t="shared" si="1"/>
        <v>Native</v>
      </c>
      <c r="F19" s="5" t="str">
        <f t="shared" si="1"/>
        <v>Extant</v>
      </c>
      <c r="H19" s="5" t="str">
        <f t="shared" si="2"/>
        <v>20</v>
      </c>
    </row>
    <row r="20" spans="1:8" ht="16.8" x14ac:dyDescent="0.3">
      <c r="A20" s="70" t="str">
        <f>'BASE MAESTRA'!B26</f>
        <v>21</v>
      </c>
      <c r="B20" s="5" t="str">
        <f t="shared" si="0"/>
        <v>CO</v>
      </c>
      <c r="C20" s="5" t="str">
        <f t="shared" si="0"/>
        <v>Colombia</v>
      </c>
      <c r="E20" s="5" t="str">
        <f t="shared" si="1"/>
        <v>Native</v>
      </c>
      <c r="F20" s="5" t="str">
        <f t="shared" si="1"/>
        <v>Extant</v>
      </c>
      <c r="H20" s="5" t="str">
        <f t="shared" si="2"/>
        <v>21</v>
      </c>
    </row>
    <row r="21" spans="1:8" ht="16.8" x14ac:dyDescent="0.3">
      <c r="A21" s="70" t="str">
        <f>'BASE MAESTRA'!B27</f>
        <v>22</v>
      </c>
      <c r="B21" s="5" t="str">
        <f t="shared" si="0"/>
        <v>CO</v>
      </c>
      <c r="C21" s="5" t="str">
        <f t="shared" si="0"/>
        <v>Colombia</v>
      </c>
      <c r="E21" s="5" t="str">
        <f t="shared" si="1"/>
        <v>Native</v>
      </c>
      <c r="F21" s="5" t="str">
        <f t="shared" si="1"/>
        <v>Extant</v>
      </c>
      <c r="H21" s="5" t="str">
        <f t="shared" si="2"/>
        <v>22</v>
      </c>
    </row>
    <row r="22" spans="1:8" ht="16.8" x14ac:dyDescent="0.3">
      <c r="A22" s="70" t="str">
        <f>'BASE MAESTRA'!B28</f>
        <v>23</v>
      </c>
      <c r="B22" s="5" t="str">
        <f t="shared" ref="B22:C41" si="3">VLOOKUP($A22,DatosEspecies,B$2,FALSE)</f>
        <v>CO</v>
      </c>
      <c r="C22" s="5" t="str">
        <f t="shared" si="3"/>
        <v>Colombia</v>
      </c>
      <c r="E22" s="5" t="str">
        <f t="shared" ref="E22:F41" si="4">VLOOKUP($A22,DatosEspecies,E$2,FALSE)</f>
        <v>Native</v>
      </c>
      <c r="F22" s="5" t="str">
        <f t="shared" si="4"/>
        <v>Extant</v>
      </c>
      <c r="H22" s="5" t="str">
        <f t="shared" si="2"/>
        <v>23</v>
      </c>
    </row>
    <row r="23" spans="1:8" ht="16.8" x14ac:dyDescent="0.3">
      <c r="A23" s="70" t="str">
        <f>'BASE MAESTRA'!B29</f>
        <v>24</v>
      </c>
      <c r="B23" s="5">
        <f t="shared" si="3"/>
        <v>0</v>
      </c>
      <c r="C23" s="5">
        <f t="shared" si="3"/>
        <v>0</v>
      </c>
      <c r="E23" s="5">
        <f t="shared" si="4"/>
        <v>0</v>
      </c>
      <c r="F23" s="5">
        <f t="shared" si="4"/>
        <v>0</v>
      </c>
      <c r="H23" s="5" t="str">
        <f t="shared" si="2"/>
        <v>24</v>
      </c>
    </row>
    <row r="24" spans="1:8" ht="16.8" x14ac:dyDescent="0.3">
      <c r="A24" s="70" t="str">
        <f>'BASE MAESTRA'!B30</f>
        <v>25</v>
      </c>
      <c r="B24" s="5">
        <f t="shared" si="3"/>
        <v>0</v>
      </c>
      <c r="C24" s="5">
        <f t="shared" si="3"/>
        <v>0</v>
      </c>
      <c r="E24" s="5">
        <f t="shared" si="4"/>
        <v>0</v>
      </c>
      <c r="F24" s="5">
        <f t="shared" si="4"/>
        <v>0</v>
      </c>
      <c r="H24" s="5" t="str">
        <f t="shared" si="2"/>
        <v>25</v>
      </c>
    </row>
    <row r="25" spans="1:8" ht="16.8" x14ac:dyDescent="0.3">
      <c r="A25" s="70" t="str">
        <f>'BASE MAESTRA'!B31</f>
        <v>26</v>
      </c>
      <c r="B25" s="5">
        <f t="shared" si="3"/>
        <v>0</v>
      </c>
      <c r="C25" s="5">
        <f t="shared" si="3"/>
        <v>0</v>
      </c>
      <c r="E25" s="5">
        <f t="shared" si="4"/>
        <v>0</v>
      </c>
      <c r="F25" s="5">
        <f t="shared" si="4"/>
        <v>0</v>
      </c>
      <c r="H25" s="5" t="str">
        <f t="shared" si="2"/>
        <v>26</v>
      </c>
    </row>
    <row r="26" spans="1:8" ht="16.8" x14ac:dyDescent="0.3">
      <c r="A26" s="70" t="str">
        <f>'BASE MAESTRA'!B32</f>
        <v>27</v>
      </c>
      <c r="B26" s="5">
        <f t="shared" si="3"/>
        <v>0</v>
      </c>
      <c r="C26" s="5">
        <f t="shared" si="3"/>
        <v>0</v>
      </c>
      <c r="E26" s="5">
        <f t="shared" si="4"/>
        <v>0</v>
      </c>
      <c r="F26" s="5">
        <f t="shared" si="4"/>
        <v>0</v>
      </c>
      <c r="H26" s="5" t="str">
        <f t="shared" si="2"/>
        <v>27</v>
      </c>
    </row>
    <row r="27" spans="1:8" ht="16.8" x14ac:dyDescent="0.3">
      <c r="A27" s="70" t="str">
        <f>'BASE MAESTRA'!B33</f>
        <v>28</v>
      </c>
      <c r="B27" s="5">
        <f t="shared" si="3"/>
        <v>0</v>
      </c>
      <c r="C27" s="5">
        <f t="shared" si="3"/>
        <v>0</v>
      </c>
      <c r="E27" s="5">
        <f t="shared" si="4"/>
        <v>0</v>
      </c>
      <c r="F27" s="5">
        <f t="shared" si="4"/>
        <v>0</v>
      </c>
      <c r="H27" s="5" t="str">
        <f t="shared" si="2"/>
        <v>28</v>
      </c>
    </row>
    <row r="28" spans="1:8" ht="16.8" x14ac:dyDescent="0.3">
      <c r="A28" s="70" t="str">
        <f>'BASE MAESTRA'!B34</f>
        <v>29</v>
      </c>
      <c r="B28" s="5">
        <f t="shared" si="3"/>
        <v>0</v>
      </c>
      <c r="C28" s="5">
        <f t="shared" si="3"/>
        <v>0</v>
      </c>
      <c r="E28" s="5">
        <f t="shared" si="4"/>
        <v>0</v>
      </c>
      <c r="F28" s="5">
        <f t="shared" si="4"/>
        <v>0</v>
      </c>
      <c r="H28" s="5" t="str">
        <f t="shared" si="2"/>
        <v>29</v>
      </c>
    </row>
    <row r="29" spans="1:8" ht="16.8" x14ac:dyDescent="0.3">
      <c r="A29" s="70" t="str">
        <f>'BASE MAESTRA'!B35</f>
        <v>30</v>
      </c>
      <c r="B29" s="5">
        <f t="shared" si="3"/>
        <v>0</v>
      </c>
      <c r="C29" s="5">
        <f t="shared" si="3"/>
        <v>0</v>
      </c>
      <c r="E29" s="5">
        <f t="shared" si="4"/>
        <v>0</v>
      </c>
      <c r="F29" s="5">
        <f t="shared" si="4"/>
        <v>0</v>
      </c>
      <c r="H29" s="5" t="str">
        <f t="shared" si="2"/>
        <v>30</v>
      </c>
    </row>
    <row r="30" spans="1:8" ht="16.8" x14ac:dyDescent="0.3">
      <c r="A30" s="70" t="str">
        <f>'BASE MAESTRA'!B36</f>
        <v>31</v>
      </c>
      <c r="B30" s="5">
        <f t="shared" si="3"/>
        <v>0</v>
      </c>
      <c r="C30" s="5">
        <f t="shared" si="3"/>
        <v>0</v>
      </c>
      <c r="E30" s="5">
        <f t="shared" si="4"/>
        <v>0</v>
      </c>
      <c r="F30" s="5">
        <f t="shared" si="4"/>
        <v>0</v>
      </c>
      <c r="H30" s="5" t="str">
        <f t="shared" si="2"/>
        <v>31</v>
      </c>
    </row>
    <row r="31" spans="1:8" ht="16.8" x14ac:dyDescent="0.3">
      <c r="A31" s="70" t="str">
        <f>'BASE MAESTRA'!B37</f>
        <v>32</v>
      </c>
      <c r="B31" s="5">
        <f t="shared" si="3"/>
        <v>0</v>
      </c>
      <c r="C31" s="5">
        <f t="shared" si="3"/>
        <v>0</v>
      </c>
      <c r="E31" s="5">
        <f t="shared" si="4"/>
        <v>0</v>
      </c>
      <c r="F31" s="5">
        <f t="shared" si="4"/>
        <v>0</v>
      </c>
      <c r="H31" s="5" t="str">
        <f t="shared" si="2"/>
        <v>32</v>
      </c>
    </row>
    <row r="32" spans="1:8" ht="16.8" x14ac:dyDescent="0.3">
      <c r="A32" s="70" t="str">
        <f>'BASE MAESTRA'!B38</f>
        <v>33</v>
      </c>
      <c r="B32" s="5">
        <f t="shared" si="3"/>
        <v>0</v>
      </c>
      <c r="C32" s="5">
        <f t="shared" si="3"/>
        <v>0</v>
      </c>
      <c r="E32" s="5">
        <f t="shared" si="4"/>
        <v>0</v>
      </c>
      <c r="F32" s="5">
        <f t="shared" si="4"/>
        <v>0</v>
      </c>
      <c r="H32" s="5" t="str">
        <f t="shared" si="2"/>
        <v>33</v>
      </c>
    </row>
    <row r="33" spans="1:8" ht="16.8" x14ac:dyDescent="0.3">
      <c r="A33" s="70" t="str">
        <f>'BASE MAESTRA'!B39</f>
        <v>34</v>
      </c>
      <c r="B33" s="5">
        <f t="shared" si="3"/>
        <v>0</v>
      </c>
      <c r="C33" s="5">
        <f t="shared" si="3"/>
        <v>0</v>
      </c>
      <c r="E33" s="5">
        <f t="shared" si="4"/>
        <v>0</v>
      </c>
      <c r="F33" s="5">
        <f t="shared" si="4"/>
        <v>0</v>
      </c>
      <c r="H33" s="5" t="str">
        <f t="shared" si="2"/>
        <v>34</v>
      </c>
    </row>
    <row r="34" spans="1:8" ht="16.8" x14ac:dyDescent="0.3">
      <c r="A34" s="70" t="str">
        <f>'BASE MAESTRA'!B40</f>
        <v>35</v>
      </c>
      <c r="B34" s="5">
        <f t="shared" si="3"/>
        <v>0</v>
      </c>
      <c r="C34" s="5">
        <f t="shared" si="3"/>
        <v>0</v>
      </c>
      <c r="E34" s="5">
        <f t="shared" si="4"/>
        <v>0</v>
      </c>
      <c r="F34" s="5">
        <f t="shared" si="4"/>
        <v>0</v>
      </c>
      <c r="H34" s="5" t="str">
        <f t="shared" si="2"/>
        <v>35</v>
      </c>
    </row>
    <row r="35" spans="1:8" ht="16.8" x14ac:dyDescent="0.3">
      <c r="A35" s="70" t="str">
        <f>'BASE MAESTRA'!B41</f>
        <v>36</v>
      </c>
      <c r="B35" s="5">
        <f t="shared" si="3"/>
        <v>0</v>
      </c>
      <c r="C35" s="5">
        <f t="shared" si="3"/>
        <v>0</v>
      </c>
      <c r="E35" s="5">
        <f t="shared" si="4"/>
        <v>0</v>
      </c>
      <c r="F35" s="5">
        <f t="shared" si="4"/>
        <v>0</v>
      </c>
      <c r="H35" s="5" t="str">
        <f t="shared" si="2"/>
        <v>36</v>
      </c>
    </row>
    <row r="36" spans="1:8" ht="16.8" x14ac:dyDescent="0.3">
      <c r="A36" s="70" t="str">
        <f>'BASE MAESTRA'!B42</f>
        <v>37</v>
      </c>
      <c r="B36" s="5">
        <f t="shared" si="3"/>
        <v>0</v>
      </c>
      <c r="C36" s="5">
        <f t="shared" si="3"/>
        <v>0</v>
      </c>
      <c r="E36" s="5">
        <f t="shared" si="4"/>
        <v>0</v>
      </c>
      <c r="F36" s="5">
        <f t="shared" si="4"/>
        <v>0</v>
      </c>
      <c r="H36" s="5" t="str">
        <f t="shared" si="2"/>
        <v>37</v>
      </c>
    </row>
    <row r="37" spans="1:8" ht="16.8" x14ac:dyDescent="0.3">
      <c r="A37" s="70" t="str">
        <f>'BASE MAESTRA'!B43</f>
        <v>38</v>
      </c>
      <c r="B37" s="5">
        <f t="shared" si="3"/>
        <v>0</v>
      </c>
      <c r="C37" s="5">
        <f t="shared" si="3"/>
        <v>0</v>
      </c>
      <c r="E37" s="5">
        <f t="shared" si="4"/>
        <v>0</v>
      </c>
      <c r="F37" s="5">
        <f t="shared" si="4"/>
        <v>0</v>
      </c>
      <c r="H37" s="5" t="str">
        <f t="shared" si="2"/>
        <v>38</v>
      </c>
    </row>
    <row r="38" spans="1:8" ht="16.8" x14ac:dyDescent="0.3">
      <c r="A38" s="70" t="str">
        <f>'BASE MAESTRA'!B44</f>
        <v>39</v>
      </c>
      <c r="B38" s="5">
        <f t="shared" si="3"/>
        <v>0</v>
      </c>
      <c r="C38" s="5">
        <f t="shared" si="3"/>
        <v>0</v>
      </c>
      <c r="E38" s="5">
        <f t="shared" si="4"/>
        <v>0</v>
      </c>
      <c r="F38" s="5">
        <f t="shared" si="4"/>
        <v>0</v>
      </c>
      <c r="H38" s="5" t="str">
        <f t="shared" si="2"/>
        <v>39</v>
      </c>
    </row>
    <row r="39" spans="1:8" ht="16.8" x14ac:dyDescent="0.3">
      <c r="A39" s="70">
        <f>'BASE MAESTRA'!B45</f>
        <v>37</v>
      </c>
      <c r="B39" s="5">
        <f t="shared" si="3"/>
        <v>0</v>
      </c>
      <c r="C39" s="5">
        <f t="shared" si="3"/>
        <v>0</v>
      </c>
      <c r="E39" s="5">
        <f t="shared" si="4"/>
        <v>0</v>
      </c>
      <c r="F39" s="5">
        <f t="shared" si="4"/>
        <v>0</v>
      </c>
      <c r="H39" s="5">
        <f t="shared" si="2"/>
        <v>37</v>
      </c>
    </row>
    <row r="40" spans="1:8" ht="16.8" x14ac:dyDescent="0.3">
      <c r="A40" s="70">
        <f>'BASE MAESTRA'!B46</f>
        <v>38</v>
      </c>
      <c r="B40" s="5">
        <f t="shared" si="3"/>
        <v>0</v>
      </c>
      <c r="C40" s="5">
        <f t="shared" si="3"/>
        <v>0</v>
      </c>
      <c r="E40" s="5">
        <f t="shared" si="4"/>
        <v>0</v>
      </c>
      <c r="F40" s="5">
        <f t="shared" si="4"/>
        <v>0</v>
      </c>
      <c r="H40" s="5">
        <f t="shared" si="2"/>
        <v>38</v>
      </c>
    </row>
    <row r="41" spans="1:8" ht="16.8" x14ac:dyDescent="0.3">
      <c r="A41" s="70">
        <f>'BASE MAESTRA'!B47</f>
        <v>39</v>
      </c>
      <c r="B41" s="5">
        <f t="shared" si="3"/>
        <v>0</v>
      </c>
      <c r="C41" s="5">
        <f t="shared" si="3"/>
        <v>0</v>
      </c>
      <c r="E41" s="5">
        <f t="shared" si="4"/>
        <v>0</v>
      </c>
      <c r="F41" s="5">
        <f t="shared" si="4"/>
        <v>0</v>
      </c>
      <c r="H41" s="5">
        <f t="shared" si="2"/>
        <v>39</v>
      </c>
    </row>
    <row r="42" spans="1:8" ht="16.8" x14ac:dyDescent="0.3">
      <c r="A42" s="70">
        <f>'BASE MAESTRA'!B48</f>
        <v>40</v>
      </c>
      <c r="B42" s="5">
        <f t="shared" ref="B42:C61" si="5">VLOOKUP($A42,DatosEspecies,B$2,FALSE)</f>
        <v>0</v>
      </c>
      <c r="C42" s="5">
        <f t="shared" si="5"/>
        <v>0</v>
      </c>
      <c r="E42" s="5">
        <f t="shared" ref="E42:F61" si="6">VLOOKUP($A42,DatosEspecies,E$2,FALSE)</f>
        <v>0</v>
      </c>
      <c r="F42" s="5">
        <f t="shared" si="6"/>
        <v>0</v>
      </c>
      <c r="H42" s="5">
        <f t="shared" si="2"/>
        <v>40</v>
      </c>
    </row>
    <row r="43" spans="1:8" ht="16.8" x14ac:dyDescent="0.3">
      <c r="A43" s="70">
        <f>'BASE MAESTRA'!B49</f>
        <v>41</v>
      </c>
      <c r="B43" s="5">
        <f t="shared" si="5"/>
        <v>0</v>
      </c>
      <c r="C43" s="5">
        <f t="shared" si="5"/>
        <v>0</v>
      </c>
      <c r="E43" s="5">
        <f t="shared" si="6"/>
        <v>0</v>
      </c>
      <c r="F43" s="5">
        <f t="shared" si="6"/>
        <v>0</v>
      </c>
      <c r="H43" s="5">
        <f t="shared" si="2"/>
        <v>41</v>
      </c>
    </row>
    <row r="44" spans="1:8" ht="16.8" x14ac:dyDescent="0.3">
      <c r="A44" s="70">
        <f>'BASE MAESTRA'!B50</f>
        <v>42</v>
      </c>
      <c r="B44" s="5">
        <f t="shared" si="5"/>
        <v>0</v>
      </c>
      <c r="C44" s="5">
        <f t="shared" si="5"/>
        <v>0</v>
      </c>
      <c r="E44" s="5">
        <f t="shared" si="6"/>
        <v>0</v>
      </c>
      <c r="F44" s="5">
        <f t="shared" si="6"/>
        <v>0</v>
      </c>
      <c r="H44" s="5">
        <f t="shared" si="2"/>
        <v>42</v>
      </c>
    </row>
    <row r="45" spans="1:8" ht="16.8" x14ac:dyDescent="0.3">
      <c r="A45" s="70">
        <f>'BASE MAESTRA'!B51</f>
        <v>43</v>
      </c>
      <c r="B45" s="5">
        <f t="shared" si="5"/>
        <v>0</v>
      </c>
      <c r="C45" s="5">
        <f t="shared" si="5"/>
        <v>0</v>
      </c>
      <c r="E45" s="5">
        <f t="shared" si="6"/>
        <v>0</v>
      </c>
      <c r="F45" s="5">
        <f t="shared" si="6"/>
        <v>0</v>
      </c>
      <c r="H45" s="5">
        <f t="shared" si="2"/>
        <v>43</v>
      </c>
    </row>
    <row r="46" spans="1:8" ht="16.8" x14ac:dyDescent="0.3">
      <c r="A46" s="70">
        <f>'BASE MAESTRA'!B52</f>
        <v>44</v>
      </c>
      <c r="B46" s="5">
        <f t="shared" si="5"/>
        <v>0</v>
      </c>
      <c r="C46" s="5">
        <f t="shared" si="5"/>
        <v>0</v>
      </c>
      <c r="E46" s="5">
        <f t="shared" si="6"/>
        <v>0</v>
      </c>
      <c r="F46" s="5">
        <f t="shared" si="6"/>
        <v>0</v>
      </c>
      <c r="H46" s="5">
        <f t="shared" si="2"/>
        <v>44</v>
      </c>
    </row>
    <row r="47" spans="1:8" ht="16.8" x14ac:dyDescent="0.3">
      <c r="A47" s="70">
        <f>'BASE MAESTRA'!B53</f>
        <v>45</v>
      </c>
      <c r="B47" s="5">
        <f t="shared" si="5"/>
        <v>0</v>
      </c>
      <c r="C47" s="5">
        <f t="shared" si="5"/>
        <v>0</v>
      </c>
      <c r="E47" s="5">
        <f t="shared" si="6"/>
        <v>0</v>
      </c>
      <c r="F47" s="5">
        <f t="shared" si="6"/>
        <v>0</v>
      </c>
      <c r="H47" s="5">
        <f t="shared" si="2"/>
        <v>45</v>
      </c>
    </row>
    <row r="48" spans="1:8" ht="16.8" x14ac:dyDescent="0.3">
      <c r="A48" s="70">
        <f>'BASE MAESTRA'!B54</f>
        <v>46</v>
      </c>
      <c r="B48" s="5">
        <f t="shared" si="5"/>
        <v>0</v>
      </c>
      <c r="C48" s="5">
        <f t="shared" si="5"/>
        <v>0</v>
      </c>
      <c r="E48" s="5">
        <f t="shared" si="6"/>
        <v>0</v>
      </c>
      <c r="F48" s="5">
        <f t="shared" si="6"/>
        <v>0</v>
      </c>
      <c r="H48" s="5">
        <f t="shared" si="2"/>
        <v>46</v>
      </c>
    </row>
    <row r="49" spans="1:8" ht="16.8" x14ac:dyDescent="0.3">
      <c r="A49" s="70">
        <f>'BASE MAESTRA'!B55</f>
        <v>47</v>
      </c>
      <c r="B49" s="5">
        <f t="shared" si="5"/>
        <v>0</v>
      </c>
      <c r="C49" s="5">
        <f t="shared" si="5"/>
        <v>0</v>
      </c>
      <c r="E49" s="5">
        <f t="shared" si="6"/>
        <v>0</v>
      </c>
      <c r="F49" s="5">
        <f t="shared" si="6"/>
        <v>0</v>
      </c>
      <c r="H49" s="5">
        <f t="shared" si="2"/>
        <v>47</v>
      </c>
    </row>
    <row r="50" spans="1:8" ht="16.8" x14ac:dyDescent="0.3">
      <c r="A50" s="70">
        <f>'BASE MAESTRA'!B56</f>
        <v>48</v>
      </c>
      <c r="B50" s="5">
        <f t="shared" si="5"/>
        <v>0</v>
      </c>
      <c r="C50" s="5">
        <f t="shared" si="5"/>
        <v>0</v>
      </c>
      <c r="E50" s="5">
        <f t="shared" si="6"/>
        <v>0</v>
      </c>
      <c r="F50" s="5">
        <f t="shared" si="6"/>
        <v>0</v>
      </c>
      <c r="H50" s="5">
        <f t="shared" si="2"/>
        <v>48</v>
      </c>
    </row>
    <row r="51" spans="1:8" ht="16.8" x14ac:dyDescent="0.3">
      <c r="A51" s="70">
        <f>'BASE MAESTRA'!B57</f>
        <v>49</v>
      </c>
      <c r="B51" s="5">
        <f t="shared" si="5"/>
        <v>0</v>
      </c>
      <c r="C51" s="5">
        <f t="shared" si="5"/>
        <v>0</v>
      </c>
      <c r="E51" s="5">
        <f t="shared" si="6"/>
        <v>0</v>
      </c>
      <c r="F51" s="5">
        <f t="shared" si="6"/>
        <v>0</v>
      </c>
      <c r="H51" s="5">
        <f t="shared" si="2"/>
        <v>49</v>
      </c>
    </row>
    <row r="52" spans="1:8" ht="16.8" x14ac:dyDescent="0.3">
      <c r="A52" s="70">
        <f>'BASE MAESTRA'!B58</f>
        <v>50</v>
      </c>
      <c r="B52" s="5">
        <f t="shared" si="5"/>
        <v>0</v>
      </c>
      <c r="C52" s="5">
        <f t="shared" si="5"/>
        <v>0</v>
      </c>
      <c r="E52" s="5">
        <f t="shared" si="6"/>
        <v>0</v>
      </c>
      <c r="F52" s="5">
        <f t="shared" si="6"/>
        <v>0</v>
      </c>
      <c r="H52" s="5">
        <f t="shared" si="2"/>
        <v>50</v>
      </c>
    </row>
    <row r="53" spans="1:8" ht="16.8" x14ac:dyDescent="0.3">
      <c r="A53" s="70">
        <f>'BASE MAESTRA'!B59</f>
        <v>51</v>
      </c>
      <c r="B53" s="5">
        <f t="shared" si="5"/>
        <v>0</v>
      </c>
      <c r="C53" s="5">
        <f t="shared" si="5"/>
        <v>0</v>
      </c>
      <c r="E53" s="5">
        <f t="shared" si="6"/>
        <v>0</v>
      </c>
      <c r="F53" s="5">
        <f t="shared" si="6"/>
        <v>0</v>
      </c>
      <c r="H53" s="5">
        <f t="shared" si="2"/>
        <v>51</v>
      </c>
    </row>
    <row r="54" spans="1:8" ht="16.8" x14ac:dyDescent="0.3">
      <c r="A54" s="70">
        <f>'BASE MAESTRA'!B60</f>
        <v>52</v>
      </c>
      <c r="B54" s="5">
        <f t="shared" si="5"/>
        <v>0</v>
      </c>
      <c r="C54" s="5">
        <f t="shared" si="5"/>
        <v>0</v>
      </c>
      <c r="E54" s="5">
        <f t="shared" si="6"/>
        <v>0</v>
      </c>
      <c r="F54" s="5">
        <f t="shared" si="6"/>
        <v>0</v>
      </c>
      <c r="H54" s="5">
        <f t="shared" si="2"/>
        <v>52</v>
      </c>
    </row>
    <row r="55" spans="1:8" ht="16.8" x14ac:dyDescent="0.3">
      <c r="A55" s="70">
        <f>'BASE MAESTRA'!B61</f>
        <v>53</v>
      </c>
      <c r="B55" s="5">
        <f t="shared" si="5"/>
        <v>0</v>
      </c>
      <c r="C55" s="5">
        <f t="shared" si="5"/>
        <v>0</v>
      </c>
      <c r="E55" s="5">
        <f t="shared" si="6"/>
        <v>0</v>
      </c>
      <c r="F55" s="5">
        <f t="shared" si="6"/>
        <v>0</v>
      </c>
      <c r="H55" s="5">
        <f t="shared" si="2"/>
        <v>53</v>
      </c>
    </row>
    <row r="56" spans="1:8" ht="16.8" x14ac:dyDescent="0.3">
      <c r="A56" s="70">
        <f>'BASE MAESTRA'!B62</f>
        <v>54</v>
      </c>
      <c r="B56" s="5">
        <f t="shared" si="5"/>
        <v>0</v>
      </c>
      <c r="C56" s="5">
        <f t="shared" si="5"/>
        <v>0</v>
      </c>
      <c r="E56" s="5">
        <f t="shared" si="6"/>
        <v>0</v>
      </c>
      <c r="F56" s="5">
        <f t="shared" si="6"/>
        <v>0</v>
      </c>
      <c r="H56" s="5">
        <f t="shared" si="2"/>
        <v>54</v>
      </c>
    </row>
    <row r="57" spans="1:8" ht="16.8" x14ac:dyDescent="0.3">
      <c r="A57" s="70">
        <f>'BASE MAESTRA'!B63</f>
        <v>55</v>
      </c>
      <c r="B57" s="5">
        <f t="shared" si="5"/>
        <v>0</v>
      </c>
      <c r="C57" s="5">
        <f t="shared" si="5"/>
        <v>0</v>
      </c>
      <c r="E57" s="5">
        <f t="shared" si="6"/>
        <v>0</v>
      </c>
      <c r="F57" s="5">
        <f t="shared" si="6"/>
        <v>0</v>
      </c>
      <c r="H57" s="5">
        <f t="shared" si="2"/>
        <v>55</v>
      </c>
    </row>
    <row r="58" spans="1:8" ht="16.8" x14ac:dyDescent="0.3">
      <c r="A58" s="70">
        <f>'BASE MAESTRA'!B64</f>
        <v>56</v>
      </c>
      <c r="B58" s="5">
        <f t="shared" si="5"/>
        <v>0</v>
      </c>
      <c r="C58" s="5">
        <f t="shared" si="5"/>
        <v>0</v>
      </c>
      <c r="E58" s="5">
        <f t="shared" si="6"/>
        <v>0</v>
      </c>
      <c r="F58" s="5">
        <f t="shared" si="6"/>
        <v>0</v>
      </c>
      <c r="H58" s="5">
        <f t="shared" si="2"/>
        <v>56</v>
      </c>
    </row>
    <row r="59" spans="1:8" ht="16.8" x14ac:dyDescent="0.3">
      <c r="A59" s="70">
        <f>'BASE MAESTRA'!B65</f>
        <v>57</v>
      </c>
      <c r="B59" s="5">
        <f t="shared" si="5"/>
        <v>0</v>
      </c>
      <c r="C59" s="5">
        <f t="shared" si="5"/>
        <v>0</v>
      </c>
      <c r="E59" s="5">
        <f t="shared" si="6"/>
        <v>0</v>
      </c>
      <c r="F59" s="5">
        <f t="shared" si="6"/>
        <v>0</v>
      </c>
      <c r="H59" s="5">
        <f t="shared" si="2"/>
        <v>57</v>
      </c>
    </row>
    <row r="60" spans="1:8" ht="16.8" x14ac:dyDescent="0.3">
      <c r="A60" s="70">
        <f>'BASE MAESTRA'!B66</f>
        <v>58</v>
      </c>
      <c r="B60" s="5">
        <f t="shared" si="5"/>
        <v>0</v>
      </c>
      <c r="C60" s="5">
        <f t="shared" si="5"/>
        <v>0</v>
      </c>
      <c r="E60" s="5">
        <f t="shared" si="6"/>
        <v>0</v>
      </c>
      <c r="F60" s="5">
        <f t="shared" si="6"/>
        <v>0</v>
      </c>
      <c r="H60" s="5">
        <f t="shared" si="2"/>
        <v>58</v>
      </c>
    </row>
    <row r="61" spans="1:8" ht="16.8" x14ac:dyDescent="0.3">
      <c r="A61" s="70">
        <f>'BASE MAESTRA'!B67</f>
        <v>59</v>
      </c>
      <c r="B61" s="5">
        <f t="shared" si="5"/>
        <v>0</v>
      </c>
      <c r="C61" s="5">
        <f t="shared" si="5"/>
        <v>0</v>
      </c>
      <c r="E61" s="5">
        <f t="shared" si="6"/>
        <v>0</v>
      </c>
      <c r="F61" s="5">
        <f t="shared" si="6"/>
        <v>0</v>
      </c>
      <c r="H61" s="5">
        <f t="shared" si="2"/>
        <v>59</v>
      </c>
    </row>
    <row r="62" spans="1:8" ht="16.8" x14ac:dyDescent="0.3">
      <c r="A62" s="70">
        <f>'BASE MAESTRA'!B68</f>
        <v>60</v>
      </c>
      <c r="B62" s="5">
        <f t="shared" ref="B62:C77" si="7">VLOOKUP($A62,DatosEspecies,B$2,FALSE)</f>
        <v>0</v>
      </c>
      <c r="C62" s="5">
        <f t="shared" si="7"/>
        <v>0</v>
      </c>
      <c r="E62" s="5">
        <f t="shared" ref="E62:F77" si="8">VLOOKUP($A62,DatosEspecies,E$2,FALSE)</f>
        <v>0</v>
      </c>
      <c r="F62" s="5">
        <f t="shared" si="8"/>
        <v>0</v>
      </c>
      <c r="H62" s="5">
        <f t="shared" si="2"/>
        <v>60</v>
      </c>
    </row>
    <row r="63" spans="1:8" ht="16.8" x14ac:dyDescent="0.3">
      <c r="A63" s="70">
        <f>'BASE MAESTRA'!B69</f>
        <v>61</v>
      </c>
      <c r="B63" s="5">
        <f t="shared" si="7"/>
        <v>0</v>
      </c>
      <c r="C63" s="5">
        <f t="shared" si="7"/>
        <v>0</v>
      </c>
      <c r="E63" s="5">
        <f t="shared" si="8"/>
        <v>0</v>
      </c>
      <c r="F63" s="5">
        <f t="shared" si="8"/>
        <v>0</v>
      </c>
      <c r="H63" s="5">
        <f t="shared" si="2"/>
        <v>61</v>
      </c>
    </row>
    <row r="64" spans="1:8" ht="16.8" x14ac:dyDescent="0.3">
      <c r="A64" s="70">
        <f>'BASE MAESTRA'!B70</f>
        <v>62</v>
      </c>
      <c r="B64" s="5">
        <f t="shared" si="7"/>
        <v>0</v>
      </c>
      <c r="C64" s="5">
        <f t="shared" si="7"/>
        <v>0</v>
      </c>
      <c r="E64" s="5">
        <f t="shared" si="8"/>
        <v>0</v>
      </c>
      <c r="F64" s="5">
        <f t="shared" si="8"/>
        <v>0</v>
      </c>
      <c r="H64" s="5">
        <f t="shared" si="2"/>
        <v>62</v>
      </c>
    </row>
    <row r="65" spans="1:8" ht="16.8" x14ac:dyDescent="0.3">
      <c r="A65" s="70">
        <f>'BASE MAESTRA'!B71</f>
        <v>63</v>
      </c>
      <c r="B65" s="5">
        <f t="shared" si="7"/>
        <v>0</v>
      </c>
      <c r="C65" s="5">
        <f t="shared" si="7"/>
        <v>0</v>
      </c>
      <c r="E65" s="5">
        <f t="shared" si="8"/>
        <v>0</v>
      </c>
      <c r="F65" s="5">
        <f t="shared" si="8"/>
        <v>0</v>
      </c>
      <c r="H65" s="5">
        <f t="shared" si="2"/>
        <v>63</v>
      </c>
    </row>
    <row r="66" spans="1:8" ht="16.8" x14ac:dyDescent="0.3">
      <c r="A66" s="70">
        <f>'BASE MAESTRA'!B72</f>
        <v>64</v>
      </c>
      <c r="B66" s="5">
        <f t="shared" si="7"/>
        <v>0</v>
      </c>
      <c r="C66" s="5">
        <f t="shared" si="7"/>
        <v>0</v>
      </c>
      <c r="E66" s="5">
        <f t="shared" si="8"/>
        <v>0</v>
      </c>
      <c r="F66" s="5">
        <f t="shared" si="8"/>
        <v>0</v>
      </c>
      <c r="H66" s="5">
        <f t="shared" si="2"/>
        <v>64</v>
      </c>
    </row>
    <row r="67" spans="1:8" ht="16.8" x14ac:dyDescent="0.3">
      <c r="A67" s="70">
        <f>'BASE MAESTRA'!B73</f>
        <v>65</v>
      </c>
      <c r="B67" s="5">
        <f t="shared" si="7"/>
        <v>0</v>
      </c>
      <c r="C67" s="5">
        <f t="shared" si="7"/>
        <v>0</v>
      </c>
      <c r="E67" s="5">
        <f t="shared" si="8"/>
        <v>0</v>
      </c>
      <c r="F67" s="5">
        <f t="shared" si="8"/>
        <v>0</v>
      </c>
      <c r="H67" s="5">
        <f t="shared" ref="H67:H130" si="9">VLOOKUP($A67,DatosEspecies,H$2,FALSE)</f>
        <v>65</v>
      </c>
    </row>
    <row r="68" spans="1:8" ht="16.8" x14ac:dyDescent="0.3">
      <c r="A68" s="70">
        <f>'BASE MAESTRA'!B74</f>
        <v>66</v>
      </c>
      <c r="B68" s="5">
        <f t="shared" si="7"/>
        <v>0</v>
      </c>
      <c r="C68" s="5">
        <f t="shared" si="7"/>
        <v>0</v>
      </c>
      <c r="E68" s="5">
        <f t="shared" si="8"/>
        <v>0</v>
      </c>
      <c r="F68" s="5">
        <f t="shared" si="8"/>
        <v>0</v>
      </c>
      <c r="H68" s="5">
        <f t="shared" si="9"/>
        <v>66</v>
      </c>
    </row>
    <row r="69" spans="1:8" ht="16.8" x14ac:dyDescent="0.3">
      <c r="A69" s="70">
        <f>'BASE MAESTRA'!B75</f>
        <v>67</v>
      </c>
      <c r="B69" s="5">
        <f t="shared" si="7"/>
        <v>0</v>
      </c>
      <c r="C69" s="5">
        <f t="shared" si="7"/>
        <v>0</v>
      </c>
      <c r="E69" s="5">
        <f t="shared" si="8"/>
        <v>0</v>
      </c>
      <c r="F69" s="5">
        <f t="shared" si="8"/>
        <v>0</v>
      </c>
      <c r="H69" s="5">
        <f t="shared" si="9"/>
        <v>67</v>
      </c>
    </row>
    <row r="70" spans="1:8" ht="16.8" x14ac:dyDescent="0.3">
      <c r="A70" s="70">
        <f>'BASE MAESTRA'!B76</f>
        <v>68</v>
      </c>
      <c r="B70" s="5">
        <f t="shared" si="7"/>
        <v>0</v>
      </c>
      <c r="C70" s="5">
        <f t="shared" si="7"/>
        <v>0</v>
      </c>
      <c r="E70" s="5">
        <f t="shared" si="8"/>
        <v>0</v>
      </c>
      <c r="F70" s="5">
        <f t="shared" si="8"/>
        <v>0</v>
      </c>
      <c r="H70" s="5">
        <f t="shared" si="9"/>
        <v>68</v>
      </c>
    </row>
    <row r="71" spans="1:8" ht="16.8" x14ac:dyDescent="0.3">
      <c r="A71" s="70">
        <f>'BASE MAESTRA'!B77</f>
        <v>69</v>
      </c>
      <c r="B71" s="5">
        <f t="shared" si="7"/>
        <v>0</v>
      </c>
      <c r="C71" s="5">
        <f t="shared" si="7"/>
        <v>0</v>
      </c>
      <c r="E71" s="5">
        <f t="shared" si="8"/>
        <v>0</v>
      </c>
      <c r="F71" s="5">
        <f t="shared" si="8"/>
        <v>0</v>
      </c>
      <c r="H71" s="5">
        <f t="shared" si="9"/>
        <v>69</v>
      </c>
    </row>
    <row r="72" spans="1:8" ht="16.8" x14ac:dyDescent="0.3">
      <c r="A72" s="70">
        <f>'BASE MAESTRA'!B78</f>
        <v>70</v>
      </c>
      <c r="B72" s="5">
        <f t="shared" si="7"/>
        <v>0</v>
      </c>
      <c r="C72" s="5">
        <f t="shared" si="7"/>
        <v>0</v>
      </c>
      <c r="E72" s="5">
        <f t="shared" si="8"/>
        <v>0</v>
      </c>
      <c r="F72" s="5">
        <f t="shared" si="8"/>
        <v>0</v>
      </c>
      <c r="H72" s="5">
        <f t="shared" si="9"/>
        <v>70</v>
      </c>
    </row>
    <row r="73" spans="1:8" ht="16.8" x14ac:dyDescent="0.3">
      <c r="A73" s="70">
        <f>'BASE MAESTRA'!B79</f>
        <v>71</v>
      </c>
      <c r="B73" s="5">
        <f t="shared" si="7"/>
        <v>0</v>
      </c>
      <c r="C73" s="5">
        <f t="shared" si="7"/>
        <v>0</v>
      </c>
      <c r="E73" s="5">
        <f t="shared" si="8"/>
        <v>0</v>
      </c>
      <c r="F73" s="5">
        <f t="shared" si="8"/>
        <v>0</v>
      </c>
      <c r="H73" s="5">
        <f t="shared" si="9"/>
        <v>71</v>
      </c>
    </row>
    <row r="74" spans="1:8" ht="16.8" x14ac:dyDescent="0.3">
      <c r="A74" s="70">
        <f>'BASE MAESTRA'!B80</f>
        <v>72</v>
      </c>
      <c r="B74" s="5">
        <f t="shared" si="7"/>
        <v>0</v>
      </c>
      <c r="C74" s="5">
        <f t="shared" si="7"/>
        <v>0</v>
      </c>
      <c r="E74" s="5">
        <f t="shared" si="8"/>
        <v>0</v>
      </c>
      <c r="F74" s="5">
        <f t="shared" si="8"/>
        <v>0</v>
      </c>
      <c r="H74" s="5">
        <f t="shared" si="9"/>
        <v>72</v>
      </c>
    </row>
    <row r="75" spans="1:8" ht="16.8" x14ac:dyDescent="0.3">
      <c r="A75" s="70">
        <f>'BASE MAESTRA'!B81</f>
        <v>73</v>
      </c>
      <c r="B75" s="5">
        <f t="shared" si="7"/>
        <v>0</v>
      </c>
      <c r="C75" s="5">
        <f t="shared" si="7"/>
        <v>0</v>
      </c>
      <c r="E75" s="5">
        <f t="shared" si="8"/>
        <v>0</v>
      </c>
      <c r="F75" s="5">
        <f t="shared" si="8"/>
        <v>0</v>
      </c>
      <c r="H75" s="5">
        <f t="shared" si="9"/>
        <v>73</v>
      </c>
    </row>
    <row r="76" spans="1:8" ht="16.8" x14ac:dyDescent="0.3">
      <c r="A76" s="70">
        <f>'BASE MAESTRA'!B82</f>
        <v>74</v>
      </c>
      <c r="B76" s="5">
        <f t="shared" si="7"/>
        <v>0</v>
      </c>
      <c r="C76" s="5">
        <f t="shared" si="7"/>
        <v>0</v>
      </c>
      <c r="E76" s="5">
        <f t="shared" si="8"/>
        <v>0</v>
      </c>
      <c r="F76" s="5">
        <f t="shared" si="8"/>
        <v>0</v>
      </c>
      <c r="H76" s="5">
        <f t="shared" si="9"/>
        <v>74</v>
      </c>
    </row>
    <row r="77" spans="1:8" ht="16.8" x14ac:dyDescent="0.3">
      <c r="A77" s="70">
        <f>'BASE MAESTRA'!B83</f>
        <v>75</v>
      </c>
      <c r="B77" s="5">
        <f t="shared" si="7"/>
        <v>0</v>
      </c>
      <c r="C77" s="5">
        <f t="shared" si="7"/>
        <v>0</v>
      </c>
      <c r="E77" s="5">
        <f t="shared" si="8"/>
        <v>0</v>
      </c>
      <c r="F77" s="5">
        <f t="shared" si="8"/>
        <v>0</v>
      </c>
      <c r="H77" s="5">
        <f t="shared" si="9"/>
        <v>75</v>
      </c>
    </row>
    <row r="78" spans="1:8" ht="16.8" x14ac:dyDescent="0.3">
      <c r="A78" s="70">
        <f>'BASE MAESTRA'!B84</f>
        <v>76</v>
      </c>
      <c r="B78" s="5">
        <f t="shared" ref="B78:C141" si="10">VLOOKUP($A78,DatosEspecies,B$2,FALSE)</f>
        <v>0</v>
      </c>
      <c r="C78" s="5">
        <f t="shared" si="10"/>
        <v>0</v>
      </c>
      <c r="E78" s="5">
        <f t="shared" ref="E78:F141" si="11">VLOOKUP($A78,DatosEspecies,E$2,FALSE)</f>
        <v>0</v>
      </c>
      <c r="F78" s="5">
        <f t="shared" si="11"/>
        <v>0</v>
      </c>
      <c r="H78" s="5">
        <f t="shared" si="9"/>
        <v>76</v>
      </c>
    </row>
    <row r="79" spans="1:8" ht="16.8" x14ac:dyDescent="0.3">
      <c r="A79" s="70">
        <f>'BASE MAESTRA'!B85</f>
        <v>77</v>
      </c>
      <c r="B79" s="5">
        <f t="shared" si="10"/>
        <v>0</v>
      </c>
      <c r="C79" s="5">
        <f t="shared" si="10"/>
        <v>0</v>
      </c>
      <c r="E79" s="5">
        <f t="shared" si="11"/>
        <v>0</v>
      </c>
      <c r="F79" s="5">
        <f t="shared" si="11"/>
        <v>0</v>
      </c>
      <c r="H79" s="5">
        <f t="shared" si="9"/>
        <v>77</v>
      </c>
    </row>
    <row r="80" spans="1:8" ht="16.8" x14ac:dyDescent="0.3">
      <c r="A80" s="70">
        <f>'BASE MAESTRA'!B86</f>
        <v>78</v>
      </c>
      <c r="B80" s="5">
        <f t="shared" si="10"/>
        <v>0</v>
      </c>
      <c r="C80" s="5">
        <f t="shared" si="10"/>
        <v>0</v>
      </c>
      <c r="E80" s="5">
        <f t="shared" si="11"/>
        <v>0</v>
      </c>
      <c r="F80" s="5">
        <f t="shared" si="11"/>
        <v>0</v>
      </c>
      <c r="H80" s="5">
        <f t="shared" si="9"/>
        <v>78</v>
      </c>
    </row>
    <row r="81" spans="1:8" ht="16.8" x14ac:dyDescent="0.3">
      <c r="A81" s="70">
        <f>'BASE MAESTRA'!B87</f>
        <v>79</v>
      </c>
      <c r="B81" s="5">
        <f t="shared" si="10"/>
        <v>0</v>
      </c>
      <c r="C81" s="5">
        <f t="shared" si="10"/>
        <v>0</v>
      </c>
      <c r="E81" s="5">
        <f t="shared" si="11"/>
        <v>0</v>
      </c>
      <c r="F81" s="5">
        <f t="shared" si="11"/>
        <v>0</v>
      </c>
      <c r="H81" s="5">
        <f t="shared" si="9"/>
        <v>79</v>
      </c>
    </row>
    <row r="82" spans="1:8" ht="16.8" x14ac:dyDescent="0.3">
      <c r="A82" s="70">
        <f>'BASE MAESTRA'!B88</f>
        <v>80</v>
      </c>
      <c r="B82" s="5">
        <f t="shared" si="10"/>
        <v>0</v>
      </c>
      <c r="C82" s="5">
        <f t="shared" si="10"/>
        <v>0</v>
      </c>
      <c r="E82" s="5">
        <f t="shared" si="11"/>
        <v>0</v>
      </c>
      <c r="F82" s="5">
        <f t="shared" si="11"/>
        <v>0</v>
      </c>
      <c r="H82" s="5">
        <f t="shared" si="9"/>
        <v>80</v>
      </c>
    </row>
    <row r="83" spans="1:8" ht="16.8" x14ac:dyDescent="0.3">
      <c r="A83" s="70">
        <f>'BASE MAESTRA'!B89</f>
        <v>81</v>
      </c>
      <c r="B83" s="5">
        <f t="shared" si="10"/>
        <v>0</v>
      </c>
      <c r="C83" s="5">
        <f t="shared" si="10"/>
        <v>0</v>
      </c>
      <c r="E83" s="5">
        <f t="shared" si="11"/>
        <v>0</v>
      </c>
      <c r="F83" s="5">
        <f t="shared" si="11"/>
        <v>0</v>
      </c>
      <c r="H83" s="5">
        <f t="shared" si="9"/>
        <v>81</v>
      </c>
    </row>
    <row r="84" spans="1:8" ht="16.8" x14ac:dyDescent="0.3">
      <c r="A84" s="70">
        <f>'BASE MAESTRA'!B90</f>
        <v>82</v>
      </c>
      <c r="B84" s="5">
        <f t="shared" si="10"/>
        <v>0</v>
      </c>
      <c r="C84" s="5">
        <f t="shared" si="10"/>
        <v>0</v>
      </c>
      <c r="E84" s="5">
        <f t="shared" si="11"/>
        <v>0</v>
      </c>
      <c r="F84" s="5">
        <f t="shared" si="11"/>
        <v>0</v>
      </c>
      <c r="H84" s="5">
        <f t="shared" si="9"/>
        <v>82</v>
      </c>
    </row>
    <row r="85" spans="1:8" ht="16.8" x14ac:dyDescent="0.3">
      <c r="A85" s="70">
        <f>'BASE MAESTRA'!B91</f>
        <v>83</v>
      </c>
      <c r="B85" s="5">
        <f t="shared" si="10"/>
        <v>0</v>
      </c>
      <c r="C85" s="5">
        <f t="shared" si="10"/>
        <v>0</v>
      </c>
      <c r="E85" s="5">
        <f t="shared" si="11"/>
        <v>0</v>
      </c>
      <c r="F85" s="5">
        <f t="shared" si="11"/>
        <v>0</v>
      </c>
      <c r="H85" s="5">
        <f t="shared" si="9"/>
        <v>83</v>
      </c>
    </row>
    <row r="86" spans="1:8" ht="16.8" x14ac:dyDescent="0.3">
      <c r="A86" s="70">
        <f>'BASE MAESTRA'!B92</f>
        <v>84</v>
      </c>
      <c r="B86" s="5">
        <f t="shared" si="10"/>
        <v>0</v>
      </c>
      <c r="C86" s="5">
        <f t="shared" si="10"/>
        <v>0</v>
      </c>
      <c r="E86" s="5">
        <f t="shared" si="11"/>
        <v>0</v>
      </c>
      <c r="F86" s="5">
        <f t="shared" si="11"/>
        <v>0</v>
      </c>
      <c r="H86" s="5">
        <f t="shared" si="9"/>
        <v>84</v>
      </c>
    </row>
    <row r="87" spans="1:8" ht="16.8" x14ac:dyDescent="0.3">
      <c r="A87" s="70">
        <f>'BASE MAESTRA'!B93</f>
        <v>85</v>
      </c>
      <c r="B87" s="5">
        <f t="shared" si="10"/>
        <v>0</v>
      </c>
      <c r="C87" s="5">
        <f t="shared" si="10"/>
        <v>0</v>
      </c>
      <c r="E87" s="5">
        <f t="shared" si="11"/>
        <v>0</v>
      </c>
      <c r="F87" s="5">
        <f t="shared" si="11"/>
        <v>0</v>
      </c>
      <c r="H87" s="5">
        <f t="shared" si="9"/>
        <v>85</v>
      </c>
    </row>
    <row r="88" spans="1:8" ht="16.8" x14ac:dyDescent="0.3">
      <c r="A88" s="70">
        <f>'BASE MAESTRA'!B94</f>
        <v>86</v>
      </c>
      <c r="B88" s="5">
        <f t="shared" si="10"/>
        <v>0</v>
      </c>
      <c r="C88" s="5">
        <f t="shared" si="10"/>
        <v>0</v>
      </c>
      <c r="E88" s="5">
        <f t="shared" si="11"/>
        <v>0</v>
      </c>
      <c r="F88" s="5">
        <f t="shared" si="11"/>
        <v>0</v>
      </c>
      <c r="H88" s="5">
        <f t="shared" si="9"/>
        <v>86</v>
      </c>
    </row>
    <row r="89" spans="1:8" ht="16.8" x14ac:dyDescent="0.3">
      <c r="A89" s="70">
        <f>'BASE MAESTRA'!B95</f>
        <v>87</v>
      </c>
      <c r="B89" s="5">
        <f t="shared" si="10"/>
        <v>0</v>
      </c>
      <c r="C89" s="5">
        <f t="shared" si="10"/>
        <v>0</v>
      </c>
      <c r="E89" s="5">
        <f t="shared" si="11"/>
        <v>0</v>
      </c>
      <c r="F89" s="5">
        <f t="shared" si="11"/>
        <v>0</v>
      </c>
      <c r="H89" s="5">
        <f t="shared" si="9"/>
        <v>87</v>
      </c>
    </row>
    <row r="90" spans="1:8" ht="16.8" x14ac:dyDescent="0.3">
      <c r="A90" s="70">
        <f>'BASE MAESTRA'!B96</f>
        <v>88</v>
      </c>
      <c r="B90" s="5">
        <f t="shared" si="10"/>
        <v>0</v>
      </c>
      <c r="C90" s="5">
        <f t="shared" si="10"/>
        <v>0</v>
      </c>
      <c r="E90" s="5">
        <f t="shared" si="11"/>
        <v>0</v>
      </c>
      <c r="F90" s="5">
        <f t="shared" si="11"/>
        <v>0</v>
      </c>
      <c r="H90" s="5">
        <f t="shared" si="9"/>
        <v>88</v>
      </c>
    </row>
    <row r="91" spans="1:8" ht="16.8" x14ac:dyDescent="0.3">
      <c r="A91" s="70">
        <f>'BASE MAESTRA'!B97</f>
        <v>89</v>
      </c>
      <c r="B91" s="5">
        <f t="shared" si="10"/>
        <v>0</v>
      </c>
      <c r="C91" s="5">
        <f t="shared" si="10"/>
        <v>0</v>
      </c>
      <c r="E91" s="5">
        <f t="shared" si="11"/>
        <v>0</v>
      </c>
      <c r="F91" s="5">
        <f t="shared" si="11"/>
        <v>0</v>
      </c>
      <c r="H91" s="5">
        <f t="shared" si="9"/>
        <v>89</v>
      </c>
    </row>
    <row r="92" spans="1:8" ht="16.8" x14ac:dyDescent="0.3">
      <c r="A92" s="70">
        <f>'BASE MAESTRA'!B98</f>
        <v>90</v>
      </c>
      <c r="B92" s="5">
        <f t="shared" si="10"/>
        <v>0</v>
      </c>
      <c r="C92" s="5">
        <f t="shared" si="10"/>
        <v>0</v>
      </c>
      <c r="E92" s="5">
        <f t="shared" si="11"/>
        <v>0</v>
      </c>
      <c r="F92" s="5">
        <f t="shared" si="11"/>
        <v>0</v>
      </c>
      <c r="H92" s="5">
        <f t="shared" si="9"/>
        <v>90</v>
      </c>
    </row>
    <row r="93" spans="1:8" ht="16.8" x14ac:dyDescent="0.3">
      <c r="A93" s="70">
        <f>'BASE MAESTRA'!B99</f>
        <v>91</v>
      </c>
      <c r="B93" s="5">
        <f t="shared" si="10"/>
        <v>0</v>
      </c>
      <c r="C93" s="5">
        <f t="shared" si="10"/>
        <v>0</v>
      </c>
      <c r="E93" s="5">
        <f t="shared" si="11"/>
        <v>0</v>
      </c>
      <c r="F93" s="5">
        <f t="shared" si="11"/>
        <v>0</v>
      </c>
      <c r="H93" s="5">
        <f t="shared" si="9"/>
        <v>91</v>
      </c>
    </row>
    <row r="94" spans="1:8" ht="16.8" x14ac:dyDescent="0.3">
      <c r="A94" s="70">
        <f>'BASE MAESTRA'!B100</f>
        <v>92</v>
      </c>
      <c r="B94" s="5">
        <f t="shared" si="10"/>
        <v>0</v>
      </c>
      <c r="C94" s="5">
        <f t="shared" si="10"/>
        <v>0</v>
      </c>
      <c r="E94" s="5">
        <f t="shared" si="11"/>
        <v>0</v>
      </c>
      <c r="F94" s="5">
        <f t="shared" si="11"/>
        <v>0</v>
      </c>
      <c r="H94" s="5">
        <f t="shared" si="9"/>
        <v>92</v>
      </c>
    </row>
    <row r="95" spans="1:8" ht="16.8" x14ac:dyDescent="0.3">
      <c r="A95" s="70">
        <f>'BASE MAESTRA'!B101</f>
        <v>93</v>
      </c>
      <c r="B95" s="5">
        <f t="shared" si="10"/>
        <v>0</v>
      </c>
      <c r="C95" s="5">
        <f t="shared" si="10"/>
        <v>0</v>
      </c>
      <c r="E95" s="5">
        <f t="shared" si="11"/>
        <v>0</v>
      </c>
      <c r="F95" s="5">
        <f t="shared" si="11"/>
        <v>0</v>
      </c>
      <c r="H95" s="5">
        <f t="shared" si="9"/>
        <v>93</v>
      </c>
    </row>
    <row r="96" spans="1:8" ht="16.8" x14ac:dyDescent="0.3">
      <c r="A96" s="70">
        <f>'BASE MAESTRA'!B102</f>
        <v>94</v>
      </c>
      <c r="B96" s="5">
        <f t="shared" si="10"/>
        <v>0</v>
      </c>
      <c r="C96" s="5">
        <f t="shared" si="10"/>
        <v>0</v>
      </c>
      <c r="E96" s="5">
        <f t="shared" si="11"/>
        <v>0</v>
      </c>
      <c r="F96" s="5">
        <f t="shared" si="11"/>
        <v>0</v>
      </c>
      <c r="H96" s="5">
        <f t="shared" si="9"/>
        <v>94</v>
      </c>
    </row>
    <row r="97" spans="1:8" ht="16.8" x14ac:dyDescent="0.3">
      <c r="A97" s="70">
        <f>'BASE MAESTRA'!B103</f>
        <v>95</v>
      </c>
      <c r="B97" s="5">
        <f t="shared" si="10"/>
        <v>0</v>
      </c>
      <c r="C97" s="5">
        <f t="shared" si="10"/>
        <v>0</v>
      </c>
      <c r="E97" s="5">
        <f t="shared" si="11"/>
        <v>0</v>
      </c>
      <c r="F97" s="5">
        <f t="shared" si="11"/>
        <v>0</v>
      </c>
      <c r="H97" s="5">
        <f t="shared" si="9"/>
        <v>95</v>
      </c>
    </row>
    <row r="98" spans="1:8" ht="16.8" x14ac:dyDescent="0.3">
      <c r="A98" s="70">
        <f>'BASE MAESTRA'!B104</f>
        <v>96</v>
      </c>
      <c r="B98" s="5">
        <f t="shared" si="10"/>
        <v>0</v>
      </c>
      <c r="C98" s="5">
        <f t="shared" si="10"/>
        <v>0</v>
      </c>
      <c r="E98" s="5">
        <f t="shared" si="11"/>
        <v>0</v>
      </c>
      <c r="F98" s="5">
        <f t="shared" si="11"/>
        <v>0</v>
      </c>
      <c r="H98" s="5">
        <f t="shared" si="9"/>
        <v>96</v>
      </c>
    </row>
    <row r="99" spans="1:8" ht="16.8" x14ac:dyDescent="0.3">
      <c r="A99" s="70">
        <f>'BASE MAESTRA'!B105</f>
        <v>97</v>
      </c>
      <c r="B99" s="5">
        <f t="shared" si="10"/>
        <v>0</v>
      </c>
      <c r="C99" s="5">
        <f t="shared" si="10"/>
        <v>0</v>
      </c>
      <c r="E99" s="5">
        <f t="shared" si="11"/>
        <v>0</v>
      </c>
      <c r="F99" s="5">
        <f t="shared" si="11"/>
        <v>0</v>
      </c>
      <c r="H99" s="5">
        <f t="shared" si="9"/>
        <v>97</v>
      </c>
    </row>
    <row r="100" spans="1:8" ht="16.8" x14ac:dyDescent="0.3">
      <c r="A100" s="70">
        <f>'BASE MAESTRA'!B106</f>
        <v>98</v>
      </c>
      <c r="B100" s="5">
        <f t="shared" si="10"/>
        <v>0</v>
      </c>
      <c r="C100" s="5">
        <f t="shared" si="10"/>
        <v>0</v>
      </c>
      <c r="E100" s="5">
        <f t="shared" si="11"/>
        <v>0</v>
      </c>
      <c r="F100" s="5">
        <f t="shared" si="11"/>
        <v>0</v>
      </c>
      <c r="H100" s="5">
        <f t="shared" si="9"/>
        <v>98</v>
      </c>
    </row>
    <row r="101" spans="1:8" ht="16.8" x14ac:dyDescent="0.3">
      <c r="A101" s="70">
        <f>'BASE MAESTRA'!B107</f>
        <v>99</v>
      </c>
      <c r="B101" s="5">
        <f t="shared" si="10"/>
        <v>0</v>
      </c>
      <c r="C101" s="5">
        <f t="shared" si="10"/>
        <v>0</v>
      </c>
      <c r="E101" s="5">
        <f t="shared" si="11"/>
        <v>0</v>
      </c>
      <c r="F101" s="5">
        <f t="shared" si="11"/>
        <v>0</v>
      </c>
      <c r="H101" s="5">
        <f t="shared" si="9"/>
        <v>99</v>
      </c>
    </row>
    <row r="102" spans="1:8" ht="16.8" x14ac:dyDescent="0.3">
      <c r="A102" s="70">
        <f>'BASE MAESTRA'!B108</f>
        <v>100</v>
      </c>
      <c r="B102" s="5">
        <f t="shared" si="10"/>
        <v>0</v>
      </c>
      <c r="C102" s="5">
        <f t="shared" si="10"/>
        <v>0</v>
      </c>
      <c r="E102" s="5">
        <f t="shared" si="11"/>
        <v>0</v>
      </c>
      <c r="F102" s="5">
        <f t="shared" si="11"/>
        <v>0</v>
      </c>
      <c r="H102" s="5">
        <f t="shared" si="9"/>
        <v>100</v>
      </c>
    </row>
    <row r="103" spans="1:8" ht="16.8" x14ac:dyDescent="0.3">
      <c r="A103" s="70">
        <f>'BASE MAESTRA'!B109</f>
        <v>101</v>
      </c>
      <c r="B103" s="5">
        <f t="shared" si="10"/>
        <v>0</v>
      </c>
      <c r="C103" s="5">
        <f t="shared" si="10"/>
        <v>0</v>
      </c>
      <c r="E103" s="5">
        <f t="shared" si="11"/>
        <v>0</v>
      </c>
      <c r="F103" s="5">
        <f t="shared" si="11"/>
        <v>0</v>
      </c>
      <c r="H103" s="5">
        <f t="shared" si="9"/>
        <v>101</v>
      </c>
    </row>
    <row r="104" spans="1:8" ht="16.8" x14ac:dyDescent="0.3">
      <c r="A104" s="70">
        <f>'BASE MAESTRA'!B110</f>
        <v>102</v>
      </c>
      <c r="B104" s="5">
        <f t="shared" si="10"/>
        <v>0</v>
      </c>
      <c r="C104" s="5">
        <f t="shared" si="10"/>
        <v>0</v>
      </c>
      <c r="E104" s="5">
        <f t="shared" si="11"/>
        <v>0</v>
      </c>
      <c r="F104" s="5">
        <f t="shared" si="11"/>
        <v>0</v>
      </c>
      <c r="H104" s="5">
        <f t="shared" si="9"/>
        <v>102</v>
      </c>
    </row>
    <row r="105" spans="1:8" ht="16.8" x14ac:dyDescent="0.3">
      <c r="A105" s="70">
        <f>'BASE MAESTRA'!B111</f>
        <v>103</v>
      </c>
      <c r="B105" s="5">
        <f t="shared" si="10"/>
        <v>0</v>
      </c>
      <c r="C105" s="5">
        <f t="shared" si="10"/>
        <v>0</v>
      </c>
      <c r="E105" s="5">
        <f t="shared" si="11"/>
        <v>0</v>
      </c>
      <c r="F105" s="5">
        <f t="shared" si="11"/>
        <v>0</v>
      </c>
      <c r="H105" s="5">
        <f t="shared" si="9"/>
        <v>103</v>
      </c>
    </row>
    <row r="106" spans="1:8" ht="16.8" x14ac:dyDescent="0.3">
      <c r="A106" s="70">
        <f>'BASE MAESTRA'!B112</f>
        <v>104</v>
      </c>
      <c r="B106" s="5">
        <f t="shared" si="10"/>
        <v>0</v>
      </c>
      <c r="C106" s="5">
        <f t="shared" si="10"/>
        <v>0</v>
      </c>
      <c r="E106" s="5">
        <f t="shared" si="11"/>
        <v>0</v>
      </c>
      <c r="F106" s="5">
        <f t="shared" si="11"/>
        <v>0</v>
      </c>
      <c r="H106" s="5">
        <f t="shared" si="9"/>
        <v>104</v>
      </c>
    </row>
    <row r="107" spans="1:8" ht="16.8" x14ac:dyDescent="0.3">
      <c r="A107" s="70">
        <f>'BASE MAESTRA'!B113</f>
        <v>105</v>
      </c>
      <c r="B107" s="5">
        <f t="shared" si="10"/>
        <v>0</v>
      </c>
      <c r="C107" s="5">
        <f t="shared" si="10"/>
        <v>0</v>
      </c>
      <c r="E107" s="5">
        <f t="shared" si="11"/>
        <v>0</v>
      </c>
      <c r="F107" s="5">
        <f t="shared" si="11"/>
        <v>0</v>
      </c>
      <c r="H107" s="5">
        <f t="shared" si="9"/>
        <v>105</v>
      </c>
    </row>
    <row r="108" spans="1:8" ht="16.8" x14ac:dyDescent="0.3">
      <c r="A108" s="70">
        <f>'BASE MAESTRA'!B114</f>
        <v>106</v>
      </c>
      <c r="B108" s="5">
        <f t="shared" si="10"/>
        <v>0</v>
      </c>
      <c r="C108" s="5">
        <f t="shared" si="10"/>
        <v>0</v>
      </c>
      <c r="E108" s="5">
        <f t="shared" si="11"/>
        <v>0</v>
      </c>
      <c r="F108" s="5">
        <f t="shared" si="11"/>
        <v>0</v>
      </c>
      <c r="H108" s="5">
        <f t="shared" si="9"/>
        <v>106</v>
      </c>
    </row>
    <row r="109" spans="1:8" ht="16.8" x14ac:dyDescent="0.3">
      <c r="A109" s="70">
        <f>'BASE MAESTRA'!B115</f>
        <v>107</v>
      </c>
      <c r="B109" s="5">
        <f t="shared" si="10"/>
        <v>0</v>
      </c>
      <c r="C109" s="5">
        <f t="shared" si="10"/>
        <v>0</v>
      </c>
      <c r="E109" s="5">
        <f t="shared" si="11"/>
        <v>0</v>
      </c>
      <c r="F109" s="5">
        <f t="shared" si="11"/>
        <v>0</v>
      </c>
      <c r="H109" s="5">
        <f t="shared" si="9"/>
        <v>107</v>
      </c>
    </row>
    <row r="110" spans="1:8" ht="16.8" x14ac:dyDescent="0.3">
      <c r="A110" s="70">
        <f>'BASE MAESTRA'!B116</f>
        <v>108</v>
      </c>
      <c r="B110" s="5">
        <f t="shared" si="10"/>
        <v>0</v>
      </c>
      <c r="C110" s="5">
        <f t="shared" si="10"/>
        <v>0</v>
      </c>
      <c r="E110" s="5">
        <f t="shared" si="11"/>
        <v>0</v>
      </c>
      <c r="F110" s="5">
        <f t="shared" si="11"/>
        <v>0</v>
      </c>
      <c r="H110" s="5">
        <f t="shared" si="9"/>
        <v>108</v>
      </c>
    </row>
    <row r="111" spans="1:8" ht="16.8" x14ac:dyDescent="0.3">
      <c r="A111" s="70">
        <f>'BASE MAESTRA'!B117</f>
        <v>109</v>
      </c>
      <c r="B111" s="5">
        <f t="shared" si="10"/>
        <v>0</v>
      </c>
      <c r="C111" s="5">
        <f t="shared" si="10"/>
        <v>0</v>
      </c>
      <c r="E111" s="5">
        <f t="shared" si="11"/>
        <v>0</v>
      </c>
      <c r="F111" s="5">
        <f t="shared" si="11"/>
        <v>0</v>
      </c>
      <c r="H111" s="5">
        <f t="shared" si="9"/>
        <v>109</v>
      </c>
    </row>
    <row r="112" spans="1:8" ht="16.8" x14ac:dyDescent="0.3">
      <c r="A112" s="70">
        <f>'BASE MAESTRA'!B118</f>
        <v>110</v>
      </c>
      <c r="B112" s="5">
        <f t="shared" si="10"/>
        <v>0</v>
      </c>
      <c r="C112" s="5">
        <f t="shared" si="10"/>
        <v>0</v>
      </c>
      <c r="E112" s="5">
        <f t="shared" si="11"/>
        <v>0</v>
      </c>
      <c r="F112" s="5">
        <f t="shared" si="11"/>
        <v>0</v>
      </c>
      <c r="H112" s="5">
        <f t="shared" si="9"/>
        <v>110</v>
      </c>
    </row>
    <row r="113" spans="1:8" ht="16.8" x14ac:dyDescent="0.3">
      <c r="A113" s="70">
        <f>'BASE MAESTRA'!B119</f>
        <v>111</v>
      </c>
      <c r="B113" s="5">
        <f t="shared" si="10"/>
        <v>0</v>
      </c>
      <c r="C113" s="5">
        <f t="shared" si="10"/>
        <v>0</v>
      </c>
      <c r="E113" s="5">
        <f t="shared" si="11"/>
        <v>0</v>
      </c>
      <c r="F113" s="5">
        <f t="shared" si="11"/>
        <v>0</v>
      </c>
      <c r="H113" s="5">
        <f t="shared" si="9"/>
        <v>111</v>
      </c>
    </row>
    <row r="114" spans="1:8" ht="16.8" x14ac:dyDescent="0.3">
      <c r="A114" s="70">
        <f>'BASE MAESTRA'!B120</f>
        <v>112</v>
      </c>
      <c r="B114" s="5">
        <f t="shared" si="10"/>
        <v>0</v>
      </c>
      <c r="C114" s="5">
        <f t="shared" si="10"/>
        <v>0</v>
      </c>
      <c r="E114" s="5">
        <f t="shared" si="11"/>
        <v>0</v>
      </c>
      <c r="F114" s="5">
        <f t="shared" si="11"/>
        <v>0</v>
      </c>
      <c r="H114" s="5">
        <f t="shared" si="9"/>
        <v>112</v>
      </c>
    </row>
    <row r="115" spans="1:8" ht="16.8" x14ac:dyDescent="0.3">
      <c r="A115" s="70">
        <f>'BASE MAESTRA'!B121</f>
        <v>113</v>
      </c>
      <c r="B115" s="5">
        <f t="shared" si="10"/>
        <v>0</v>
      </c>
      <c r="C115" s="5">
        <f t="shared" si="10"/>
        <v>0</v>
      </c>
      <c r="E115" s="5">
        <f t="shared" si="11"/>
        <v>0</v>
      </c>
      <c r="F115" s="5">
        <f t="shared" si="11"/>
        <v>0</v>
      </c>
      <c r="H115" s="5">
        <f t="shared" si="9"/>
        <v>113</v>
      </c>
    </row>
    <row r="116" spans="1:8" ht="16.8" x14ac:dyDescent="0.3">
      <c r="A116" s="70">
        <f>'BASE MAESTRA'!B122</f>
        <v>114</v>
      </c>
      <c r="B116" s="5">
        <f t="shared" si="10"/>
        <v>0</v>
      </c>
      <c r="C116" s="5">
        <f t="shared" si="10"/>
        <v>0</v>
      </c>
      <c r="E116" s="5">
        <f t="shared" si="11"/>
        <v>0</v>
      </c>
      <c r="F116" s="5">
        <f t="shared" si="11"/>
        <v>0</v>
      </c>
      <c r="H116" s="5">
        <f t="shared" si="9"/>
        <v>114</v>
      </c>
    </row>
    <row r="117" spans="1:8" ht="16.8" x14ac:dyDescent="0.3">
      <c r="A117" s="70">
        <f>'BASE MAESTRA'!B123</f>
        <v>115</v>
      </c>
      <c r="B117" s="5">
        <f t="shared" si="10"/>
        <v>0</v>
      </c>
      <c r="C117" s="5">
        <f t="shared" si="10"/>
        <v>0</v>
      </c>
      <c r="E117" s="5">
        <f t="shared" si="11"/>
        <v>0</v>
      </c>
      <c r="F117" s="5">
        <f t="shared" si="11"/>
        <v>0</v>
      </c>
      <c r="H117" s="5">
        <f t="shared" si="9"/>
        <v>115</v>
      </c>
    </row>
    <row r="118" spans="1:8" ht="16.8" x14ac:dyDescent="0.3">
      <c r="A118" s="70">
        <f>'BASE MAESTRA'!B124</f>
        <v>116</v>
      </c>
      <c r="B118" s="5">
        <f t="shared" si="10"/>
        <v>0</v>
      </c>
      <c r="C118" s="5">
        <f t="shared" si="10"/>
        <v>0</v>
      </c>
      <c r="E118" s="5">
        <f t="shared" si="11"/>
        <v>0</v>
      </c>
      <c r="F118" s="5">
        <f t="shared" si="11"/>
        <v>0</v>
      </c>
      <c r="H118" s="5">
        <f t="shared" si="9"/>
        <v>116</v>
      </c>
    </row>
    <row r="119" spans="1:8" ht="16.8" x14ac:dyDescent="0.3">
      <c r="A119" s="70">
        <f>'BASE MAESTRA'!B125</f>
        <v>117</v>
      </c>
      <c r="B119" s="5">
        <f t="shared" si="10"/>
        <v>0</v>
      </c>
      <c r="C119" s="5">
        <f t="shared" si="10"/>
        <v>0</v>
      </c>
      <c r="E119" s="5">
        <f t="shared" si="11"/>
        <v>0</v>
      </c>
      <c r="F119" s="5">
        <f t="shared" si="11"/>
        <v>0</v>
      </c>
      <c r="H119" s="5">
        <f t="shared" si="9"/>
        <v>117</v>
      </c>
    </row>
    <row r="120" spans="1:8" ht="16.8" x14ac:dyDescent="0.3">
      <c r="A120" s="70">
        <f>'BASE MAESTRA'!B126</f>
        <v>118</v>
      </c>
      <c r="B120" s="5">
        <f t="shared" si="10"/>
        <v>0</v>
      </c>
      <c r="C120" s="5">
        <f t="shared" si="10"/>
        <v>0</v>
      </c>
      <c r="E120" s="5">
        <f t="shared" si="11"/>
        <v>0</v>
      </c>
      <c r="F120" s="5">
        <f t="shared" si="11"/>
        <v>0</v>
      </c>
      <c r="H120" s="5">
        <f t="shared" si="9"/>
        <v>118</v>
      </c>
    </row>
    <row r="121" spans="1:8" ht="16.8" x14ac:dyDescent="0.3">
      <c r="A121" s="70">
        <f>'BASE MAESTRA'!B127</f>
        <v>119</v>
      </c>
      <c r="B121" s="5">
        <f t="shared" si="10"/>
        <v>0</v>
      </c>
      <c r="C121" s="5">
        <f t="shared" si="10"/>
        <v>0</v>
      </c>
      <c r="E121" s="5">
        <f t="shared" si="11"/>
        <v>0</v>
      </c>
      <c r="F121" s="5">
        <f t="shared" si="11"/>
        <v>0</v>
      </c>
      <c r="H121" s="5">
        <f t="shared" si="9"/>
        <v>119</v>
      </c>
    </row>
    <row r="122" spans="1:8" ht="16.8" x14ac:dyDescent="0.3">
      <c r="A122" s="70">
        <f>'BASE MAESTRA'!B128</f>
        <v>120</v>
      </c>
      <c r="B122" s="5">
        <f t="shared" si="10"/>
        <v>0</v>
      </c>
      <c r="C122" s="5">
        <f t="shared" si="10"/>
        <v>0</v>
      </c>
      <c r="E122" s="5">
        <f t="shared" si="11"/>
        <v>0</v>
      </c>
      <c r="F122" s="5">
        <f t="shared" si="11"/>
        <v>0</v>
      </c>
      <c r="H122" s="5">
        <f t="shared" si="9"/>
        <v>120</v>
      </c>
    </row>
    <row r="123" spans="1:8" ht="16.8" x14ac:dyDescent="0.3">
      <c r="A123" s="70">
        <f>'BASE MAESTRA'!B129</f>
        <v>121</v>
      </c>
      <c r="B123" s="5">
        <f t="shared" si="10"/>
        <v>0</v>
      </c>
      <c r="C123" s="5">
        <f t="shared" si="10"/>
        <v>0</v>
      </c>
      <c r="E123" s="5">
        <f t="shared" si="11"/>
        <v>0</v>
      </c>
      <c r="F123" s="5">
        <f t="shared" si="11"/>
        <v>0</v>
      </c>
      <c r="H123" s="5">
        <f t="shared" si="9"/>
        <v>121</v>
      </c>
    </row>
    <row r="124" spans="1:8" ht="16.8" x14ac:dyDescent="0.3">
      <c r="A124" s="70">
        <f>'BASE MAESTRA'!B130</f>
        <v>122</v>
      </c>
      <c r="B124" s="5">
        <f t="shared" si="10"/>
        <v>0</v>
      </c>
      <c r="C124" s="5">
        <f t="shared" si="10"/>
        <v>0</v>
      </c>
      <c r="E124" s="5">
        <f t="shared" si="11"/>
        <v>0</v>
      </c>
      <c r="F124" s="5">
        <f t="shared" si="11"/>
        <v>0</v>
      </c>
      <c r="H124" s="5">
        <f t="shared" si="9"/>
        <v>122</v>
      </c>
    </row>
    <row r="125" spans="1:8" ht="16.8" x14ac:dyDescent="0.3">
      <c r="A125" s="70">
        <f>'BASE MAESTRA'!B131</f>
        <v>123</v>
      </c>
      <c r="B125" s="5">
        <f t="shared" si="10"/>
        <v>0</v>
      </c>
      <c r="C125" s="5">
        <f t="shared" si="10"/>
        <v>0</v>
      </c>
      <c r="E125" s="5">
        <f t="shared" si="11"/>
        <v>0</v>
      </c>
      <c r="F125" s="5">
        <f t="shared" si="11"/>
        <v>0</v>
      </c>
      <c r="H125" s="5">
        <f t="shared" si="9"/>
        <v>123</v>
      </c>
    </row>
    <row r="126" spans="1:8" ht="16.8" x14ac:dyDescent="0.3">
      <c r="A126" s="70">
        <f>'BASE MAESTRA'!B132</f>
        <v>124</v>
      </c>
      <c r="B126" s="5">
        <f t="shared" si="10"/>
        <v>0</v>
      </c>
      <c r="C126" s="5">
        <f t="shared" si="10"/>
        <v>0</v>
      </c>
      <c r="E126" s="5">
        <f t="shared" si="11"/>
        <v>0</v>
      </c>
      <c r="F126" s="5">
        <f t="shared" si="11"/>
        <v>0</v>
      </c>
      <c r="H126" s="5">
        <f t="shared" si="9"/>
        <v>124</v>
      </c>
    </row>
    <row r="127" spans="1:8" ht="16.8" x14ac:dyDescent="0.3">
      <c r="A127" s="70">
        <f>'BASE MAESTRA'!B133</f>
        <v>125</v>
      </c>
      <c r="B127" s="5">
        <f t="shared" si="10"/>
        <v>0</v>
      </c>
      <c r="C127" s="5">
        <f t="shared" si="10"/>
        <v>0</v>
      </c>
      <c r="E127" s="5">
        <f t="shared" si="11"/>
        <v>0</v>
      </c>
      <c r="F127" s="5">
        <f t="shared" si="11"/>
        <v>0</v>
      </c>
      <c r="H127" s="5">
        <f t="shared" si="9"/>
        <v>125</v>
      </c>
    </row>
    <row r="128" spans="1:8" ht="16.8" x14ac:dyDescent="0.3">
      <c r="A128" s="70">
        <f>'BASE MAESTRA'!B134</f>
        <v>126</v>
      </c>
      <c r="B128" s="5">
        <f t="shared" si="10"/>
        <v>0</v>
      </c>
      <c r="C128" s="5">
        <f t="shared" si="10"/>
        <v>0</v>
      </c>
      <c r="E128" s="5">
        <f t="shared" si="11"/>
        <v>0</v>
      </c>
      <c r="F128" s="5">
        <f t="shared" si="11"/>
        <v>0</v>
      </c>
      <c r="H128" s="5">
        <f t="shared" si="9"/>
        <v>126</v>
      </c>
    </row>
    <row r="129" spans="1:8" ht="16.8" x14ac:dyDescent="0.3">
      <c r="A129" s="70">
        <f>'BASE MAESTRA'!B135</f>
        <v>127</v>
      </c>
      <c r="B129" s="5">
        <f t="shared" si="10"/>
        <v>0</v>
      </c>
      <c r="C129" s="5">
        <f t="shared" si="10"/>
        <v>0</v>
      </c>
      <c r="E129" s="5">
        <f t="shared" si="11"/>
        <v>0</v>
      </c>
      <c r="F129" s="5">
        <f t="shared" si="11"/>
        <v>0</v>
      </c>
      <c r="H129" s="5">
        <f t="shared" si="9"/>
        <v>127</v>
      </c>
    </row>
    <row r="130" spans="1:8" ht="16.8" x14ac:dyDescent="0.3">
      <c r="A130" s="70">
        <f>'BASE MAESTRA'!B136</f>
        <v>128</v>
      </c>
      <c r="B130" s="5">
        <f t="shared" si="10"/>
        <v>0</v>
      </c>
      <c r="C130" s="5">
        <f t="shared" si="10"/>
        <v>0</v>
      </c>
      <c r="E130" s="5">
        <f t="shared" si="11"/>
        <v>0</v>
      </c>
      <c r="F130" s="5">
        <f t="shared" si="11"/>
        <v>0</v>
      </c>
      <c r="H130" s="5">
        <f t="shared" si="9"/>
        <v>128</v>
      </c>
    </row>
    <row r="131" spans="1:8" ht="16.8" x14ac:dyDescent="0.3">
      <c r="A131" s="70">
        <f>'BASE MAESTRA'!B137</f>
        <v>129</v>
      </c>
      <c r="B131" s="5">
        <f t="shared" si="10"/>
        <v>0</v>
      </c>
      <c r="C131" s="5">
        <f t="shared" si="10"/>
        <v>0</v>
      </c>
      <c r="E131" s="5">
        <f t="shared" si="11"/>
        <v>0</v>
      </c>
      <c r="F131" s="5">
        <f t="shared" si="11"/>
        <v>0</v>
      </c>
      <c r="H131" s="5">
        <f t="shared" ref="H131:H194" si="12">VLOOKUP($A131,DatosEspecies,H$2,FALSE)</f>
        <v>129</v>
      </c>
    </row>
    <row r="132" spans="1:8" ht="16.8" x14ac:dyDescent="0.3">
      <c r="A132" s="70">
        <f>'BASE MAESTRA'!B138</f>
        <v>130</v>
      </c>
      <c r="B132" s="5">
        <f t="shared" si="10"/>
        <v>0</v>
      </c>
      <c r="C132" s="5">
        <f t="shared" si="10"/>
        <v>0</v>
      </c>
      <c r="E132" s="5">
        <f t="shared" si="11"/>
        <v>0</v>
      </c>
      <c r="F132" s="5">
        <f t="shared" si="11"/>
        <v>0</v>
      </c>
      <c r="H132" s="5">
        <f t="shared" si="12"/>
        <v>130</v>
      </c>
    </row>
    <row r="133" spans="1:8" ht="16.8" x14ac:dyDescent="0.3">
      <c r="A133" s="70">
        <f>'BASE MAESTRA'!B139</f>
        <v>131</v>
      </c>
      <c r="B133" s="5">
        <f t="shared" si="10"/>
        <v>0</v>
      </c>
      <c r="C133" s="5">
        <f t="shared" si="10"/>
        <v>0</v>
      </c>
      <c r="E133" s="5">
        <f t="shared" si="11"/>
        <v>0</v>
      </c>
      <c r="F133" s="5">
        <f t="shared" si="11"/>
        <v>0</v>
      </c>
      <c r="H133" s="5">
        <f t="shared" si="12"/>
        <v>131</v>
      </c>
    </row>
    <row r="134" spans="1:8" ht="16.8" x14ac:dyDescent="0.3">
      <c r="A134" s="70">
        <f>'BASE MAESTRA'!B140</f>
        <v>132</v>
      </c>
      <c r="B134" s="5">
        <f t="shared" si="10"/>
        <v>0</v>
      </c>
      <c r="C134" s="5">
        <f t="shared" si="10"/>
        <v>0</v>
      </c>
      <c r="E134" s="5">
        <f t="shared" si="11"/>
        <v>0</v>
      </c>
      <c r="F134" s="5">
        <f t="shared" si="11"/>
        <v>0</v>
      </c>
      <c r="H134" s="5">
        <f t="shared" si="12"/>
        <v>132</v>
      </c>
    </row>
    <row r="135" spans="1:8" ht="16.8" x14ac:dyDescent="0.3">
      <c r="A135" s="70">
        <f>'BASE MAESTRA'!B141</f>
        <v>133</v>
      </c>
      <c r="B135" s="5">
        <f t="shared" si="10"/>
        <v>0</v>
      </c>
      <c r="C135" s="5">
        <f t="shared" si="10"/>
        <v>0</v>
      </c>
      <c r="E135" s="5">
        <f t="shared" si="11"/>
        <v>0</v>
      </c>
      <c r="F135" s="5">
        <f t="shared" si="11"/>
        <v>0</v>
      </c>
      <c r="H135" s="5">
        <f t="shared" si="12"/>
        <v>133</v>
      </c>
    </row>
    <row r="136" spans="1:8" ht="16.8" x14ac:dyDescent="0.3">
      <c r="A136" s="70">
        <f>'BASE MAESTRA'!B142</f>
        <v>134</v>
      </c>
      <c r="B136" s="5">
        <f t="shared" si="10"/>
        <v>0</v>
      </c>
      <c r="C136" s="5">
        <f t="shared" si="10"/>
        <v>0</v>
      </c>
      <c r="E136" s="5">
        <f t="shared" si="11"/>
        <v>0</v>
      </c>
      <c r="F136" s="5">
        <f t="shared" si="11"/>
        <v>0</v>
      </c>
      <c r="H136" s="5">
        <f t="shared" si="12"/>
        <v>134</v>
      </c>
    </row>
    <row r="137" spans="1:8" ht="16.8" x14ac:dyDescent="0.3">
      <c r="A137" s="70">
        <f>'BASE MAESTRA'!B143</f>
        <v>135</v>
      </c>
      <c r="B137" s="5">
        <f t="shared" si="10"/>
        <v>0</v>
      </c>
      <c r="C137" s="5">
        <f t="shared" si="10"/>
        <v>0</v>
      </c>
      <c r="E137" s="5">
        <f t="shared" si="11"/>
        <v>0</v>
      </c>
      <c r="F137" s="5">
        <f t="shared" si="11"/>
        <v>0</v>
      </c>
      <c r="H137" s="5">
        <f t="shared" si="12"/>
        <v>135</v>
      </c>
    </row>
    <row r="138" spans="1:8" ht="16.8" x14ac:dyDescent="0.3">
      <c r="A138" s="70">
        <f>'BASE MAESTRA'!B144</f>
        <v>136</v>
      </c>
      <c r="B138" s="5">
        <f t="shared" si="10"/>
        <v>0</v>
      </c>
      <c r="C138" s="5">
        <f t="shared" si="10"/>
        <v>0</v>
      </c>
      <c r="E138" s="5">
        <f t="shared" si="11"/>
        <v>0</v>
      </c>
      <c r="F138" s="5">
        <f t="shared" si="11"/>
        <v>0</v>
      </c>
      <c r="H138" s="5">
        <f t="shared" si="12"/>
        <v>136</v>
      </c>
    </row>
    <row r="139" spans="1:8" ht="16.8" x14ac:dyDescent="0.3">
      <c r="A139" s="70">
        <f>'BASE MAESTRA'!B145</f>
        <v>137</v>
      </c>
      <c r="B139" s="5">
        <f t="shared" si="10"/>
        <v>0</v>
      </c>
      <c r="C139" s="5">
        <f t="shared" si="10"/>
        <v>0</v>
      </c>
      <c r="E139" s="5">
        <f t="shared" si="11"/>
        <v>0</v>
      </c>
      <c r="F139" s="5">
        <f t="shared" si="11"/>
        <v>0</v>
      </c>
      <c r="H139" s="5">
        <f t="shared" si="12"/>
        <v>137</v>
      </c>
    </row>
    <row r="140" spans="1:8" ht="16.8" x14ac:dyDescent="0.3">
      <c r="A140" s="70">
        <f>'BASE MAESTRA'!B146</f>
        <v>138</v>
      </c>
      <c r="B140" s="5">
        <f t="shared" si="10"/>
        <v>0</v>
      </c>
      <c r="C140" s="5">
        <f t="shared" si="10"/>
        <v>0</v>
      </c>
      <c r="E140" s="5">
        <f t="shared" si="11"/>
        <v>0</v>
      </c>
      <c r="F140" s="5">
        <f t="shared" si="11"/>
        <v>0</v>
      </c>
      <c r="H140" s="5">
        <f t="shared" si="12"/>
        <v>138</v>
      </c>
    </row>
    <row r="141" spans="1:8" ht="16.8" x14ac:dyDescent="0.3">
      <c r="A141" s="70">
        <f>'BASE MAESTRA'!B147</f>
        <v>139</v>
      </c>
      <c r="B141" s="5">
        <f t="shared" si="10"/>
        <v>0</v>
      </c>
      <c r="C141" s="5">
        <f t="shared" si="10"/>
        <v>0</v>
      </c>
      <c r="E141" s="5">
        <f t="shared" si="11"/>
        <v>0</v>
      </c>
      <c r="F141" s="5">
        <f t="shared" si="11"/>
        <v>0</v>
      </c>
      <c r="H141" s="5">
        <f t="shared" si="12"/>
        <v>139</v>
      </c>
    </row>
    <row r="142" spans="1:8" ht="16.8" x14ac:dyDescent="0.3">
      <c r="A142" s="70">
        <f>'BASE MAESTRA'!B148</f>
        <v>140</v>
      </c>
      <c r="B142" s="5">
        <f t="shared" ref="B142:C202" si="13">VLOOKUP($A142,DatosEspecies,B$2,FALSE)</f>
        <v>0</v>
      </c>
      <c r="C142" s="5">
        <f t="shared" si="13"/>
        <v>0</v>
      </c>
      <c r="E142" s="5">
        <f t="shared" ref="E142:F202" si="14">VLOOKUP($A142,DatosEspecies,E$2,FALSE)</f>
        <v>0</v>
      </c>
      <c r="F142" s="5">
        <f t="shared" si="14"/>
        <v>0</v>
      </c>
      <c r="H142" s="5">
        <f t="shared" si="12"/>
        <v>140</v>
      </c>
    </row>
    <row r="143" spans="1:8" ht="16.8" x14ac:dyDescent="0.3">
      <c r="A143" s="70">
        <f>'BASE MAESTRA'!B149</f>
        <v>141</v>
      </c>
      <c r="B143" s="5">
        <f t="shared" si="13"/>
        <v>0</v>
      </c>
      <c r="C143" s="5">
        <f t="shared" si="13"/>
        <v>0</v>
      </c>
      <c r="E143" s="5">
        <f t="shared" si="14"/>
        <v>0</v>
      </c>
      <c r="F143" s="5">
        <f t="shared" si="14"/>
        <v>0</v>
      </c>
      <c r="H143" s="5">
        <f t="shared" si="12"/>
        <v>141</v>
      </c>
    </row>
    <row r="144" spans="1:8" ht="16.8" x14ac:dyDescent="0.3">
      <c r="A144" s="70">
        <f>'BASE MAESTRA'!B150</f>
        <v>142</v>
      </c>
      <c r="B144" s="5">
        <f t="shared" si="13"/>
        <v>0</v>
      </c>
      <c r="C144" s="5">
        <f t="shared" si="13"/>
        <v>0</v>
      </c>
      <c r="E144" s="5">
        <f t="shared" si="14"/>
        <v>0</v>
      </c>
      <c r="F144" s="5">
        <f t="shared" si="14"/>
        <v>0</v>
      </c>
      <c r="H144" s="5">
        <f t="shared" si="12"/>
        <v>142</v>
      </c>
    </row>
    <row r="145" spans="1:8" ht="16.8" x14ac:dyDescent="0.3">
      <c r="A145" s="70">
        <f>'BASE MAESTRA'!B151</f>
        <v>143</v>
      </c>
      <c r="B145" s="5">
        <f t="shared" si="13"/>
        <v>0</v>
      </c>
      <c r="C145" s="5">
        <f t="shared" si="13"/>
        <v>0</v>
      </c>
      <c r="E145" s="5">
        <f t="shared" si="14"/>
        <v>0</v>
      </c>
      <c r="F145" s="5">
        <f t="shared" si="14"/>
        <v>0</v>
      </c>
      <c r="H145" s="5">
        <f t="shared" si="12"/>
        <v>143</v>
      </c>
    </row>
    <row r="146" spans="1:8" ht="16.8" x14ac:dyDescent="0.3">
      <c r="A146" s="70">
        <f>'BASE MAESTRA'!B152</f>
        <v>144</v>
      </c>
      <c r="B146" s="5">
        <f t="shared" si="13"/>
        <v>0</v>
      </c>
      <c r="C146" s="5">
        <f t="shared" si="13"/>
        <v>0</v>
      </c>
      <c r="E146" s="5">
        <f t="shared" si="14"/>
        <v>0</v>
      </c>
      <c r="F146" s="5">
        <f t="shared" si="14"/>
        <v>0</v>
      </c>
      <c r="H146" s="5">
        <f t="shared" si="12"/>
        <v>144</v>
      </c>
    </row>
    <row r="147" spans="1:8" ht="16.8" x14ac:dyDescent="0.3">
      <c r="A147" s="70">
        <f>'BASE MAESTRA'!B153</f>
        <v>145</v>
      </c>
      <c r="B147" s="5">
        <f t="shared" si="13"/>
        <v>0</v>
      </c>
      <c r="C147" s="5">
        <f t="shared" si="13"/>
        <v>0</v>
      </c>
      <c r="E147" s="5">
        <f t="shared" si="14"/>
        <v>0</v>
      </c>
      <c r="F147" s="5">
        <f t="shared" si="14"/>
        <v>0</v>
      </c>
      <c r="H147" s="5">
        <f t="shared" si="12"/>
        <v>145</v>
      </c>
    </row>
    <row r="148" spans="1:8" ht="16.8" x14ac:dyDescent="0.3">
      <c r="A148" s="70">
        <f>'BASE MAESTRA'!B154</f>
        <v>146</v>
      </c>
      <c r="B148" s="5">
        <f t="shared" si="13"/>
        <v>0</v>
      </c>
      <c r="C148" s="5">
        <f t="shared" si="13"/>
        <v>0</v>
      </c>
      <c r="E148" s="5">
        <f t="shared" si="14"/>
        <v>0</v>
      </c>
      <c r="F148" s="5">
        <f t="shared" si="14"/>
        <v>0</v>
      </c>
      <c r="H148" s="5">
        <f t="shared" si="12"/>
        <v>146</v>
      </c>
    </row>
    <row r="149" spans="1:8" ht="16.8" x14ac:dyDescent="0.3">
      <c r="A149" s="70">
        <f>'BASE MAESTRA'!B155</f>
        <v>147</v>
      </c>
      <c r="B149" s="5">
        <f t="shared" si="13"/>
        <v>0</v>
      </c>
      <c r="C149" s="5">
        <f t="shared" si="13"/>
        <v>0</v>
      </c>
      <c r="E149" s="5">
        <f t="shared" si="14"/>
        <v>0</v>
      </c>
      <c r="F149" s="5">
        <f t="shared" si="14"/>
        <v>0</v>
      </c>
      <c r="H149" s="5">
        <f t="shared" si="12"/>
        <v>147</v>
      </c>
    </row>
    <row r="150" spans="1:8" ht="16.8" x14ac:dyDescent="0.3">
      <c r="A150" s="70">
        <f>'BASE MAESTRA'!B156</f>
        <v>148</v>
      </c>
      <c r="B150" s="5">
        <f t="shared" si="13"/>
        <v>0</v>
      </c>
      <c r="C150" s="5">
        <f t="shared" si="13"/>
        <v>0</v>
      </c>
      <c r="E150" s="5">
        <f t="shared" si="14"/>
        <v>0</v>
      </c>
      <c r="F150" s="5">
        <f t="shared" si="14"/>
        <v>0</v>
      </c>
      <c r="H150" s="5">
        <f t="shared" si="12"/>
        <v>148</v>
      </c>
    </row>
    <row r="151" spans="1:8" ht="16.8" x14ac:dyDescent="0.3">
      <c r="A151" s="70">
        <f>'BASE MAESTRA'!B157</f>
        <v>149</v>
      </c>
      <c r="B151" s="5">
        <f t="shared" si="13"/>
        <v>0</v>
      </c>
      <c r="C151" s="5">
        <f t="shared" si="13"/>
        <v>0</v>
      </c>
      <c r="E151" s="5">
        <f t="shared" si="14"/>
        <v>0</v>
      </c>
      <c r="F151" s="5">
        <f t="shared" si="14"/>
        <v>0</v>
      </c>
      <c r="H151" s="5">
        <f t="shared" si="12"/>
        <v>149</v>
      </c>
    </row>
    <row r="152" spans="1:8" ht="16.8" x14ac:dyDescent="0.3">
      <c r="A152" s="70">
        <f>'BASE MAESTRA'!B158</f>
        <v>150</v>
      </c>
      <c r="B152" s="5">
        <f t="shared" si="13"/>
        <v>0</v>
      </c>
      <c r="C152" s="5">
        <f t="shared" si="13"/>
        <v>0</v>
      </c>
      <c r="E152" s="5">
        <f t="shared" si="14"/>
        <v>0</v>
      </c>
      <c r="F152" s="5">
        <f t="shared" si="14"/>
        <v>0</v>
      </c>
      <c r="H152" s="5">
        <f t="shared" si="12"/>
        <v>150</v>
      </c>
    </row>
    <row r="153" spans="1:8" ht="16.8" x14ac:dyDescent="0.3">
      <c r="A153" s="70">
        <f>'BASE MAESTRA'!B159</f>
        <v>151</v>
      </c>
      <c r="B153" s="5">
        <f t="shared" si="13"/>
        <v>0</v>
      </c>
      <c r="C153" s="5">
        <f t="shared" si="13"/>
        <v>0</v>
      </c>
      <c r="E153" s="5">
        <f t="shared" si="14"/>
        <v>0</v>
      </c>
      <c r="F153" s="5">
        <f t="shared" si="14"/>
        <v>0</v>
      </c>
      <c r="H153" s="5">
        <f t="shared" si="12"/>
        <v>151</v>
      </c>
    </row>
    <row r="154" spans="1:8" ht="16.8" x14ac:dyDescent="0.3">
      <c r="A154" s="70">
        <f>'BASE MAESTRA'!B160</f>
        <v>152</v>
      </c>
      <c r="B154" s="5">
        <f t="shared" si="13"/>
        <v>0</v>
      </c>
      <c r="C154" s="5">
        <f t="shared" si="13"/>
        <v>0</v>
      </c>
      <c r="E154" s="5">
        <f t="shared" si="14"/>
        <v>0</v>
      </c>
      <c r="F154" s="5">
        <f t="shared" si="14"/>
        <v>0</v>
      </c>
      <c r="H154" s="5">
        <f t="shared" si="12"/>
        <v>152</v>
      </c>
    </row>
    <row r="155" spans="1:8" ht="16.8" x14ac:dyDescent="0.3">
      <c r="A155" s="70">
        <f>'BASE MAESTRA'!B161</f>
        <v>153</v>
      </c>
      <c r="B155" s="5">
        <f t="shared" si="13"/>
        <v>0</v>
      </c>
      <c r="C155" s="5">
        <f t="shared" si="13"/>
        <v>0</v>
      </c>
      <c r="E155" s="5">
        <f t="shared" si="14"/>
        <v>0</v>
      </c>
      <c r="F155" s="5">
        <f t="shared" si="14"/>
        <v>0</v>
      </c>
      <c r="H155" s="5">
        <f t="shared" si="12"/>
        <v>153</v>
      </c>
    </row>
    <row r="156" spans="1:8" ht="16.8" x14ac:dyDescent="0.3">
      <c r="A156" s="70">
        <f>'BASE MAESTRA'!B162</f>
        <v>154</v>
      </c>
      <c r="B156" s="5">
        <f t="shared" si="13"/>
        <v>0</v>
      </c>
      <c r="C156" s="5">
        <f t="shared" si="13"/>
        <v>0</v>
      </c>
      <c r="E156" s="5">
        <f t="shared" si="14"/>
        <v>0</v>
      </c>
      <c r="F156" s="5">
        <f t="shared" si="14"/>
        <v>0</v>
      </c>
      <c r="H156" s="5">
        <f t="shared" si="12"/>
        <v>154</v>
      </c>
    </row>
    <row r="157" spans="1:8" ht="16.8" x14ac:dyDescent="0.3">
      <c r="A157" s="70">
        <f>'BASE MAESTRA'!B163</f>
        <v>155</v>
      </c>
      <c r="B157" s="5">
        <f t="shared" si="13"/>
        <v>0</v>
      </c>
      <c r="C157" s="5">
        <f t="shared" si="13"/>
        <v>0</v>
      </c>
      <c r="E157" s="5">
        <f t="shared" si="14"/>
        <v>0</v>
      </c>
      <c r="F157" s="5">
        <f t="shared" si="14"/>
        <v>0</v>
      </c>
      <c r="H157" s="5">
        <f t="shared" si="12"/>
        <v>155</v>
      </c>
    </row>
    <row r="158" spans="1:8" ht="16.8" x14ac:dyDescent="0.3">
      <c r="A158" s="70">
        <f>'BASE MAESTRA'!B164</f>
        <v>156</v>
      </c>
      <c r="B158" s="5">
        <f t="shared" si="13"/>
        <v>0</v>
      </c>
      <c r="C158" s="5">
        <f t="shared" si="13"/>
        <v>0</v>
      </c>
      <c r="E158" s="5">
        <f t="shared" si="14"/>
        <v>0</v>
      </c>
      <c r="F158" s="5">
        <f t="shared" si="14"/>
        <v>0</v>
      </c>
      <c r="H158" s="5">
        <f t="shared" si="12"/>
        <v>156</v>
      </c>
    </row>
    <row r="159" spans="1:8" ht="16.8" x14ac:dyDescent="0.3">
      <c r="A159" s="70">
        <f>'BASE MAESTRA'!B165</f>
        <v>157</v>
      </c>
      <c r="B159" s="5">
        <f t="shared" si="13"/>
        <v>0</v>
      </c>
      <c r="C159" s="5">
        <f t="shared" si="13"/>
        <v>0</v>
      </c>
      <c r="E159" s="5">
        <f t="shared" si="14"/>
        <v>0</v>
      </c>
      <c r="F159" s="5">
        <f t="shared" si="14"/>
        <v>0</v>
      </c>
      <c r="H159" s="5">
        <f t="shared" si="12"/>
        <v>157</v>
      </c>
    </row>
    <row r="160" spans="1:8" ht="16.8" x14ac:dyDescent="0.3">
      <c r="A160" s="70">
        <f>'BASE MAESTRA'!B166</f>
        <v>158</v>
      </c>
      <c r="B160" s="5">
        <f t="shared" si="13"/>
        <v>0</v>
      </c>
      <c r="C160" s="5">
        <f t="shared" si="13"/>
        <v>0</v>
      </c>
      <c r="E160" s="5">
        <f t="shared" si="14"/>
        <v>0</v>
      </c>
      <c r="F160" s="5">
        <f t="shared" si="14"/>
        <v>0</v>
      </c>
      <c r="H160" s="5">
        <f t="shared" si="12"/>
        <v>158</v>
      </c>
    </row>
    <row r="161" spans="1:8" ht="16.8" x14ac:dyDescent="0.3">
      <c r="A161" s="70">
        <f>'BASE MAESTRA'!B167</f>
        <v>159</v>
      </c>
      <c r="B161" s="5">
        <f t="shared" si="13"/>
        <v>0</v>
      </c>
      <c r="C161" s="5">
        <f t="shared" si="13"/>
        <v>0</v>
      </c>
      <c r="E161" s="5">
        <f t="shared" si="14"/>
        <v>0</v>
      </c>
      <c r="F161" s="5">
        <f t="shared" si="14"/>
        <v>0</v>
      </c>
      <c r="H161" s="5">
        <f t="shared" si="12"/>
        <v>159</v>
      </c>
    </row>
    <row r="162" spans="1:8" ht="16.8" x14ac:dyDescent="0.3">
      <c r="A162" s="70">
        <f>'BASE MAESTRA'!B168</f>
        <v>160</v>
      </c>
      <c r="B162" s="5">
        <f t="shared" si="13"/>
        <v>0</v>
      </c>
      <c r="C162" s="5">
        <f t="shared" si="13"/>
        <v>0</v>
      </c>
      <c r="E162" s="5">
        <f t="shared" si="14"/>
        <v>0</v>
      </c>
      <c r="F162" s="5">
        <f t="shared" si="14"/>
        <v>0</v>
      </c>
      <c r="H162" s="5">
        <f t="shared" si="12"/>
        <v>160</v>
      </c>
    </row>
    <row r="163" spans="1:8" ht="16.8" x14ac:dyDescent="0.3">
      <c r="A163" s="70">
        <f>'BASE MAESTRA'!B169</f>
        <v>161</v>
      </c>
      <c r="B163" s="5">
        <f t="shared" si="13"/>
        <v>0</v>
      </c>
      <c r="C163" s="5">
        <f t="shared" si="13"/>
        <v>0</v>
      </c>
      <c r="E163" s="5">
        <f t="shared" si="14"/>
        <v>0</v>
      </c>
      <c r="F163" s="5">
        <f t="shared" si="14"/>
        <v>0</v>
      </c>
      <c r="H163" s="5">
        <f t="shared" si="12"/>
        <v>161</v>
      </c>
    </row>
    <row r="164" spans="1:8" ht="16.8" x14ac:dyDescent="0.3">
      <c r="A164" s="70">
        <f>'BASE MAESTRA'!B170</f>
        <v>162</v>
      </c>
      <c r="B164" s="5">
        <f t="shared" si="13"/>
        <v>0</v>
      </c>
      <c r="C164" s="5">
        <f t="shared" si="13"/>
        <v>0</v>
      </c>
      <c r="E164" s="5">
        <f t="shared" si="14"/>
        <v>0</v>
      </c>
      <c r="F164" s="5">
        <f t="shared" si="14"/>
        <v>0</v>
      </c>
      <c r="H164" s="5">
        <f t="shared" si="12"/>
        <v>162</v>
      </c>
    </row>
    <row r="165" spans="1:8" ht="16.8" x14ac:dyDescent="0.3">
      <c r="A165" s="70">
        <f>'BASE MAESTRA'!B171</f>
        <v>163</v>
      </c>
      <c r="B165" s="5">
        <f t="shared" si="13"/>
        <v>0</v>
      </c>
      <c r="C165" s="5">
        <f t="shared" si="13"/>
        <v>0</v>
      </c>
      <c r="E165" s="5">
        <f t="shared" si="14"/>
        <v>0</v>
      </c>
      <c r="F165" s="5">
        <f t="shared" si="14"/>
        <v>0</v>
      </c>
      <c r="H165" s="5">
        <f t="shared" si="12"/>
        <v>163</v>
      </c>
    </row>
    <row r="166" spans="1:8" ht="16.8" x14ac:dyDescent="0.3">
      <c r="A166" s="70">
        <f>'BASE MAESTRA'!B172</f>
        <v>164</v>
      </c>
      <c r="B166" s="5">
        <f t="shared" si="13"/>
        <v>0</v>
      </c>
      <c r="C166" s="5">
        <f t="shared" si="13"/>
        <v>0</v>
      </c>
      <c r="E166" s="5">
        <f t="shared" si="14"/>
        <v>0</v>
      </c>
      <c r="F166" s="5">
        <f t="shared" si="14"/>
        <v>0</v>
      </c>
      <c r="H166" s="5">
        <f t="shared" si="12"/>
        <v>164</v>
      </c>
    </row>
    <row r="167" spans="1:8" ht="16.8" x14ac:dyDescent="0.3">
      <c r="A167" s="70">
        <f>'BASE MAESTRA'!B173</f>
        <v>165</v>
      </c>
      <c r="B167" s="5">
        <f t="shared" si="13"/>
        <v>0</v>
      </c>
      <c r="C167" s="5">
        <f t="shared" si="13"/>
        <v>0</v>
      </c>
      <c r="E167" s="5">
        <f t="shared" si="14"/>
        <v>0</v>
      </c>
      <c r="F167" s="5">
        <f t="shared" si="14"/>
        <v>0</v>
      </c>
      <c r="H167" s="5">
        <f t="shared" si="12"/>
        <v>165</v>
      </c>
    </row>
    <row r="168" spans="1:8" ht="16.8" x14ac:dyDescent="0.3">
      <c r="A168" s="70">
        <f>'BASE MAESTRA'!B174</f>
        <v>166</v>
      </c>
      <c r="B168" s="5">
        <f t="shared" si="13"/>
        <v>0</v>
      </c>
      <c r="C168" s="5">
        <f t="shared" si="13"/>
        <v>0</v>
      </c>
      <c r="E168" s="5">
        <f t="shared" si="14"/>
        <v>0</v>
      </c>
      <c r="F168" s="5">
        <f t="shared" si="14"/>
        <v>0</v>
      </c>
      <c r="H168" s="5">
        <f t="shared" si="12"/>
        <v>166</v>
      </c>
    </row>
    <row r="169" spans="1:8" ht="16.8" x14ac:dyDescent="0.3">
      <c r="A169" s="70">
        <f>'BASE MAESTRA'!B175</f>
        <v>167</v>
      </c>
      <c r="B169" s="5">
        <f t="shared" si="13"/>
        <v>0</v>
      </c>
      <c r="C169" s="5">
        <f t="shared" si="13"/>
        <v>0</v>
      </c>
      <c r="E169" s="5">
        <f t="shared" si="14"/>
        <v>0</v>
      </c>
      <c r="F169" s="5">
        <f t="shared" si="14"/>
        <v>0</v>
      </c>
      <c r="H169" s="5">
        <f t="shared" si="12"/>
        <v>167</v>
      </c>
    </row>
    <row r="170" spans="1:8" ht="16.8" x14ac:dyDescent="0.3">
      <c r="A170" s="70">
        <f>'BASE MAESTRA'!B176</f>
        <v>168</v>
      </c>
      <c r="B170" s="5">
        <f t="shared" si="13"/>
        <v>0</v>
      </c>
      <c r="C170" s="5">
        <f t="shared" si="13"/>
        <v>0</v>
      </c>
      <c r="E170" s="5">
        <f t="shared" si="14"/>
        <v>0</v>
      </c>
      <c r="F170" s="5">
        <f t="shared" si="14"/>
        <v>0</v>
      </c>
      <c r="H170" s="5">
        <f t="shared" si="12"/>
        <v>168</v>
      </c>
    </row>
    <row r="171" spans="1:8" ht="16.8" x14ac:dyDescent="0.3">
      <c r="A171" s="70">
        <f>'BASE MAESTRA'!B177</f>
        <v>169</v>
      </c>
      <c r="B171" s="5">
        <f t="shared" si="13"/>
        <v>0</v>
      </c>
      <c r="C171" s="5">
        <f t="shared" si="13"/>
        <v>0</v>
      </c>
      <c r="E171" s="5">
        <f t="shared" si="14"/>
        <v>0</v>
      </c>
      <c r="F171" s="5">
        <f t="shared" si="14"/>
        <v>0</v>
      </c>
      <c r="H171" s="5">
        <f t="shared" si="12"/>
        <v>169</v>
      </c>
    </row>
    <row r="172" spans="1:8" ht="16.8" x14ac:dyDescent="0.3">
      <c r="A172" s="70">
        <f>'BASE MAESTRA'!B178</f>
        <v>170</v>
      </c>
      <c r="B172" s="5">
        <f t="shared" si="13"/>
        <v>0</v>
      </c>
      <c r="C172" s="5">
        <f t="shared" si="13"/>
        <v>0</v>
      </c>
      <c r="E172" s="5">
        <f t="shared" si="14"/>
        <v>0</v>
      </c>
      <c r="F172" s="5">
        <f t="shared" si="14"/>
        <v>0</v>
      </c>
      <c r="H172" s="5">
        <f t="shared" si="12"/>
        <v>170</v>
      </c>
    </row>
    <row r="173" spans="1:8" ht="16.8" x14ac:dyDescent="0.3">
      <c r="A173" s="70">
        <f>'BASE MAESTRA'!B179</f>
        <v>171</v>
      </c>
      <c r="B173" s="5">
        <f t="shared" si="13"/>
        <v>0</v>
      </c>
      <c r="C173" s="5">
        <f t="shared" si="13"/>
        <v>0</v>
      </c>
      <c r="E173" s="5">
        <f t="shared" si="14"/>
        <v>0</v>
      </c>
      <c r="F173" s="5">
        <f t="shared" si="14"/>
        <v>0</v>
      </c>
      <c r="H173" s="5">
        <f t="shared" si="12"/>
        <v>171</v>
      </c>
    </row>
    <row r="174" spans="1:8" ht="16.8" x14ac:dyDescent="0.3">
      <c r="A174" s="70">
        <f>'BASE MAESTRA'!B180</f>
        <v>172</v>
      </c>
      <c r="B174" s="5">
        <f t="shared" si="13"/>
        <v>0</v>
      </c>
      <c r="C174" s="5">
        <f t="shared" si="13"/>
        <v>0</v>
      </c>
      <c r="E174" s="5">
        <f t="shared" si="14"/>
        <v>0</v>
      </c>
      <c r="F174" s="5">
        <f t="shared" si="14"/>
        <v>0</v>
      </c>
      <c r="H174" s="5">
        <f t="shared" si="12"/>
        <v>172</v>
      </c>
    </row>
    <row r="175" spans="1:8" ht="16.8" x14ac:dyDescent="0.3">
      <c r="A175" s="70">
        <f>'BASE MAESTRA'!B181</f>
        <v>173</v>
      </c>
      <c r="B175" s="5">
        <f t="shared" si="13"/>
        <v>0</v>
      </c>
      <c r="C175" s="5">
        <f t="shared" si="13"/>
        <v>0</v>
      </c>
      <c r="E175" s="5">
        <f t="shared" si="14"/>
        <v>0</v>
      </c>
      <c r="F175" s="5">
        <f t="shared" si="14"/>
        <v>0</v>
      </c>
      <c r="H175" s="5">
        <f t="shared" si="12"/>
        <v>173</v>
      </c>
    </row>
    <row r="176" spans="1:8" ht="16.8" x14ac:dyDescent="0.3">
      <c r="A176" s="70">
        <f>'BASE MAESTRA'!B182</f>
        <v>174</v>
      </c>
      <c r="B176" s="5">
        <f t="shared" si="13"/>
        <v>0</v>
      </c>
      <c r="C176" s="5">
        <f t="shared" si="13"/>
        <v>0</v>
      </c>
      <c r="E176" s="5">
        <f t="shared" si="14"/>
        <v>0</v>
      </c>
      <c r="F176" s="5">
        <f t="shared" si="14"/>
        <v>0</v>
      </c>
      <c r="H176" s="5">
        <f t="shared" si="12"/>
        <v>174</v>
      </c>
    </row>
    <row r="177" spans="1:8" ht="16.8" x14ac:dyDescent="0.3">
      <c r="A177" s="70">
        <f>'BASE MAESTRA'!B183</f>
        <v>175</v>
      </c>
      <c r="B177" s="5">
        <f t="shared" si="13"/>
        <v>0</v>
      </c>
      <c r="C177" s="5">
        <f t="shared" si="13"/>
        <v>0</v>
      </c>
      <c r="E177" s="5">
        <f t="shared" si="14"/>
        <v>0</v>
      </c>
      <c r="F177" s="5">
        <f t="shared" si="14"/>
        <v>0</v>
      </c>
      <c r="H177" s="5">
        <f t="shared" si="12"/>
        <v>175</v>
      </c>
    </row>
    <row r="178" spans="1:8" ht="16.8" x14ac:dyDescent="0.3">
      <c r="A178" s="70">
        <f>'BASE MAESTRA'!B184</f>
        <v>176</v>
      </c>
      <c r="B178" s="5">
        <f t="shared" si="13"/>
        <v>0</v>
      </c>
      <c r="C178" s="5">
        <f t="shared" si="13"/>
        <v>0</v>
      </c>
      <c r="E178" s="5">
        <f t="shared" si="14"/>
        <v>0</v>
      </c>
      <c r="F178" s="5">
        <f t="shared" si="14"/>
        <v>0</v>
      </c>
      <c r="H178" s="5">
        <f t="shared" si="12"/>
        <v>176</v>
      </c>
    </row>
    <row r="179" spans="1:8" ht="16.8" x14ac:dyDescent="0.3">
      <c r="A179" s="70">
        <f>'BASE MAESTRA'!B185</f>
        <v>177</v>
      </c>
      <c r="B179" s="5">
        <f t="shared" si="13"/>
        <v>0</v>
      </c>
      <c r="C179" s="5">
        <f t="shared" si="13"/>
        <v>0</v>
      </c>
      <c r="E179" s="5">
        <f t="shared" si="14"/>
        <v>0</v>
      </c>
      <c r="F179" s="5">
        <f t="shared" si="14"/>
        <v>0</v>
      </c>
      <c r="H179" s="5">
        <f t="shared" si="12"/>
        <v>177</v>
      </c>
    </row>
    <row r="180" spans="1:8" ht="16.8" x14ac:dyDescent="0.3">
      <c r="A180" s="70">
        <f>'BASE MAESTRA'!B186</f>
        <v>178</v>
      </c>
      <c r="B180" s="5">
        <f t="shared" si="13"/>
        <v>0</v>
      </c>
      <c r="C180" s="5">
        <f t="shared" si="13"/>
        <v>0</v>
      </c>
      <c r="E180" s="5">
        <f t="shared" si="14"/>
        <v>0</v>
      </c>
      <c r="F180" s="5">
        <f t="shared" si="14"/>
        <v>0</v>
      </c>
      <c r="H180" s="5">
        <f t="shared" si="12"/>
        <v>178</v>
      </c>
    </row>
    <row r="181" spans="1:8" ht="16.8" x14ac:dyDescent="0.3">
      <c r="A181" s="70">
        <f>'BASE MAESTRA'!B187</f>
        <v>179</v>
      </c>
      <c r="B181" s="5">
        <f t="shared" si="13"/>
        <v>0</v>
      </c>
      <c r="C181" s="5">
        <f t="shared" si="13"/>
        <v>0</v>
      </c>
      <c r="E181" s="5">
        <f t="shared" si="14"/>
        <v>0</v>
      </c>
      <c r="F181" s="5">
        <f t="shared" si="14"/>
        <v>0</v>
      </c>
      <c r="H181" s="5">
        <f t="shared" si="12"/>
        <v>179</v>
      </c>
    </row>
    <row r="182" spans="1:8" ht="16.8" x14ac:dyDescent="0.3">
      <c r="A182" s="70">
        <f>'BASE MAESTRA'!B188</f>
        <v>180</v>
      </c>
      <c r="B182" s="5">
        <f t="shared" si="13"/>
        <v>0</v>
      </c>
      <c r="C182" s="5">
        <f t="shared" si="13"/>
        <v>0</v>
      </c>
      <c r="E182" s="5">
        <f t="shared" si="14"/>
        <v>0</v>
      </c>
      <c r="F182" s="5">
        <f t="shared" si="14"/>
        <v>0</v>
      </c>
      <c r="H182" s="5">
        <f t="shared" si="12"/>
        <v>180</v>
      </c>
    </row>
    <row r="183" spans="1:8" ht="16.8" x14ac:dyDescent="0.3">
      <c r="A183" s="70">
        <f>'BASE MAESTRA'!B189</f>
        <v>181</v>
      </c>
      <c r="B183" s="5">
        <f t="shared" si="13"/>
        <v>0</v>
      </c>
      <c r="C183" s="5">
        <f t="shared" si="13"/>
        <v>0</v>
      </c>
      <c r="E183" s="5">
        <f t="shared" si="14"/>
        <v>0</v>
      </c>
      <c r="F183" s="5">
        <f t="shared" si="14"/>
        <v>0</v>
      </c>
      <c r="H183" s="5">
        <f t="shared" si="12"/>
        <v>181</v>
      </c>
    </row>
    <row r="184" spans="1:8" ht="16.8" x14ac:dyDescent="0.3">
      <c r="A184" s="70">
        <f>'BASE MAESTRA'!B190</f>
        <v>182</v>
      </c>
      <c r="B184" s="5">
        <f t="shared" si="13"/>
        <v>0</v>
      </c>
      <c r="C184" s="5">
        <f t="shared" si="13"/>
        <v>0</v>
      </c>
      <c r="E184" s="5">
        <f t="shared" si="14"/>
        <v>0</v>
      </c>
      <c r="F184" s="5">
        <f t="shared" si="14"/>
        <v>0</v>
      </c>
      <c r="H184" s="5">
        <f t="shared" si="12"/>
        <v>182</v>
      </c>
    </row>
    <row r="185" spans="1:8" ht="16.8" x14ac:dyDescent="0.3">
      <c r="A185" s="70">
        <f>'BASE MAESTRA'!B191</f>
        <v>183</v>
      </c>
      <c r="B185" s="5">
        <f t="shared" si="13"/>
        <v>0</v>
      </c>
      <c r="C185" s="5">
        <f t="shared" si="13"/>
        <v>0</v>
      </c>
      <c r="E185" s="5">
        <f t="shared" si="14"/>
        <v>0</v>
      </c>
      <c r="F185" s="5">
        <f t="shared" si="14"/>
        <v>0</v>
      </c>
      <c r="H185" s="5">
        <f t="shared" si="12"/>
        <v>183</v>
      </c>
    </row>
    <row r="186" spans="1:8" ht="16.8" x14ac:dyDescent="0.3">
      <c r="A186" s="70">
        <f>'BASE MAESTRA'!B192</f>
        <v>184</v>
      </c>
      <c r="B186" s="5">
        <f t="shared" si="13"/>
        <v>0</v>
      </c>
      <c r="C186" s="5">
        <f t="shared" si="13"/>
        <v>0</v>
      </c>
      <c r="E186" s="5">
        <f t="shared" si="14"/>
        <v>0</v>
      </c>
      <c r="F186" s="5">
        <f t="shared" si="14"/>
        <v>0</v>
      </c>
      <c r="H186" s="5">
        <f t="shared" si="12"/>
        <v>184</v>
      </c>
    </row>
    <row r="187" spans="1:8" ht="16.8" x14ac:dyDescent="0.3">
      <c r="A187" s="70">
        <f>'BASE MAESTRA'!B193</f>
        <v>185</v>
      </c>
      <c r="B187" s="5">
        <f t="shared" si="13"/>
        <v>0</v>
      </c>
      <c r="C187" s="5">
        <f t="shared" si="13"/>
        <v>0</v>
      </c>
      <c r="E187" s="5">
        <f t="shared" si="14"/>
        <v>0</v>
      </c>
      <c r="F187" s="5">
        <f t="shared" si="14"/>
        <v>0</v>
      </c>
      <c r="H187" s="5">
        <f t="shared" si="12"/>
        <v>185</v>
      </c>
    </row>
    <row r="188" spans="1:8" ht="16.8" x14ac:dyDescent="0.3">
      <c r="A188" s="70">
        <f>'BASE MAESTRA'!B194</f>
        <v>186</v>
      </c>
      <c r="B188" s="5">
        <f t="shared" si="13"/>
        <v>0</v>
      </c>
      <c r="C188" s="5">
        <f t="shared" si="13"/>
        <v>0</v>
      </c>
      <c r="E188" s="5">
        <f t="shared" si="14"/>
        <v>0</v>
      </c>
      <c r="F188" s="5">
        <f t="shared" si="14"/>
        <v>0</v>
      </c>
      <c r="H188" s="5">
        <f t="shared" si="12"/>
        <v>186</v>
      </c>
    </row>
    <row r="189" spans="1:8" ht="16.8" x14ac:dyDescent="0.3">
      <c r="A189" s="70">
        <f>'BASE MAESTRA'!B195</f>
        <v>187</v>
      </c>
      <c r="B189" s="5">
        <f t="shared" si="13"/>
        <v>0</v>
      </c>
      <c r="C189" s="5">
        <f t="shared" si="13"/>
        <v>0</v>
      </c>
      <c r="E189" s="5">
        <f t="shared" si="14"/>
        <v>0</v>
      </c>
      <c r="F189" s="5">
        <f t="shared" si="14"/>
        <v>0</v>
      </c>
      <c r="H189" s="5">
        <f t="shared" si="12"/>
        <v>187</v>
      </c>
    </row>
    <row r="190" spans="1:8" ht="16.8" x14ac:dyDescent="0.3">
      <c r="A190" s="70">
        <f>'BASE MAESTRA'!B196</f>
        <v>188</v>
      </c>
      <c r="B190" s="5">
        <f t="shared" si="13"/>
        <v>0</v>
      </c>
      <c r="C190" s="5">
        <f t="shared" si="13"/>
        <v>0</v>
      </c>
      <c r="E190" s="5">
        <f t="shared" si="14"/>
        <v>0</v>
      </c>
      <c r="F190" s="5">
        <f t="shared" si="14"/>
        <v>0</v>
      </c>
      <c r="H190" s="5">
        <f t="shared" si="12"/>
        <v>188</v>
      </c>
    </row>
    <row r="191" spans="1:8" ht="16.8" x14ac:dyDescent="0.3">
      <c r="A191" s="70">
        <f>'BASE MAESTRA'!B197</f>
        <v>189</v>
      </c>
      <c r="B191" s="5">
        <f t="shared" si="13"/>
        <v>0</v>
      </c>
      <c r="C191" s="5">
        <f t="shared" si="13"/>
        <v>0</v>
      </c>
      <c r="E191" s="5">
        <f t="shared" si="14"/>
        <v>0</v>
      </c>
      <c r="F191" s="5">
        <f t="shared" si="14"/>
        <v>0</v>
      </c>
      <c r="H191" s="5">
        <f t="shared" si="12"/>
        <v>189</v>
      </c>
    </row>
    <row r="192" spans="1:8" ht="16.8" x14ac:dyDescent="0.3">
      <c r="A192" s="70">
        <f>'BASE MAESTRA'!B198</f>
        <v>190</v>
      </c>
      <c r="B192" s="5">
        <f t="shared" si="13"/>
        <v>0</v>
      </c>
      <c r="C192" s="5">
        <f t="shared" si="13"/>
        <v>0</v>
      </c>
      <c r="E192" s="5">
        <f t="shared" si="14"/>
        <v>0</v>
      </c>
      <c r="F192" s="5">
        <f t="shared" si="14"/>
        <v>0</v>
      </c>
      <c r="H192" s="5">
        <f t="shared" si="12"/>
        <v>190</v>
      </c>
    </row>
    <row r="193" spans="1:8" ht="16.8" x14ac:dyDescent="0.3">
      <c r="A193" s="70">
        <f>'BASE MAESTRA'!B199</f>
        <v>191</v>
      </c>
      <c r="B193" s="5">
        <f t="shared" si="13"/>
        <v>0</v>
      </c>
      <c r="C193" s="5">
        <f t="shared" si="13"/>
        <v>0</v>
      </c>
      <c r="E193" s="5">
        <f t="shared" si="14"/>
        <v>0</v>
      </c>
      <c r="F193" s="5">
        <f t="shared" si="14"/>
        <v>0</v>
      </c>
      <c r="H193" s="5">
        <f t="shared" si="12"/>
        <v>191</v>
      </c>
    </row>
    <row r="194" spans="1:8" ht="16.8" x14ac:dyDescent="0.3">
      <c r="A194" s="70">
        <f>'BASE MAESTRA'!B200</f>
        <v>192</v>
      </c>
      <c r="B194" s="5">
        <f t="shared" si="13"/>
        <v>0</v>
      </c>
      <c r="C194" s="5">
        <f t="shared" si="13"/>
        <v>0</v>
      </c>
      <c r="E194" s="5">
        <f t="shared" si="14"/>
        <v>0</v>
      </c>
      <c r="F194" s="5">
        <f t="shared" si="14"/>
        <v>0</v>
      </c>
      <c r="H194" s="5">
        <f t="shared" si="12"/>
        <v>192</v>
      </c>
    </row>
    <row r="195" spans="1:8" ht="16.8" x14ac:dyDescent="0.3">
      <c r="A195" s="70">
        <f>'BASE MAESTRA'!B201</f>
        <v>193</v>
      </c>
      <c r="B195" s="5">
        <f t="shared" si="13"/>
        <v>0</v>
      </c>
      <c r="C195" s="5">
        <f t="shared" si="13"/>
        <v>0</v>
      </c>
      <c r="E195" s="5">
        <f t="shared" si="14"/>
        <v>0</v>
      </c>
      <c r="F195" s="5">
        <f t="shared" si="14"/>
        <v>0</v>
      </c>
      <c r="H195" s="5">
        <f t="shared" ref="H195:H202" si="15">VLOOKUP($A195,DatosEspecies,H$2,FALSE)</f>
        <v>193</v>
      </c>
    </row>
    <row r="196" spans="1:8" ht="16.8" x14ac:dyDescent="0.3">
      <c r="A196" s="70">
        <f>'BASE MAESTRA'!B202</f>
        <v>194</v>
      </c>
      <c r="B196" s="5">
        <f t="shared" si="13"/>
        <v>0</v>
      </c>
      <c r="C196" s="5">
        <f t="shared" si="13"/>
        <v>0</v>
      </c>
      <c r="E196" s="5">
        <f t="shared" si="14"/>
        <v>0</v>
      </c>
      <c r="F196" s="5">
        <f t="shared" si="14"/>
        <v>0</v>
      </c>
      <c r="H196" s="5">
        <f t="shared" si="15"/>
        <v>194</v>
      </c>
    </row>
    <row r="197" spans="1:8" ht="16.8" x14ac:dyDescent="0.3">
      <c r="A197" s="70">
        <f>'BASE MAESTRA'!B203</f>
        <v>195</v>
      </c>
      <c r="B197" s="5">
        <f t="shared" si="13"/>
        <v>0</v>
      </c>
      <c r="C197" s="5">
        <f t="shared" si="13"/>
        <v>0</v>
      </c>
      <c r="E197" s="5">
        <f t="shared" si="14"/>
        <v>0</v>
      </c>
      <c r="F197" s="5">
        <f t="shared" si="14"/>
        <v>0</v>
      </c>
      <c r="H197" s="5">
        <f t="shared" si="15"/>
        <v>195</v>
      </c>
    </row>
    <row r="198" spans="1:8" ht="16.8" x14ac:dyDescent="0.3">
      <c r="A198" s="70">
        <f>'BASE MAESTRA'!B204</f>
        <v>196</v>
      </c>
      <c r="B198" s="5">
        <f t="shared" si="13"/>
        <v>0</v>
      </c>
      <c r="C198" s="5">
        <f t="shared" si="13"/>
        <v>0</v>
      </c>
      <c r="E198" s="5">
        <f t="shared" si="14"/>
        <v>0</v>
      </c>
      <c r="F198" s="5">
        <f t="shared" si="14"/>
        <v>0</v>
      </c>
      <c r="H198" s="5">
        <f t="shared" si="15"/>
        <v>196</v>
      </c>
    </row>
    <row r="199" spans="1:8" ht="16.8" x14ac:dyDescent="0.3">
      <c r="A199" s="70">
        <f>'BASE MAESTRA'!B205</f>
        <v>197</v>
      </c>
      <c r="B199" s="5">
        <f t="shared" si="13"/>
        <v>0</v>
      </c>
      <c r="C199" s="5">
        <f t="shared" si="13"/>
        <v>0</v>
      </c>
      <c r="E199" s="5">
        <f t="shared" si="14"/>
        <v>0</v>
      </c>
      <c r="F199" s="5">
        <f t="shared" si="14"/>
        <v>0</v>
      </c>
      <c r="H199" s="5">
        <f t="shared" si="15"/>
        <v>197</v>
      </c>
    </row>
    <row r="200" spans="1:8" ht="16.8" x14ac:dyDescent="0.3">
      <c r="A200" s="70">
        <f>'BASE MAESTRA'!B206</f>
        <v>198</v>
      </c>
      <c r="B200" s="5">
        <f t="shared" si="13"/>
        <v>0</v>
      </c>
      <c r="C200" s="5">
        <f t="shared" si="13"/>
        <v>0</v>
      </c>
      <c r="E200" s="5">
        <f t="shared" si="14"/>
        <v>0</v>
      </c>
      <c r="F200" s="5">
        <f t="shared" si="14"/>
        <v>0</v>
      </c>
      <c r="H200" s="5">
        <f t="shared" si="15"/>
        <v>198</v>
      </c>
    </row>
    <row r="201" spans="1:8" ht="16.8" x14ac:dyDescent="0.3">
      <c r="A201" s="70">
        <f>'BASE MAESTRA'!B207</f>
        <v>199</v>
      </c>
      <c r="B201" s="5">
        <f t="shared" si="13"/>
        <v>0</v>
      </c>
      <c r="C201" s="5">
        <f t="shared" si="13"/>
        <v>0</v>
      </c>
      <c r="E201" s="5">
        <f t="shared" si="14"/>
        <v>0</v>
      </c>
      <c r="F201" s="5">
        <f t="shared" si="14"/>
        <v>0</v>
      </c>
      <c r="H201" s="5">
        <f t="shared" si="15"/>
        <v>199</v>
      </c>
    </row>
    <row r="202" spans="1:8" ht="16.8" x14ac:dyDescent="0.3">
      <c r="A202" s="70">
        <f>'BASE MAESTRA'!B208</f>
        <v>200</v>
      </c>
      <c r="B202" s="5">
        <f t="shared" si="13"/>
        <v>0</v>
      </c>
      <c r="C202" s="5">
        <f t="shared" si="13"/>
        <v>0</v>
      </c>
      <c r="E202" s="5">
        <f t="shared" si="14"/>
        <v>0</v>
      </c>
      <c r="F202" s="5">
        <f t="shared" si="14"/>
        <v>0</v>
      </c>
      <c r="H202" s="5">
        <f t="shared" si="15"/>
        <v>200</v>
      </c>
    </row>
  </sheetData>
  <customSheetViews>
    <customSheetView guid="{03A28D0E-D221-430C-9036-787CFB666EE7}">
      <selection activeCell="A3" sqref="A3:A138"/>
      <pageMargins left="0.7" right="0.7" top="0.75" bottom="0.75" header="0.3" footer="0.3"/>
      <pageSetup orientation="portrait" r:id="rId1"/>
    </customSheetView>
  </customSheetViews>
  <pageMargins left="0.7" right="0.7" top="0.75" bottom="0.75" header="0.3" footer="0.3"/>
  <pageSetup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202"/>
  <sheetViews>
    <sheetView zoomScaleNormal="100" workbookViewId="0"/>
  </sheetViews>
  <sheetFormatPr defaultColWidth="11.44140625" defaultRowHeight="13.2" x14ac:dyDescent="0.3"/>
  <cols>
    <col min="1" max="1" width="11.44140625" style="22"/>
    <col min="2" max="2" width="16.44140625" style="5" customWidth="1"/>
    <col min="3" max="3" width="14.109375" style="5" customWidth="1"/>
    <col min="4" max="5" width="11.44140625" style="5"/>
    <col min="6" max="6" width="18.6640625" style="5" customWidth="1"/>
    <col min="7" max="7" width="13.33203125" style="5" customWidth="1"/>
    <col min="8" max="16384" width="11.44140625" style="5"/>
  </cols>
  <sheetData>
    <row r="1" spans="1:7" ht="52.8" x14ac:dyDescent="0.3">
      <c r="A1" s="21" t="s">
        <v>310</v>
      </c>
      <c r="B1" s="4" t="s">
        <v>244</v>
      </c>
      <c r="C1" s="4" t="s">
        <v>245</v>
      </c>
      <c r="D1" s="4" t="s">
        <v>248</v>
      </c>
      <c r="E1" s="4" t="s">
        <v>247</v>
      </c>
      <c r="F1" s="4" t="s">
        <v>246</v>
      </c>
      <c r="G1" s="4" t="s">
        <v>8</v>
      </c>
    </row>
    <row r="2" spans="1:7" s="18" customFormat="1" ht="26.4" x14ac:dyDescent="0.3">
      <c r="A2" s="21" t="s">
        <v>323</v>
      </c>
      <c r="B2" s="21">
        <f>VLOOKUP(B1,CamposSIS,2,FALSE)</f>
        <v>37</v>
      </c>
      <c r="C2" s="21"/>
      <c r="D2" s="21"/>
      <c r="E2" s="21" t="e">
        <f>VLOOKUP(E1,CamposSIS,2,FALSE)</f>
        <v>#N/A</v>
      </c>
      <c r="F2" s="21">
        <f>VLOOKUP(F1,CamposSIS,2,FALSE)</f>
        <v>36</v>
      </c>
      <c r="G2" s="21">
        <f>VLOOKUP(G1,CamposSIS,2,FALSE)</f>
        <v>1</v>
      </c>
    </row>
    <row r="3" spans="1:7" ht="16.8" x14ac:dyDescent="0.3">
      <c r="A3" s="70" t="str">
        <f>'BASE MAESTRA'!B7</f>
        <v>3</v>
      </c>
      <c r="B3" s="5" t="str">
        <f t="shared" ref="B3:B66" si="0">VLOOKUP($A3,DatosEspecies,B$2,FALSE)</f>
        <v>1.6, 1.9</v>
      </c>
      <c r="F3" s="5" t="str">
        <f t="shared" ref="F3:G21" si="1">VLOOKUP($A3,DatosEspecies,F$2,FALSE)</f>
        <v>Suitable</v>
      </c>
      <c r="G3" s="5" t="str">
        <f t="shared" si="1"/>
        <v>3</v>
      </c>
    </row>
    <row r="4" spans="1:7" ht="16.8" x14ac:dyDescent="0.3">
      <c r="A4" s="70" t="str">
        <f>'BASE MAESTRA'!B8</f>
        <v>4</v>
      </c>
      <c r="B4" s="5" t="str">
        <f t="shared" si="0"/>
        <v>1.6, 1.9</v>
      </c>
      <c r="F4" s="5" t="str">
        <f t="shared" si="1"/>
        <v>Suitable</v>
      </c>
      <c r="G4" s="5" t="str">
        <f t="shared" si="1"/>
        <v>4</v>
      </c>
    </row>
    <row r="5" spans="1:7" ht="16.8" x14ac:dyDescent="0.3">
      <c r="A5" s="70" t="str">
        <f>'BASE MAESTRA'!B10</f>
        <v>6</v>
      </c>
      <c r="B5" s="5" t="str">
        <f t="shared" si="0"/>
        <v>1.9</v>
      </c>
      <c r="F5" s="5" t="str">
        <f t="shared" si="1"/>
        <v>Suitable</v>
      </c>
      <c r="G5" s="5" t="str">
        <f t="shared" si="1"/>
        <v>6</v>
      </c>
    </row>
    <row r="6" spans="1:7" ht="16.8" x14ac:dyDescent="0.3">
      <c r="A6" s="70" t="str">
        <f>'BASE MAESTRA'!B11</f>
        <v>7</v>
      </c>
      <c r="B6" s="5" t="str">
        <f t="shared" si="0"/>
        <v>1.6, 1.9</v>
      </c>
      <c r="F6" s="5" t="str">
        <f t="shared" si="1"/>
        <v>Suitable</v>
      </c>
      <c r="G6" s="5" t="str">
        <f t="shared" si="1"/>
        <v>7</v>
      </c>
    </row>
    <row r="7" spans="1:7" ht="16.8" x14ac:dyDescent="0.3">
      <c r="A7" s="70" t="str">
        <f>'BASE MAESTRA'!B12</f>
        <v>8</v>
      </c>
      <c r="B7" s="5" t="str">
        <f t="shared" si="0"/>
        <v>1.9</v>
      </c>
      <c r="F7" s="5" t="str">
        <f t="shared" si="1"/>
        <v>Suitable</v>
      </c>
      <c r="G7" s="5" t="str">
        <f t="shared" si="1"/>
        <v>8</v>
      </c>
    </row>
    <row r="8" spans="1:7" ht="16.8" x14ac:dyDescent="0.3">
      <c r="A8" s="70" t="str">
        <f>'BASE MAESTRA'!B13</f>
        <v>9</v>
      </c>
      <c r="B8" s="5" t="str">
        <f t="shared" si="0"/>
        <v>1.6, 1.9</v>
      </c>
      <c r="F8" s="5" t="str">
        <f t="shared" si="1"/>
        <v>Suitable</v>
      </c>
      <c r="G8" s="5" t="str">
        <f t="shared" si="1"/>
        <v>9</v>
      </c>
    </row>
    <row r="9" spans="1:7" ht="16.8" x14ac:dyDescent="0.3">
      <c r="A9" s="70" t="str">
        <f>'BASE MAESTRA'!B14</f>
        <v>10</v>
      </c>
      <c r="B9" s="5" t="str">
        <f t="shared" si="0"/>
        <v>1.9</v>
      </c>
      <c r="F9" s="5" t="str">
        <f t="shared" si="1"/>
        <v>Suitable</v>
      </c>
      <c r="G9" s="5" t="str">
        <f t="shared" si="1"/>
        <v>10</v>
      </c>
    </row>
    <row r="10" spans="1:7" ht="16.8" x14ac:dyDescent="0.3">
      <c r="A10" s="70" t="str">
        <f>'BASE MAESTRA'!B15</f>
        <v>11</v>
      </c>
      <c r="B10" s="5" t="str">
        <f t="shared" si="0"/>
        <v>1.6, 1.9</v>
      </c>
      <c r="F10" s="5" t="str">
        <f t="shared" si="1"/>
        <v>Suitable</v>
      </c>
      <c r="G10" s="5" t="str">
        <f t="shared" si="1"/>
        <v>11</v>
      </c>
    </row>
    <row r="11" spans="1:7" ht="16.8" x14ac:dyDescent="0.3">
      <c r="A11" s="70" t="str">
        <f>'BASE MAESTRA'!B16</f>
        <v>12</v>
      </c>
      <c r="B11" s="5" t="str">
        <f t="shared" si="0"/>
        <v>1.6, 1.9</v>
      </c>
      <c r="F11" s="5" t="str">
        <f t="shared" si="1"/>
        <v>Suitable</v>
      </c>
      <c r="G11" s="5" t="str">
        <f t="shared" si="1"/>
        <v>12</v>
      </c>
    </row>
    <row r="12" spans="1:7" ht="16.8" x14ac:dyDescent="0.3">
      <c r="A12" s="70" t="str">
        <f>'BASE MAESTRA'!B17</f>
        <v>13</v>
      </c>
      <c r="B12" s="5" t="str">
        <f t="shared" si="0"/>
        <v>1.6, 1.9</v>
      </c>
      <c r="F12" s="5" t="str">
        <f t="shared" si="1"/>
        <v>Suitable</v>
      </c>
      <c r="G12" s="5" t="str">
        <f t="shared" si="1"/>
        <v>13</v>
      </c>
    </row>
    <row r="13" spans="1:7" ht="16.8" x14ac:dyDescent="0.3">
      <c r="A13" s="70" t="str">
        <f>'BASE MAESTRA'!B18</f>
        <v>14</v>
      </c>
      <c r="B13" s="5" t="str">
        <f t="shared" si="0"/>
        <v>1.6, 1.9</v>
      </c>
      <c r="F13" s="5" t="str">
        <f t="shared" si="1"/>
        <v>Suitable</v>
      </c>
      <c r="G13" s="5" t="str">
        <f t="shared" si="1"/>
        <v>14</v>
      </c>
    </row>
    <row r="14" spans="1:7" ht="16.8" x14ac:dyDescent="0.3">
      <c r="A14" s="70" t="str">
        <f>'BASE MAESTRA'!B19</f>
        <v>15</v>
      </c>
      <c r="B14" s="5" t="str">
        <f t="shared" si="0"/>
        <v>1.6</v>
      </c>
      <c r="F14" s="5" t="str">
        <f t="shared" si="1"/>
        <v>Suitable</v>
      </c>
      <c r="G14" s="5" t="str">
        <f t="shared" si="1"/>
        <v>15</v>
      </c>
    </row>
    <row r="15" spans="1:7" ht="16.8" x14ac:dyDescent="0.3">
      <c r="A15" s="70" t="str">
        <f>'BASE MAESTRA'!B20</f>
        <v>16</v>
      </c>
      <c r="B15" s="5" t="str">
        <f t="shared" si="0"/>
        <v>1.9</v>
      </c>
      <c r="F15" s="5" t="str">
        <f t="shared" si="1"/>
        <v>Suitable</v>
      </c>
      <c r="G15" s="5" t="str">
        <f t="shared" si="1"/>
        <v>16</v>
      </c>
    </row>
    <row r="16" spans="1:7" ht="16.8" x14ac:dyDescent="0.3">
      <c r="A16" s="70" t="str">
        <f>'BASE MAESTRA'!B21</f>
        <v>17</v>
      </c>
      <c r="B16" s="5" t="str">
        <f t="shared" si="0"/>
        <v>1.6, 1.9</v>
      </c>
      <c r="F16" s="5" t="str">
        <f t="shared" si="1"/>
        <v>Suitable</v>
      </c>
      <c r="G16" s="5" t="str">
        <f t="shared" si="1"/>
        <v>17</v>
      </c>
    </row>
    <row r="17" spans="1:7" ht="16.8" x14ac:dyDescent="0.3">
      <c r="A17" s="70" t="str">
        <f>'BASE MAESTRA'!B22</f>
        <v>18</v>
      </c>
      <c r="B17" s="5" t="str">
        <f t="shared" si="0"/>
        <v>1.6, 1.9</v>
      </c>
      <c r="F17" s="5" t="str">
        <f t="shared" si="1"/>
        <v>Suitable</v>
      </c>
      <c r="G17" s="5" t="str">
        <f t="shared" si="1"/>
        <v>18</v>
      </c>
    </row>
    <row r="18" spans="1:7" ht="16.8" x14ac:dyDescent="0.3">
      <c r="A18" s="70" t="str">
        <f>'BASE MAESTRA'!B23</f>
        <v>19</v>
      </c>
      <c r="B18" s="5" t="str">
        <f t="shared" si="0"/>
        <v>1.6, 1.9</v>
      </c>
      <c r="F18" s="5" t="str">
        <f t="shared" si="1"/>
        <v>Suitable</v>
      </c>
      <c r="G18" s="5" t="str">
        <f t="shared" si="1"/>
        <v>19</v>
      </c>
    </row>
    <row r="19" spans="1:7" ht="16.8" x14ac:dyDescent="0.3">
      <c r="A19" s="70" t="str">
        <f>'BASE MAESTRA'!B25</f>
        <v>20</v>
      </c>
      <c r="B19" s="5" t="str">
        <f t="shared" si="0"/>
        <v>1.6, 1.9</v>
      </c>
      <c r="F19" s="5" t="str">
        <f t="shared" si="1"/>
        <v>Suitable</v>
      </c>
      <c r="G19" s="5" t="str">
        <f t="shared" si="1"/>
        <v>20</v>
      </c>
    </row>
    <row r="20" spans="1:7" ht="16.8" x14ac:dyDescent="0.3">
      <c r="A20" s="70" t="str">
        <f>'BASE MAESTRA'!B26</f>
        <v>21</v>
      </c>
      <c r="B20" s="5" t="str">
        <f t="shared" si="0"/>
        <v>1.9</v>
      </c>
      <c r="F20" s="5" t="str">
        <f t="shared" si="1"/>
        <v>Suitable</v>
      </c>
      <c r="G20" s="5" t="str">
        <f t="shared" si="1"/>
        <v>21</v>
      </c>
    </row>
    <row r="21" spans="1:7" ht="16.8" x14ac:dyDescent="0.3">
      <c r="A21" s="70" t="str">
        <f>'BASE MAESTRA'!B27</f>
        <v>22</v>
      </c>
      <c r="B21" s="5" t="str">
        <f t="shared" si="0"/>
        <v>1.6, 1.9</v>
      </c>
      <c r="F21" s="5" t="str">
        <f t="shared" si="1"/>
        <v>Suitable</v>
      </c>
      <c r="G21" s="5" t="str">
        <f t="shared" si="1"/>
        <v>22</v>
      </c>
    </row>
    <row r="22" spans="1:7" ht="16.8" x14ac:dyDescent="0.3">
      <c r="A22" s="70" t="str">
        <f>'BASE MAESTRA'!B28</f>
        <v>23</v>
      </c>
      <c r="B22" s="5" t="str">
        <f t="shared" si="0"/>
        <v>1.6, 1.9</v>
      </c>
      <c r="F22" s="5" t="str">
        <f t="shared" ref="F22:G41" si="2">VLOOKUP($A22,DatosEspecies,F$2,FALSE)</f>
        <v>Suitable</v>
      </c>
      <c r="G22" s="5" t="str">
        <f t="shared" si="2"/>
        <v>23</v>
      </c>
    </row>
    <row r="23" spans="1:7" ht="16.8" x14ac:dyDescent="0.3">
      <c r="A23" s="70" t="str">
        <f>'BASE MAESTRA'!B29</f>
        <v>24</v>
      </c>
      <c r="B23" s="5">
        <f t="shared" si="0"/>
        <v>0</v>
      </c>
      <c r="F23" s="5">
        <f t="shared" si="2"/>
        <v>0</v>
      </c>
      <c r="G23" s="5" t="str">
        <f t="shared" si="2"/>
        <v>24</v>
      </c>
    </row>
    <row r="24" spans="1:7" ht="16.8" x14ac:dyDescent="0.3">
      <c r="A24" s="70" t="str">
        <f>'BASE MAESTRA'!B30</f>
        <v>25</v>
      </c>
      <c r="B24" s="5">
        <f t="shared" si="0"/>
        <v>0</v>
      </c>
      <c r="F24" s="5">
        <f t="shared" si="2"/>
        <v>0</v>
      </c>
      <c r="G24" s="5" t="str">
        <f t="shared" si="2"/>
        <v>25</v>
      </c>
    </row>
    <row r="25" spans="1:7" ht="16.8" x14ac:dyDescent="0.3">
      <c r="A25" s="70" t="str">
        <f>'BASE MAESTRA'!B31</f>
        <v>26</v>
      </c>
      <c r="B25" s="5">
        <f t="shared" si="0"/>
        <v>0</v>
      </c>
      <c r="F25" s="5">
        <f t="shared" si="2"/>
        <v>0</v>
      </c>
      <c r="G25" s="5" t="str">
        <f t="shared" si="2"/>
        <v>26</v>
      </c>
    </row>
    <row r="26" spans="1:7" ht="16.8" x14ac:dyDescent="0.3">
      <c r="A26" s="70" t="str">
        <f>'BASE MAESTRA'!B32</f>
        <v>27</v>
      </c>
      <c r="B26" s="5">
        <f t="shared" si="0"/>
        <v>0</v>
      </c>
      <c r="F26" s="5">
        <f t="shared" si="2"/>
        <v>0</v>
      </c>
      <c r="G26" s="5" t="str">
        <f t="shared" si="2"/>
        <v>27</v>
      </c>
    </row>
    <row r="27" spans="1:7" ht="16.8" x14ac:dyDescent="0.3">
      <c r="A27" s="70" t="str">
        <f>'BASE MAESTRA'!B33</f>
        <v>28</v>
      </c>
      <c r="B27" s="5">
        <f t="shared" si="0"/>
        <v>0</v>
      </c>
      <c r="F27" s="5">
        <f t="shared" si="2"/>
        <v>0</v>
      </c>
      <c r="G27" s="5" t="str">
        <f t="shared" si="2"/>
        <v>28</v>
      </c>
    </row>
    <row r="28" spans="1:7" ht="16.8" x14ac:dyDescent="0.3">
      <c r="A28" s="70" t="str">
        <f>'BASE MAESTRA'!B34</f>
        <v>29</v>
      </c>
      <c r="B28" s="5">
        <f t="shared" si="0"/>
        <v>0</v>
      </c>
      <c r="F28" s="5">
        <f t="shared" si="2"/>
        <v>0</v>
      </c>
      <c r="G28" s="5" t="str">
        <f t="shared" si="2"/>
        <v>29</v>
      </c>
    </row>
    <row r="29" spans="1:7" ht="16.8" x14ac:dyDescent="0.3">
      <c r="A29" s="70" t="str">
        <f>'BASE MAESTRA'!B35</f>
        <v>30</v>
      </c>
      <c r="B29" s="5">
        <f t="shared" si="0"/>
        <v>0</v>
      </c>
      <c r="F29" s="5">
        <f t="shared" si="2"/>
        <v>0</v>
      </c>
      <c r="G29" s="5" t="str">
        <f t="shared" si="2"/>
        <v>30</v>
      </c>
    </row>
    <row r="30" spans="1:7" ht="16.8" x14ac:dyDescent="0.3">
      <c r="A30" s="70" t="str">
        <f>'BASE MAESTRA'!B36</f>
        <v>31</v>
      </c>
      <c r="B30" s="5">
        <f t="shared" si="0"/>
        <v>0</v>
      </c>
      <c r="F30" s="5">
        <f t="shared" si="2"/>
        <v>0</v>
      </c>
      <c r="G30" s="5" t="str">
        <f t="shared" si="2"/>
        <v>31</v>
      </c>
    </row>
    <row r="31" spans="1:7" ht="16.8" x14ac:dyDescent="0.3">
      <c r="A31" s="70" t="str">
        <f>'BASE MAESTRA'!B37</f>
        <v>32</v>
      </c>
      <c r="B31" s="5">
        <f t="shared" si="0"/>
        <v>0</v>
      </c>
      <c r="F31" s="5">
        <f t="shared" si="2"/>
        <v>0</v>
      </c>
      <c r="G31" s="5" t="str">
        <f t="shared" si="2"/>
        <v>32</v>
      </c>
    </row>
    <row r="32" spans="1:7" ht="16.8" x14ac:dyDescent="0.3">
      <c r="A32" s="70" t="str">
        <f>'BASE MAESTRA'!B38</f>
        <v>33</v>
      </c>
      <c r="B32" s="5">
        <f t="shared" si="0"/>
        <v>0</v>
      </c>
      <c r="F32" s="5">
        <f t="shared" si="2"/>
        <v>0</v>
      </c>
      <c r="G32" s="5" t="str">
        <f t="shared" si="2"/>
        <v>33</v>
      </c>
    </row>
    <row r="33" spans="1:7" ht="16.8" x14ac:dyDescent="0.3">
      <c r="A33" s="70" t="str">
        <f>'BASE MAESTRA'!B39</f>
        <v>34</v>
      </c>
      <c r="B33" s="5">
        <f t="shared" si="0"/>
        <v>0</v>
      </c>
      <c r="F33" s="5">
        <f t="shared" si="2"/>
        <v>0</v>
      </c>
      <c r="G33" s="5" t="str">
        <f t="shared" si="2"/>
        <v>34</v>
      </c>
    </row>
    <row r="34" spans="1:7" ht="16.8" x14ac:dyDescent="0.3">
      <c r="A34" s="70" t="str">
        <f>'BASE MAESTRA'!B40</f>
        <v>35</v>
      </c>
      <c r="B34" s="5">
        <f t="shared" si="0"/>
        <v>0</v>
      </c>
      <c r="F34" s="5">
        <f t="shared" si="2"/>
        <v>0</v>
      </c>
      <c r="G34" s="5" t="str">
        <f t="shared" si="2"/>
        <v>35</v>
      </c>
    </row>
    <row r="35" spans="1:7" ht="16.8" x14ac:dyDescent="0.3">
      <c r="A35" s="70" t="str">
        <f>'BASE MAESTRA'!B41</f>
        <v>36</v>
      </c>
      <c r="B35" s="5">
        <f t="shared" si="0"/>
        <v>0</v>
      </c>
      <c r="F35" s="5">
        <f t="shared" si="2"/>
        <v>0</v>
      </c>
      <c r="G35" s="5" t="str">
        <f t="shared" si="2"/>
        <v>36</v>
      </c>
    </row>
    <row r="36" spans="1:7" ht="16.8" x14ac:dyDescent="0.3">
      <c r="A36" s="70" t="str">
        <f>'BASE MAESTRA'!B42</f>
        <v>37</v>
      </c>
      <c r="B36" s="5">
        <f t="shared" si="0"/>
        <v>0</v>
      </c>
      <c r="F36" s="5">
        <f t="shared" si="2"/>
        <v>0</v>
      </c>
      <c r="G36" s="5" t="str">
        <f t="shared" si="2"/>
        <v>37</v>
      </c>
    </row>
    <row r="37" spans="1:7" ht="16.8" x14ac:dyDescent="0.3">
      <c r="A37" s="70" t="str">
        <f>'BASE MAESTRA'!B43</f>
        <v>38</v>
      </c>
      <c r="B37" s="5">
        <f t="shared" si="0"/>
        <v>0</v>
      </c>
      <c r="F37" s="5">
        <f t="shared" si="2"/>
        <v>0</v>
      </c>
      <c r="G37" s="5" t="str">
        <f t="shared" si="2"/>
        <v>38</v>
      </c>
    </row>
    <row r="38" spans="1:7" ht="16.8" x14ac:dyDescent="0.3">
      <c r="A38" s="70" t="str">
        <f>'BASE MAESTRA'!B44</f>
        <v>39</v>
      </c>
      <c r="B38" s="5">
        <f t="shared" si="0"/>
        <v>0</v>
      </c>
      <c r="F38" s="5">
        <f t="shared" si="2"/>
        <v>0</v>
      </c>
      <c r="G38" s="5" t="str">
        <f t="shared" si="2"/>
        <v>39</v>
      </c>
    </row>
    <row r="39" spans="1:7" ht="16.8" x14ac:dyDescent="0.3">
      <c r="A39" s="70">
        <f>'BASE MAESTRA'!B45</f>
        <v>37</v>
      </c>
      <c r="B39" s="5">
        <f t="shared" si="0"/>
        <v>0</v>
      </c>
      <c r="F39" s="5">
        <f t="shared" si="2"/>
        <v>0</v>
      </c>
      <c r="G39" s="5">
        <f t="shared" si="2"/>
        <v>37</v>
      </c>
    </row>
    <row r="40" spans="1:7" ht="16.8" x14ac:dyDescent="0.3">
      <c r="A40" s="70">
        <f>'BASE MAESTRA'!B46</f>
        <v>38</v>
      </c>
      <c r="B40" s="5">
        <f t="shared" si="0"/>
        <v>0</v>
      </c>
      <c r="F40" s="5">
        <f t="shared" si="2"/>
        <v>0</v>
      </c>
      <c r="G40" s="5">
        <f t="shared" si="2"/>
        <v>38</v>
      </c>
    </row>
    <row r="41" spans="1:7" ht="16.8" x14ac:dyDescent="0.3">
      <c r="A41" s="70">
        <f>'BASE MAESTRA'!B47</f>
        <v>39</v>
      </c>
      <c r="B41" s="5">
        <f t="shared" si="0"/>
        <v>0</v>
      </c>
      <c r="F41" s="5">
        <f t="shared" si="2"/>
        <v>0</v>
      </c>
      <c r="G41" s="5">
        <f t="shared" si="2"/>
        <v>39</v>
      </c>
    </row>
    <row r="42" spans="1:7" ht="16.8" x14ac:dyDescent="0.3">
      <c r="A42" s="70">
        <f>'BASE MAESTRA'!B48</f>
        <v>40</v>
      </c>
      <c r="B42" s="5">
        <f t="shared" si="0"/>
        <v>0</v>
      </c>
      <c r="F42" s="5">
        <f t="shared" ref="F42:G61" si="3">VLOOKUP($A42,DatosEspecies,F$2,FALSE)</f>
        <v>0</v>
      </c>
      <c r="G42" s="5">
        <f t="shared" si="3"/>
        <v>40</v>
      </c>
    </row>
    <row r="43" spans="1:7" ht="16.8" x14ac:dyDescent="0.3">
      <c r="A43" s="70">
        <f>'BASE MAESTRA'!B49</f>
        <v>41</v>
      </c>
      <c r="B43" s="5">
        <f t="shared" si="0"/>
        <v>0</v>
      </c>
      <c r="F43" s="5">
        <f t="shared" si="3"/>
        <v>0</v>
      </c>
      <c r="G43" s="5">
        <f t="shared" si="3"/>
        <v>41</v>
      </c>
    </row>
    <row r="44" spans="1:7" ht="16.8" x14ac:dyDescent="0.3">
      <c r="A44" s="70">
        <f>'BASE MAESTRA'!B50</f>
        <v>42</v>
      </c>
      <c r="B44" s="5">
        <f t="shared" si="0"/>
        <v>0</v>
      </c>
      <c r="F44" s="5">
        <f t="shared" si="3"/>
        <v>0</v>
      </c>
      <c r="G44" s="5">
        <f t="shared" si="3"/>
        <v>42</v>
      </c>
    </row>
    <row r="45" spans="1:7" ht="16.8" x14ac:dyDescent="0.3">
      <c r="A45" s="70">
        <f>'BASE MAESTRA'!B51</f>
        <v>43</v>
      </c>
      <c r="B45" s="5">
        <f t="shared" si="0"/>
        <v>0</v>
      </c>
      <c r="F45" s="5">
        <f t="shared" si="3"/>
        <v>0</v>
      </c>
      <c r="G45" s="5">
        <f t="shared" si="3"/>
        <v>43</v>
      </c>
    </row>
    <row r="46" spans="1:7" ht="16.8" x14ac:dyDescent="0.3">
      <c r="A46" s="70">
        <f>'BASE MAESTRA'!B52</f>
        <v>44</v>
      </c>
      <c r="B46" s="5">
        <f t="shared" si="0"/>
        <v>0</v>
      </c>
      <c r="F46" s="5">
        <f t="shared" si="3"/>
        <v>0</v>
      </c>
      <c r="G46" s="5">
        <f t="shared" si="3"/>
        <v>44</v>
      </c>
    </row>
    <row r="47" spans="1:7" ht="16.8" x14ac:dyDescent="0.3">
      <c r="A47" s="70">
        <f>'BASE MAESTRA'!B53</f>
        <v>45</v>
      </c>
      <c r="B47" s="5">
        <f t="shared" si="0"/>
        <v>0</v>
      </c>
      <c r="F47" s="5">
        <f t="shared" si="3"/>
        <v>0</v>
      </c>
      <c r="G47" s="5">
        <f t="shared" si="3"/>
        <v>45</v>
      </c>
    </row>
    <row r="48" spans="1:7" ht="16.8" x14ac:dyDescent="0.3">
      <c r="A48" s="70">
        <f>'BASE MAESTRA'!B54</f>
        <v>46</v>
      </c>
      <c r="B48" s="5">
        <f t="shared" si="0"/>
        <v>0</v>
      </c>
      <c r="F48" s="5">
        <f t="shared" si="3"/>
        <v>0</v>
      </c>
      <c r="G48" s="5">
        <f t="shared" si="3"/>
        <v>46</v>
      </c>
    </row>
    <row r="49" spans="1:7" ht="16.8" x14ac:dyDescent="0.3">
      <c r="A49" s="70">
        <f>'BASE MAESTRA'!B55</f>
        <v>47</v>
      </c>
      <c r="B49" s="5">
        <f t="shared" si="0"/>
        <v>0</v>
      </c>
      <c r="F49" s="5">
        <f t="shared" si="3"/>
        <v>0</v>
      </c>
      <c r="G49" s="5">
        <f t="shared" si="3"/>
        <v>47</v>
      </c>
    </row>
    <row r="50" spans="1:7" ht="16.8" x14ac:dyDescent="0.3">
      <c r="A50" s="70">
        <f>'BASE MAESTRA'!B56</f>
        <v>48</v>
      </c>
      <c r="B50" s="5">
        <f t="shared" si="0"/>
        <v>0</v>
      </c>
      <c r="F50" s="5">
        <f t="shared" si="3"/>
        <v>0</v>
      </c>
      <c r="G50" s="5">
        <f t="shared" si="3"/>
        <v>48</v>
      </c>
    </row>
    <row r="51" spans="1:7" ht="16.8" x14ac:dyDescent="0.3">
      <c r="A51" s="70">
        <f>'BASE MAESTRA'!B57</f>
        <v>49</v>
      </c>
      <c r="B51" s="5">
        <f t="shared" si="0"/>
        <v>0</v>
      </c>
      <c r="F51" s="5">
        <f t="shared" si="3"/>
        <v>0</v>
      </c>
      <c r="G51" s="5">
        <f t="shared" si="3"/>
        <v>49</v>
      </c>
    </row>
    <row r="52" spans="1:7" ht="16.8" x14ac:dyDescent="0.3">
      <c r="A52" s="70">
        <f>'BASE MAESTRA'!B58</f>
        <v>50</v>
      </c>
      <c r="B52" s="5">
        <f t="shared" si="0"/>
        <v>0</v>
      </c>
      <c r="F52" s="5">
        <f t="shared" si="3"/>
        <v>0</v>
      </c>
      <c r="G52" s="5">
        <f t="shared" si="3"/>
        <v>50</v>
      </c>
    </row>
    <row r="53" spans="1:7" ht="16.8" x14ac:dyDescent="0.3">
      <c r="A53" s="70">
        <f>'BASE MAESTRA'!B59</f>
        <v>51</v>
      </c>
      <c r="B53" s="5">
        <f t="shared" si="0"/>
        <v>0</v>
      </c>
      <c r="F53" s="5">
        <f t="shared" si="3"/>
        <v>0</v>
      </c>
      <c r="G53" s="5">
        <f t="shared" si="3"/>
        <v>51</v>
      </c>
    </row>
    <row r="54" spans="1:7" ht="16.8" x14ac:dyDescent="0.3">
      <c r="A54" s="70">
        <f>'BASE MAESTRA'!B60</f>
        <v>52</v>
      </c>
      <c r="B54" s="5">
        <f t="shared" si="0"/>
        <v>0</v>
      </c>
      <c r="F54" s="5">
        <f t="shared" si="3"/>
        <v>0</v>
      </c>
      <c r="G54" s="5">
        <f t="shared" si="3"/>
        <v>52</v>
      </c>
    </row>
    <row r="55" spans="1:7" ht="16.8" x14ac:dyDescent="0.3">
      <c r="A55" s="70">
        <f>'BASE MAESTRA'!B61</f>
        <v>53</v>
      </c>
      <c r="B55" s="5">
        <f t="shared" si="0"/>
        <v>0</v>
      </c>
      <c r="F55" s="5">
        <f t="shared" si="3"/>
        <v>0</v>
      </c>
      <c r="G55" s="5">
        <f t="shared" si="3"/>
        <v>53</v>
      </c>
    </row>
    <row r="56" spans="1:7" ht="16.8" x14ac:dyDescent="0.3">
      <c r="A56" s="70">
        <f>'BASE MAESTRA'!B62</f>
        <v>54</v>
      </c>
      <c r="B56" s="5">
        <f t="shared" si="0"/>
        <v>0</v>
      </c>
      <c r="F56" s="5">
        <f t="shared" si="3"/>
        <v>0</v>
      </c>
      <c r="G56" s="5">
        <f t="shared" si="3"/>
        <v>54</v>
      </c>
    </row>
    <row r="57" spans="1:7" ht="16.8" x14ac:dyDescent="0.3">
      <c r="A57" s="70">
        <f>'BASE MAESTRA'!B63</f>
        <v>55</v>
      </c>
      <c r="B57" s="5">
        <f t="shared" si="0"/>
        <v>0</v>
      </c>
      <c r="F57" s="5">
        <f t="shared" si="3"/>
        <v>0</v>
      </c>
      <c r="G57" s="5">
        <f t="shared" si="3"/>
        <v>55</v>
      </c>
    </row>
    <row r="58" spans="1:7" ht="16.8" x14ac:dyDescent="0.3">
      <c r="A58" s="70">
        <f>'BASE MAESTRA'!B64</f>
        <v>56</v>
      </c>
      <c r="B58" s="5">
        <f t="shared" si="0"/>
        <v>0</v>
      </c>
      <c r="F58" s="5">
        <f t="shared" si="3"/>
        <v>0</v>
      </c>
      <c r="G58" s="5">
        <f t="shared" si="3"/>
        <v>56</v>
      </c>
    </row>
    <row r="59" spans="1:7" ht="16.8" x14ac:dyDescent="0.3">
      <c r="A59" s="70">
        <f>'BASE MAESTRA'!B65</f>
        <v>57</v>
      </c>
      <c r="B59" s="5">
        <f t="shared" si="0"/>
        <v>0</v>
      </c>
      <c r="F59" s="5">
        <f t="shared" si="3"/>
        <v>0</v>
      </c>
      <c r="G59" s="5">
        <f t="shared" si="3"/>
        <v>57</v>
      </c>
    </row>
    <row r="60" spans="1:7" ht="16.8" x14ac:dyDescent="0.3">
      <c r="A60" s="70">
        <f>'BASE MAESTRA'!B66</f>
        <v>58</v>
      </c>
      <c r="B60" s="5">
        <f t="shared" si="0"/>
        <v>0</v>
      </c>
      <c r="F60" s="5">
        <f t="shared" si="3"/>
        <v>0</v>
      </c>
      <c r="G60" s="5">
        <f t="shared" si="3"/>
        <v>58</v>
      </c>
    </row>
    <row r="61" spans="1:7" ht="16.8" x14ac:dyDescent="0.3">
      <c r="A61" s="70">
        <f>'BASE MAESTRA'!B67</f>
        <v>59</v>
      </c>
      <c r="B61" s="5">
        <f t="shared" si="0"/>
        <v>0</v>
      </c>
      <c r="F61" s="5">
        <f t="shared" si="3"/>
        <v>0</v>
      </c>
      <c r="G61" s="5">
        <f t="shared" si="3"/>
        <v>59</v>
      </c>
    </row>
    <row r="62" spans="1:7" ht="16.8" x14ac:dyDescent="0.3">
      <c r="A62" s="70">
        <f>'BASE MAESTRA'!B68</f>
        <v>60</v>
      </c>
      <c r="B62" s="5">
        <f t="shared" si="0"/>
        <v>0</v>
      </c>
      <c r="F62" s="5">
        <f t="shared" ref="F62:G77" si="4">VLOOKUP($A62,DatosEspecies,F$2,FALSE)</f>
        <v>0</v>
      </c>
      <c r="G62" s="5">
        <f t="shared" si="4"/>
        <v>60</v>
      </c>
    </row>
    <row r="63" spans="1:7" ht="16.8" x14ac:dyDescent="0.3">
      <c r="A63" s="70">
        <f>'BASE MAESTRA'!B69</f>
        <v>61</v>
      </c>
      <c r="B63" s="5">
        <f t="shared" si="0"/>
        <v>0</v>
      </c>
      <c r="F63" s="5">
        <f t="shared" si="4"/>
        <v>0</v>
      </c>
      <c r="G63" s="5">
        <f t="shared" si="4"/>
        <v>61</v>
      </c>
    </row>
    <row r="64" spans="1:7" ht="16.8" x14ac:dyDescent="0.3">
      <c r="A64" s="70">
        <f>'BASE MAESTRA'!B70</f>
        <v>62</v>
      </c>
      <c r="B64" s="5">
        <f t="shared" si="0"/>
        <v>0</v>
      </c>
      <c r="F64" s="5">
        <f t="shared" si="4"/>
        <v>0</v>
      </c>
      <c r="G64" s="5">
        <f t="shared" si="4"/>
        <v>62</v>
      </c>
    </row>
    <row r="65" spans="1:7" ht="16.8" x14ac:dyDescent="0.3">
      <c r="A65" s="70">
        <f>'BASE MAESTRA'!B71</f>
        <v>63</v>
      </c>
      <c r="B65" s="5">
        <f t="shared" si="0"/>
        <v>0</v>
      </c>
      <c r="F65" s="5">
        <f t="shared" si="4"/>
        <v>0</v>
      </c>
      <c r="G65" s="5">
        <f t="shared" si="4"/>
        <v>63</v>
      </c>
    </row>
    <row r="66" spans="1:7" ht="16.8" x14ac:dyDescent="0.3">
      <c r="A66" s="70">
        <f>'BASE MAESTRA'!B72</f>
        <v>64</v>
      </c>
      <c r="B66" s="5">
        <f t="shared" si="0"/>
        <v>0</v>
      </c>
      <c r="F66" s="5">
        <f t="shared" si="4"/>
        <v>0</v>
      </c>
      <c r="G66" s="5">
        <f t="shared" si="4"/>
        <v>64</v>
      </c>
    </row>
    <row r="67" spans="1:7" ht="16.8" x14ac:dyDescent="0.3">
      <c r="A67" s="70">
        <f>'BASE MAESTRA'!B73</f>
        <v>65</v>
      </c>
      <c r="B67" s="5">
        <f t="shared" ref="B67:B130" si="5">VLOOKUP($A67,DatosEspecies,B$2,FALSE)</f>
        <v>0</v>
      </c>
      <c r="F67" s="5">
        <f t="shared" si="4"/>
        <v>0</v>
      </c>
      <c r="G67" s="5">
        <f t="shared" si="4"/>
        <v>65</v>
      </c>
    </row>
    <row r="68" spans="1:7" ht="16.8" x14ac:dyDescent="0.3">
      <c r="A68" s="70">
        <f>'BASE MAESTRA'!B74</f>
        <v>66</v>
      </c>
      <c r="B68" s="5">
        <f t="shared" si="5"/>
        <v>0</v>
      </c>
      <c r="F68" s="5">
        <f t="shared" si="4"/>
        <v>0</v>
      </c>
      <c r="G68" s="5">
        <f t="shared" si="4"/>
        <v>66</v>
      </c>
    </row>
    <row r="69" spans="1:7" ht="16.8" x14ac:dyDescent="0.3">
      <c r="A69" s="70">
        <f>'BASE MAESTRA'!B75</f>
        <v>67</v>
      </c>
      <c r="B69" s="5">
        <f t="shared" si="5"/>
        <v>0</v>
      </c>
      <c r="F69" s="5">
        <f t="shared" si="4"/>
        <v>0</v>
      </c>
      <c r="G69" s="5">
        <f t="shared" si="4"/>
        <v>67</v>
      </c>
    </row>
    <row r="70" spans="1:7" ht="16.8" x14ac:dyDescent="0.3">
      <c r="A70" s="70">
        <f>'BASE MAESTRA'!B76</f>
        <v>68</v>
      </c>
      <c r="B70" s="5">
        <f t="shared" si="5"/>
        <v>0</v>
      </c>
      <c r="F70" s="5">
        <f t="shared" si="4"/>
        <v>0</v>
      </c>
      <c r="G70" s="5">
        <f t="shared" si="4"/>
        <v>68</v>
      </c>
    </row>
    <row r="71" spans="1:7" ht="16.8" x14ac:dyDescent="0.3">
      <c r="A71" s="70">
        <f>'BASE MAESTRA'!B77</f>
        <v>69</v>
      </c>
      <c r="B71" s="5">
        <f t="shared" si="5"/>
        <v>0</v>
      </c>
      <c r="F71" s="5">
        <f t="shared" si="4"/>
        <v>0</v>
      </c>
      <c r="G71" s="5">
        <f t="shared" si="4"/>
        <v>69</v>
      </c>
    </row>
    <row r="72" spans="1:7" ht="16.8" x14ac:dyDescent="0.3">
      <c r="A72" s="70">
        <f>'BASE MAESTRA'!B78</f>
        <v>70</v>
      </c>
      <c r="B72" s="5">
        <f t="shared" si="5"/>
        <v>0</v>
      </c>
      <c r="F72" s="5">
        <f t="shared" si="4"/>
        <v>0</v>
      </c>
      <c r="G72" s="5">
        <f t="shared" si="4"/>
        <v>70</v>
      </c>
    </row>
    <row r="73" spans="1:7" ht="16.8" x14ac:dyDescent="0.3">
      <c r="A73" s="70">
        <f>'BASE MAESTRA'!B79</f>
        <v>71</v>
      </c>
      <c r="B73" s="5">
        <f t="shared" si="5"/>
        <v>0</v>
      </c>
      <c r="F73" s="5">
        <f t="shared" si="4"/>
        <v>0</v>
      </c>
      <c r="G73" s="5">
        <f t="shared" si="4"/>
        <v>71</v>
      </c>
    </row>
    <row r="74" spans="1:7" ht="16.8" x14ac:dyDescent="0.3">
      <c r="A74" s="70">
        <f>'BASE MAESTRA'!B80</f>
        <v>72</v>
      </c>
      <c r="B74" s="5">
        <f t="shared" si="5"/>
        <v>0</v>
      </c>
      <c r="F74" s="5">
        <f t="shared" si="4"/>
        <v>0</v>
      </c>
      <c r="G74" s="5">
        <f t="shared" si="4"/>
        <v>72</v>
      </c>
    </row>
    <row r="75" spans="1:7" ht="16.8" x14ac:dyDescent="0.3">
      <c r="A75" s="70">
        <f>'BASE MAESTRA'!B81</f>
        <v>73</v>
      </c>
      <c r="B75" s="5">
        <f t="shared" si="5"/>
        <v>0</v>
      </c>
      <c r="F75" s="5">
        <f t="shared" si="4"/>
        <v>0</v>
      </c>
      <c r="G75" s="5">
        <f t="shared" si="4"/>
        <v>73</v>
      </c>
    </row>
    <row r="76" spans="1:7" ht="16.8" x14ac:dyDescent="0.3">
      <c r="A76" s="70">
        <f>'BASE MAESTRA'!B82</f>
        <v>74</v>
      </c>
      <c r="B76" s="5">
        <f t="shared" si="5"/>
        <v>0</v>
      </c>
      <c r="F76" s="5">
        <f t="shared" si="4"/>
        <v>0</v>
      </c>
      <c r="G76" s="5">
        <f t="shared" si="4"/>
        <v>74</v>
      </c>
    </row>
    <row r="77" spans="1:7" ht="16.8" x14ac:dyDescent="0.3">
      <c r="A77" s="70">
        <f>'BASE MAESTRA'!B83</f>
        <v>75</v>
      </c>
      <c r="B77" s="5">
        <f t="shared" si="5"/>
        <v>0</v>
      </c>
      <c r="F77" s="5">
        <f t="shared" si="4"/>
        <v>0</v>
      </c>
      <c r="G77" s="5">
        <f t="shared" si="4"/>
        <v>75</v>
      </c>
    </row>
    <row r="78" spans="1:7" ht="16.8" x14ac:dyDescent="0.3">
      <c r="A78" s="70">
        <f>'BASE MAESTRA'!B84</f>
        <v>76</v>
      </c>
      <c r="B78" s="5">
        <f t="shared" si="5"/>
        <v>0</v>
      </c>
      <c r="F78" s="5">
        <f t="shared" ref="F78:G141" si="6">VLOOKUP($A78,DatosEspecies,F$2,FALSE)</f>
        <v>0</v>
      </c>
      <c r="G78" s="5">
        <f t="shared" si="6"/>
        <v>76</v>
      </c>
    </row>
    <row r="79" spans="1:7" ht="16.8" x14ac:dyDescent="0.3">
      <c r="A79" s="70">
        <f>'BASE MAESTRA'!B85</f>
        <v>77</v>
      </c>
      <c r="B79" s="5">
        <f t="shared" si="5"/>
        <v>0</v>
      </c>
      <c r="F79" s="5">
        <f t="shared" si="6"/>
        <v>0</v>
      </c>
      <c r="G79" s="5">
        <f t="shared" si="6"/>
        <v>77</v>
      </c>
    </row>
    <row r="80" spans="1:7" ht="16.8" x14ac:dyDescent="0.3">
      <c r="A80" s="70">
        <f>'BASE MAESTRA'!B86</f>
        <v>78</v>
      </c>
      <c r="B80" s="5">
        <f t="shared" si="5"/>
        <v>0</v>
      </c>
      <c r="F80" s="5">
        <f t="shared" si="6"/>
        <v>0</v>
      </c>
      <c r="G80" s="5">
        <f t="shared" si="6"/>
        <v>78</v>
      </c>
    </row>
    <row r="81" spans="1:7" ht="16.8" x14ac:dyDescent="0.3">
      <c r="A81" s="70">
        <f>'BASE MAESTRA'!B87</f>
        <v>79</v>
      </c>
      <c r="B81" s="5">
        <f t="shared" si="5"/>
        <v>0</v>
      </c>
      <c r="F81" s="5">
        <f t="shared" si="6"/>
        <v>0</v>
      </c>
      <c r="G81" s="5">
        <f t="shared" si="6"/>
        <v>79</v>
      </c>
    </row>
    <row r="82" spans="1:7" ht="16.8" x14ac:dyDescent="0.3">
      <c r="A82" s="70">
        <f>'BASE MAESTRA'!B88</f>
        <v>80</v>
      </c>
      <c r="B82" s="5">
        <f t="shared" si="5"/>
        <v>0</v>
      </c>
      <c r="F82" s="5">
        <f t="shared" si="6"/>
        <v>0</v>
      </c>
      <c r="G82" s="5">
        <f t="shared" si="6"/>
        <v>80</v>
      </c>
    </row>
    <row r="83" spans="1:7" ht="16.8" x14ac:dyDescent="0.3">
      <c r="A83" s="70">
        <f>'BASE MAESTRA'!B89</f>
        <v>81</v>
      </c>
      <c r="B83" s="5">
        <f t="shared" si="5"/>
        <v>0</v>
      </c>
      <c r="F83" s="5">
        <f t="shared" si="6"/>
        <v>0</v>
      </c>
      <c r="G83" s="5">
        <f t="shared" si="6"/>
        <v>81</v>
      </c>
    </row>
    <row r="84" spans="1:7" ht="16.8" x14ac:dyDescent="0.3">
      <c r="A84" s="70">
        <f>'BASE MAESTRA'!B90</f>
        <v>82</v>
      </c>
      <c r="B84" s="5">
        <f t="shared" si="5"/>
        <v>0</v>
      </c>
      <c r="F84" s="5">
        <f t="shared" si="6"/>
        <v>0</v>
      </c>
      <c r="G84" s="5">
        <f t="shared" si="6"/>
        <v>82</v>
      </c>
    </row>
    <row r="85" spans="1:7" ht="16.8" x14ac:dyDescent="0.3">
      <c r="A85" s="70">
        <f>'BASE MAESTRA'!B91</f>
        <v>83</v>
      </c>
      <c r="B85" s="5">
        <f t="shared" si="5"/>
        <v>0</v>
      </c>
      <c r="F85" s="5">
        <f t="shared" si="6"/>
        <v>0</v>
      </c>
      <c r="G85" s="5">
        <f t="shared" si="6"/>
        <v>83</v>
      </c>
    </row>
    <row r="86" spans="1:7" ht="16.8" x14ac:dyDescent="0.3">
      <c r="A86" s="70">
        <f>'BASE MAESTRA'!B92</f>
        <v>84</v>
      </c>
      <c r="B86" s="5">
        <f t="shared" si="5"/>
        <v>0</v>
      </c>
      <c r="F86" s="5">
        <f t="shared" si="6"/>
        <v>0</v>
      </c>
      <c r="G86" s="5">
        <f t="shared" si="6"/>
        <v>84</v>
      </c>
    </row>
    <row r="87" spans="1:7" ht="16.8" x14ac:dyDescent="0.3">
      <c r="A87" s="70">
        <f>'BASE MAESTRA'!B93</f>
        <v>85</v>
      </c>
      <c r="B87" s="5">
        <f t="shared" si="5"/>
        <v>0</v>
      </c>
      <c r="F87" s="5">
        <f t="shared" si="6"/>
        <v>0</v>
      </c>
      <c r="G87" s="5">
        <f t="shared" si="6"/>
        <v>85</v>
      </c>
    </row>
    <row r="88" spans="1:7" ht="16.8" x14ac:dyDescent="0.3">
      <c r="A88" s="70">
        <f>'BASE MAESTRA'!B94</f>
        <v>86</v>
      </c>
      <c r="B88" s="5">
        <f t="shared" si="5"/>
        <v>0</v>
      </c>
      <c r="F88" s="5">
        <f t="shared" si="6"/>
        <v>0</v>
      </c>
      <c r="G88" s="5">
        <f t="shared" si="6"/>
        <v>86</v>
      </c>
    </row>
    <row r="89" spans="1:7" ht="16.8" x14ac:dyDescent="0.3">
      <c r="A89" s="70">
        <f>'BASE MAESTRA'!B95</f>
        <v>87</v>
      </c>
      <c r="B89" s="5">
        <f t="shared" si="5"/>
        <v>0</v>
      </c>
      <c r="F89" s="5">
        <f t="shared" si="6"/>
        <v>0</v>
      </c>
      <c r="G89" s="5">
        <f t="shared" si="6"/>
        <v>87</v>
      </c>
    </row>
    <row r="90" spans="1:7" ht="16.8" x14ac:dyDescent="0.3">
      <c r="A90" s="70">
        <f>'BASE MAESTRA'!B96</f>
        <v>88</v>
      </c>
      <c r="B90" s="5">
        <f t="shared" si="5"/>
        <v>0</v>
      </c>
      <c r="F90" s="5">
        <f t="shared" si="6"/>
        <v>0</v>
      </c>
      <c r="G90" s="5">
        <f t="shared" si="6"/>
        <v>88</v>
      </c>
    </row>
    <row r="91" spans="1:7" ht="16.8" x14ac:dyDescent="0.3">
      <c r="A91" s="70">
        <f>'BASE MAESTRA'!B97</f>
        <v>89</v>
      </c>
      <c r="B91" s="5">
        <f t="shared" si="5"/>
        <v>0</v>
      </c>
      <c r="F91" s="5">
        <f t="shared" si="6"/>
        <v>0</v>
      </c>
      <c r="G91" s="5">
        <f t="shared" si="6"/>
        <v>89</v>
      </c>
    </row>
    <row r="92" spans="1:7" ht="16.8" x14ac:dyDescent="0.3">
      <c r="A92" s="70">
        <f>'BASE MAESTRA'!B98</f>
        <v>90</v>
      </c>
      <c r="B92" s="5">
        <f t="shared" si="5"/>
        <v>0</v>
      </c>
      <c r="F92" s="5">
        <f t="shared" si="6"/>
        <v>0</v>
      </c>
      <c r="G92" s="5">
        <f t="shared" si="6"/>
        <v>90</v>
      </c>
    </row>
    <row r="93" spans="1:7" ht="16.8" x14ac:dyDescent="0.3">
      <c r="A93" s="70">
        <f>'BASE MAESTRA'!B99</f>
        <v>91</v>
      </c>
      <c r="B93" s="5">
        <f t="shared" si="5"/>
        <v>0</v>
      </c>
      <c r="F93" s="5">
        <f t="shared" si="6"/>
        <v>0</v>
      </c>
      <c r="G93" s="5">
        <f t="shared" si="6"/>
        <v>91</v>
      </c>
    </row>
    <row r="94" spans="1:7" ht="16.8" x14ac:dyDescent="0.3">
      <c r="A94" s="70">
        <f>'BASE MAESTRA'!B100</f>
        <v>92</v>
      </c>
      <c r="B94" s="5">
        <f t="shared" si="5"/>
        <v>0</v>
      </c>
      <c r="F94" s="5">
        <f t="shared" si="6"/>
        <v>0</v>
      </c>
      <c r="G94" s="5">
        <f t="shared" si="6"/>
        <v>92</v>
      </c>
    </row>
    <row r="95" spans="1:7" ht="16.8" x14ac:dyDescent="0.3">
      <c r="A95" s="70">
        <f>'BASE MAESTRA'!B101</f>
        <v>93</v>
      </c>
      <c r="B95" s="5">
        <f t="shared" si="5"/>
        <v>0</v>
      </c>
      <c r="F95" s="5">
        <f t="shared" si="6"/>
        <v>0</v>
      </c>
      <c r="G95" s="5">
        <f t="shared" si="6"/>
        <v>93</v>
      </c>
    </row>
    <row r="96" spans="1:7" ht="16.8" x14ac:dyDescent="0.3">
      <c r="A96" s="70">
        <f>'BASE MAESTRA'!B102</f>
        <v>94</v>
      </c>
      <c r="B96" s="5">
        <f t="shared" si="5"/>
        <v>0</v>
      </c>
      <c r="F96" s="5">
        <f t="shared" si="6"/>
        <v>0</v>
      </c>
      <c r="G96" s="5">
        <f t="shared" si="6"/>
        <v>94</v>
      </c>
    </row>
    <row r="97" spans="1:7" ht="16.8" x14ac:dyDescent="0.3">
      <c r="A97" s="70">
        <f>'BASE MAESTRA'!B103</f>
        <v>95</v>
      </c>
      <c r="B97" s="5">
        <f t="shared" si="5"/>
        <v>0</v>
      </c>
      <c r="F97" s="5">
        <f t="shared" si="6"/>
        <v>0</v>
      </c>
      <c r="G97" s="5">
        <f t="shared" si="6"/>
        <v>95</v>
      </c>
    </row>
    <row r="98" spans="1:7" ht="16.8" x14ac:dyDescent="0.3">
      <c r="A98" s="70">
        <f>'BASE MAESTRA'!B104</f>
        <v>96</v>
      </c>
      <c r="B98" s="5">
        <f t="shared" si="5"/>
        <v>0</v>
      </c>
      <c r="F98" s="5">
        <f t="shared" si="6"/>
        <v>0</v>
      </c>
      <c r="G98" s="5">
        <f t="shared" si="6"/>
        <v>96</v>
      </c>
    </row>
    <row r="99" spans="1:7" ht="16.8" x14ac:dyDescent="0.3">
      <c r="A99" s="70">
        <f>'BASE MAESTRA'!B105</f>
        <v>97</v>
      </c>
      <c r="B99" s="5">
        <f t="shared" si="5"/>
        <v>0</v>
      </c>
      <c r="F99" s="5">
        <f t="shared" si="6"/>
        <v>0</v>
      </c>
      <c r="G99" s="5">
        <f t="shared" si="6"/>
        <v>97</v>
      </c>
    </row>
    <row r="100" spans="1:7" ht="16.8" x14ac:dyDescent="0.3">
      <c r="A100" s="70">
        <f>'BASE MAESTRA'!B106</f>
        <v>98</v>
      </c>
      <c r="B100" s="5">
        <f t="shared" si="5"/>
        <v>0</v>
      </c>
      <c r="F100" s="5">
        <f t="shared" si="6"/>
        <v>0</v>
      </c>
      <c r="G100" s="5">
        <f t="shared" si="6"/>
        <v>98</v>
      </c>
    </row>
    <row r="101" spans="1:7" ht="16.8" x14ac:dyDescent="0.3">
      <c r="A101" s="70">
        <f>'BASE MAESTRA'!B107</f>
        <v>99</v>
      </c>
      <c r="B101" s="5">
        <f t="shared" si="5"/>
        <v>0</v>
      </c>
      <c r="F101" s="5">
        <f t="shared" si="6"/>
        <v>0</v>
      </c>
      <c r="G101" s="5">
        <f t="shared" si="6"/>
        <v>99</v>
      </c>
    </row>
    <row r="102" spans="1:7" ht="16.8" x14ac:dyDescent="0.3">
      <c r="A102" s="70">
        <f>'BASE MAESTRA'!B108</f>
        <v>100</v>
      </c>
      <c r="B102" s="5">
        <f t="shared" si="5"/>
        <v>0</v>
      </c>
      <c r="F102" s="5">
        <f t="shared" si="6"/>
        <v>0</v>
      </c>
      <c r="G102" s="5">
        <f t="shared" si="6"/>
        <v>100</v>
      </c>
    </row>
    <row r="103" spans="1:7" ht="16.8" x14ac:dyDescent="0.3">
      <c r="A103" s="70">
        <f>'BASE MAESTRA'!B109</f>
        <v>101</v>
      </c>
      <c r="B103" s="5">
        <f t="shared" si="5"/>
        <v>0</v>
      </c>
      <c r="F103" s="5">
        <f t="shared" si="6"/>
        <v>0</v>
      </c>
      <c r="G103" s="5">
        <f t="shared" si="6"/>
        <v>101</v>
      </c>
    </row>
    <row r="104" spans="1:7" ht="16.8" x14ac:dyDescent="0.3">
      <c r="A104" s="70">
        <f>'BASE MAESTRA'!B110</f>
        <v>102</v>
      </c>
      <c r="B104" s="5">
        <f t="shared" si="5"/>
        <v>0</v>
      </c>
      <c r="F104" s="5">
        <f t="shared" si="6"/>
        <v>0</v>
      </c>
      <c r="G104" s="5">
        <f t="shared" si="6"/>
        <v>102</v>
      </c>
    </row>
    <row r="105" spans="1:7" ht="16.8" x14ac:dyDescent="0.3">
      <c r="A105" s="70">
        <f>'BASE MAESTRA'!B111</f>
        <v>103</v>
      </c>
      <c r="B105" s="5">
        <f t="shared" si="5"/>
        <v>0</v>
      </c>
      <c r="F105" s="5">
        <f t="shared" si="6"/>
        <v>0</v>
      </c>
      <c r="G105" s="5">
        <f t="shared" si="6"/>
        <v>103</v>
      </c>
    </row>
    <row r="106" spans="1:7" ht="16.8" x14ac:dyDescent="0.3">
      <c r="A106" s="70">
        <f>'BASE MAESTRA'!B112</f>
        <v>104</v>
      </c>
      <c r="B106" s="5">
        <f t="shared" si="5"/>
        <v>0</v>
      </c>
      <c r="F106" s="5">
        <f t="shared" si="6"/>
        <v>0</v>
      </c>
      <c r="G106" s="5">
        <f t="shared" si="6"/>
        <v>104</v>
      </c>
    </row>
    <row r="107" spans="1:7" ht="16.8" x14ac:dyDescent="0.3">
      <c r="A107" s="70">
        <f>'BASE MAESTRA'!B113</f>
        <v>105</v>
      </c>
      <c r="B107" s="5">
        <f t="shared" si="5"/>
        <v>0</v>
      </c>
      <c r="F107" s="5">
        <f t="shared" si="6"/>
        <v>0</v>
      </c>
      <c r="G107" s="5">
        <f t="shared" si="6"/>
        <v>105</v>
      </c>
    </row>
    <row r="108" spans="1:7" ht="16.8" x14ac:dyDescent="0.3">
      <c r="A108" s="70">
        <f>'BASE MAESTRA'!B114</f>
        <v>106</v>
      </c>
      <c r="B108" s="5">
        <f t="shared" si="5"/>
        <v>0</v>
      </c>
      <c r="F108" s="5">
        <f t="shared" si="6"/>
        <v>0</v>
      </c>
      <c r="G108" s="5">
        <f t="shared" si="6"/>
        <v>106</v>
      </c>
    </row>
    <row r="109" spans="1:7" ht="16.8" x14ac:dyDescent="0.3">
      <c r="A109" s="70">
        <f>'BASE MAESTRA'!B115</f>
        <v>107</v>
      </c>
      <c r="B109" s="5">
        <f t="shared" si="5"/>
        <v>0</v>
      </c>
      <c r="F109" s="5">
        <f t="shared" si="6"/>
        <v>0</v>
      </c>
      <c r="G109" s="5">
        <f t="shared" si="6"/>
        <v>107</v>
      </c>
    </row>
    <row r="110" spans="1:7" ht="16.8" x14ac:dyDescent="0.3">
      <c r="A110" s="70">
        <f>'BASE MAESTRA'!B116</f>
        <v>108</v>
      </c>
      <c r="B110" s="5">
        <f t="shared" si="5"/>
        <v>0</v>
      </c>
      <c r="F110" s="5">
        <f t="shared" si="6"/>
        <v>0</v>
      </c>
      <c r="G110" s="5">
        <f t="shared" si="6"/>
        <v>108</v>
      </c>
    </row>
    <row r="111" spans="1:7" ht="16.8" x14ac:dyDescent="0.3">
      <c r="A111" s="70">
        <f>'BASE MAESTRA'!B117</f>
        <v>109</v>
      </c>
      <c r="B111" s="5">
        <f t="shared" si="5"/>
        <v>0</v>
      </c>
      <c r="F111" s="5">
        <f t="shared" si="6"/>
        <v>0</v>
      </c>
      <c r="G111" s="5">
        <f t="shared" si="6"/>
        <v>109</v>
      </c>
    </row>
    <row r="112" spans="1:7" ht="16.8" x14ac:dyDescent="0.3">
      <c r="A112" s="70">
        <f>'BASE MAESTRA'!B118</f>
        <v>110</v>
      </c>
      <c r="B112" s="5">
        <f t="shared" si="5"/>
        <v>0</v>
      </c>
      <c r="F112" s="5">
        <f t="shared" si="6"/>
        <v>0</v>
      </c>
      <c r="G112" s="5">
        <f t="shared" si="6"/>
        <v>110</v>
      </c>
    </row>
    <row r="113" spans="1:7" ht="16.8" x14ac:dyDescent="0.3">
      <c r="A113" s="70">
        <f>'BASE MAESTRA'!B119</f>
        <v>111</v>
      </c>
      <c r="B113" s="5">
        <f t="shared" si="5"/>
        <v>0</v>
      </c>
      <c r="F113" s="5">
        <f t="shared" si="6"/>
        <v>0</v>
      </c>
      <c r="G113" s="5">
        <f t="shared" si="6"/>
        <v>111</v>
      </c>
    </row>
    <row r="114" spans="1:7" ht="16.8" x14ac:dyDescent="0.3">
      <c r="A114" s="70">
        <f>'BASE MAESTRA'!B120</f>
        <v>112</v>
      </c>
      <c r="B114" s="5">
        <f t="shared" si="5"/>
        <v>0</v>
      </c>
      <c r="F114" s="5">
        <f t="shared" si="6"/>
        <v>0</v>
      </c>
      <c r="G114" s="5">
        <f t="shared" si="6"/>
        <v>112</v>
      </c>
    </row>
    <row r="115" spans="1:7" ht="16.8" x14ac:dyDescent="0.3">
      <c r="A115" s="70">
        <f>'BASE MAESTRA'!B121</f>
        <v>113</v>
      </c>
      <c r="B115" s="5">
        <f t="shared" si="5"/>
        <v>0</v>
      </c>
      <c r="F115" s="5">
        <f t="shared" si="6"/>
        <v>0</v>
      </c>
      <c r="G115" s="5">
        <f t="shared" si="6"/>
        <v>113</v>
      </c>
    </row>
    <row r="116" spans="1:7" ht="16.8" x14ac:dyDescent="0.3">
      <c r="A116" s="70">
        <f>'BASE MAESTRA'!B122</f>
        <v>114</v>
      </c>
      <c r="B116" s="5">
        <f t="shared" si="5"/>
        <v>0</v>
      </c>
      <c r="F116" s="5">
        <f t="shared" si="6"/>
        <v>0</v>
      </c>
      <c r="G116" s="5">
        <f t="shared" si="6"/>
        <v>114</v>
      </c>
    </row>
    <row r="117" spans="1:7" ht="16.8" x14ac:dyDescent="0.3">
      <c r="A117" s="70">
        <f>'BASE MAESTRA'!B123</f>
        <v>115</v>
      </c>
      <c r="B117" s="5">
        <f t="shared" si="5"/>
        <v>0</v>
      </c>
      <c r="F117" s="5">
        <f t="shared" si="6"/>
        <v>0</v>
      </c>
      <c r="G117" s="5">
        <f t="shared" si="6"/>
        <v>115</v>
      </c>
    </row>
    <row r="118" spans="1:7" ht="16.8" x14ac:dyDescent="0.3">
      <c r="A118" s="70">
        <f>'BASE MAESTRA'!B124</f>
        <v>116</v>
      </c>
      <c r="B118" s="5">
        <f t="shared" si="5"/>
        <v>0</v>
      </c>
      <c r="F118" s="5">
        <f t="shared" si="6"/>
        <v>0</v>
      </c>
      <c r="G118" s="5">
        <f t="shared" si="6"/>
        <v>116</v>
      </c>
    </row>
    <row r="119" spans="1:7" ht="16.8" x14ac:dyDescent="0.3">
      <c r="A119" s="70">
        <f>'BASE MAESTRA'!B125</f>
        <v>117</v>
      </c>
      <c r="B119" s="5">
        <f t="shared" si="5"/>
        <v>0</v>
      </c>
      <c r="F119" s="5">
        <f t="shared" si="6"/>
        <v>0</v>
      </c>
      <c r="G119" s="5">
        <f t="shared" si="6"/>
        <v>117</v>
      </c>
    </row>
    <row r="120" spans="1:7" ht="16.8" x14ac:dyDescent="0.3">
      <c r="A120" s="70">
        <f>'BASE MAESTRA'!B126</f>
        <v>118</v>
      </c>
      <c r="B120" s="5">
        <f t="shared" si="5"/>
        <v>0</v>
      </c>
      <c r="F120" s="5">
        <f t="shared" si="6"/>
        <v>0</v>
      </c>
      <c r="G120" s="5">
        <f t="shared" si="6"/>
        <v>118</v>
      </c>
    </row>
    <row r="121" spans="1:7" ht="16.8" x14ac:dyDescent="0.3">
      <c r="A121" s="70">
        <f>'BASE MAESTRA'!B127</f>
        <v>119</v>
      </c>
      <c r="B121" s="5">
        <f t="shared" si="5"/>
        <v>0</v>
      </c>
      <c r="F121" s="5">
        <f t="shared" si="6"/>
        <v>0</v>
      </c>
      <c r="G121" s="5">
        <f t="shared" si="6"/>
        <v>119</v>
      </c>
    </row>
    <row r="122" spans="1:7" ht="16.8" x14ac:dyDescent="0.3">
      <c r="A122" s="70">
        <f>'BASE MAESTRA'!B128</f>
        <v>120</v>
      </c>
      <c r="B122" s="5">
        <f t="shared" si="5"/>
        <v>0</v>
      </c>
      <c r="F122" s="5">
        <f t="shared" si="6"/>
        <v>0</v>
      </c>
      <c r="G122" s="5">
        <f t="shared" si="6"/>
        <v>120</v>
      </c>
    </row>
    <row r="123" spans="1:7" ht="16.8" x14ac:dyDescent="0.3">
      <c r="A123" s="70">
        <f>'BASE MAESTRA'!B129</f>
        <v>121</v>
      </c>
      <c r="B123" s="5">
        <f t="shared" si="5"/>
        <v>0</v>
      </c>
      <c r="F123" s="5">
        <f t="shared" si="6"/>
        <v>0</v>
      </c>
      <c r="G123" s="5">
        <f t="shared" si="6"/>
        <v>121</v>
      </c>
    </row>
    <row r="124" spans="1:7" ht="16.8" x14ac:dyDescent="0.3">
      <c r="A124" s="70">
        <f>'BASE MAESTRA'!B130</f>
        <v>122</v>
      </c>
      <c r="B124" s="5">
        <f t="shared" si="5"/>
        <v>0</v>
      </c>
      <c r="F124" s="5">
        <f t="shared" si="6"/>
        <v>0</v>
      </c>
      <c r="G124" s="5">
        <f t="shared" si="6"/>
        <v>122</v>
      </c>
    </row>
    <row r="125" spans="1:7" ht="16.8" x14ac:dyDescent="0.3">
      <c r="A125" s="70">
        <f>'BASE MAESTRA'!B131</f>
        <v>123</v>
      </c>
      <c r="B125" s="5">
        <f t="shared" si="5"/>
        <v>0</v>
      </c>
      <c r="F125" s="5">
        <f t="shared" si="6"/>
        <v>0</v>
      </c>
      <c r="G125" s="5">
        <f t="shared" si="6"/>
        <v>123</v>
      </c>
    </row>
    <row r="126" spans="1:7" ht="16.8" x14ac:dyDescent="0.3">
      <c r="A126" s="70">
        <f>'BASE MAESTRA'!B132</f>
        <v>124</v>
      </c>
      <c r="B126" s="5">
        <f t="shared" si="5"/>
        <v>0</v>
      </c>
      <c r="F126" s="5">
        <f t="shared" si="6"/>
        <v>0</v>
      </c>
      <c r="G126" s="5">
        <f t="shared" si="6"/>
        <v>124</v>
      </c>
    </row>
    <row r="127" spans="1:7" ht="16.8" x14ac:dyDescent="0.3">
      <c r="A127" s="70">
        <f>'BASE MAESTRA'!B133</f>
        <v>125</v>
      </c>
      <c r="B127" s="5">
        <f t="shared" si="5"/>
        <v>0</v>
      </c>
      <c r="F127" s="5">
        <f t="shared" si="6"/>
        <v>0</v>
      </c>
      <c r="G127" s="5">
        <f t="shared" si="6"/>
        <v>125</v>
      </c>
    </row>
    <row r="128" spans="1:7" ht="16.8" x14ac:dyDescent="0.3">
      <c r="A128" s="70">
        <f>'BASE MAESTRA'!B134</f>
        <v>126</v>
      </c>
      <c r="B128" s="5">
        <f t="shared" si="5"/>
        <v>0</v>
      </c>
      <c r="F128" s="5">
        <f t="shared" si="6"/>
        <v>0</v>
      </c>
      <c r="G128" s="5">
        <f t="shared" si="6"/>
        <v>126</v>
      </c>
    </row>
    <row r="129" spans="1:7" ht="16.8" x14ac:dyDescent="0.3">
      <c r="A129" s="70">
        <f>'BASE MAESTRA'!B135</f>
        <v>127</v>
      </c>
      <c r="B129" s="5">
        <f t="shared" si="5"/>
        <v>0</v>
      </c>
      <c r="F129" s="5">
        <f t="shared" si="6"/>
        <v>0</v>
      </c>
      <c r="G129" s="5">
        <f t="shared" si="6"/>
        <v>127</v>
      </c>
    </row>
    <row r="130" spans="1:7" ht="16.8" x14ac:dyDescent="0.3">
      <c r="A130" s="70">
        <f>'BASE MAESTRA'!B136</f>
        <v>128</v>
      </c>
      <c r="B130" s="5">
        <f t="shared" si="5"/>
        <v>0</v>
      </c>
      <c r="F130" s="5">
        <f t="shared" si="6"/>
        <v>0</v>
      </c>
      <c r="G130" s="5">
        <f t="shared" si="6"/>
        <v>128</v>
      </c>
    </row>
    <row r="131" spans="1:7" ht="16.8" x14ac:dyDescent="0.3">
      <c r="A131" s="70">
        <f>'BASE MAESTRA'!B137</f>
        <v>129</v>
      </c>
      <c r="B131" s="5">
        <f t="shared" ref="B131:B194" si="7">VLOOKUP($A131,DatosEspecies,B$2,FALSE)</f>
        <v>0</v>
      </c>
      <c r="F131" s="5">
        <f t="shared" si="6"/>
        <v>0</v>
      </c>
      <c r="G131" s="5">
        <f t="shared" si="6"/>
        <v>129</v>
      </c>
    </row>
    <row r="132" spans="1:7" ht="16.8" x14ac:dyDescent="0.3">
      <c r="A132" s="70">
        <f>'BASE MAESTRA'!B138</f>
        <v>130</v>
      </c>
      <c r="B132" s="5">
        <f t="shared" si="7"/>
        <v>0</v>
      </c>
      <c r="F132" s="5">
        <f t="shared" si="6"/>
        <v>0</v>
      </c>
      <c r="G132" s="5">
        <f t="shared" si="6"/>
        <v>130</v>
      </c>
    </row>
    <row r="133" spans="1:7" ht="16.8" x14ac:dyDescent="0.3">
      <c r="A133" s="70">
        <f>'BASE MAESTRA'!B139</f>
        <v>131</v>
      </c>
      <c r="B133" s="5">
        <f t="shared" si="7"/>
        <v>0</v>
      </c>
      <c r="F133" s="5">
        <f t="shared" si="6"/>
        <v>0</v>
      </c>
      <c r="G133" s="5">
        <f t="shared" si="6"/>
        <v>131</v>
      </c>
    </row>
    <row r="134" spans="1:7" ht="16.8" x14ac:dyDescent="0.3">
      <c r="A134" s="70">
        <f>'BASE MAESTRA'!B140</f>
        <v>132</v>
      </c>
      <c r="B134" s="5">
        <f t="shared" si="7"/>
        <v>0</v>
      </c>
      <c r="F134" s="5">
        <f t="shared" si="6"/>
        <v>0</v>
      </c>
      <c r="G134" s="5">
        <f t="shared" si="6"/>
        <v>132</v>
      </c>
    </row>
    <row r="135" spans="1:7" ht="16.8" x14ac:dyDescent="0.3">
      <c r="A135" s="70">
        <f>'BASE MAESTRA'!B141</f>
        <v>133</v>
      </c>
      <c r="B135" s="5">
        <f t="shared" si="7"/>
        <v>0</v>
      </c>
      <c r="F135" s="5">
        <f t="shared" si="6"/>
        <v>0</v>
      </c>
      <c r="G135" s="5">
        <f t="shared" si="6"/>
        <v>133</v>
      </c>
    </row>
    <row r="136" spans="1:7" ht="16.8" x14ac:dyDescent="0.3">
      <c r="A136" s="70">
        <f>'BASE MAESTRA'!B142</f>
        <v>134</v>
      </c>
      <c r="B136" s="5">
        <f t="shared" si="7"/>
        <v>0</v>
      </c>
      <c r="F136" s="5">
        <f t="shared" si="6"/>
        <v>0</v>
      </c>
      <c r="G136" s="5">
        <f t="shared" si="6"/>
        <v>134</v>
      </c>
    </row>
    <row r="137" spans="1:7" ht="16.8" x14ac:dyDescent="0.3">
      <c r="A137" s="70">
        <f>'BASE MAESTRA'!B143</f>
        <v>135</v>
      </c>
      <c r="B137" s="5">
        <f t="shared" si="7"/>
        <v>0</v>
      </c>
      <c r="F137" s="5">
        <f t="shared" si="6"/>
        <v>0</v>
      </c>
      <c r="G137" s="5">
        <f t="shared" si="6"/>
        <v>135</v>
      </c>
    </row>
    <row r="138" spans="1:7" ht="16.8" x14ac:dyDescent="0.3">
      <c r="A138" s="70">
        <f>'BASE MAESTRA'!B144</f>
        <v>136</v>
      </c>
      <c r="B138" s="5">
        <f t="shared" si="7"/>
        <v>0</v>
      </c>
      <c r="F138" s="5">
        <f t="shared" si="6"/>
        <v>0</v>
      </c>
      <c r="G138" s="5">
        <f t="shared" si="6"/>
        <v>136</v>
      </c>
    </row>
    <row r="139" spans="1:7" ht="16.8" x14ac:dyDescent="0.3">
      <c r="A139" s="70">
        <f>'BASE MAESTRA'!B145</f>
        <v>137</v>
      </c>
      <c r="B139" s="5">
        <f t="shared" si="7"/>
        <v>0</v>
      </c>
      <c r="F139" s="5">
        <f t="shared" si="6"/>
        <v>0</v>
      </c>
      <c r="G139" s="5">
        <f t="shared" si="6"/>
        <v>137</v>
      </c>
    </row>
    <row r="140" spans="1:7" ht="16.8" x14ac:dyDescent="0.3">
      <c r="A140" s="70">
        <f>'BASE MAESTRA'!B146</f>
        <v>138</v>
      </c>
      <c r="B140" s="5">
        <f t="shared" si="7"/>
        <v>0</v>
      </c>
      <c r="F140" s="5">
        <f t="shared" si="6"/>
        <v>0</v>
      </c>
      <c r="G140" s="5">
        <f t="shared" si="6"/>
        <v>138</v>
      </c>
    </row>
    <row r="141" spans="1:7" ht="16.8" x14ac:dyDescent="0.3">
      <c r="A141" s="70">
        <f>'BASE MAESTRA'!B147</f>
        <v>139</v>
      </c>
      <c r="B141" s="5">
        <f t="shared" si="7"/>
        <v>0</v>
      </c>
      <c r="F141" s="5">
        <f t="shared" si="6"/>
        <v>0</v>
      </c>
      <c r="G141" s="5">
        <f t="shared" si="6"/>
        <v>139</v>
      </c>
    </row>
    <row r="142" spans="1:7" ht="16.8" x14ac:dyDescent="0.3">
      <c r="A142" s="70">
        <f>'BASE MAESTRA'!B148</f>
        <v>140</v>
      </c>
      <c r="B142" s="5">
        <f t="shared" si="7"/>
        <v>0</v>
      </c>
      <c r="F142" s="5">
        <f t="shared" ref="F142:G202" si="8">VLOOKUP($A142,DatosEspecies,F$2,FALSE)</f>
        <v>0</v>
      </c>
      <c r="G142" s="5">
        <f t="shared" si="8"/>
        <v>140</v>
      </c>
    </row>
    <row r="143" spans="1:7" ht="16.8" x14ac:dyDescent="0.3">
      <c r="A143" s="70">
        <f>'BASE MAESTRA'!B149</f>
        <v>141</v>
      </c>
      <c r="B143" s="5">
        <f t="shared" si="7"/>
        <v>0</v>
      </c>
      <c r="F143" s="5">
        <f t="shared" si="8"/>
        <v>0</v>
      </c>
      <c r="G143" s="5">
        <f t="shared" si="8"/>
        <v>141</v>
      </c>
    </row>
    <row r="144" spans="1:7" ht="16.8" x14ac:dyDescent="0.3">
      <c r="A144" s="70">
        <f>'BASE MAESTRA'!B150</f>
        <v>142</v>
      </c>
      <c r="B144" s="5">
        <f t="shared" si="7"/>
        <v>0</v>
      </c>
      <c r="F144" s="5">
        <f t="shared" si="8"/>
        <v>0</v>
      </c>
      <c r="G144" s="5">
        <f t="shared" si="8"/>
        <v>142</v>
      </c>
    </row>
    <row r="145" spans="1:7" ht="16.8" x14ac:dyDescent="0.3">
      <c r="A145" s="70">
        <f>'BASE MAESTRA'!B151</f>
        <v>143</v>
      </c>
      <c r="B145" s="5">
        <f t="shared" si="7"/>
        <v>0</v>
      </c>
      <c r="F145" s="5">
        <f t="shared" si="8"/>
        <v>0</v>
      </c>
      <c r="G145" s="5">
        <f t="shared" si="8"/>
        <v>143</v>
      </c>
    </row>
    <row r="146" spans="1:7" ht="16.8" x14ac:dyDescent="0.3">
      <c r="A146" s="70">
        <f>'BASE MAESTRA'!B152</f>
        <v>144</v>
      </c>
      <c r="B146" s="5">
        <f t="shared" si="7"/>
        <v>0</v>
      </c>
      <c r="F146" s="5">
        <f t="shared" si="8"/>
        <v>0</v>
      </c>
      <c r="G146" s="5">
        <f t="shared" si="8"/>
        <v>144</v>
      </c>
    </row>
    <row r="147" spans="1:7" ht="16.8" x14ac:dyDescent="0.3">
      <c r="A147" s="70">
        <f>'BASE MAESTRA'!B153</f>
        <v>145</v>
      </c>
      <c r="B147" s="5">
        <f t="shared" si="7"/>
        <v>0</v>
      </c>
      <c r="F147" s="5">
        <f t="shared" si="8"/>
        <v>0</v>
      </c>
      <c r="G147" s="5">
        <f t="shared" si="8"/>
        <v>145</v>
      </c>
    </row>
    <row r="148" spans="1:7" ht="16.8" x14ac:dyDescent="0.3">
      <c r="A148" s="70">
        <f>'BASE MAESTRA'!B154</f>
        <v>146</v>
      </c>
      <c r="B148" s="5">
        <f t="shared" si="7"/>
        <v>0</v>
      </c>
      <c r="F148" s="5">
        <f t="shared" si="8"/>
        <v>0</v>
      </c>
      <c r="G148" s="5">
        <f t="shared" si="8"/>
        <v>146</v>
      </c>
    </row>
    <row r="149" spans="1:7" ht="16.8" x14ac:dyDescent="0.3">
      <c r="A149" s="70">
        <f>'BASE MAESTRA'!B155</f>
        <v>147</v>
      </c>
      <c r="B149" s="5">
        <f t="shared" si="7"/>
        <v>0</v>
      </c>
      <c r="F149" s="5">
        <f t="shared" si="8"/>
        <v>0</v>
      </c>
      <c r="G149" s="5">
        <f t="shared" si="8"/>
        <v>147</v>
      </c>
    </row>
    <row r="150" spans="1:7" ht="16.8" x14ac:dyDescent="0.3">
      <c r="A150" s="70">
        <f>'BASE MAESTRA'!B156</f>
        <v>148</v>
      </c>
      <c r="B150" s="5">
        <f t="shared" si="7"/>
        <v>0</v>
      </c>
      <c r="F150" s="5">
        <f t="shared" si="8"/>
        <v>0</v>
      </c>
      <c r="G150" s="5">
        <f t="shared" si="8"/>
        <v>148</v>
      </c>
    </row>
    <row r="151" spans="1:7" ht="16.8" x14ac:dyDescent="0.3">
      <c r="A151" s="70">
        <f>'BASE MAESTRA'!B157</f>
        <v>149</v>
      </c>
      <c r="B151" s="5">
        <f t="shared" si="7"/>
        <v>0</v>
      </c>
      <c r="F151" s="5">
        <f t="shared" si="8"/>
        <v>0</v>
      </c>
      <c r="G151" s="5">
        <f t="shared" si="8"/>
        <v>149</v>
      </c>
    </row>
    <row r="152" spans="1:7" ht="16.8" x14ac:dyDescent="0.3">
      <c r="A152" s="70">
        <f>'BASE MAESTRA'!B158</f>
        <v>150</v>
      </c>
      <c r="B152" s="5">
        <f t="shared" si="7"/>
        <v>0</v>
      </c>
      <c r="F152" s="5">
        <f t="shared" si="8"/>
        <v>0</v>
      </c>
      <c r="G152" s="5">
        <f t="shared" si="8"/>
        <v>150</v>
      </c>
    </row>
    <row r="153" spans="1:7" ht="16.8" x14ac:dyDescent="0.3">
      <c r="A153" s="70">
        <f>'BASE MAESTRA'!B159</f>
        <v>151</v>
      </c>
      <c r="B153" s="5">
        <f t="shared" si="7"/>
        <v>0</v>
      </c>
      <c r="F153" s="5">
        <f t="shared" si="8"/>
        <v>0</v>
      </c>
      <c r="G153" s="5">
        <f t="shared" si="8"/>
        <v>151</v>
      </c>
    </row>
    <row r="154" spans="1:7" ht="16.8" x14ac:dyDescent="0.3">
      <c r="A154" s="70">
        <f>'BASE MAESTRA'!B160</f>
        <v>152</v>
      </c>
      <c r="B154" s="5">
        <f t="shared" si="7"/>
        <v>0</v>
      </c>
      <c r="F154" s="5">
        <f t="shared" si="8"/>
        <v>0</v>
      </c>
      <c r="G154" s="5">
        <f t="shared" si="8"/>
        <v>152</v>
      </c>
    </row>
    <row r="155" spans="1:7" ht="16.8" x14ac:dyDescent="0.3">
      <c r="A155" s="70">
        <f>'BASE MAESTRA'!B161</f>
        <v>153</v>
      </c>
      <c r="B155" s="5">
        <f t="shared" si="7"/>
        <v>0</v>
      </c>
      <c r="F155" s="5">
        <f t="shared" si="8"/>
        <v>0</v>
      </c>
      <c r="G155" s="5">
        <f t="shared" si="8"/>
        <v>153</v>
      </c>
    </row>
    <row r="156" spans="1:7" ht="16.8" x14ac:dyDescent="0.3">
      <c r="A156" s="70">
        <f>'BASE MAESTRA'!B162</f>
        <v>154</v>
      </c>
      <c r="B156" s="5">
        <f t="shared" si="7"/>
        <v>0</v>
      </c>
      <c r="F156" s="5">
        <f t="shared" si="8"/>
        <v>0</v>
      </c>
      <c r="G156" s="5">
        <f t="shared" si="8"/>
        <v>154</v>
      </c>
    </row>
    <row r="157" spans="1:7" ht="16.8" x14ac:dyDescent="0.3">
      <c r="A157" s="70">
        <f>'BASE MAESTRA'!B163</f>
        <v>155</v>
      </c>
      <c r="B157" s="5">
        <f t="shared" si="7"/>
        <v>0</v>
      </c>
      <c r="F157" s="5">
        <f t="shared" si="8"/>
        <v>0</v>
      </c>
      <c r="G157" s="5">
        <f t="shared" si="8"/>
        <v>155</v>
      </c>
    </row>
    <row r="158" spans="1:7" ht="16.8" x14ac:dyDescent="0.3">
      <c r="A158" s="70">
        <f>'BASE MAESTRA'!B164</f>
        <v>156</v>
      </c>
      <c r="B158" s="5">
        <f t="shared" si="7"/>
        <v>0</v>
      </c>
      <c r="F158" s="5">
        <f t="shared" si="8"/>
        <v>0</v>
      </c>
      <c r="G158" s="5">
        <f t="shared" si="8"/>
        <v>156</v>
      </c>
    </row>
    <row r="159" spans="1:7" ht="16.8" x14ac:dyDescent="0.3">
      <c r="A159" s="70">
        <f>'BASE MAESTRA'!B165</f>
        <v>157</v>
      </c>
      <c r="B159" s="5">
        <f t="shared" si="7"/>
        <v>0</v>
      </c>
      <c r="F159" s="5">
        <f t="shared" si="8"/>
        <v>0</v>
      </c>
      <c r="G159" s="5">
        <f t="shared" si="8"/>
        <v>157</v>
      </c>
    </row>
    <row r="160" spans="1:7" ht="16.8" x14ac:dyDescent="0.3">
      <c r="A160" s="70">
        <f>'BASE MAESTRA'!B166</f>
        <v>158</v>
      </c>
      <c r="B160" s="5">
        <f t="shared" si="7"/>
        <v>0</v>
      </c>
      <c r="F160" s="5">
        <f t="shared" si="8"/>
        <v>0</v>
      </c>
      <c r="G160" s="5">
        <f t="shared" si="8"/>
        <v>158</v>
      </c>
    </row>
    <row r="161" spans="1:7" ht="16.8" x14ac:dyDescent="0.3">
      <c r="A161" s="70">
        <f>'BASE MAESTRA'!B167</f>
        <v>159</v>
      </c>
      <c r="B161" s="5">
        <f t="shared" si="7"/>
        <v>0</v>
      </c>
      <c r="F161" s="5">
        <f t="shared" si="8"/>
        <v>0</v>
      </c>
      <c r="G161" s="5">
        <f t="shared" si="8"/>
        <v>159</v>
      </c>
    </row>
    <row r="162" spans="1:7" ht="16.8" x14ac:dyDescent="0.3">
      <c r="A162" s="70">
        <f>'BASE MAESTRA'!B168</f>
        <v>160</v>
      </c>
      <c r="B162" s="5">
        <f t="shared" si="7"/>
        <v>0</v>
      </c>
      <c r="F162" s="5">
        <f t="shared" si="8"/>
        <v>0</v>
      </c>
      <c r="G162" s="5">
        <f t="shared" si="8"/>
        <v>160</v>
      </c>
    </row>
    <row r="163" spans="1:7" ht="16.8" x14ac:dyDescent="0.3">
      <c r="A163" s="70">
        <f>'BASE MAESTRA'!B169</f>
        <v>161</v>
      </c>
      <c r="B163" s="5">
        <f t="shared" si="7"/>
        <v>0</v>
      </c>
      <c r="F163" s="5">
        <f t="shared" si="8"/>
        <v>0</v>
      </c>
      <c r="G163" s="5">
        <f t="shared" si="8"/>
        <v>161</v>
      </c>
    </row>
    <row r="164" spans="1:7" ht="16.8" x14ac:dyDescent="0.3">
      <c r="A164" s="70">
        <f>'BASE MAESTRA'!B170</f>
        <v>162</v>
      </c>
      <c r="B164" s="5">
        <f t="shared" si="7"/>
        <v>0</v>
      </c>
      <c r="F164" s="5">
        <f t="shared" si="8"/>
        <v>0</v>
      </c>
      <c r="G164" s="5">
        <f t="shared" si="8"/>
        <v>162</v>
      </c>
    </row>
    <row r="165" spans="1:7" ht="16.8" x14ac:dyDescent="0.3">
      <c r="A165" s="70">
        <f>'BASE MAESTRA'!B171</f>
        <v>163</v>
      </c>
      <c r="B165" s="5">
        <f t="shared" si="7"/>
        <v>0</v>
      </c>
      <c r="F165" s="5">
        <f t="shared" si="8"/>
        <v>0</v>
      </c>
      <c r="G165" s="5">
        <f t="shared" si="8"/>
        <v>163</v>
      </c>
    </row>
    <row r="166" spans="1:7" ht="16.8" x14ac:dyDescent="0.3">
      <c r="A166" s="70">
        <f>'BASE MAESTRA'!B172</f>
        <v>164</v>
      </c>
      <c r="B166" s="5">
        <f t="shared" si="7"/>
        <v>0</v>
      </c>
      <c r="F166" s="5">
        <f t="shared" si="8"/>
        <v>0</v>
      </c>
      <c r="G166" s="5">
        <f t="shared" si="8"/>
        <v>164</v>
      </c>
    </row>
    <row r="167" spans="1:7" ht="16.8" x14ac:dyDescent="0.3">
      <c r="A167" s="70">
        <f>'BASE MAESTRA'!B173</f>
        <v>165</v>
      </c>
      <c r="B167" s="5">
        <f t="shared" si="7"/>
        <v>0</v>
      </c>
      <c r="F167" s="5">
        <f t="shared" si="8"/>
        <v>0</v>
      </c>
      <c r="G167" s="5">
        <f t="shared" si="8"/>
        <v>165</v>
      </c>
    </row>
    <row r="168" spans="1:7" ht="16.8" x14ac:dyDescent="0.3">
      <c r="A168" s="70">
        <f>'BASE MAESTRA'!B174</f>
        <v>166</v>
      </c>
      <c r="B168" s="5">
        <f t="shared" si="7"/>
        <v>0</v>
      </c>
      <c r="F168" s="5">
        <f t="shared" si="8"/>
        <v>0</v>
      </c>
      <c r="G168" s="5">
        <f t="shared" si="8"/>
        <v>166</v>
      </c>
    </row>
    <row r="169" spans="1:7" ht="16.8" x14ac:dyDescent="0.3">
      <c r="A169" s="70">
        <f>'BASE MAESTRA'!B175</f>
        <v>167</v>
      </c>
      <c r="B169" s="5">
        <f t="shared" si="7"/>
        <v>0</v>
      </c>
      <c r="F169" s="5">
        <f t="shared" si="8"/>
        <v>0</v>
      </c>
      <c r="G169" s="5">
        <f t="shared" si="8"/>
        <v>167</v>
      </c>
    </row>
    <row r="170" spans="1:7" ht="16.8" x14ac:dyDescent="0.3">
      <c r="A170" s="70">
        <f>'BASE MAESTRA'!B176</f>
        <v>168</v>
      </c>
      <c r="B170" s="5">
        <f t="shared" si="7"/>
        <v>0</v>
      </c>
      <c r="F170" s="5">
        <f t="shared" si="8"/>
        <v>0</v>
      </c>
      <c r="G170" s="5">
        <f t="shared" si="8"/>
        <v>168</v>
      </c>
    </row>
    <row r="171" spans="1:7" ht="16.8" x14ac:dyDescent="0.3">
      <c r="A171" s="70">
        <f>'BASE MAESTRA'!B177</f>
        <v>169</v>
      </c>
      <c r="B171" s="5">
        <f t="shared" si="7"/>
        <v>0</v>
      </c>
      <c r="F171" s="5">
        <f t="shared" si="8"/>
        <v>0</v>
      </c>
      <c r="G171" s="5">
        <f t="shared" si="8"/>
        <v>169</v>
      </c>
    </row>
    <row r="172" spans="1:7" ht="16.8" x14ac:dyDescent="0.3">
      <c r="A172" s="70">
        <f>'BASE MAESTRA'!B178</f>
        <v>170</v>
      </c>
      <c r="B172" s="5">
        <f t="shared" si="7"/>
        <v>0</v>
      </c>
      <c r="F172" s="5">
        <f t="shared" si="8"/>
        <v>0</v>
      </c>
      <c r="G172" s="5">
        <f t="shared" si="8"/>
        <v>170</v>
      </c>
    </row>
    <row r="173" spans="1:7" ht="16.8" x14ac:dyDescent="0.3">
      <c r="A173" s="70">
        <f>'BASE MAESTRA'!B179</f>
        <v>171</v>
      </c>
      <c r="B173" s="5">
        <f t="shared" si="7"/>
        <v>0</v>
      </c>
      <c r="F173" s="5">
        <f t="shared" si="8"/>
        <v>0</v>
      </c>
      <c r="G173" s="5">
        <f t="shared" si="8"/>
        <v>171</v>
      </c>
    </row>
    <row r="174" spans="1:7" ht="16.8" x14ac:dyDescent="0.3">
      <c r="A174" s="70">
        <f>'BASE MAESTRA'!B180</f>
        <v>172</v>
      </c>
      <c r="B174" s="5">
        <f t="shared" si="7"/>
        <v>0</v>
      </c>
      <c r="F174" s="5">
        <f t="shared" si="8"/>
        <v>0</v>
      </c>
      <c r="G174" s="5">
        <f t="shared" si="8"/>
        <v>172</v>
      </c>
    </row>
    <row r="175" spans="1:7" ht="16.8" x14ac:dyDescent="0.3">
      <c r="A175" s="70">
        <f>'BASE MAESTRA'!B181</f>
        <v>173</v>
      </c>
      <c r="B175" s="5">
        <f t="shared" si="7"/>
        <v>0</v>
      </c>
      <c r="F175" s="5">
        <f t="shared" si="8"/>
        <v>0</v>
      </c>
      <c r="G175" s="5">
        <f t="shared" si="8"/>
        <v>173</v>
      </c>
    </row>
    <row r="176" spans="1:7" ht="16.8" x14ac:dyDescent="0.3">
      <c r="A176" s="70">
        <f>'BASE MAESTRA'!B182</f>
        <v>174</v>
      </c>
      <c r="B176" s="5">
        <f t="shared" si="7"/>
        <v>0</v>
      </c>
      <c r="F176" s="5">
        <f t="shared" si="8"/>
        <v>0</v>
      </c>
      <c r="G176" s="5">
        <f t="shared" si="8"/>
        <v>174</v>
      </c>
    </row>
    <row r="177" spans="1:7" ht="16.8" x14ac:dyDescent="0.3">
      <c r="A177" s="70">
        <f>'BASE MAESTRA'!B183</f>
        <v>175</v>
      </c>
      <c r="B177" s="5">
        <f t="shared" si="7"/>
        <v>0</v>
      </c>
      <c r="F177" s="5">
        <f t="shared" si="8"/>
        <v>0</v>
      </c>
      <c r="G177" s="5">
        <f t="shared" si="8"/>
        <v>175</v>
      </c>
    </row>
    <row r="178" spans="1:7" ht="16.8" x14ac:dyDescent="0.3">
      <c r="A178" s="70">
        <f>'BASE MAESTRA'!B184</f>
        <v>176</v>
      </c>
      <c r="B178" s="5">
        <f t="shared" si="7"/>
        <v>0</v>
      </c>
      <c r="F178" s="5">
        <f t="shared" si="8"/>
        <v>0</v>
      </c>
      <c r="G178" s="5">
        <f t="shared" si="8"/>
        <v>176</v>
      </c>
    </row>
    <row r="179" spans="1:7" ht="16.8" x14ac:dyDescent="0.3">
      <c r="A179" s="70">
        <f>'BASE MAESTRA'!B185</f>
        <v>177</v>
      </c>
      <c r="B179" s="5">
        <f t="shared" si="7"/>
        <v>0</v>
      </c>
      <c r="F179" s="5">
        <f t="shared" si="8"/>
        <v>0</v>
      </c>
      <c r="G179" s="5">
        <f t="shared" si="8"/>
        <v>177</v>
      </c>
    </row>
    <row r="180" spans="1:7" ht="16.8" x14ac:dyDescent="0.3">
      <c r="A180" s="70">
        <f>'BASE MAESTRA'!B186</f>
        <v>178</v>
      </c>
      <c r="B180" s="5">
        <f t="shared" si="7"/>
        <v>0</v>
      </c>
      <c r="F180" s="5">
        <f t="shared" si="8"/>
        <v>0</v>
      </c>
      <c r="G180" s="5">
        <f t="shared" si="8"/>
        <v>178</v>
      </c>
    </row>
    <row r="181" spans="1:7" ht="16.8" x14ac:dyDescent="0.3">
      <c r="A181" s="70">
        <f>'BASE MAESTRA'!B187</f>
        <v>179</v>
      </c>
      <c r="B181" s="5">
        <f t="shared" si="7"/>
        <v>0</v>
      </c>
      <c r="F181" s="5">
        <f t="shared" si="8"/>
        <v>0</v>
      </c>
      <c r="G181" s="5">
        <f t="shared" si="8"/>
        <v>179</v>
      </c>
    </row>
    <row r="182" spans="1:7" ht="16.8" x14ac:dyDescent="0.3">
      <c r="A182" s="70">
        <f>'BASE MAESTRA'!B188</f>
        <v>180</v>
      </c>
      <c r="B182" s="5">
        <f t="shared" si="7"/>
        <v>0</v>
      </c>
      <c r="F182" s="5">
        <f t="shared" si="8"/>
        <v>0</v>
      </c>
      <c r="G182" s="5">
        <f t="shared" si="8"/>
        <v>180</v>
      </c>
    </row>
    <row r="183" spans="1:7" ht="16.8" x14ac:dyDescent="0.3">
      <c r="A183" s="70">
        <f>'BASE MAESTRA'!B189</f>
        <v>181</v>
      </c>
      <c r="B183" s="5">
        <f t="shared" si="7"/>
        <v>0</v>
      </c>
      <c r="F183" s="5">
        <f t="shared" si="8"/>
        <v>0</v>
      </c>
      <c r="G183" s="5">
        <f t="shared" si="8"/>
        <v>181</v>
      </c>
    </row>
    <row r="184" spans="1:7" ht="16.8" x14ac:dyDescent="0.3">
      <c r="A184" s="70">
        <f>'BASE MAESTRA'!B190</f>
        <v>182</v>
      </c>
      <c r="B184" s="5">
        <f t="shared" si="7"/>
        <v>0</v>
      </c>
      <c r="F184" s="5">
        <f t="shared" si="8"/>
        <v>0</v>
      </c>
      <c r="G184" s="5">
        <f t="shared" si="8"/>
        <v>182</v>
      </c>
    </row>
    <row r="185" spans="1:7" ht="16.8" x14ac:dyDescent="0.3">
      <c r="A185" s="70">
        <f>'BASE MAESTRA'!B191</f>
        <v>183</v>
      </c>
      <c r="B185" s="5">
        <f t="shared" si="7"/>
        <v>0</v>
      </c>
      <c r="F185" s="5">
        <f t="shared" si="8"/>
        <v>0</v>
      </c>
      <c r="G185" s="5">
        <f t="shared" si="8"/>
        <v>183</v>
      </c>
    </row>
    <row r="186" spans="1:7" ht="16.8" x14ac:dyDescent="0.3">
      <c r="A186" s="70">
        <f>'BASE MAESTRA'!B192</f>
        <v>184</v>
      </c>
      <c r="B186" s="5">
        <f t="shared" si="7"/>
        <v>0</v>
      </c>
      <c r="F186" s="5">
        <f t="shared" si="8"/>
        <v>0</v>
      </c>
      <c r="G186" s="5">
        <f t="shared" si="8"/>
        <v>184</v>
      </c>
    </row>
    <row r="187" spans="1:7" ht="16.8" x14ac:dyDescent="0.3">
      <c r="A187" s="70">
        <f>'BASE MAESTRA'!B193</f>
        <v>185</v>
      </c>
      <c r="B187" s="5">
        <f t="shared" si="7"/>
        <v>0</v>
      </c>
      <c r="F187" s="5">
        <f t="shared" si="8"/>
        <v>0</v>
      </c>
      <c r="G187" s="5">
        <f t="shared" si="8"/>
        <v>185</v>
      </c>
    </row>
    <row r="188" spans="1:7" ht="16.8" x14ac:dyDescent="0.3">
      <c r="A188" s="70">
        <f>'BASE MAESTRA'!B194</f>
        <v>186</v>
      </c>
      <c r="B188" s="5">
        <f t="shared" si="7"/>
        <v>0</v>
      </c>
      <c r="F188" s="5">
        <f t="shared" si="8"/>
        <v>0</v>
      </c>
      <c r="G188" s="5">
        <f t="shared" si="8"/>
        <v>186</v>
      </c>
    </row>
    <row r="189" spans="1:7" ht="16.8" x14ac:dyDescent="0.3">
      <c r="A189" s="70">
        <f>'BASE MAESTRA'!B195</f>
        <v>187</v>
      </c>
      <c r="B189" s="5">
        <f t="shared" si="7"/>
        <v>0</v>
      </c>
      <c r="F189" s="5">
        <f t="shared" si="8"/>
        <v>0</v>
      </c>
      <c r="G189" s="5">
        <f t="shared" si="8"/>
        <v>187</v>
      </c>
    </row>
    <row r="190" spans="1:7" ht="16.8" x14ac:dyDescent="0.3">
      <c r="A190" s="70">
        <f>'BASE MAESTRA'!B196</f>
        <v>188</v>
      </c>
      <c r="B190" s="5">
        <f t="shared" si="7"/>
        <v>0</v>
      </c>
      <c r="F190" s="5">
        <f t="shared" si="8"/>
        <v>0</v>
      </c>
      <c r="G190" s="5">
        <f t="shared" si="8"/>
        <v>188</v>
      </c>
    </row>
    <row r="191" spans="1:7" ht="16.8" x14ac:dyDescent="0.3">
      <c r="A191" s="70">
        <f>'BASE MAESTRA'!B197</f>
        <v>189</v>
      </c>
      <c r="B191" s="5">
        <f t="shared" si="7"/>
        <v>0</v>
      </c>
      <c r="F191" s="5">
        <f t="shared" si="8"/>
        <v>0</v>
      </c>
      <c r="G191" s="5">
        <f t="shared" si="8"/>
        <v>189</v>
      </c>
    </row>
    <row r="192" spans="1:7" ht="16.8" x14ac:dyDescent="0.3">
      <c r="A192" s="70">
        <f>'BASE MAESTRA'!B198</f>
        <v>190</v>
      </c>
      <c r="B192" s="5">
        <f t="shared" si="7"/>
        <v>0</v>
      </c>
      <c r="F192" s="5">
        <f t="shared" si="8"/>
        <v>0</v>
      </c>
      <c r="G192" s="5">
        <f t="shared" si="8"/>
        <v>190</v>
      </c>
    </row>
    <row r="193" spans="1:7" ht="16.8" x14ac:dyDescent="0.3">
      <c r="A193" s="70">
        <f>'BASE MAESTRA'!B199</f>
        <v>191</v>
      </c>
      <c r="B193" s="5">
        <f t="shared" si="7"/>
        <v>0</v>
      </c>
      <c r="F193" s="5">
        <f t="shared" si="8"/>
        <v>0</v>
      </c>
      <c r="G193" s="5">
        <f t="shared" si="8"/>
        <v>191</v>
      </c>
    </row>
    <row r="194" spans="1:7" ht="16.8" x14ac:dyDescent="0.3">
      <c r="A194" s="70">
        <f>'BASE MAESTRA'!B200</f>
        <v>192</v>
      </c>
      <c r="B194" s="5">
        <f t="shared" si="7"/>
        <v>0</v>
      </c>
      <c r="F194" s="5">
        <f t="shared" si="8"/>
        <v>0</v>
      </c>
      <c r="G194" s="5">
        <f t="shared" si="8"/>
        <v>192</v>
      </c>
    </row>
    <row r="195" spans="1:7" ht="16.8" x14ac:dyDescent="0.3">
      <c r="A195" s="70">
        <f>'BASE MAESTRA'!B201</f>
        <v>193</v>
      </c>
      <c r="B195" s="5">
        <f t="shared" ref="B195:B202" si="9">VLOOKUP($A195,DatosEspecies,B$2,FALSE)</f>
        <v>0</v>
      </c>
      <c r="F195" s="5">
        <f t="shared" si="8"/>
        <v>0</v>
      </c>
      <c r="G195" s="5">
        <f t="shared" si="8"/>
        <v>193</v>
      </c>
    </row>
    <row r="196" spans="1:7" ht="16.8" x14ac:dyDescent="0.3">
      <c r="A196" s="70">
        <f>'BASE MAESTRA'!B202</f>
        <v>194</v>
      </c>
      <c r="B196" s="5">
        <f t="shared" si="9"/>
        <v>0</v>
      </c>
      <c r="F196" s="5">
        <f t="shared" si="8"/>
        <v>0</v>
      </c>
      <c r="G196" s="5">
        <f t="shared" si="8"/>
        <v>194</v>
      </c>
    </row>
    <row r="197" spans="1:7" ht="16.8" x14ac:dyDescent="0.3">
      <c r="A197" s="70">
        <f>'BASE MAESTRA'!B203</f>
        <v>195</v>
      </c>
      <c r="B197" s="5">
        <f t="shared" si="9"/>
        <v>0</v>
      </c>
      <c r="F197" s="5">
        <f t="shared" si="8"/>
        <v>0</v>
      </c>
      <c r="G197" s="5">
        <f t="shared" si="8"/>
        <v>195</v>
      </c>
    </row>
    <row r="198" spans="1:7" ht="16.8" x14ac:dyDescent="0.3">
      <c r="A198" s="70">
        <f>'BASE MAESTRA'!B204</f>
        <v>196</v>
      </c>
      <c r="B198" s="5">
        <f t="shared" si="9"/>
        <v>0</v>
      </c>
      <c r="F198" s="5">
        <f t="shared" si="8"/>
        <v>0</v>
      </c>
      <c r="G198" s="5">
        <f t="shared" si="8"/>
        <v>196</v>
      </c>
    </row>
    <row r="199" spans="1:7" ht="16.8" x14ac:dyDescent="0.3">
      <c r="A199" s="70">
        <f>'BASE MAESTRA'!B205</f>
        <v>197</v>
      </c>
      <c r="B199" s="5">
        <f t="shared" si="9"/>
        <v>0</v>
      </c>
      <c r="F199" s="5">
        <f t="shared" si="8"/>
        <v>0</v>
      </c>
      <c r="G199" s="5">
        <f t="shared" si="8"/>
        <v>197</v>
      </c>
    </row>
    <row r="200" spans="1:7" ht="16.8" x14ac:dyDescent="0.3">
      <c r="A200" s="70">
        <f>'BASE MAESTRA'!B206</f>
        <v>198</v>
      </c>
      <c r="B200" s="5">
        <f t="shared" si="9"/>
        <v>0</v>
      </c>
      <c r="F200" s="5">
        <f t="shared" si="8"/>
        <v>0</v>
      </c>
      <c r="G200" s="5">
        <f t="shared" si="8"/>
        <v>198</v>
      </c>
    </row>
    <row r="201" spans="1:7" ht="16.8" x14ac:dyDescent="0.3">
      <c r="A201" s="70">
        <f>'BASE MAESTRA'!B207</f>
        <v>199</v>
      </c>
      <c r="B201" s="5">
        <f t="shared" si="9"/>
        <v>0</v>
      </c>
      <c r="F201" s="5">
        <f t="shared" si="8"/>
        <v>0</v>
      </c>
      <c r="G201" s="5">
        <f t="shared" si="8"/>
        <v>199</v>
      </c>
    </row>
    <row r="202" spans="1:7" ht="16.8" x14ac:dyDescent="0.3">
      <c r="A202" s="70">
        <f>'BASE MAESTRA'!B208</f>
        <v>200</v>
      </c>
      <c r="B202" s="5">
        <f t="shared" si="9"/>
        <v>0</v>
      </c>
      <c r="F202" s="5">
        <f t="shared" si="8"/>
        <v>0</v>
      </c>
      <c r="G202" s="5">
        <f t="shared" si="8"/>
        <v>200</v>
      </c>
    </row>
  </sheetData>
  <customSheetViews>
    <customSheetView guid="{03A28D0E-D221-430C-9036-787CFB666EE7}">
      <selection activeCell="A3" sqref="A3:A138"/>
      <pageMargins left="0.7" right="0.7" top="0.75" bottom="0.75" header="0.3" footer="0.3"/>
    </customSheetView>
  </customSheetView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202"/>
  <sheetViews>
    <sheetView zoomScaleNormal="100" workbookViewId="0"/>
  </sheetViews>
  <sheetFormatPr defaultColWidth="11.44140625" defaultRowHeight="13.2" x14ac:dyDescent="0.3"/>
  <cols>
    <col min="1" max="1" width="11.44140625" style="22"/>
    <col min="2" max="2" width="20.33203125" style="5" customWidth="1"/>
    <col min="3" max="3" width="17" style="5" customWidth="1"/>
    <col min="4" max="16384" width="11.44140625" style="5"/>
  </cols>
  <sheetData>
    <row r="1" spans="1:4" s="6" customFormat="1" ht="52.8" x14ac:dyDescent="0.3">
      <c r="A1" s="21" t="s">
        <v>310</v>
      </c>
      <c r="B1" s="2" t="s">
        <v>249</v>
      </c>
      <c r="C1" s="2" t="s">
        <v>250</v>
      </c>
      <c r="D1" s="2" t="s">
        <v>8</v>
      </c>
    </row>
    <row r="2" spans="1:4" s="22" customFormat="1" ht="26.4" x14ac:dyDescent="0.3">
      <c r="A2" s="21" t="s">
        <v>323</v>
      </c>
      <c r="B2" s="21">
        <f>VLOOKUP(B1,CamposSIS,2,FALSE)</f>
        <v>23</v>
      </c>
      <c r="C2" s="21">
        <f>VLOOKUP(C1,CamposSIS,2,FALSE)</f>
        <v>24</v>
      </c>
      <c r="D2" s="21">
        <f>VLOOKUP(D1,CamposSIS,2,FALSE)</f>
        <v>1</v>
      </c>
    </row>
    <row r="3" spans="1:4" ht="16.8" x14ac:dyDescent="0.3">
      <c r="A3" s="70" t="str">
        <f>'BASE MAESTRA'!B7</f>
        <v>3</v>
      </c>
      <c r="B3" s="5" t="str">
        <f t="shared" ref="B3:D21" si="0">VLOOKUP($A3,DatosEspecies,B$2,FALSE)</f>
        <v>F, PT, E</v>
      </c>
      <c r="C3" s="5" t="str">
        <f t="shared" si="0"/>
        <v>Forb, Fern, Epiphyte</v>
      </c>
      <c r="D3" s="5" t="str">
        <f t="shared" si="0"/>
        <v>3</v>
      </c>
    </row>
    <row r="4" spans="1:4" ht="16.8" x14ac:dyDescent="0.3">
      <c r="A4" s="70" t="str">
        <f>'BASE MAESTRA'!B8</f>
        <v>4</v>
      </c>
      <c r="B4" s="5" t="str">
        <f t="shared" si="0"/>
        <v>F, PT, E, L</v>
      </c>
      <c r="C4" s="5" t="str">
        <f t="shared" si="0"/>
        <v>Forb, Fern, Epiphyte, Lithophyte</v>
      </c>
      <c r="D4" s="5" t="str">
        <f t="shared" si="0"/>
        <v>4</v>
      </c>
    </row>
    <row r="5" spans="1:4" ht="16.8" x14ac:dyDescent="0.3">
      <c r="A5" s="70" t="str">
        <f>'BASE MAESTRA'!B10</f>
        <v>6</v>
      </c>
      <c r="B5" s="5" t="str">
        <f t="shared" si="0"/>
        <v>F, PT</v>
      </c>
      <c r="C5" s="5" t="str">
        <f t="shared" si="0"/>
        <v>Forb, Fern</v>
      </c>
      <c r="D5" s="5" t="str">
        <f t="shared" si="0"/>
        <v>6</v>
      </c>
    </row>
    <row r="6" spans="1:4" ht="16.8" x14ac:dyDescent="0.3">
      <c r="A6" s="70" t="str">
        <f>'BASE MAESTRA'!B11</f>
        <v>7</v>
      </c>
      <c r="B6" s="5" t="str">
        <f t="shared" si="0"/>
        <v>F, PT, E, L</v>
      </c>
      <c r="C6" s="5" t="str">
        <f t="shared" si="0"/>
        <v>Forb, Fern, Epiphyte, Lithophyte</v>
      </c>
      <c r="D6" s="5" t="str">
        <f t="shared" si="0"/>
        <v>7</v>
      </c>
    </row>
    <row r="7" spans="1:4" ht="16.8" x14ac:dyDescent="0.3">
      <c r="A7" s="70" t="str">
        <f>'BASE MAESTRA'!B12</f>
        <v>8</v>
      </c>
      <c r="B7" s="5" t="str">
        <f t="shared" si="0"/>
        <v>F, PT, E, L</v>
      </c>
      <c r="C7" s="5" t="str">
        <f t="shared" si="0"/>
        <v>Forb, Fern, Epiphyte, Lithophyte</v>
      </c>
      <c r="D7" s="5" t="str">
        <f t="shared" si="0"/>
        <v>8</v>
      </c>
    </row>
    <row r="8" spans="1:4" ht="16.8" x14ac:dyDescent="0.3">
      <c r="A8" s="70" t="str">
        <f>'BASE MAESTRA'!B13</f>
        <v>9</v>
      </c>
      <c r="B8" s="5" t="str">
        <f t="shared" si="0"/>
        <v>F, PT, E, L</v>
      </c>
      <c r="C8" s="5" t="str">
        <f t="shared" si="0"/>
        <v>Forb, Fern, Epiphyte, Lithophyte</v>
      </c>
      <c r="D8" s="5" t="str">
        <f t="shared" si="0"/>
        <v>9</v>
      </c>
    </row>
    <row r="9" spans="1:4" ht="16.8" x14ac:dyDescent="0.3">
      <c r="A9" s="70" t="str">
        <f>'BASE MAESTRA'!B14</f>
        <v>10</v>
      </c>
      <c r="B9" s="5" t="str">
        <f t="shared" si="0"/>
        <v>PT, E</v>
      </c>
      <c r="C9" s="5" t="str">
        <f t="shared" si="0"/>
        <v>Fern, Epiphyte</v>
      </c>
      <c r="D9" s="5" t="str">
        <f t="shared" si="0"/>
        <v>10</v>
      </c>
    </row>
    <row r="10" spans="1:4" ht="16.8" x14ac:dyDescent="0.3">
      <c r="A10" s="70" t="str">
        <f>'BASE MAESTRA'!B15</f>
        <v>11</v>
      </c>
      <c r="B10" s="5" t="str">
        <f t="shared" si="0"/>
        <v>F, PT, E, L</v>
      </c>
      <c r="C10" s="5" t="str">
        <f t="shared" si="0"/>
        <v>Forb, Fern, Epiphyte, Lithophyte</v>
      </c>
      <c r="D10" s="5" t="str">
        <f t="shared" si="0"/>
        <v>11</v>
      </c>
    </row>
    <row r="11" spans="1:4" ht="16.8" x14ac:dyDescent="0.3">
      <c r="A11" s="70" t="str">
        <f>'BASE MAESTRA'!B16</f>
        <v>12</v>
      </c>
      <c r="B11" s="5" t="str">
        <f t="shared" si="0"/>
        <v>F, PT, E, L</v>
      </c>
      <c r="C11" s="5" t="str">
        <f t="shared" si="0"/>
        <v>Forb, Fern, Epiphyte, Lithophyte</v>
      </c>
      <c r="D11" s="5" t="str">
        <f t="shared" si="0"/>
        <v>12</v>
      </c>
    </row>
    <row r="12" spans="1:4" ht="16.8" x14ac:dyDescent="0.3">
      <c r="A12" s="70" t="str">
        <f>'BASE MAESTRA'!B17</f>
        <v>13</v>
      </c>
      <c r="B12" s="5" t="str">
        <f t="shared" si="0"/>
        <v>F, PT, E, L</v>
      </c>
      <c r="C12" s="5" t="str">
        <f t="shared" si="0"/>
        <v>Forb, Fern, Epiphyte, Lithophyte</v>
      </c>
      <c r="D12" s="5" t="str">
        <f t="shared" si="0"/>
        <v>13</v>
      </c>
    </row>
    <row r="13" spans="1:4" ht="16.8" x14ac:dyDescent="0.3">
      <c r="A13" s="70" t="str">
        <f>'BASE MAESTRA'!B18</f>
        <v>14</v>
      </c>
      <c r="B13" s="5" t="str">
        <f t="shared" si="0"/>
        <v>F, PT, E</v>
      </c>
      <c r="C13" s="5" t="str">
        <f t="shared" si="0"/>
        <v>Forb, Fern, Epiphyte</v>
      </c>
      <c r="D13" s="5" t="str">
        <f t="shared" si="0"/>
        <v>14</v>
      </c>
    </row>
    <row r="14" spans="1:4" ht="16.8" x14ac:dyDescent="0.3">
      <c r="A14" s="70" t="str">
        <f>'BASE MAESTRA'!B19</f>
        <v>15</v>
      </c>
      <c r="B14" s="5" t="str">
        <f t="shared" si="0"/>
        <v>F, PT, E</v>
      </c>
      <c r="C14" s="5" t="str">
        <f t="shared" si="0"/>
        <v>Forb, Fern, Epiphyte</v>
      </c>
      <c r="D14" s="5" t="str">
        <f t="shared" si="0"/>
        <v>15</v>
      </c>
    </row>
    <row r="15" spans="1:4" ht="16.8" x14ac:dyDescent="0.3">
      <c r="A15" s="70" t="str">
        <f>'BASE MAESTRA'!B20</f>
        <v>16</v>
      </c>
      <c r="B15" s="5" t="str">
        <f t="shared" si="0"/>
        <v>F, PT, E</v>
      </c>
      <c r="C15" s="5" t="str">
        <f t="shared" si="0"/>
        <v>Forb, Fern, Epiphyte</v>
      </c>
      <c r="D15" s="5" t="str">
        <f t="shared" si="0"/>
        <v>16</v>
      </c>
    </row>
    <row r="16" spans="1:4" ht="16.8" x14ac:dyDescent="0.3">
      <c r="A16" s="70" t="str">
        <f>'BASE MAESTRA'!B21</f>
        <v>17</v>
      </c>
      <c r="B16" s="5" t="str">
        <f t="shared" si="0"/>
        <v>F, PT, E</v>
      </c>
      <c r="C16" s="5" t="str">
        <f t="shared" si="0"/>
        <v>Forb, Fern, Epiphyte</v>
      </c>
      <c r="D16" s="5" t="str">
        <f t="shared" si="0"/>
        <v>17</v>
      </c>
    </row>
    <row r="17" spans="1:4" ht="16.8" x14ac:dyDescent="0.3">
      <c r="A17" s="70" t="str">
        <f>'BASE MAESTRA'!B22</f>
        <v>18</v>
      </c>
      <c r="B17" s="5" t="str">
        <f t="shared" si="0"/>
        <v>F, PT, E</v>
      </c>
      <c r="C17" s="5" t="str">
        <f t="shared" si="0"/>
        <v>Forb, Fern, Epiphyte</v>
      </c>
      <c r="D17" s="5" t="str">
        <f t="shared" si="0"/>
        <v>18</v>
      </c>
    </row>
    <row r="18" spans="1:4" ht="16.8" x14ac:dyDescent="0.3">
      <c r="A18" s="70" t="str">
        <f>'BASE MAESTRA'!B23</f>
        <v>19</v>
      </c>
      <c r="B18" s="5" t="str">
        <f t="shared" si="0"/>
        <v>F, PT, E, L</v>
      </c>
      <c r="C18" s="5" t="str">
        <f t="shared" si="0"/>
        <v>Forb, Fern, Epiphyte, Lithophyte</v>
      </c>
      <c r="D18" s="5" t="str">
        <f t="shared" si="0"/>
        <v>19</v>
      </c>
    </row>
    <row r="19" spans="1:4" ht="16.8" x14ac:dyDescent="0.3">
      <c r="A19" s="70" t="str">
        <f>'BASE MAESTRA'!B25</f>
        <v>20</v>
      </c>
      <c r="B19" s="5" t="str">
        <f t="shared" si="0"/>
        <v>F, PT, E, L</v>
      </c>
      <c r="C19" s="5" t="str">
        <f t="shared" si="0"/>
        <v>Forb, Fern, Epiphyte, Lithophyte</v>
      </c>
      <c r="D19" s="5" t="str">
        <f t="shared" si="0"/>
        <v>20</v>
      </c>
    </row>
    <row r="20" spans="1:4" ht="16.8" x14ac:dyDescent="0.3">
      <c r="A20" s="70" t="str">
        <f>'BASE MAESTRA'!B26</f>
        <v>21</v>
      </c>
      <c r="B20" s="5" t="str">
        <f t="shared" si="0"/>
        <v>F, PT, E, L</v>
      </c>
      <c r="C20" s="5" t="str">
        <f t="shared" si="0"/>
        <v>Forb, Fern, Epiphyte, Lithophyte</v>
      </c>
      <c r="D20" s="5" t="str">
        <f t="shared" si="0"/>
        <v>21</v>
      </c>
    </row>
    <row r="21" spans="1:4" ht="16.8" x14ac:dyDescent="0.3">
      <c r="A21" s="70" t="str">
        <f>'BASE MAESTRA'!B27</f>
        <v>22</v>
      </c>
      <c r="B21" s="5" t="str">
        <f t="shared" si="0"/>
        <v>F, PT, E, L</v>
      </c>
      <c r="C21" s="5" t="str">
        <f t="shared" si="0"/>
        <v>Forb, Fern, Epiphyte, Lithophyte</v>
      </c>
      <c r="D21" s="5" t="str">
        <f t="shared" si="0"/>
        <v>22</v>
      </c>
    </row>
    <row r="22" spans="1:4" ht="16.8" x14ac:dyDescent="0.3">
      <c r="A22" s="70" t="str">
        <f>'BASE MAESTRA'!B28</f>
        <v>23</v>
      </c>
      <c r="B22" s="5" t="str">
        <f t="shared" ref="B22:D41" si="1">VLOOKUP($A22,DatosEspecies,B$2,FALSE)</f>
        <v>PT, E</v>
      </c>
      <c r="C22" s="5" t="str">
        <f t="shared" si="1"/>
        <v>Fern, Epiphyte</v>
      </c>
      <c r="D22" s="5" t="str">
        <f t="shared" si="1"/>
        <v>23</v>
      </c>
    </row>
    <row r="23" spans="1:4" ht="16.8" x14ac:dyDescent="0.3">
      <c r="A23" s="70" t="str">
        <f>'BASE MAESTRA'!B29</f>
        <v>24</v>
      </c>
      <c r="B23" s="5">
        <f t="shared" si="1"/>
        <v>0</v>
      </c>
      <c r="C23" s="5">
        <f t="shared" si="1"/>
        <v>0</v>
      </c>
      <c r="D23" s="5" t="str">
        <f t="shared" si="1"/>
        <v>24</v>
      </c>
    </row>
    <row r="24" spans="1:4" ht="16.8" x14ac:dyDescent="0.3">
      <c r="A24" s="70" t="str">
        <f>'BASE MAESTRA'!B30</f>
        <v>25</v>
      </c>
      <c r="B24" s="5">
        <f t="shared" si="1"/>
        <v>0</v>
      </c>
      <c r="C24" s="5">
        <f t="shared" si="1"/>
        <v>0</v>
      </c>
      <c r="D24" s="5" t="str">
        <f t="shared" si="1"/>
        <v>25</v>
      </c>
    </row>
    <row r="25" spans="1:4" ht="16.8" x14ac:dyDescent="0.3">
      <c r="A25" s="70" t="str">
        <f>'BASE MAESTRA'!B31</f>
        <v>26</v>
      </c>
      <c r="B25" s="5">
        <f t="shared" si="1"/>
        <v>0</v>
      </c>
      <c r="C25" s="5">
        <f t="shared" si="1"/>
        <v>0</v>
      </c>
      <c r="D25" s="5" t="str">
        <f t="shared" si="1"/>
        <v>26</v>
      </c>
    </row>
    <row r="26" spans="1:4" ht="16.8" x14ac:dyDescent="0.3">
      <c r="A26" s="70" t="str">
        <f>'BASE MAESTRA'!B32</f>
        <v>27</v>
      </c>
      <c r="B26" s="5">
        <f t="shared" si="1"/>
        <v>0</v>
      </c>
      <c r="C26" s="5">
        <f t="shared" si="1"/>
        <v>0</v>
      </c>
      <c r="D26" s="5" t="str">
        <f t="shared" si="1"/>
        <v>27</v>
      </c>
    </row>
    <row r="27" spans="1:4" ht="16.8" x14ac:dyDescent="0.3">
      <c r="A27" s="70" t="str">
        <f>'BASE MAESTRA'!B33</f>
        <v>28</v>
      </c>
      <c r="B27" s="5">
        <f t="shared" si="1"/>
        <v>0</v>
      </c>
      <c r="C27" s="5">
        <f t="shared" si="1"/>
        <v>0</v>
      </c>
      <c r="D27" s="5" t="str">
        <f t="shared" si="1"/>
        <v>28</v>
      </c>
    </row>
    <row r="28" spans="1:4" ht="16.8" x14ac:dyDescent="0.3">
      <c r="A28" s="70" t="str">
        <f>'BASE MAESTRA'!B34</f>
        <v>29</v>
      </c>
      <c r="B28" s="5">
        <f t="shared" si="1"/>
        <v>0</v>
      </c>
      <c r="C28" s="5">
        <f t="shared" si="1"/>
        <v>0</v>
      </c>
      <c r="D28" s="5" t="str">
        <f t="shared" si="1"/>
        <v>29</v>
      </c>
    </row>
    <row r="29" spans="1:4" ht="16.8" x14ac:dyDescent="0.3">
      <c r="A29" s="70" t="str">
        <f>'BASE MAESTRA'!B35</f>
        <v>30</v>
      </c>
      <c r="B29" s="5">
        <f t="shared" si="1"/>
        <v>0</v>
      </c>
      <c r="C29" s="5">
        <f t="shared" si="1"/>
        <v>0</v>
      </c>
      <c r="D29" s="5" t="str">
        <f t="shared" si="1"/>
        <v>30</v>
      </c>
    </row>
    <row r="30" spans="1:4" ht="16.8" x14ac:dyDescent="0.3">
      <c r="A30" s="70" t="str">
        <f>'BASE MAESTRA'!B36</f>
        <v>31</v>
      </c>
      <c r="B30" s="5">
        <f t="shared" si="1"/>
        <v>0</v>
      </c>
      <c r="C30" s="5">
        <f t="shared" si="1"/>
        <v>0</v>
      </c>
      <c r="D30" s="5" t="str">
        <f t="shared" si="1"/>
        <v>31</v>
      </c>
    </row>
    <row r="31" spans="1:4" ht="16.8" x14ac:dyDescent="0.3">
      <c r="A31" s="70" t="str">
        <f>'BASE MAESTRA'!B37</f>
        <v>32</v>
      </c>
      <c r="B31" s="5">
        <f t="shared" si="1"/>
        <v>0</v>
      </c>
      <c r="C31" s="5">
        <f t="shared" si="1"/>
        <v>0</v>
      </c>
      <c r="D31" s="5" t="str">
        <f t="shared" si="1"/>
        <v>32</v>
      </c>
    </row>
    <row r="32" spans="1:4" ht="16.8" x14ac:dyDescent="0.3">
      <c r="A32" s="70" t="str">
        <f>'BASE MAESTRA'!B38</f>
        <v>33</v>
      </c>
      <c r="B32" s="5">
        <f t="shared" si="1"/>
        <v>0</v>
      </c>
      <c r="C32" s="5">
        <f t="shared" si="1"/>
        <v>0</v>
      </c>
      <c r="D32" s="5" t="str">
        <f t="shared" si="1"/>
        <v>33</v>
      </c>
    </row>
    <row r="33" spans="1:4" ht="16.8" x14ac:dyDescent="0.3">
      <c r="A33" s="70" t="str">
        <f>'BASE MAESTRA'!B39</f>
        <v>34</v>
      </c>
      <c r="B33" s="5">
        <f t="shared" si="1"/>
        <v>0</v>
      </c>
      <c r="C33" s="5">
        <f t="shared" si="1"/>
        <v>0</v>
      </c>
      <c r="D33" s="5" t="str">
        <f t="shared" si="1"/>
        <v>34</v>
      </c>
    </row>
    <row r="34" spans="1:4" ht="16.8" x14ac:dyDescent="0.3">
      <c r="A34" s="70" t="str">
        <f>'BASE MAESTRA'!B40</f>
        <v>35</v>
      </c>
      <c r="B34" s="5">
        <f t="shared" si="1"/>
        <v>0</v>
      </c>
      <c r="C34" s="5">
        <f t="shared" si="1"/>
        <v>0</v>
      </c>
      <c r="D34" s="5" t="str">
        <f t="shared" si="1"/>
        <v>35</v>
      </c>
    </row>
    <row r="35" spans="1:4" ht="16.8" x14ac:dyDescent="0.3">
      <c r="A35" s="70" t="str">
        <f>'BASE MAESTRA'!B41</f>
        <v>36</v>
      </c>
      <c r="B35" s="5">
        <f t="shared" si="1"/>
        <v>0</v>
      </c>
      <c r="C35" s="5">
        <f t="shared" si="1"/>
        <v>0</v>
      </c>
      <c r="D35" s="5" t="str">
        <f t="shared" si="1"/>
        <v>36</v>
      </c>
    </row>
    <row r="36" spans="1:4" ht="16.8" x14ac:dyDescent="0.3">
      <c r="A36" s="70" t="str">
        <f>'BASE MAESTRA'!B42</f>
        <v>37</v>
      </c>
      <c r="B36" s="5">
        <f t="shared" si="1"/>
        <v>0</v>
      </c>
      <c r="C36" s="5">
        <f t="shared" si="1"/>
        <v>0</v>
      </c>
      <c r="D36" s="5" t="str">
        <f t="shared" si="1"/>
        <v>37</v>
      </c>
    </row>
    <row r="37" spans="1:4" ht="16.8" x14ac:dyDescent="0.3">
      <c r="A37" s="70" t="str">
        <f>'BASE MAESTRA'!B43</f>
        <v>38</v>
      </c>
      <c r="B37" s="5">
        <f t="shared" si="1"/>
        <v>0</v>
      </c>
      <c r="C37" s="5">
        <f t="shared" si="1"/>
        <v>0</v>
      </c>
      <c r="D37" s="5" t="str">
        <f t="shared" si="1"/>
        <v>38</v>
      </c>
    </row>
    <row r="38" spans="1:4" ht="16.8" x14ac:dyDescent="0.3">
      <c r="A38" s="70" t="str">
        <f>'BASE MAESTRA'!B44</f>
        <v>39</v>
      </c>
      <c r="B38" s="5">
        <f t="shared" si="1"/>
        <v>0</v>
      </c>
      <c r="C38" s="5">
        <f t="shared" si="1"/>
        <v>0</v>
      </c>
      <c r="D38" s="5" t="str">
        <f t="shared" si="1"/>
        <v>39</v>
      </c>
    </row>
    <row r="39" spans="1:4" ht="16.8" x14ac:dyDescent="0.3">
      <c r="A39" s="70">
        <f>'BASE MAESTRA'!B45</f>
        <v>37</v>
      </c>
      <c r="B39" s="5">
        <f t="shared" si="1"/>
        <v>0</v>
      </c>
      <c r="C39" s="5">
        <f t="shared" si="1"/>
        <v>0</v>
      </c>
      <c r="D39" s="5">
        <f t="shared" si="1"/>
        <v>37</v>
      </c>
    </row>
    <row r="40" spans="1:4" ht="16.8" x14ac:dyDescent="0.3">
      <c r="A40" s="70">
        <f>'BASE MAESTRA'!B46</f>
        <v>38</v>
      </c>
      <c r="B40" s="5">
        <f t="shared" si="1"/>
        <v>0</v>
      </c>
      <c r="C40" s="5">
        <f t="shared" si="1"/>
        <v>0</v>
      </c>
      <c r="D40" s="5">
        <f t="shared" si="1"/>
        <v>38</v>
      </c>
    </row>
    <row r="41" spans="1:4" ht="16.8" x14ac:dyDescent="0.3">
      <c r="A41" s="70">
        <f>'BASE MAESTRA'!B47</f>
        <v>39</v>
      </c>
      <c r="B41" s="5">
        <f t="shared" si="1"/>
        <v>0</v>
      </c>
      <c r="C41" s="5">
        <f t="shared" si="1"/>
        <v>0</v>
      </c>
      <c r="D41" s="5">
        <f t="shared" si="1"/>
        <v>39</v>
      </c>
    </row>
    <row r="42" spans="1:4" ht="16.8" x14ac:dyDescent="0.3">
      <c r="A42" s="70">
        <f>'BASE MAESTRA'!B48</f>
        <v>40</v>
      </c>
      <c r="B42" s="5">
        <f t="shared" ref="B42:D61" si="2">VLOOKUP($A42,DatosEspecies,B$2,FALSE)</f>
        <v>0</v>
      </c>
      <c r="C42" s="5">
        <f t="shared" si="2"/>
        <v>0</v>
      </c>
      <c r="D42" s="5">
        <f t="shared" si="2"/>
        <v>40</v>
      </c>
    </row>
    <row r="43" spans="1:4" ht="16.8" x14ac:dyDescent="0.3">
      <c r="A43" s="70">
        <f>'BASE MAESTRA'!B49</f>
        <v>41</v>
      </c>
      <c r="B43" s="5">
        <f t="shared" si="2"/>
        <v>0</v>
      </c>
      <c r="C43" s="5">
        <f t="shared" si="2"/>
        <v>0</v>
      </c>
      <c r="D43" s="5">
        <f t="shared" si="2"/>
        <v>41</v>
      </c>
    </row>
    <row r="44" spans="1:4" ht="16.8" x14ac:dyDescent="0.3">
      <c r="A44" s="70">
        <f>'BASE MAESTRA'!B50</f>
        <v>42</v>
      </c>
      <c r="B44" s="5">
        <f t="shared" si="2"/>
        <v>0</v>
      </c>
      <c r="C44" s="5">
        <f t="shared" si="2"/>
        <v>0</v>
      </c>
      <c r="D44" s="5">
        <f t="shared" si="2"/>
        <v>42</v>
      </c>
    </row>
    <row r="45" spans="1:4" ht="16.8" x14ac:dyDescent="0.3">
      <c r="A45" s="70">
        <f>'BASE MAESTRA'!B51</f>
        <v>43</v>
      </c>
      <c r="B45" s="5">
        <f t="shared" si="2"/>
        <v>0</v>
      </c>
      <c r="C45" s="5">
        <f t="shared" si="2"/>
        <v>0</v>
      </c>
      <c r="D45" s="5">
        <f t="shared" si="2"/>
        <v>43</v>
      </c>
    </row>
    <row r="46" spans="1:4" ht="16.8" x14ac:dyDescent="0.3">
      <c r="A46" s="70">
        <f>'BASE MAESTRA'!B52</f>
        <v>44</v>
      </c>
      <c r="B46" s="5">
        <f t="shared" si="2"/>
        <v>0</v>
      </c>
      <c r="C46" s="5">
        <f t="shared" si="2"/>
        <v>0</v>
      </c>
      <c r="D46" s="5">
        <f t="shared" si="2"/>
        <v>44</v>
      </c>
    </row>
    <row r="47" spans="1:4" ht="16.8" x14ac:dyDescent="0.3">
      <c r="A47" s="70">
        <f>'BASE MAESTRA'!B53</f>
        <v>45</v>
      </c>
      <c r="B47" s="5">
        <f t="shared" si="2"/>
        <v>0</v>
      </c>
      <c r="C47" s="5">
        <f t="shared" si="2"/>
        <v>0</v>
      </c>
      <c r="D47" s="5">
        <f t="shared" si="2"/>
        <v>45</v>
      </c>
    </row>
    <row r="48" spans="1:4" ht="16.8" x14ac:dyDescent="0.3">
      <c r="A48" s="70">
        <f>'BASE MAESTRA'!B54</f>
        <v>46</v>
      </c>
      <c r="B48" s="5">
        <f t="shared" si="2"/>
        <v>0</v>
      </c>
      <c r="C48" s="5">
        <f t="shared" si="2"/>
        <v>0</v>
      </c>
      <c r="D48" s="5">
        <f t="shared" si="2"/>
        <v>46</v>
      </c>
    </row>
    <row r="49" spans="1:4" ht="16.8" x14ac:dyDescent="0.3">
      <c r="A49" s="70">
        <f>'BASE MAESTRA'!B55</f>
        <v>47</v>
      </c>
      <c r="B49" s="5">
        <f t="shared" si="2"/>
        <v>0</v>
      </c>
      <c r="C49" s="5">
        <f t="shared" si="2"/>
        <v>0</v>
      </c>
      <c r="D49" s="5">
        <f t="shared" si="2"/>
        <v>47</v>
      </c>
    </row>
    <row r="50" spans="1:4" ht="16.8" x14ac:dyDescent="0.3">
      <c r="A50" s="70">
        <f>'BASE MAESTRA'!B56</f>
        <v>48</v>
      </c>
      <c r="B50" s="5">
        <f t="shared" si="2"/>
        <v>0</v>
      </c>
      <c r="C50" s="5">
        <f t="shared" si="2"/>
        <v>0</v>
      </c>
      <c r="D50" s="5">
        <f t="shared" si="2"/>
        <v>48</v>
      </c>
    </row>
    <row r="51" spans="1:4" ht="16.8" x14ac:dyDescent="0.3">
      <c r="A51" s="70">
        <f>'BASE MAESTRA'!B57</f>
        <v>49</v>
      </c>
      <c r="B51" s="5">
        <f t="shared" si="2"/>
        <v>0</v>
      </c>
      <c r="C51" s="5">
        <f t="shared" si="2"/>
        <v>0</v>
      </c>
      <c r="D51" s="5">
        <f t="shared" si="2"/>
        <v>49</v>
      </c>
    </row>
    <row r="52" spans="1:4" ht="16.8" x14ac:dyDescent="0.3">
      <c r="A52" s="70">
        <f>'BASE MAESTRA'!B58</f>
        <v>50</v>
      </c>
      <c r="B52" s="5">
        <f t="shared" si="2"/>
        <v>0</v>
      </c>
      <c r="C52" s="5">
        <f t="shared" si="2"/>
        <v>0</v>
      </c>
      <c r="D52" s="5">
        <f t="shared" si="2"/>
        <v>50</v>
      </c>
    </row>
    <row r="53" spans="1:4" ht="16.8" x14ac:dyDescent="0.3">
      <c r="A53" s="70">
        <f>'BASE MAESTRA'!B59</f>
        <v>51</v>
      </c>
      <c r="B53" s="5">
        <f t="shared" si="2"/>
        <v>0</v>
      </c>
      <c r="C53" s="5">
        <f t="shared" si="2"/>
        <v>0</v>
      </c>
      <c r="D53" s="5">
        <f t="shared" si="2"/>
        <v>51</v>
      </c>
    </row>
    <row r="54" spans="1:4" ht="16.8" x14ac:dyDescent="0.3">
      <c r="A54" s="70">
        <f>'BASE MAESTRA'!B60</f>
        <v>52</v>
      </c>
      <c r="B54" s="5">
        <f t="shared" si="2"/>
        <v>0</v>
      </c>
      <c r="C54" s="5">
        <f t="shared" si="2"/>
        <v>0</v>
      </c>
      <c r="D54" s="5">
        <f t="shared" si="2"/>
        <v>52</v>
      </c>
    </row>
    <row r="55" spans="1:4" ht="16.8" x14ac:dyDescent="0.3">
      <c r="A55" s="70">
        <f>'BASE MAESTRA'!B61</f>
        <v>53</v>
      </c>
      <c r="B55" s="5">
        <f t="shared" si="2"/>
        <v>0</v>
      </c>
      <c r="C55" s="5">
        <f t="shared" si="2"/>
        <v>0</v>
      </c>
      <c r="D55" s="5">
        <f t="shared" si="2"/>
        <v>53</v>
      </c>
    </row>
    <row r="56" spans="1:4" ht="16.8" x14ac:dyDescent="0.3">
      <c r="A56" s="70">
        <f>'BASE MAESTRA'!B62</f>
        <v>54</v>
      </c>
      <c r="B56" s="5">
        <f t="shared" si="2"/>
        <v>0</v>
      </c>
      <c r="C56" s="5">
        <f t="shared" si="2"/>
        <v>0</v>
      </c>
      <c r="D56" s="5">
        <f t="shared" si="2"/>
        <v>54</v>
      </c>
    </row>
    <row r="57" spans="1:4" ht="16.8" x14ac:dyDescent="0.3">
      <c r="A57" s="70">
        <f>'BASE MAESTRA'!B63</f>
        <v>55</v>
      </c>
      <c r="B57" s="5">
        <f t="shared" si="2"/>
        <v>0</v>
      </c>
      <c r="C57" s="5">
        <f t="shared" si="2"/>
        <v>0</v>
      </c>
      <c r="D57" s="5">
        <f t="shared" si="2"/>
        <v>55</v>
      </c>
    </row>
    <row r="58" spans="1:4" ht="16.8" x14ac:dyDescent="0.3">
      <c r="A58" s="70">
        <f>'BASE MAESTRA'!B64</f>
        <v>56</v>
      </c>
      <c r="B58" s="5">
        <f t="shared" si="2"/>
        <v>0</v>
      </c>
      <c r="C58" s="5">
        <f t="shared" si="2"/>
        <v>0</v>
      </c>
      <c r="D58" s="5">
        <f t="shared" si="2"/>
        <v>56</v>
      </c>
    </row>
    <row r="59" spans="1:4" ht="16.8" x14ac:dyDescent="0.3">
      <c r="A59" s="70">
        <f>'BASE MAESTRA'!B65</f>
        <v>57</v>
      </c>
      <c r="B59" s="5">
        <f t="shared" si="2"/>
        <v>0</v>
      </c>
      <c r="C59" s="5">
        <f t="shared" si="2"/>
        <v>0</v>
      </c>
      <c r="D59" s="5">
        <f t="shared" si="2"/>
        <v>57</v>
      </c>
    </row>
    <row r="60" spans="1:4" ht="16.8" x14ac:dyDescent="0.3">
      <c r="A60" s="70">
        <f>'BASE MAESTRA'!B66</f>
        <v>58</v>
      </c>
      <c r="B60" s="5">
        <f t="shared" si="2"/>
        <v>0</v>
      </c>
      <c r="C60" s="5">
        <f t="shared" si="2"/>
        <v>0</v>
      </c>
      <c r="D60" s="5">
        <f t="shared" si="2"/>
        <v>58</v>
      </c>
    </row>
    <row r="61" spans="1:4" ht="16.8" x14ac:dyDescent="0.3">
      <c r="A61" s="70">
        <f>'BASE MAESTRA'!B67</f>
        <v>59</v>
      </c>
      <c r="B61" s="5">
        <f t="shared" si="2"/>
        <v>0</v>
      </c>
      <c r="C61" s="5">
        <f t="shared" si="2"/>
        <v>0</v>
      </c>
      <c r="D61" s="5">
        <f t="shared" si="2"/>
        <v>59</v>
      </c>
    </row>
    <row r="62" spans="1:4" ht="16.8" x14ac:dyDescent="0.3">
      <c r="A62" s="70">
        <f>'BASE MAESTRA'!B68</f>
        <v>60</v>
      </c>
      <c r="B62" s="5">
        <f t="shared" ref="B62:D77" si="3">VLOOKUP($A62,DatosEspecies,B$2,FALSE)</f>
        <v>0</v>
      </c>
      <c r="C62" s="5">
        <f t="shared" si="3"/>
        <v>0</v>
      </c>
      <c r="D62" s="5">
        <f t="shared" si="3"/>
        <v>60</v>
      </c>
    </row>
    <row r="63" spans="1:4" ht="16.8" x14ac:dyDescent="0.3">
      <c r="A63" s="70">
        <f>'BASE MAESTRA'!B69</f>
        <v>61</v>
      </c>
      <c r="B63" s="5">
        <f t="shared" si="3"/>
        <v>0</v>
      </c>
      <c r="C63" s="5">
        <f t="shared" si="3"/>
        <v>0</v>
      </c>
      <c r="D63" s="5">
        <f t="shared" si="3"/>
        <v>61</v>
      </c>
    </row>
    <row r="64" spans="1:4" ht="16.8" x14ac:dyDescent="0.3">
      <c r="A64" s="70">
        <f>'BASE MAESTRA'!B70</f>
        <v>62</v>
      </c>
      <c r="B64" s="5">
        <f t="shared" si="3"/>
        <v>0</v>
      </c>
      <c r="C64" s="5">
        <f t="shared" si="3"/>
        <v>0</v>
      </c>
      <c r="D64" s="5">
        <f t="shared" si="3"/>
        <v>62</v>
      </c>
    </row>
    <row r="65" spans="1:4" ht="16.8" x14ac:dyDescent="0.3">
      <c r="A65" s="70">
        <f>'BASE MAESTRA'!B71</f>
        <v>63</v>
      </c>
      <c r="B65" s="5">
        <f t="shared" si="3"/>
        <v>0</v>
      </c>
      <c r="C65" s="5">
        <f t="shared" si="3"/>
        <v>0</v>
      </c>
      <c r="D65" s="5">
        <f t="shared" si="3"/>
        <v>63</v>
      </c>
    </row>
    <row r="66" spans="1:4" ht="16.8" x14ac:dyDescent="0.3">
      <c r="A66" s="70">
        <f>'BASE MAESTRA'!B72</f>
        <v>64</v>
      </c>
      <c r="B66" s="5">
        <f t="shared" si="3"/>
        <v>0</v>
      </c>
      <c r="C66" s="5">
        <f t="shared" si="3"/>
        <v>0</v>
      </c>
      <c r="D66" s="5">
        <f t="shared" si="3"/>
        <v>64</v>
      </c>
    </row>
    <row r="67" spans="1:4" ht="16.8" x14ac:dyDescent="0.3">
      <c r="A67" s="70">
        <f>'BASE MAESTRA'!B73</f>
        <v>65</v>
      </c>
      <c r="B67" s="5">
        <f t="shared" si="3"/>
        <v>0</v>
      </c>
      <c r="C67" s="5">
        <f t="shared" si="3"/>
        <v>0</v>
      </c>
      <c r="D67" s="5">
        <f t="shared" si="3"/>
        <v>65</v>
      </c>
    </row>
    <row r="68" spans="1:4" ht="16.8" x14ac:dyDescent="0.3">
      <c r="A68" s="70">
        <f>'BASE MAESTRA'!B74</f>
        <v>66</v>
      </c>
      <c r="B68" s="5">
        <f t="shared" si="3"/>
        <v>0</v>
      </c>
      <c r="C68" s="5">
        <f t="shared" si="3"/>
        <v>0</v>
      </c>
      <c r="D68" s="5">
        <f t="shared" si="3"/>
        <v>66</v>
      </c>
    </row>
    <row r="69" spans="1:4" ht="16.8" x14ac:dyDescent="0.3">
      <c r="A69" s="70">
        <f>'BASE MAESTRA'!B75</f>
        <v>67</v>
      </c>
      <c r="B69" s="5">
        <f t="shared" si="3"/>
        <v>0</v>
      </c>
      <c r="C69" s="5">
        <f t="shared" si="3"/>
        <v>0</v>
      </c>
      <c r="D69" s="5">
        <f t="shared" si="3"/>
        <v>67</v>
      </c>
    </row>
    <row r="70" spans="1:4" ht="16.8" x14ac:dyDescent="0.3">
      <c r="A70" s="70">
        <f>'BASE MAESTRA'!B76</f>
        <v>68</v>
      </c>
      <c r="B70" s="5">
        <f t="shared" si="3"/>
        <v>0</v>
      </c>
      <c r="C70" s="5">
        <f t="shared" si="3"/>
        <v>0</v>
      </c>
      <c r="D70" s="5">
        <f t="shared" si="3"/>
        <v>68</v>
      </c>
    </row>
    <row r="71" spans="1:4" ht="16.8" x14ac:dyDescent="0.3">
      <c r="A71" s="70">
        <f>'BASE MAESTRA'!B77</f>
        <v>69</v>
      </c>
      <c r="B71" s="5">
        <f t="shared" si="3"/>
        <v>0</v>
      </c>
      <c r="C71" s="5">
        <f t="shared" si="3"/>
        <v>0</v>
      </c>
      <c r="D71" s="5">
        <f t="shared" si="3"/>
        <v>69</v>
      </c>
    </row>
    <row r="72" spans="1:4" ht="16.8" x14ac:dyDescent="0.3">
      <c r="A72" s="70">
        <f>'BASE MAESTRA'!B78</f>
        <v>70</v>
      </c>
      <c r="B72" s="5">
        <f t="shared" si="3"/>
        <v>0</v>
      </c>
      <c r="C72" s="5">
        <f t="shared" si="3"/>
        <v>0</v>
      </c>
      <c r="D72" s="5">
        <f t="shared" si="3"/>
        <v>70</v>
      </c>
    </row>
    <row r="73" spans="1:4" ht="16.8" x14ac:dyDescent="0.3">
      <c r="A73" s="70">
        <f>'BASE MAESTRA'!B79</f>
        <v>71</v>
      </c>
      <c r="B73" s="5">
        <f t="shared" si="3"/>
        <v>0</v>
      </c>
      <c r="C73" s="5">
        <f t="shared" si="3"/>
        <v>0</v>
      </c>
      <c r="D73" s="5">
        <f t="shared" si="3"/>
        <v>71</v>
      </c>
    </row>
    <row r="74" spans="1:4" ht="16.8" x14ac:dyDescent="0.3">
      <c r="A74" s="70">
        <f>'BASE MAESTRA'!B80</f>
        <v>72</v>
      </c>
      <c r="B74" s="5">
        <f t="shared" si="3"/>
        <v>0</v>
      </c>
      <c r="C74" s="5">
        <f t="shared" si="3"/>
        <v>0</v>
      </c>
      <c r="D74" s="5">
        <f t="shared" si="3"/>
        <v>72</v>
      </c>
    </row>
    <row r="75" spans="1:4" ht="16.8" x14ac:dyDescent="0.3">
      <c r="A75" s="70">
        <f>'BASE MAESTRA'!B81</f>
        <v>73</v>
      </c>
      <c r="B75" s="5">
        <f t="shared" si="3"/>
        <v>0</v>
      </c>
      <c r="C75" s="5">
        <f t="shared" si="3"/>
        <v>0</v>
      </c>
      <c r="D75" s="5">
        <f t="shared" si="3"/>
        <v>73</v>
      </c>
    </row>
    <row r="76" spans="1:4" ht="16.8" x14ac:dyDescent="0.3">
      <c r="A76" s="70">
        <f>'BASE MAESTRA'!B82</f>
        <v>74</v>
      </c>
      <c r="B76" s="5">
        <f t="shared" si="3"/>
        <v>0</v>
      </c>
      <c r="C76" s="5">
        <f t="shared" si="3"/>
        <v>0</v>
      </c>
      <c r="D76" s="5">
        <f t="shared" si="3"/>
        <v>74</v>
      </c>
    </row>
    <row r="77" spans="1:4" ht="16.8" x14ac:dyDescent="0.3">
      <c r="A77" s="70">
        <f>'BASE MAESTRA'!B83</f>
        <v>75</v>
      </c>
      <c r="B77" s="5">
        <f t="shared" si="3"/>
        <v>0</v>
      </c>
      <c r="C77" s="5">
        <f t="shared" si="3"/>
        <v>0</v>
      </c>
      <c r="D77" s="5">
        <f t="shared" si="3"/>
        <v>75</v>
      </c>
    </row>
    <row r="78" spans="1:4" ht="16.8" x14ac:dyDescent="0.3">
      <c r="A78" s="70">
        <f>'BASE MAESTRA'!B84</f>
        <v>76</v>
      </c>
      <c r="B78" s="5">
        <f t="shared" ref="B78:D141" si="4">VLOOKUP($A78,DatosEspecies,B$2,FALSE)</f>
        <v>0</v>
      </c>
      <c r="C78" s="5">
        <f t="shared" si="4"/>
        <v>0</v>
      </c>
      <c r="D78" s="5">
        <f t="shared" si="4"/>
        <v>76</v>
      </c>
    </row>
    <row r="79" spans="1:4" ht="16.8" x14ac:dyDescent="0.3">
      <c r="A79" s="70">
        <f>'BASE MAESTRA'!B85</f>
        <v>77</v>
      </c>
      <c r="B79" s="5">
        <f t="shared" si="4"/>
        <v>0</v>
      </c>
      <c r="C79" s="5">
        <f t="shared" si="4"/>
        <v>0</v>
      </c>
      <c r="D79" s="5">
        <f t="shared" si="4"/>
        <v>77</v>
      </c>
    </row>
    <row r="80" spans="1:4" ht="16.8" x14ac:dyDescent="0.3">
      <c r="A80" s="70">
        <f>'BASE MAESTRA'!B86</f>
        <v>78</v>
      </c>
      <c r="B80" s="5">
        <f t="shared" si="4"/>
        <v>0</v>
      </c>
      <c r="C80" s="5">
        <f t="shared" si="4"/>
        <v>0</v>
      </c>
      <c r="D80" s="5">
        <f t="shared" si="4"/>
        <v>78</v>
      </c>
    </row>
    <row r="81" spans="1:4" ht="16.8" x14ac:dyDescent="0.3">
      <c r="A81" s="70">
        <f>'BASE MAESTRA'!B87</f>
        <v>79</v>
      </c>
      <c r="B81" s="5">
        <f t="shared" si="4"/>
        <v>0</v>
      </c>
      <c r="C81" s="5">
        <f t="shared" si="4"/>
        <v>0</v>
      </c>
      <c r="D81" s="5">
        <f t="shared" si="4"/>
        <v>79</v>
      </c>
    </row>
    <row r="82" spans="1:4" ht="16.8" x14ac:dyDescent="0.3">
      <c r="A82" s="70">
        <f>'BASE MAESTRA'!B88</f>
        <v>80</v>
      </c>
      <c r="B82" s="5">
        <f t="shared" si="4"/>
        <v>0</v>
      </c>
      <c r="C82" s="5">
        <f t="shared" si="4"/>
        <v>0</v>
      </c>
      <c r="D82" s="5">
        <f t="shared" si="4"/>
        <v>80</v>
      </c>
    </row>
    <row r="83" spans="1:4" ht="16.8" x14ac:dyDescent="0.3">
      <c r="A83" s="70">
        <f>'BASE MAESTRA'!B89</f>
        <v>81</v>
      </c>
      <c r="B83" s="5">
        <f t="shared" si="4"/>
        <v>0</v>
      </c>
      <c r="C83" s="5">
        <f t="shared" si="4"/>
        <v>0</v>
      </c>
      <c r="D83" s="5">
        <f t="shared" si="4"/>
        <v>81</v>
      </c>
    </row>
    <row r="84" spans="1:4" ht="16.8" x14ac:dyDescent="0.3">
      <c r="A84" s="70">
        <f>'BASE MAESTRA'!B90</f>
        <v>82</v>
      </c>
      <c r="B84" s="5">
        <f t="shared" si="4"/>
        <v>0</v>
      </c>
      <c r="C84" s="5">
        <f t="shared" si="4"/>
        <v>0</v>
      </c>
      <c r="D84" s="5">
        <f t="shared" si="4"/>
        <v>82</v>
      </c>
    </row>
    <row r="85" spans="1:4" ht="16.8" x14ac:dyDescent="0.3">
      <c r="A85" s="70">
        <f>'BASE MAESTRA'!B91</f>
        <v>83</v>
      </c>
      <c r="B85" s="5">
        <f t="shared" si="4"/>
        <v>0</v>
      </c>
      <c r="C85" s="5">
        <f t="shared" si="4"/>
        <v>0</v>
      </c>
      <c r="D85" s="5">
        <f t="shared" si="4"/>
        <v>83</v>
      </c>
    </row>
    <row r="86" spans="1:4" ht="16.8" x14ac:dyDescent="0.3">
      <c r="A86" s="70">
        <f>'BASE MAESTRA'!B92</f>
        <v>84</v>
      </c>
      <c r="B86" s="5">
        <f t="shared" si="4"/>
        <v>0</v>
      </c>
      <c r="C86" s="5">
        <f t="shared" si="4"/>
        <v>0</v>
      </c>
      <c r="D86" s="5">
        <f t="shared" si="4"/>
        <v>84</v>
      </c>
    </row>
    <row r="87" spans="1:4" ht="16.8" x14ac:dyDescent="0.3">
      <c r="A87" s="70">
        <f>'BASE MAESTRA'!B93</f>
        <v>85</v>
      </c>
      <c r="B87" s="5">
        <f t="shared" si="4"/>
        <v>0</v>
      </c>
      <c r="C87" s="5">
        <f t="shared" si="4"/>
        <v>0</v>
      </c>
      <c r="D87" s="5">
        <f t="shared" si="4"/>
        <v>85</v>
      </c>
    </row>
    <row r="88" spans="1:4" ht="16.8" x14ac:dyDescent="0.3">
      <c r="A88" s="70">
        <f>'BASE MAESTRA'!B94</f>
        <v>86</v>
      </c>
      <c r="B88" s="5">
        <f t="shared" si="4"/>
        <v>0</v>
      </c>
      <c r="C88" s="5">
        <f t="shared" si="4"/>
        <v>0</v>
      </c>
      <c r="D88" s="5">
        <f t="shared" si="4"/>
        <v>86</v>
      </c>
    </row>
    <row r="89" spans="1:4" ht="16.8" x14ac:dyDescent="0.3">
      <c r="A89" s="70">
        <f>'BASE MAESTRA'!B95</f>
        <v>87</v>
      </c>
      <c r="B89" s="5">
        <f t="shared" si="4"/>
        <v>0</v>
      </c>
      <c r="C89" s="5">
        <f t="shared" si="4"/>
        <v>0</v>
      </c>
      <c r="D89" s="5">
        <f t="shared" si="4"/>
        <v>87</v>
      </c>
    </row>
    <row r="90" spans="1:4" ht="16.8" x14ac:dyDescent="0.3">
      <c r="A90" s="70">
        <f>'BASE MAESTRA'!B96</f>
        <v>88</v>
      </c>
      <c r="B90" s="5">
        <f t="shared" si="4"/>
        <v>0</v>
      </c>
      <c r="C90" s="5">
        <f t="shared" si="4"/>
        <v>0</v>
      </c>
      <c r="D90" s="5">
        <f t="shared" si="4"/>
        <v>88</v>
      </c>
    </row>
    <row r="91" spans="1:4" ht="16.8" x14ac:dyDescent="0.3">
      <c r="A91" s="70">
        <f>'BASE MAESTRA'!B97</f>
        <v>89</v>
      </c>
      <c r="B91" s="5">
        <f t="shared" si="4"/>
        <v>0</v>
      </c>
      <c r="C91" s="5">
        <f t="shared" si="4"/>
        <v>0</v>
      </c>
      <c r="D91" s="5">
        <f t="shared" si="4"/>
        <v>89</v>
      </c>
    </row>
    <row r="92" spans="1:4" ht="16.8" x14ac:dyDescent="0.3">
      <c r="A92" s="70">
        <f>'BASE MAESTRA'!B98</f>
        <v>90</v>
      </c>
      <c r="B92" s="5">
        <f t="shared" si="4"/>
        <v>0</v>
      </c>
      <c r="C92" s="5">
        <f t="shared" si="4"/>
        <v>0</v>
      </c>
      <c r="D92" s="5">
        <f t="shared" si="4"/>
        <v>90</v>
      </c>
    </row>
    <row r="93" spans="1:4" ht="16.8" x14ac:dyDescent="0.3">
      <c r="A93" s="70">
        <f>'BASE MAESTRA'!B99</f>
        <v>91</v>
      </c>
      <c r="B93" s="5">
        <f t="shared" si="4"/>
        <v>0</v>
      </c>
      <c r="C93" s="5">
        <f t="shared" si="4"/>
        <v>0</v>
      </c>
      <c r="D93" s="5">
        <f t="shared" si="4"/>
        <v>91</v>
      </c>
    </row>
    <row r="94" spans="1:4" ht="16.8" x14ac:dyDescent="0.3">
      <c r="A94" s="70">
        <f>'BASE MAESTRA'!B100</f>
        <v>92</v>
      </c>
      <c r="B94" s="5">
        <f t="shared" si="4"/>
        <v>0</v>
      </c>
      <c r="C94" s="5">
        <f t="shared" si="4"/>
        <v>0</v>
      </c>
      <c r="D94" s="5">
        <f t="shared" si="4"/>
        <v>92</v>
      </c>
    </row>
    <row r="95" spans="1:4" ht="16.8" x14ac:dyDescent="0.3">
      <c r="A95" s="70">
        <f>'BASE MAESTRA'!B101</f>
        <v>93</v>
      </c>
      <c r="B95" s="5">
        <f t="shared" si="4"/>
        <v>0</v>
      </c>
      <c r="C95" s="5">
        <f t="shared" si="4"/>
        <v>0</v>
      </c>
      <c r="D95" s="5">
        <f t="shared" si="4"/>
        <v>93</v>
      </c>
    </row>
    <row r="96" spans="1:4" ht="16.8" x14ac:dyDescent="0.3">
      <c r="A96" s="70">
        <f>'BASE MAESTRA'!B102</f>
        <v>94</v>
      </c>
      <c r="B96" s="5">
        <f t="shared" si="4"/>
        <v>0</v>
      </c>
      <c r="C96" s="5">
        <f t="shared" si="4"/>
        <v>0</v>
      </c>
      <c r="D96" s="5">
        <f t="shared" si="4"/>
        <v>94</v>
      </c>
    </row>
    <row r="97" spans="1:4" ht="16.8" x14ac:dyDescent="0.3">
      <c r="A97" s="70">
        <f>'BASE MAESTRA'!B103</f>
        <v>95</v>
      </c>
      <c r="B97" s="5">
        <f t="shared" si="4"/>
        <v>0</v>
      </c>
      <c r="C97" s="5">
        <f t="shared" si="4"/>
        <v>0</v>
      </c>
      <c r="D97" s="5">
        <f t="shared" si="4"/>
        <v>95</v>
      </c>
    </row>
    <row r="98" spans="1:4" ht="16.8" x14ac:dyDescent="0.3">
      <c r="A98" s="70">
        <f>'BASE MAESTRA'!B104</f>
        <v>96</v>
      </c>
      <c r="B98" s="5">
        <f t="shared" si="4"/>
        <v>0</v>
      </c>
      <c r="C98" s="5">
        <f t="shared" si="4"/>
        <v>0</v>
      </c>
      <c r="D98" s="5">
        <f t="shared" si="4"/>
        <v>96</v>
      </c>
    </row>
    <row r="99" spans="1:4" ht="16.8" x14ac:dyDescent="0.3">
      <c r="A99" s="70">
        <f>'BASE MAESTRA'!B105</f>
        <v>97</v>
      </c>
      <c r="B99" s="5">
        <f t="shared" si="4"/>
        <v>0</v>
      </c>
      <c r="C99" s="5">
        <f t="shared" si="4"/>
        <v>0</v>
      </c>
      <c r="D99" s="5">
        <f t="shared" si="4"/>
        <v>97</v>
      </c>
    </row>
    <row r="100" spans="1:4" ht="16.8" x14ac:dyDescent="0.3">
      <c r="A100" s="70">
        <f>'BASE MAESTRA'!B106</f>
        <v>98</v>
      </c>
      <c r="B100" s="5">
        <f t="shared" si="4"/>
        <v>0</v>
      </c>
      <c r="C100" s="5">
        <f t="shared" si="4"/>
        <v>0</v>
      </c>
      <c r="D100" s="5">
        <f t="shared" si="4"/>
        <v>98</v>
      </c>
    </row>
    <row r="101" spans="1:4" ht="16.8" x14ac:dyDescent="0.3">
      <c r="A101" s="70">
        <f>'BASE MAESTRA'!B107</f>
        <v>99</v>
      </c>
      <c r="B101" s="5">
        <f t="shared" si="4"/>
        <v>0</v>
      </c>
      <c r="C101" s="5">
        <f t="shared" si="4"/>
        <v>0</v>
      </c>
      <c r="D101" s="5">
        <f t="shared" si="4"/>
        <v>99</v>
      </c>
    </row>
    <row r="102" spans="1:4" ht="16.8" x14ac:dyDescent="0.3">
      <c r="A102" s="70">
        <f>'BASE MAESTRA'!B108</f>
        <v>100</v>
      </c>
      <c r="B102" s="5">
        <f t="shared" si="4"/>
        <v>0</v>
      </c>
      <c r="C102" s="5">
        <f t="shared" si="4"/>
        <v>0</v>
      </c>
      <c r="D102" s="5">
        <f t="shared" si="4"/>
        <v>100</v>
      </c>
    </row>
    <row r="103" spans="1:4" ht="16.8" x14ac:dyDescent="0.3">
      <c r="A103" s="70">
        <f>'BASE MAESTRA'!B109</f>
        <v>101</v>
      </c>
      <c r="B103" s="5">
        <f t="shared" si="4"/>
        <v>0</v>
      </c>
      <c r="C103" s="5">
        <f t="shared" si="4"/>
        <v>0</v>
      </c>
      <c r="D103" s="5">
        <f t="shared" si="4"/>
        <v>101</v>
      </c>
    </row>
    <row r="104" spans="1:4" ht="16.8" x14ac:dyDescent="0.3">
      <c r="A104" s="70">
        <f>'BASE MAESTRA'!B110</f>
        <v>102</v>
      </c>
      <c r="B104" s="5">
        <f t="shared" si="4"/>
        <v>0</v>
      </c>
      <c r="C104" s="5">
        <f t="shared" si="4"/>
        <v>0</v>
      </c>
      <c r="D104" s="5">
        <f t="shared" si="4"/>
        <v>102</v>
      </c>
    </row>
    <row r="105" spans="1:4" ht="16.8" x14ac:dyDescent="0.3">
      <c r="A105" s="70">
        <f>'BASE MAESTRA'!B111</f>
        <v>103</v>
      </c>
      <c r="B105" s="5">
        <f t="shared" si="4"/>
        <v>0</v>
      </c>
      <c r="C105" s="5">
        <f t="shared" si="4"/>
        <v>0</v>
      </c>
      <c r="D105" s="5">
        <f t="shared" si="4"/>
        <v>103</v>
      </c>
    </row>
    <row r="106" spans="1:4" ht="16.8" x14ac:dyDescent="0.3">
      <c r="A106" s="70">
        <f>'BASE MAESTRA'!B112</f>
        <v>104</v>
      </c>
      <c r="B106" s="5">
        <f t="shared" si="4"/>
        <v>0</v>
      </c>
      <c r="C106" s="5">
        <f t="shared" si="4"/>
        <v>0</v>
      </c>
      <c r="D106" s="5">
        <f t="shared" si="4"/>
        <v>104</v>
      </c>
    </row>
    <row r="107" spans="1:4" ht="16.8" x14ac:dyDescent="0.3">
      <c r="A107" s="70">
        <f>'BASE MAESTRA'!B113</f>
        <v>105</v>
      </c>
      <c r="B107" s="5">
        <f t="shared" si="4"/>
        <v>0</v>
      </c>
      <c r="C107" s="5">
        <f t="shared" si="4"/>
        <v>0</v>
      </c>
      <c r="D107" s="5">
        <f t="shared" si="4"/>
        <v>105</v>
      </c>
    </row>
    <row r="108" spans="1:4" ht="16.8" x14ac:dyDescent="0.3">
      <c r="A108" s="70">
        <f>'BASE MAESTRA'!B114</f>
        <v>106</v>
      </c>
      <c r="B108" s="5">
        <f t="shared" si="4"/>
        <v>0</v>
      </c>
      <c r="C108" s="5">
        <f t="shared" si="4"/>
        <v>0</v>
      </c>
      <c r="D108" s="5">
        <f t="shared" si="4"/>
        <v>106</v>
      </c>
    </row>
    <row r="109" spans="1:4" ht="16.8" x14ac:dyDescent="0.3">
      <c r="A109" s="70">
        <f>'BASE MAESTRA'!B115</f>
        <v>107</v>
      </c>
      <c r="B109" s="5">
        <f t="shared" si="4"/>
        <v>0</v>
      </c>
      <c r="C109" s="5">
        <f t="shared" si="4"/>
        <v>0</v>
      </c>
      <c r="D109" s="5">
        <f t="shared" si="4"/>
        <v>107</v>
      </c>
    </row>
    <row r="110" spans="1:4" ht="16.8" x14ac:dyDescent="0.3">
      <c r="A110" s="70">
        <f>'BASE MAESTRA'!B116</f>
        <v>108</v>
      </c>
      <c r="B110" s="5">
        <f t="shared" si="4"/>
        <v>0</v>
      </c>
      <c r="C110" s="5">
        <f t="shared" si="4"/>
        <v>0</v>
      </c>
      <c r="D110" s="5">
        <f t="shared" si="4"/>
        <v>108</v>
      </c>
    </row>
    <row r="111" spans="1:4" ht="16.8" x14ac:dyDescent="0.3">
      <c r="A111" s="70">
        <f>'BASE MAESTRA'!B117</f>
        <v>109</v>
      </c>
      <c r="B111" s="5">
        <f t="shared" si="4"/>
        <v>0</v>
      </c>
      <c r="C111" s="5">
        <f t="shared" si="4"/>
        <v>0</v>
      </c>
      <c r="D111" s="5">
        <f t="shared" si="4"/>
        <v>109</v>
      </c>
    </row>
    <row r="112" spans="1:4" ht="16.8" x14ac:dyDescent="0.3">
      <c r="A112" s="70">
        <f>'BASE MAESTRA'!B118</f>
        <v>110</v>
      </c>
      <c r="B112" s="5">
        <f t="shared" si="4"/>
        <v>0</v>
      </c>
      <c r="C112" s="5">
        <f t="shared" si="4"/>
        <v>0</v>
      </c>
      <c r="D112" s="5">
        <f t="shared" si="4"/>
        <v>110</v>
      </c>
    </row>
    <row r="113" spans="1:4" ht="16.8" x14ac:dyDescent="0.3">
      <c r="A113" s="70">
        <f>'BASE MAESTRA'!B119</f>
        <v>111</v>
      </c>
      <c r="B113" s="5">
        <f t="shared" si="4"/>
        <v>0</v>
      </c>
      <c r="C113" s="5">
        <f t="shared" si="4"/>
        <v>0</v>
      </c>
      <c r="D113" s="5">
        <f t="shared" si="4"/>
        <v>111</v>
      </c>
    </row>
    <row r="114" spans="1:4" ht="16.8" x14ac:dyDescent="0.3">
      <c r="A114" s="70">
        <f>'BASE MAESTRA'!B120</f>
        <v>112</v>
      </c>
      <c r="B114" s="5">
        <f t="shared" si="4"/>
        <v>0</v>
      </c>
      <c r="C114" s="5">
        <f t="shared" si="4"/>
        <v>0</v>
      </c>
      <c r="D114" s="5">
        <f t="shared" si="4"/>
        <v>112</v>
      </c>
    </row>
    <row r="115" spans="1:4" ht="16.8" x14ac:dyDescent="0.3">
      <c r="A115" s="70">
        <f>'BASE MAESTRA'!B121</f>
        <v>113</v>
      </c>
      <c r="B115" s="5">
        <f t="shared" si="4"/>
        <v>0</v>
      </c>
      <c r="C115" s="5">
        <f t="shared" si="4"/>
        <v>0</v>
      </c>
      <c r="D115" s="5">
        <f t="shared" si="4"/>
        <v>113</v>
      </c>
    </row>
    <row r="116" spans="1:4" ht="16.8" x14ac:dyDescent="0.3">
      <c r="A116" s="70">
        <f>'BASE MAESTRA'!B122</f>
        <v>114</v>
      </c>
      <c r="B116" s="5">
        <f t="shared" si="4"/>
        <v>0</v>
      </c>
      <c r="C116" s="5">
        <f t="shared" si="4"/>
        <v>0</v>
      </c>
      <c r="D116" s="5">
        <f t="shared" si="4"/>
        <v>114</v>
      </c>
    </row>
    <row r="117" spans="1:4" ht="16.8" x14ac:dyDescent="0.3">
      <c r="A117" s="70">
        <f>'BASE MAESTRA'!B123</f>
        <v>115</v>
      </c>
      <c r="B117" s="5">
        <f t="shared" si="4"/>
        <v>0</v>
      </c>
      <c r="C117" s="5">
        <f t="shared" si="4"/>
        <v>0</v>
      </c>
      <c r="D117" s="5">
        <f t="shared" si="4"/>
        <v>115</v>
      </c>
    </row>
    <row r="118" spans="1:4" ht="16.8" x14ac:dyDescent="0.3">
      <c r="A118" s="70">
        <f>'BASE MAESTRA'!B124</f>
        <v>116</v>
      </c>
      <c r="B118" s="5">
        <f t="shared" si="4"/>
        <v>0</v>
      </c>
      <c r="C118" s="5">
        <f t="shared" si="4"/>
        <v>0</v>
      </c>
      <c r="D118" s="5">
        <f t="shared" si="4"/>
        <v>116</v>
      </c>
    </row>
    <row r="119" spans="1:4" ht="16.8" x14ac:dyDescent="0.3">
      <c r="A119" s="70">
        <f>'BASE MAESTRA'!B125</f>
        <v>117</v>
      </c>
      <c r="B119" s="5">
        <f t="shared" si="4"/>
        <v>0</v>
      </c>
      <c r="C119" s="5">
        <f t="shared" si="4"/>
        <v>0</v>
      </c>
      <c r="D119" s="5">
        <f t="shared" si="4"/>
        <v>117</v>
      </c>
    </row>
    <row r="120" spans="1:4" ht="16.8" x14ac:dyDescent="0.3">
      <c r="A120" s="70">
        <f>'BASE MAESTRA'!B126</f>
        <v>118</v>
      </c>
      <c r="B120" s="5">
        <f t="shared" si="4"/>
        <v>0</v>
      </c>
      <c r="C120" s="5">
        <f t="shared" si="4"/>
        <v>0</v>
      </c>
      <c r="D120" s="5">
        <f t="shared" si="4"/>
        <v>118</v>
      </c>
    </row>
    <row r="121" spans="1:4" ht="16.8" x14ac:dyDescent="0.3">
      <c r="A121" s="70">
        <f>'BASE MAESTRA'!B127</f>
        <v>119</v>
      </c>
      <c r="B121" s="5">
        <f t="shared" si="4"/>
        <v>0</v>
      </c>
      <c r="C121" s="5">
        <f t="shared" si="4"/>
        <v>0</v>
      </c>
      <c r="D121" s="5">
        <f t="shared" si="4"/>
        <v>119</v>
      </c>
    </row>
    <row r="122" spans="1:4" ht="16.8" x14ac:dyDescent="0.3">
      <c r="A122" s="70">
        <f>'BASE MAESTRA'!B128</f>
        <v>120</v>
      </c>
      <c r="B122" s="5">
        <f t="shared" si="4"/>
        <v>0</v>
      </c>
      <c r="C122" s="5">
        <f t="shared" si="4"/>
        <v>0</v>
      </c>
      <c r="D122" s="5">
        <f t="shared" si="4"/>
        <v>120</v>
      </c>
    </row>
    <row r="123" spans="1:4" ht="16.8" x14ac:dyDescent="0.3">
      <c r="A123" s="70">
        <f>'BASE MAESTRA'!B129</f>
        <v>121</v>
      </c>
      <c r="B123" s="5">
        <f t="shared" si="4"/>
        <v>0</v>
      </c>
      <c r="C123" s="5">
        <f t="shared" si="4"/>
        <v>0</v>
      </c>
      <c r="D123" s="5">
        <f t="shared" si="4"/>
        <v>121</v>
      </c>
    </row>
    <row r="124" spans="1:4" ht="16.8" x14ac:dyDescent="0.3">
      <c r="A124" s="70">
        <f>'BASE MAESTRA'!B130</f>
        <v>122</v>
      </c>
      <c r="B124" s="5">
        <f t="shared" si="4"/>
        <v>0</v>
      </c>
      <c r="C124" s="5">
        <f t="shared" si="4"/>
        <v>0</v>
      </c>
      <c r="D124" s="5">
        <f t="shared" si="4"/>
        <v>122</v>
      </c>
    </row>
    <row r="125" spans="1:4" ht="16.8" x14ac:dyDescent="0.3">
      <c r="A125" s="70">
        <f>'BASE MAESTRA'!B131</f>
        <v>123</v>
      </c>
      <c r="B125" s="5">
        <f t="shared" si="4"/>
        <v>0</v>
      </c>
      <c r="C125" s="5">
        <f t="shared" si="4"/>
        <v>0</v>
      </c>
      <c r="D125" s="5">
        <f t="shared" si="4"/>
        <v>123</v>
      </c>
    </row>
    <row r="126" spans="1:4" ht="16.8" x14ac:dyDescent="0.3">
      <c r="A126" s="70">
        <f>'BASE MAESTRA'!B132</f>
        <v>124</v>
      </c>
      <c r="B126" s="5">
        <f t="shared" si="4"/>
        <v>0</v>
      </c>
      <c r="C126" s="5">
        <f t="shared" si="4"/>
        <v>0</v>
      </c>
      <c r="D126" s="5">
        <f t="shared" si="4"/>
        <v>124</v>
      </c>
    </row>
    <row r="127" spans="1:4" ht="16.8" x14ac:dyDescent="0.3">
      <c r="A127" s="70">
        <f>'BASE MAESTRA'!B133</f>
        <v>125</v>
      </c>
      <c r="B127" s="5">
        <f t="shared" si="4"/>
        <v>0</v>
      </c>
      <c r="C127" s="5">
        <f t="shared" si="4"/>
        <v>0</v>
      </c>
      <c r="D127" s="5">
        <f t="shared" si="4"/>
        <v>125</v>
      </c>
    </row>
    <row r="128" spans="1:4" ht="16.8" x14ac:dyDescent="0.3">
      <c r="A128" s="70">
        <f>'BASE MAESTRA'!B134</f>
        <v>126</v>
      </c>
      <c r="B128" s="5">
        <f t="shared" si="4"/>
        <v>0</v>
      </c>
      <c r="C128" s="5">
        <f t="shared" si="4"/>
        <v>0</v>
      </c>
      <c r="D128" s="5">
        <f t="shared" si="4"/>
        <v>126</v>
      </c>
    </row>
    <row r="129" spans="1:4" ht="16.8" x14ac:dyDescent="0.3">
      <c r="A129" s="70">
        <f>'BASE MAESTRA'!B135</f>
        <v>127</v>
      </c>
      <c r="B129" s="5">
        <f t="shared" si="4"/>
        <v>0</v>
      </c>
      <c r="C129" s="5">
        <f t="shared" si="4"/>
        <v>0</v>
      </c>
      <c r="D129" s="5">
        <f t="shared" si="4"/>
        <v>127</v>
      </c>
    </row>
    <row r="130" spans="1:4" ht="16.8" x14ac:dyDescent="0.3">
      <c r="A130" s="70">
        <f>'BASE MAESTRA'!B136</f>
        <v>128</v>
      </c>
      <c r="B130" s="5">
        <f t="shared" si="4"/>
        <v>0</v>
      </c>
      <c r="C130" s="5">
        <f t="shared" si="4"/>
        <v>0</v>
      </c>
      <c r="D130" s="5">
        <f t="shared" si="4"/>
        <v>128</v>
      </c>
    </row>
    <row r="131" spans="1:4" ht="16.8" x14ac:dyDescent="0.3">
      <c r="A131" s="70">
        <f>'BASE MAESTRA'!B137</f>
        <v>129</v>
      </c>
      <c r="B131" s="5">
        <f t="shared" si="4"/>
        <v>0</v>
      </c>
      <c r="C131" s="5">
        <f t="shared" si="4"/>
        <v>0</v>
      </c>
      <c r="D131" s="5">
        <f t="shared" si="4"/>
        <v>129</v>
      </c>
    </row>
    <row r="132" spans="1:4" ht="16.8" x14ac:dyDescent="0.3">
      <c r="A132" s="70">
        <f>'BASE MAESTRA'!B138</f>
        <v>130</v>
      </c>
      <c r="B132" s="5">
        <f t="shared" si="4"/>
        <v>0</v>
      </c>
      <c r="C132" s="5">
        <f t="shared" si="4"/>
        <v>0</v>
      </c>
      <c r="D132" s="5">
        <f t="shared" si="4"/>
        <v>130</v>
      </c>
    </row>
    <row r="133" spans="1:4" ht="16.8" x14ac:dyDescent="0.3">
      <c r="A133" s="70">
        <f>'BASE MAESTRA'!B139</f>
        <v>131</v>
      </c>
      <c r="B133" s="5">
        <f t="shared" si="4"/>
        <v>0</v>
      </c>
      <c r="C133" s="5">
        <f t="shared" si="4"/>
        <v>0</v>
      </c>
      <c r="D133" s="5">
        <f t="shared" si="4"/>
        <v>131</v>
      </c>
    </row>
    <row r="134" spans="1:4" ht="16.8" x14ac:dyDescent="0.3">
      <c r="A134" s="70">
        <f>'BASE MAESTRA'!B140</f>
        <v>132</v>
      </c>
      <c r="B134" s="5">
        <f t="shared" si="4"/>
        <v>0</v>
      </c>
      <c r="C134" s="5">
        <f t="shared" si="4"/>
        <v>0</v>
      </c>
      <c r="D134" s="5">
        <f t="shared" si="4"/>
        <v>132</v>
      </c>
    </row>
    <row r="135" spans="1:4" ht="16.8" x14ac:dyDescent="0.3">
      <c r="A135" s="70">
        <f>'BASE MAESTRA'!B141</f>
        <v>133</v>
      </c>
      <c r="B135" s="5">
        <f t="shared" si="4"/>
        <v>0</v>
      </c>
      <c r="C135" s="5">
        <f t="shared" si="4"/>
        <v>0</v>
      </c>
      <c r="D135" s="5">
        <f t="shared" si="4"/>
        <v>133</v>
      </c>
    </row>
    <row r="136" spans="1:4" ht="16.8" x14ac:dyDescent="0.3">
      <c r="A136" s="70">
        <f>'BASE MAESTRA'!B142</f>
        <v>134</v>
      </c>
      <c r="B136" s="5">
        <f t="shared" si="4"/>
        <v>0</v>
      </c>
      <c r="C136" s="5">
        <f t="shared" si="4"/>
        <v>0</v>
      </c>
      <c r="D136" s="5">
        <f t="shared" si="4"/>
        <v>134</v>
      </c>
    </row>
    <row r="137" spans="1:4" ht="16.8" x14ac:dyDescent="0.3">
      <c r="A137" s="70">
        <f>'BASE MAESTRA'!B143</f>
        <v>135</v>
      </c>
      <c r="B137" s="5">
        <f t="shared" si="4"/>
        <v>0</v>
      </c>
      <c r="C137" s="5">
        <f t="shared" si="4"/>
        <v>0</v>
      </c>
      <c r="D137" s="5">
        <f t="shared" si="4"/>
        <v>135</v>
      </c>
    </row>
    <row r="138" spans="1:4" ht="16.8" x14ac:dyDescent="0.3">
      <c r="A138" s="70">
        <f>'BASE MAESTRA'!B144</f>
        <v>136</v>
      </c>
      <c r="B138" s="5">
        <f t="shared" si="4"/>
        <v>0</v>
      </c>
      <c r="C138" s="5">
        <f t="shared" si="4"/>
        <v>0</v>
      </c>
      <c r="D138" s="5">
        <f t="shared" si="4"/>
        <v>136</v>
      </c>
    </row>
    <row r="139" spans="1:4" ht="16.8" x14ac:dyDescent="0.3">
      <c r="A139" s="70">
        <f>'BASE MAESTRA'!B145</f>
        <v>137</v>
      </c>
      <c r="B139" s="5">
        <f t="shared" si="4"/>
        <v>0</v>
      </c>
      <c r="C139" s="5">
        <f t="shared" si="4"/>
        <v>0</v>
      </c>
      <c r="D139" s="5">
        <f t="shared" si="4"/>
        <v>137</v>
      </c>
    </row>
    <row r="140" spans="1:4" ht="16.8" x14ac:dyDescent="0.3">
      <c r="A140" s="70">
        <f>'BASE MAESTRA'!B146</f>
        <v>138</v>
      </c>
      <c r="B140" s="5">
        <f t="shared" si="4"/>
        <v>0</v>
      </c>
      <c r="C140" s="5">
        <f t="shared" si="4"/>
        <v>0</v>
      </c>
      <c r="D140" s="5">
        <f t="shared" si="4"/>
        <v>138</v>
      </c>
    </row>
    <row r="141" spans="1:4" ht="16.8" x14ac:dyDescent="0.3">
      <c r="A141" s="70">
        <f>'BASE MAESTRA'!B147</f>
        <v>139</v>
      </c>
      <c r="B141" s="5">
        <f t="shared" si="4"/>
        <v>0</v>
      </c>
      <c r="C141" s="5">
        <f t="shared" si="4"/>
        <v>0</v>
      </c>
      <c r="D141" s="5">
        <f t="shared" si="4"/>
        <v>139</v>
      </c>
    </row>
    <row r="142" spans="1:4" ht="16.8" x14ac:dyDescent="0.3">
      <c r="A142" s="70">
        <f>'BASE MAESTRA'!B148</f>
        <v>140</v>
      </c>
      <c r="B142" s="5">
        <f t="shared" ref="B142:D202" si="5">VLOOKUP($A142,DatosEspecies,B$2,FALSE)</f>
        <v>0</v>
      </c>
      <c r="C142" s="5">
        <f t="shared" si="5"/>
        <v>0</v>
      </c>
      <c r="D142" s="5">
        <f t="shared" si="5"/>
        <v>140</v>
      </c>
    </row>
    <row r="143" spans="1:4" ht="16.8" x14ac:dyDescent="0.3">
      <c r="A143" s="70">
        <f>'BASE MAESTRA'!B149</f>
        <v>141</v>
      </c>
      <c r="B143" s="5">
        <f t="shared" si="5"/>
        <v>0</v>
      </c>
      <c r="C143" s="5">
        <f t="shared" si="5"/>
        <v>0</v>
      </c>
      <c r="D143" s="5">
        <f t="shared" si="5"/>
        <v>141</v>
      </c>
    </row>
    <row r="144" spans="1:4" ht="16.8" x14ac:dyDescent="0.3">
      <c r="A144" s="70">
        <f>'BASE MAESTRA'!B150</f>
        <v>142</v>
      </c>
      <c r="B144" s="5">
        <f t="shared" si="5"/>
        <v>0</v>
      </c>
      <c r="C144" s="5">
        <f t="shared" si="5"/>
        <v>0</v>
      </c>
      <c r="D144" s="5">
        <f t="shared" si="5"/>
        <v>142</v>
      </c>
    </row>
    <row r="145" spans="1:4" ht="16.8" x14ac:dyDescent="0.3">
      <c r="A145" s="70">
        <f>'BASE MAESTRA'!B151</f>
        <v>143</v>
      </c>
      <c r="B145" s="5">
        <f t="shared" si="5"/>
        <v>0</v>
      </c>
      <c r="C145" s="5">
        <f t="shared" si="5"/>
        <v>0</v>
      </c>
      <c r="D145" s="5">
        <f t="shared" si="5"/>
        <v>143</v>
      </c>
    </row>
    <row r="146" spans="1:4" ht="16.8" x14ac:dyDescent="0.3">
      <c r="A146" s="70">
        <f>'BASE MAESTRA'!B152</f>
        <v>144</v>
      </c>
      <c r="B146" s="5">
        <f t="shared" si="5"/>
        <v>0</v>
      </c>
      <c r="C146" s="5">
        <f t="shared" si="5"/>
        <v>0</v>
      </c>
      <c r="D146" s="5">
        <f t="shared" si="5"/>
        <v>144</v>
      </c>
    </row>
    <row r="147" spans="1:4" ht="16.8" x14ac:dyDescent="0.3">
      <c r="A147" s="70">
        <f>'BASE MAESTRA'!B153</f>
        <v>145</v>
      </c>
      <c r="B147" s="5">
        <f t="shared" si="5"/>
        <v>0</v>
      </c>
      <c r="C147" s="5">
        <f t="shared" si="5"/>
        <v>0</v>
      </c>
      <c r="D147" s="5">
        <f t="shared" si="5"/>
        <v>145</v>
      </c>
    </row>
    <row r="148" spans="1:4" ht="16.8" x14ac:dyDescent="0.3">
      <c r="A148" s="70">
        <f>'BASE MAESTRA'!B154</f>
        <v>146</v>
      </c>
      <c r="B148" s="5">
        <f t="shared" si="5"/>
        <v>0</v>
      </c>
      <c r="C148" s="5">
        <f t="shared" si="5"/>
        <v>0</v>
      </c>
      <c r="D148" s="5">
        <f t="shared" si="5"/>
        <v>146</v>
      </c>
    </row>
    <row r="149" spans="1:4" ht="16.8" x14ac:dyDescent="0.3">
      <c r="A149" s="70">
        <f>'BASE MAESTRA'!B155</f>
        <v>147</v>
      </c>
      <c r="B149" s="5">
        <f t="shared" si="5"/>
        <v>0</v>
      </c>
      <c r="C149" s="5">
        <f t="shared" si="5"/>
        <v>0</v>
      </c>
      <c r="D149" s="5">
        <f t="shared" si="5"/>
        <v>147</v>
      </c>
    </row>
    <row r="150" spans="1:4" ht="16.8" x14ac:dyDescent="0.3">
      <c r="A150" s="70">
        <f>'BASE MAESTRA'!B156</f>
        <v>148</v>
      </c>
      <c r="B150" s="5">
        <f t="shared" si="5"/>
        <v>0</v>
      </c>
      <c r="C150" s="5">
        <f t="shared" si="5"/>
        <v>0</v>
      </c>
      <c r="D150" s="5">
        <f t="shared" si="5"/>
        <v>148</v>
      </c>
    </row>
    <row r="151" spans="1:4" ht="16.8" x14ac:dyDescent="0.3">
      <c r="A151" s="70">
        <f>'BASE MAESTRA'!B157</f>
        <v>149</v>
      </c>
      <c r="B151" s="5">
        <f t="shared" si="5"/>
        <v>0</v>
      </c>
      <c r="C151" s="5">
        <f t="shared" si="5"/>
        <v>0</v>
      </c>
      <c r="D151" s="5">
        <f t="shared" si="5"/>
        <v>149</v>
      </c>
    </row>
    <row r="152" spans="1:4" ht="16.8" x14ac:dyDescent="0.3">
      <c r="A152" s="70">
        <f>'BASE MAESTRA'!B158</f>
        <v>150</v>
      </c>
      <c r="B152" s="5">
        <f t="shared" si="5"/>
        <v>0</v>
      </c>
      <c r="C152" s="5">
        <f t="shared" si="5"/>
        <v>0</v>
      </c>
      <c r="D152" s="5">
        <f t="shared" si="5"/>
        <v>150</v>
      </c>
    </row>
    <row r="153" spans="1:4" ht="16.8" x14ac:dyDescent="0.3">
      <c r="A153" s="70">
        <f>'BASE MAESTRA'!B159</f>
        <v>151</v>
      </c>
      <c r="B153" s="5">
        <f t="shared" si="5"/>
        <v>0</v>
      </c>
      <c r="C153" s="5">
        <f t="shared" si="5"/>
        <v>0</v>
      </c>
      <c r="D153" s="5">
        <f t="shared" si="5"/>
        <v>151</v>
      </c>
    </row>
    <row r="154" spans="1:4" ht="16.8" x14ac:dyDescent="0.3">
      <c r="A154" s="70">
        <f>'BASE MAESTRA'!B160</f>
        <v>152</v>
      </c>
      <c r="B154" s="5">
        <f t="shared" si="5"/>
        <v>0</v>
      </c>
      <c r="C154" s="5">
        <f t="shared" si="5"/>
        <v>0</v>
      </c>
      <c r="D154" s="5">
        <f t="shared" si="5"/>
        <v>152</v>
      </c>
    </row>
    <row r="155" spans="1:4" ht="16.8" x14ac:dyDescent="0.3">
      <c r="A155" s="70">
        <f>'BASE MAESTRA'!B161</f>
        <v>153</v>
      </c>
      <c r="B155" s="5">
        <f t="shared" si="5"/>
        <v>0</v>
      </c>
      <c r="C155" s="5">
        <f t="shared" si="5"/>
        <v>0</v>
      </c>
      <c r="D155" s="5">
        <f t="shared" si="5"/>
        <v>153</v>
      </c>
    </row>
    <row r="156" spans="1:4" ht="16.8" x14ac:dyDescent="0.3">
      <c r="A156" s="70">
        <f>'BASE MAESTRA'!B162</f>
        <v>154</v>
      </c>
      <c r="B156" s="5">
        <f t="shared" si="5"/>
        <v>0</v>
      </c>
      <c r="C156" s="5">
        <f t="shared" si="5"/>
        <v>0</v>
      </c>
      <c r="D156" s="5">
        <f t="shared" si="5"/>
        <v>154</v>
      </c>
    </row>
    <row r="157" spans="1:4" ht="16.8" x14ac:dyDescent="0.3">
      <c r="A157" s="70">
        <f>'BASE MAESTRA'!B163</f>
        <v>155</v>
      </c>
      <c r="B157" s="5">
        <f t="shared" si="5"/>
        <v>0</v>
      </c>
      <c r="C157" s="5">
        <f t="shared" si="5"/>
        <v>0</v>
      </c>
      <c r="D157" s="5">
        <f t="shared" si="5"/>
        <v>155</v>
      </c>
    </row>
    <row r="158" spans="1:4" ht="16.8" x14ac:dyDescent="0.3">
      <c r="A158" s="70">
        <f>'BASE MAESTRA'!B164</f>
        <v>156</v>
      </c>
      <c r="B158" s="5">
        <f t="shared" si="5"/>
        <v>0</v>
      </c>
      <c r="C158" s="5">
        <f t="shared" si="5"/>
        <v>0</v>
      </c>
      <c r="D158" s="5">
        <f t="shared" si="5"/>
        <v>156</v>
      </c>
    </row>
    <row r="159" spans="1:4" ht="16.8" x14ac:dyDescent="0.3">
      <c r="A159" s="70">
        <f>'BASE MAESTRA'!B165</f>
        <v>157</v>
      </c>
      <c r="B159" s="5">
        <f t="shared" si="5"/>
        <v>0</v>
      </c>
      <c r="C159" s="5">
        <f t="shared" si="5"/>
        <v>0</v>
      </c>
      <c r="D159" s="5">
        <f t="shared" si="5"/>
        <v>157</v>
      </c>
    </row>
    <row r="160" spans="1:4" ht="16.8" x14ac:dyDescent="0.3">
      <c r="A160" s="70">
        <f>'BASE MAESTRA'!B166</f>
        <v>158</v>
      </c>
      <c r="B160" s="5">
        <f t="shared" si="5"/>
        <v>0</v>
      </c>
      <c r="C160" s="5">
        <f t="shared" si="5"/>
        <v>0</v>
      </c>
      <c r="D160" s="5">
        <f t="shared" si="5"/>
        <v>158</v>
      </c>
    </row>
    <row r="161" spans="1:4" ht="16.8" x14ac:dyDescent="0.3">
      <c r="A161" s="70">
        <f>'BASE MAESTRA'!B167</f>
        <v>159</v>
      </c>
      <c r="B161" s="5">
        <f t="shared" si="5"/>
        <v>0</v>
      </c>
      <c r="C161" s="5">
        <f t="shared" si="5"/>
        <v>0</v>
      </c>
      <c r="D161" s="5">
        <f t="shared" si="5"/>
        <v>159</v>
      </c>
    </row>
    <row r="162" spans="1:4" ht="16.8" x14ac:dyDescent="0.3">
      <c r="A162" s="70">
        <f>'BASE MAESTRA'!B168</f>
        <v>160</v>
      </c>
      <c r="B162" s="5">
        <f t="shared" si="5"/>
        <v>0</v>
      </c>
      <c r="C162" s="5">
        <f t="shared" si="5"/>
        <v>0</v>
      </c>
      <c r="D162" s="5">
        <f t="shared" si="5"/>
        <v>160</v>
      </c>
    </row>
    <row r="163" spans="1:4" ht="16.8" x14ac:dyDescent="0.3">
      <c r="A163" s="70">
        <f>'BASE MAESTRA'!B169</f>
        <v>161</v>
      </c>
      <c r="B163" s="5">
        <f t="shared" si="5"/>
        <v>0</v>
      </c>
      <c r="C163" s="5">
        <f t="shared" si="5"/>
        <v>0</v>
      </c>
      <c r="D163" s="5">
        <f t="shared" si="5"/>
        <v>161</v>
      </c>
    </row>
    <row r="164" spans="1:4" ht="16.8" x14ac:dyDescent="0.3">
      <c r="A164" s="70">
        <f>'BASE MAESTRA'!B170</f>
        <v>162</v>
      </c>
      <c r="B164" s="5">
        <f t="shared" si="5"/>
        <v>0</v>
      </c>
      <c r="C164" s="5">
        <f t="shared" si="5"/>
        <v>0</v>
      </c>
      <c r="D164" s="5">
        <f t="shared" si="5"/>
        <v>162</v>
      </c>
    </row>
    <row r="165" spans="1:4" ht="16.8" x14ac:dyDescent="0.3">
      <c r="A165" s="70">
        <f>'BASE MAESTRA'!B171</f>
        <v>163</v>
      </c>
      <c r="B165" s="5">
        <f t="shared" si="5"/>
        <v>0</v>
      </c>
      <c r="C165" s="5">
        <f t="shared" si="5"/>
        <v>0</v>
      </c>
      <c r="D165" s="5">
        <f t="shared" si="5"/>
        <v>163</v>
      </c>
    </row>
    <row r="166" spans="1:4" ht="16.8" x14ac:dyDescent="0.3">
      <c r="A166" s="70">
        <f>'BASE MAESTRA'!B172</f>
        <v>164</v>
      </c>
      <c r="B166" s="5">
        <f t="shared" si="5"/>
        <v>0</v>
      </c>
      <c r="C166" s="5">
        <f t="shared" si="5"/>
        <v>0</v>
      </c>
      <c r="D166" s="5">
        <f t="shared" si="5"/>
        <v>164</v>
      </c>
    </row>
    <row r="167" spans="1:4" ht="16.8" x14ac:dyDescent="0.3">
      <c r="A167" s="70">
        <f>'BASE MAESTRA'!B173</f>
        <v>165</v>
      </c>
      <c r="B167" s="5">
        <f t="shared" si="5"/>
        <v>0</v>
      </c>
      <c r="C167" s="5">
        <f t="shared" si="5"/>
        <v>0</v>
      </c>
      <c r="D167" s="5">
        <f t="shared" si="5"/>
        <v>165</v>
      </c>
    </row>
    <row r="168" spans="1:4" ht="16.8" x14ac:dyDescent="0.3">
      <c r="A168" s="70">
        <f>'BASE MAESTRA'!B174</f>
        <v>166</v>
      </c>
      <c r="B168" s="5">
        <f t="shared" si="5"/>
        <v>0</v>
      </c>
      <c r="C168" s="5">
        <f t="shared" si="5"/>
        <v>0</v>
      </c>
      <c r="D168" s="5">
        <f t="shared" si="5"/>
        <v>166</v>
      </c>
    </row>
    <row r="169" spans="1:4" ht="16.8" x14ac:dyDescent="0.3">
      <c r="A169" s="70">
        <f>'BASE MAESTRA'!B175</f>
        <v>167</v>
      </c>
      <c r="B169" s="5">
        <f t="shared" si="5"/>
        <v>0</v>
      </c>
      <c r="C169" s="5">
        <f t="shared" si="5"/>
        <v>0</v>
      </c>
      <c r="D169" s="5">
        <f t="shared" si="5"/>
        <v>167</v>
      </c>
    </row>
    <row r="170" spans="1:4" ht="16.8" x14ac:dyDescent="0.3">
      <c r="A170" s="70">
        <f>'BASE MAESTRA'!B176</f>
        <v>168</v>
      </c>
      <c r="B170" s="5">
        <f t="shared" si="5"/>
        <v>0</v>
      </c>
      <c r="C170" s="5">
        <f t="shared" si="5"/>
        <v>0</v>
      </c>
      <c r="D170" s="5">
        <f t="shared" si="5"/>
        <v>168</v>
      </c>
    </row>
    <row r="171" spans="1:4" ht="16.8" x14ac:dyDescent="0.3">
      <c r="A171" s="70">
        <f>'BASE MAESTRA'!B177</f>
        <v>169</v>
      </c>
      <c r="B171" s="5">
        <f t="shared" si="5"/>
        <v>0</v>
      </c>
      <c r="C171" s="5">
        <f t="shared" si="5"/>
        <v>0</v>
      </c>
      <c r="D171" s="5">
        <f t="shared" si="5"/>
        <v>169</v>
      </c>
    </row>
    <row r="172" spans="1:4" ht="16.8" x14ac:dyDescent="0.3">
      <c r="A172" s="70">
        <f>'BASE MAESTRA'!B178</f>
        <v>170</v>
      </c>
      <c r="B172" s="5">
        <f t="shared" si="5"/>
        <v>0</v>
      </c>
      <c r="C172" s="5">
        <f t="shared" si="5"/>
        <v>0</v>
      </c>
      <c r="D172" s="5">
        <f t="shared" si="5"/>
        <v>170</v>
      </c>
    </row>
    <row r="173" spans="1:4" ht="16.8" x14ac:dyDescent="0.3">
      <c r="A173" s="70">
        <f>'BASE MAESTRA'!B179</f>
        <v>171</v>
      </c>
      <c r="B173" s="5">
        <f t="shared" si="5"/>
        <v>0</v>
      </c>
      <c r="C173" s="5">
        <f t="shared" si="5"/>
        <v>0</v>
      </c>
      <c r="D173" s="5">
        <f t="shared" si="5"/>
        <v>171</v>
      </c>
    </row>
    <row r="174" spans="1:4" ht="16.8" x14ac:dyDescent="0.3">
      <c r="A174" s="70">
        <f>'BASE MAESTRA'!B180</f>
        <v>172</v>
      </c>
      <c r="B174" s="5">
        <f t="shared" si="5"/>
        <v>0</v>
      </c>
      <c r="C174" s="5">
        <f t="shared" si="5"/>
        <v>0</v>
      </c>
      <c r="D174" s="5">
        <f t="shared" si="5"/>
        <v>172</v>
      </c>
    </row>
    <row r="175" spans="1:4" ht="16.8" x14ac:dyDescent="0.3">
      <c r="A175" s="70">
        <f>'BASE MAESTRA'!B181</f>
        <v>173</v>
      </c>
      <c r="B175" s="5">
        <f t="shared" si="5"/>
        <v>0</v>
      </c>
      <c r="C175" s="5">
        <f t="shared" si="5"/>
        <v>0</v>
      </c>
      <c r="D175" s="5">
        <f t="shared" si="5"/>
        <v>173</v>
      </c>
    </row>
    <row r="176" spans="1:4" ht="16.8" x14ac:dyDescent="0.3">
      <c r="A176" s="70">
        <f>'BASE MAESTRA'!B182</f>
        <v>174</v>
      </c>
      <c r="B176" s="5">
        <f t="shared" si="5"/>
        <v>0</v>
      </c>
      <c r="C176" s="5">
        <f t="shared" si="5"/>
        <v>0</v>
      </c>
      <c r="D176" s="5">
        <f t="shared" si="5"/>
        <v>174</v>
      </c>
    </row>
    <row r="177" spans="1:4" ht="16.8" x14ac:dyDescent="0.3">
      <c r="A177" s="70">
        <f>'BASE MAESTRA'!B183</f>
        <v>175</v>
      </c>
      <c r="B177" s="5">
        <f t="shared" si="5"/>
        <v>0</v>
      </c>
      <c r="C177" s="5">
        <f t="shared" si="5"/>
        <v>0</v>
      </c>
      <c r="D177" s="5">
        <f t="shared" si="5"/>
        <v>175</v>
      </c>
    </row>
    <row r="178" spans="1:4" ht="16.8" x14ac:dyDescent="0.3">
      <c r="A178" s="70">
        <f>'BASE MAESTRA'!B184</f>
        <v>176</v>
      </c>
      <c r="B178" s="5">
        <f t="shared" si="5"/>
        <v>0</v>
      </c>
      <c r="C178" s="5">
        <f t="shared" si="5"/>
        <v>0</v>
      </c>
      <c r="D178" s="5">
        <f t="shared" si="5"/>
        <v>176</v>
      </c>
    </row>
    <row r="179" spans="1:4" ht="16.8" x14ac:dyDescent="0.3">
      <c r="A179" s="70">
        <f>'BASE MAESTRA'!B185</f>
        <v>177</v>
      </c>
      <c r="B179" s="5">
        <f t="shared" si="5"/>
        <v>0</v>
      </c>
      <c r="C179" s="5">
        <f t="shared" si="5"/>
        <v>0</v>
      </c>
      <c r="D179" s="5">
        <f t="shared" si="5"/>
        <v>177</v>
      </c>
    </row>
    <row r="180" spans="1:4" ht="16.8" x14ac:dyDescent="0.3">
      <c r="A180" s="70">
        <f>'BASE MAESTRA'!B186</f>
        <v>178</v>
      </c>
      <c r="B180" s="5">
        <f t="shared" si="5"/>
        <v>0</v>
      </c>
      <c r="C180" s="5">
        <f t="shared" si="5"/>
        <v>0</v>
      </c>
      <c r="D180" s="5">
        <f t="shared" si="5"/>
        <v>178</v>
      </c>
    </row>
    <row r="181" spans="1:4" ht="16.8" x14ac:dyDescent="0.3">
      <c r="A181" s="70">
        <f>'BASE MAESTRA'!B187</f>
        <v>179</v>
      </c>
      <c r="B181" s="5">
        <f t="shared" si="5"/>
        <v>0</v>
      </c>
      <c r="C181" s="5">
        <f t="shared" si="5"/>
        <v>0</v>
      </c>
      <c r="D181" s="5">
        <f t="shared" si="5"/>
        <v>179</v>
      </c>
    </row>
    <row r="182" spans="1:4" ht="16.8" x14ac:dyDescent="0.3">
      <c r="A182" s="70">
        <f>'BASE MAESTRA'!B188</f>
        <v>180</v>
      </c>
      <c r="B182" s="5">
        <f t="shared" si="5"/>
        <v>0</v>
      </c>
      <c r="C182" s="5">
        <f t="shared" si="5"/>
        <v>0</v>
      </c>
      <c r="D182" s="5">
        <f t="shared" si="5"/>
        <v>180</v>
      </c>
    </row>
    <row r="183" spans="1:4" ht="16.8" x14ac:dyDescent="0.3">
      <c r="A183" s="70">
        <f>'BASE MAESTRA'!B189</f>
        <v>181</v>
      </c>
      <c r="B183" s="5">
        <f t="shared" si="5"/>
        <v>0</v>
      </c>
      <c r="C183" s="5">
        <f t="shared" si="5"/>
        <v>0</v>
      </c>
      <c r="D183" s="5">
        <f t="shared" si="5"/>
        <v>181</v>
      </c>
    </row>
    <row r="184" spans="1:4" ht="16.8" x14ac:dyDescent="0.3">
      <c r="A184" s="70">
        <f>'BASE MAESTRA'!B190</f>
        <v>182</v>
      </c>
      <c r="B184" s="5">
        <f t="shared" si="5"/>
        <v>0</v>
      </c>
      <c r="C184" s="5">
        <f t="shared" si="5"/>
        <v>0</v>
      </c>
      <c r="D184" s="5">
        <f t="shared" si="5"/>
        <v>182</v>
      </c>
    </row>
    <row r="185" spans="1:4" ht="16.8" x14ac:dyDescent="0.3">
      <c r="A185" s="70">
        <f>'BASE MAESTRA'!B191</f>
        <v>183</v>
      </c>
      <c r="B185" s="5">
        <f t="shared" si="5"/>
        <v>0</v>
      </c>
      <c r="C185" s="5">
        <f t="shared" si="5"/>
        <v>0</v>
      </c>
      <c r="D185" s="5">
        <f t="shared" si="5"/>
        <v>183</v>
      </c>
    </row>
    <row r="186" spans="1:4" ht="16.8" x14ac:dyDescent="0.3">
      <c r="A186" s="70">
        <f>'BASE MAESTRA'!B192</f>
        <v>184</v>
      </c>
      <c r="B186" s="5">
        <f t="shared" si="5"/>
        <v>0</v>
      </c>
      <c r="C186" s="5">
        <f t="shared" si="5"/>
        <v>0</v>
      </c>
      <c r="D186" s="5">
        <f t="shared" si="5"/>
        <v>184</v>
      </c>
    </row>
    <row r="187" spans="1:4" ht="16.8" x14ac:dyDescent="0.3">
      <c r="A187" s="70">
        <f>'BASE MAESTRA'!B193</f>
        <v>185</v>
      </c>
      <c r="B187" s="5">
        <f t="shared" si="5"/>
        <v>0</v>
      </c>
      <c r="C187" s="5">
        <f t="shared" si="5"/>
        <v>0</v>
      </c>
      <c r="D187" s="5">
        <f t="shared" si="5"/>
        <v>185</v>
      </c>
    </row>
    <row r="188" spans="1:4" ht="16.8" x14ac:dyDescent="0.3">
      <c r="A188" s="70">
        <f>'BASE MAESTRA'!B194</f>
        <v>186</v>
      </c>
      <c r="B188" s="5">
        <f t="shared" si="5"/>
        <v>0</v>
      </c>
      <c r="C188" s="5">
        <f t="shared" si="5"/>
        <v>0</v>
      </c>
      <c r="D188" s="5">
        <f t="shared" si="5"/>
        <v>186</v>
      </c>
    </row>
    <row r="189" spans="1:4" ht="16.8" x14ac:dyDescent="0.3">
      <c r="A189" s="70">
        <f>'BASE MAESTRA'!B195</f>
        <v>187</v>
      </c>
      <c r="B189" s="5">
        <f t="shared" si="5"/>
        <v>0</v>
      </c>
      <c r="C189" s="5">
        <f t="shared" si="5"/>
        <v>0</v>
      </c>
      <c r="D189" s="5">
        <f t="shared" si="5"/>
        <v>187</v>
      </c>
    </row>
    <row r="190" spans="1:4" ht="16.8" x14ac:dyDescent="0.3">
      <c r="A190" s="70">
        <f>'BASE MAESTRA'!B196</f>
        <v>188</v>
      </c>
      <c r="B190" s="5">
        <f t="shared" si="5"/>
        <v>0</v>
      </c>
      <c r="C190" s="5">
        <f t="shared" si="5"/>
        <v>0</v>
      </c>
      <c r="D190" s="5">
        <f t="shared" si="5"/>
        <v>188</v>
      </c>
    </row>
    <row r="191" spans="1:4" ht="16.8" x14ac:dyDescent="0.3">
      <c r="A191" s="70">
        <f>'BASE MAESTRA'!B197</f>
        <v>189</v>
      </c>
      <c r="B191" s="5">
        <f t="shared" si="5"/>
        <v>0</v>
      </c>
      <c r="C191" s="5">
        <f t="shared" si="5"/>
        <v>0</v>
      </c>
      <c r="D191" s="5">
        <f t="shared" si="5"/>
        <v>189</v>
      </c>
    </row>
    <row r="192" spans="1:4" ht="16.8" x14ac:dyDescent="0.3">
      <c r="A192" s="70">
        <f>'BASE MAESTRA'!B198</f>
        <v>190</v>
      </c>
      <c r="B192" s="5">
        <f t="shared" si="5"/>
        <v>0</v>
      </c>
      <c r="C192" s="5">
        <f t="shared" si="5"/>
        <v>0</v>
      </c>
      <c r="D192" s="5">
        <f t="shared" si="5"/>
        <v>190</v>
      </c>
    </row>
    <row r="193" spans="1:4" ht="16.8" x14ac:dyDescent="0.3">
      <c r="A193" s="70">
        <f>'BASE MAESTRA'!B199</f>
        <v>191</v>
      </c>
      <c r="B193" s="5">
        <f t="shared" si="5"/>
        <v>0</v>
      </c>
      <c r="C193" s="5">
        <f t="shared" si="5"/>
        <v>0</v>
      </c>
      <c r="D193" s="5">
        <f t="shared" si="5"/>
        <v>191</v>
      </c>
    </row>
    <row r="194" spans="1:4" ht="16.8" x14ac:dyDescent="0.3">
      <c r="A194" s="70">
        <f>'BASE MAESTRA'!B200</f>
        <v>192</v>
      </c>
      <c r="B194" s="5">
        <f t="shared" si="5"/>
        <v>0</v>
      </c>
      <c r="C194" s="5">
        <f t="shared" si="5"/>
        <v>0</v>
      </c>
      <c r="D194" s="5">
        <f t="shared" si="5"/>
        <v>192</v>
      </c>
    </row>
    <row r="195" spans="1:4" ht="16.8" x14ac:dyDescent="0.3">
      <c r="A195" s="70">
        <f>'BASE MAESTRA'!B201</f>
        <v>193</v>
      </c>
      <c r="B195" s="5">
        <f t="shared" si="5"/>
        <v>0</v>
      </c>
      <c r="C195" s="5">
        <f t="shared" si="5"/>
        <v>0</v>
      </c>
      <c r="D195" s="5">
        <f t="shared" si="5"/>
        <v>193</v>
      </c>
    </row>
    <row r="196" spans="1:4" ht="16.8" x14ac:dyDescent="0.3">
      <c r="A196" s="70">
        <f>'BASE MAESTRA'!B202</f>
        <v>194</v>
      </c>
      <c r="B196" s="5">
        <f t="shared" si="5"/>
        <v>0</v>
      </c>
      <c r="C196" s="5">
        <f t="shared" si="5"/>
        <v>0</v>
      </c>
      <c r="D196" s="5">
        <f t="shared" si="5"/>
        <v>194</v>
      </c>
    </row>
    <row r="197" spans="1:4" ht="16.8" x14ac:dyDescent="0.3">
      <c r="A197" s="70">
        <f>'BASE MAESTRA'!B203</f>
        <v>195</v>
      </c>
      <c r="B197" s="5">
        <f t="shared" si="5"/>
        <v>0</v>
      </c>
      <c r="C197" s="5">
        <f t="shared" si="5"/>
        <v>0</v>
      </c>
      <c r="D197" s="5">
        <f t="shared" si="5"/>
        <v>195</v>
      </c>
    </row>
    <row r="198" spans="1:4" ht="16.8" x14ac:dyDescent="0.3">
      <c r="A198" s="70">
        <f>'BASE MAESTRA'!B204</f>
        <v>196</v>
      </c>
      <c r="B198" s="5">
        <f t="shared" si="5"/>
        <v>0</v>
      </c>
      <c r="C198" s="5">
        <f t="shared" si="5"/>
        <v>0</v>
      </c>
      <c r="D198" s="5">
        <f t="shared" si="5"/>
        <v>196</v>
      </c>
    </row>
    <row r="199" spans="1:4" ht="16.8" x14ac:dyDescent="0.3">
      <c r="A199" s="70">
        <f>'BASE MAESTRA'!B205</f>
        <v>197</v>
      </c>
      <c r="B199" s="5">
        <f t="shared" si="5"/>
        <v>0</v>
      </c>
      <c r="C199" s="5">
        <f t="shared" si="5"/>
        <v>0</v>
      </c>
      <c r="D199" s="5">
        <f t="shared" si="5"/>
        <v>197</v>
      </c>
    </row>
    <row r="200" spans="1:4" ht="16.8" x14ac:dyDescent="0.3">
      <c r="A200" s="70">
        <f>'BASE MAESTRA'!B206</f>
        <v>198</v>
      </c>
      <c r="B200" s="5">
        <f t="shared" si="5"/>
        <v>0</v>
      </c>
      <c r="C200" s="5">
        <f t="shared" si="5"/>
        <v>0</v>
      </c>
      <c r="D200" s="5">
        <f t="shared" si="5"/>
        <v>198</v>
      </c>
    </row>
    <row r="201" spans="1:4" ht="16.8" x14ac:dyDescent="0.3">
      <c r="A201" s="70">
        <f>'BASE MAESTRA'!B207</f>
        <v>199</v>
      </c>
      <c r="B201" s="5">
        <f t="shared" si="5"/>
        <v>0</v>
      </c>
      <c r="C201" s="5">
        <f t="shared" si="5"/>
        <v>0</v>
      </c>
      <c r="D201" s="5">
        <f t="shared" si="5"/>
        <v>199</v>
      </c>
    </row>
    <row r="202" spans="1:4" ht="16.8" x14ac:dyDescent="0.3">
      <c r="A202" s="70">
        <f>'BASE MAESTRA'!B208</f>
        <v>200</v>
      </c>
      <c r="B202" s="5">
        <f t="shared" si="5"/>
        <v>0</v>
      </c>
      <c r="C202" s="5">
        <f t="shared" si="5"/>
        <v>0</v>
      </c>
      <c r="D202" s="5">
        <f t="shared" si="5"/>
        <v>200</v>
      </c>
    </row>
  </sheetData>
  <customSheetViews>
    <customSheetView guid="{03A28D0E-D221-430C-9036-787CFB666EE7}">
      <selection activeCell="A3" sqref="A3:A138"/>
      <pageMargins left="0.7" right="0.7" top="0.75" bottom="0.75" header="0.3" footer="0.3"/>
    </customSheetView>
  </customSheetView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202"/>
  <sheetViews>
    <sheetView workbookViewId="0"/>
  </sheetViews>
  <sheetFormatPr defaultColWidth="11.44140625" defaultRowHeight="13.2" x14ac:dyDescent="0.3"/>
  <cols>
    <col min="1" max="1" width="11.44140625" style="24"/>
    <col min="2" max="2" width="15.77734375" style="1" customWidth="1"/>
    <col min="3" max="3" width="17.109375" style="1" customWidth="1"/>
    <col min="4" max="4" width="14.77734375" style="1" customWidth="1"/>
    <col min="5" max="5" width="12.33203125" style="1" customWidth="1"/>
    <col min="6" max="16384" width="11.44140625" style="1"/>
  </cols>
  <sheetData>
    <row r="1" spans="1:5" s="3" customFormat="1" ht="39.6" x14ac:dyDescent="0.3">
      <c r="A1" s="21" t="s">
        <v>310</v>
      </c>
      <c r="B1" s="2" t="s">
        <v>279</v>
      </c>
      <c r="C1" s="2" t="s">
        <v>280</v>
      </c>
      <c r="D1" s="2" t="s">
        <v>281</v>
      </c>
      <c r="E1" s="2" t="s">
        <v>8</v>
      </c>
    </row>
    <row r="2" spans="1:5" s="25" customFormat="1" ht="26.4" x14ac:dyDescent="0.3">
      <c r="A2" s="23" t="s">
        <v>323</v>
      </c>
      <c r="B2" s="23">
        <f>VLOOKUP(B1,CamposSIS,2,FALSE)</f>
        <v>79</v>
      </c>
      <c r="C2" s="23"/>
      <c r="D2" s="23"/>
      <c r="E2" s="23">
        <f>VLOOKUP(E1,CamposSIS,2,FALSE)</f>
        <v>1</v>
      </c>
    </row>
    <row r="3" spans="1:5" ht="16.8" x14ac:dyDescent="0.3">
      <c r="A3" s="70" t="str">
        <f>'BASE MAESTRA'!B7</f>
        <v>3</v>
      </c>
      <c r="B3" s="1">
        <f t="shared" ref="B3:B66" si="0">VLOOKUP($A3,DatosEspecies,B$2,FALSE)</f>
        <v>0</v>
      </c>
      <c r="E3" s="1" t="str">
        <f t="shared" ref="E3:E66" si="1">VLOOKUP($A3,DatosEspecies,E$2,FALSE)</f>
        <v>3</v>
      </c>
    </row>
    <row r="4" spans="1:5" ht="16.8" x14ac:dyDescent="0.3">
      <c r="A4" s="70" t="str">
        <f>'BASE MAESTRA'!B8</f>
        <v>4</v>
      </c>
      <c r="B4" s="1">
        <f t="shared" si="0"/>
        <v>0</v>
      </c>
      <c r="E4" s="1" t="str">
        <f t="shared" si="1"/>
        <v>4</v>
      </c>
    </row>
    <row r="5" spans="1:5" ht="16.8" x14ac:dyDescent="0.3">
      <c r="A5" s="70" t="str">
        <f>'BASE MAESTRA'!B10</f>
        <v>6</v>
      </c>
      <c r="B5" s="1">
        <f t="shared" si="0"/>
        <v>0</v>
      </c>
      <c r="E5" s="1" t="str">
        <f t="shared" si="1"/>
        <v>6</v>
      </c>
    </row>
    <row r="6" spans="1:5" ht="16.8" x14ac:dyDescent="0.3">
      <c r="A6" s="70" t="str">
        <f>'BASE MAESTRA'!B11</f>
        <v>7</v>
      </c>
      <c r="B6" s="1">
        <f t="shared" si="0"/>
        <v>0</v>
      </c>
      <c r="E6" s="1" t="str">
        <f t="shared" si="1"/>
        <v>7</v>
      </c>
    </row>
    <row r="7" spans="1:5" ht="16.8" x14ac:dyDescent="0.3">
      <c r="A7" s="70" t="str">
        <f>'BASE MAESTRA'!B12</f>
        <v>8</v>
      </c>
      <c r="B7" s="1">
        <f t="shared" si="0"/>
        <v>0</v>
      </c>
      <c r="E7" s="1" t="str">
        <f t="shared" si="1"/>
        <v>8</v>
      </c>
    </row>
    <row r="8" spans="1:5" ht="16.8" x14ac:dyDescent="0.3">
      <c r="A8" s="70" t="str">
        <f>'BASE MAESTRA'!B13</f>
        <v>9</v>
      </c>
      <c r="B8" s="1">
        <f t="shared" si="0"/>
        <v>0</v>
      </c>
      <c r="E8" s="1" t="str">
        <f t="shared" si="1"/>
        <v>9</v>
      </c>
    </row>
    <row r="9" spans="1:5" ht="16.8" x14ac:dyDescent="0.3">
      <c r="A9" s="70" t="str">
        <f>'BASE MAESTRA'!B14</f>
        <v>10</v>
      </c>
      <c r="B9" s="1">
        <f t="shared" si="0"/>
        <v>0</v>
      </c>
      <c r="E9" s="1" t="str">
        <f t="shared" si="1"/>
        <v>10</v>
      </c>
    </row>
    <row r="10" spans="1:5" ht="16.8" x14ac:dyDescent="0.3">
      <c r="A10" s="70" t="str">
        <f>'BASE MAESTRA'!B15</f>
        <v>11</v>
      </c>
      <c r="B10" s="1">
        <f t="shared" si="0"/>
        <v>0</v>
      </c>
      <c r="E10" s="1" t="str">
        <f t="shared" si="1"/>
        <v>11</v>
      </c>
    </row>
    <row r="11" spans="1:5" ht="16.8" x14ac:dyDescent="0.3">
      <c r="A11" s="70" t="str">
        <f>'BASE MAESTRA'!B16</f>
        <v>12</v>
      </c>
      <c r="B11" s="1">
        <f t="shared" si="0"/>
        <v>0</v>
      </c>
      <c r="E11" s="1" t="str">
        <f t="shared" si="1"/>
        <v>12</v>
      </c>
    </row>
    <row r="12" spans="1:5" ht="16.8" x14ac:dyDescent="0.3">
      <c r="A12" s="70" t="str">
        <f>'BASE MAESTRA'!B17</f>
        <v>13</v>
      </c>
      <c r="B12" s="1">
        <f t="shared" si="0"/>
        <v>0</v>
      </c>
      <c r="E12" s="1" t="str">
        <f t="shared" si="1"/>
        <v>13</v>
      </c>
    </row>
    <row r="13" spans="1:5" ht="16.8" x14ac:dyDescent="0.3">
      <c r="A13" s="70" t="str">
        <f>'BASE MAESTRA'!B18</f>
        <v>14</v>
      </c>
      <c r="B13" s="1">
        <f t="shared" si="0"/>
        <v>0</v>
      </c>
      <c r="E13" s="1" t="str">
        <f t="shared" si="1"/>
        <v>14</v>
      </c>
    </row>
    <row r="14" spans="1:5" ht="16.8" x14ac:dyDescent="0.3">
      <c r="A14" s="70" t="str">
        <f>'BASE MAESTRA'!B19</f>
        <v>15</v>
      </c>
      <c r="B14" s="1">
        <f t="shared" si="0"/>
        <v>0</v>
      </c>
      <c r="E14" s="1" t="str">
        <f t="shared" si="1"/>
        <v>15</v>
      </c>
    </row>
    <row r="15" spans="1:5" ht="16.8" x14ac:dyDescent="0.3">
      <c r="A15" s="70" t="str">
        <f>'BASE MAESTRA'!B20</f>
        <v>16</v>
      </c>
      <c r="B15" s="1">
        <f t="shared" si="0"/>
        <v>0</v>
      </c>
      <c r="E15" s="1" t="str">
        <f t="shared" si="1"/>
        <v>16</v>
      </c>
    </row>
    <row r="16" spans="1:5" ht="16.8" x14ac:dyDescent="0.3">
      <c r="A16" s="70" t="str">
        <f>'BASE MAESTRA'!B21</f>
        <v>17</v>
      </c>
      <c r="B16" s="1">
        <f t="shared" si="0"/>
        <v>0</v>
      </c>
      <c r="E16" s="1" t="str">
        <f t="shared" si="1"/>
        <v>17</v>
      </c>
    </row>
    <row r="17" spans="1:5" ht="16.8" x14ac:dyDescent="0.3">
      <c r="A17" s="70" t="str">
        <f>'BASE MAESTRA'!B22</f>
        <v>18</v>
      </c>
      <c r="B17" s="1">
        <f t="shared" si="0"/>
        <v>0</v>
      </c>
      <c r="E17" s="1" t="str">
        <f t="shared" si="1"/>
        <v>18</v>
      </c>
    </row>
    <row r="18" spans="1:5" ht="16.8" x14ac:dyDescent="0.3">
      <c r="A18" s="70" t="str">
        <f>'BASE MAESTRA'!B23</f>
        <v>19</v>
      </c>
      <c r="B18" s="1">
        <f t="shared" si="0"/>
        <v>0</v>
      </c>
      <c r="E18" s="1" t="str">
        <f t="shared" si="1"/>
        <v>19</v>
      </c>
    </row>
    <row r="19" spans="1:5" ht="16.8" x14ac:dyDescent="0.3">
      <c r="A19" s="70" t="str">
        <f>'BASE MAESTRA'!B25</f>
        <v>20</v>
      </c>
      <c r="B19" s="1">
        <f t="shared" si="0"/>
        <v>0</v>
      </c>
      <c r="E19" s="1" t="str">
        <f t="shared" si="1"/>
        <v>20</v>
      </c>
    </row>
    <row r="20" spans="1:5" ht="16.8" x14ac:dyDescent="0.3">
      <c r="A20" s="70" t="str">
        <f>'BASE MAESTRA'!B26</f>
        <v>21</v>
      </c>
      <c r="B20" s="1">
        <f t="shared" si="0"/>
        <v>0</v>
      </c>
      <c r="E20" s="1" t="str">
        <f t="shared" si="1"/>
        <v>21</v>
      </c>
    </row>
    <row r="21" spans="1:5" ht="16.8" x14ac:dyDescent="0.3">
      <c r="A21" s="70" t="str">
        <f>'BASE MAESTRA'!B27</f>
        <v>22</v>
      </c>
      <c r="B21" s="1">
        <f t="shared" si="0"/>
        <v>0</v>
      </c>
      <c r="E21" s="1" t="str">
        <f t="shared" si="1"/>
        <v>22</v>
      </c>
    </row>
    <row r="22" spans="1:5" ht="16.8" x14ac:dyDescent="0.3">
      <c r="A22" s="70" t="str">
        <f>'BASE MAESTRA'!B28</f>
        <v>23</v>
      </c>
      <c r="B22" s="1">
        <f t="shared" si="0"/>
        <v>0</v>
      </c>
      <c r="E22" s="1" t="str">
        <f t="shared" si="1"/>
        <v>23</v>
      </c>
    </row>
    <row r="23" spans="1:5" ht="16.8" x14ac:dyDescent="0.3">
      <c r="A23" s="70" t="str">
        <f>'BASE MAESTRA'!B29</f>
        <v>24</v>
      </c>
      <c r="B23" s="1">
        <f t="shared" si="0"/>
        <v>0</v>
      </c>
      <c r="E23" s="1" t="str">
        <f t="shared" si="1"/>
        <v>24</v>
      </c>
    </row>
    <row r="24" spans="1:5" ht="16.8" x14ac:dyDescent="0.3">
      <c r="A24" s="70" t="str">
        <f>'BASE MAESTRA'!B30</f>
        <v>25</v>
      </c>
      <c r="B24" s="1">
        <f t="shared" si="0"/>
        <v>0</v>
      </c>
      <c r="E24" s="1" t="str">
        <f t="shared" si="1"/>
        <v>25</v>
      </c>
    </row>
    <row r="25" spans="1:5" ht="16.8" x14ac:dyDescent="0.3">
      <c r="A25" s="70" t="str">
        <f>'BASE MAESTRA'!B31</f>
        <v>26</v>
      </c>
      <c r="B25" s="1">
        <f t="shared" si="0"/>
        <v>0</v>
      </c>
      <c r="E25" s="1" t="str">
        <f t="shared" si="1"/>
        <v>26</v>
      </c>
    </row>
    <row r="26" spans="1:5" ht="16.8" x14ac:dyDescent="0.3">
      <c r="A26" s="70" t="str">
        <f>'BASE MAESTRA'!B32</f>
        <v>27</v>
      </c>
      <c r="B26" s="1">
        <f t="shared" si="0"/>
        <v>0</v>
      </c>
      <c r="E26" s="1" t="str">
        <f t="shared" si="1"/>
        <v>27</v>
      </c>
    </row>
    <row r="27" spans="1:5" ht="16.8" x14ac:dyDescent="0.3">
      <c r="A27" s="70" t="str">
        <f>'BASE MAESTRA'!B33</f>
        <v>28</v>
      </c>
      <c r="B27" s="1">
        <f t="shared" si="0"/>
        <v>0</v>
      </c>
      <c r="E27" s="1" t="str">
        <f t="shared" si="1"/>
        <v>28</v>
      </c>
    </row>
    <row r="28" spans="1:5" ht="16.8" x14ac:dyDescent="0.3">
      <c r="A28" s="70" t="str">
        <f>'BASE MAESTRA'!B34</f>
        <v>29</v>
      </c>
      <c r="B28" s="1">
        <f t="shared" si="0"/>
        <v>0</v>
      </c>
      <c r="E28" s="1" t="str">
        <f t="shared" si="1"/>
        <v>29</v>
      </c>
    </row>
    <row r="29" spans="1:5" ht="16.8" x14ac:dyDescent="0.3">
      <c r="A29" s="70" t="str">
        <f>'BASE MAESTRA'!B35</f>
        <v>30</v>
      </c>
      <c r="B29" s="1">
        <f t="shared" si="0"/>
        <v>0</v>
      </c>
      <c r="E29" s="1" t="str">
        <f t="shared" si="1"/>
        <v>30</v>
      </c>
    </row>
    <row r="30" spans="1:5" ht="16.8" x14ac:dyDescent="0.3">
      <c r="A30" s="70" t="str">
        <f>'BASE MAESTRA'!B36</f>
        <v>31</v>
      </c>
      <c r="B30" s="1">
        <f t="shared" si="0"/>
        <v>0</v>
      </c>
      <c r="E30" s="1" t="str">
        <f t="shared" si="1"/>
        <v>31</v>
      </c>
    </row>
    <row r="31" spans="1:5" ht="16.8" x14ac:dyDescent="0.3">
      <c r="A31" s="70" t="str">
        <f>'BASE MAESTRA'!B37</f>
        <v>32</v>
      </c>
      <c r="B31" s="1">
        <f t="shared" si="0"/>
        <v>0</v>
      </c>
      <c r="E31" s="1" t="str">
        <f t="shared" si="1"/>
        <v>32</v>
      </c>
    </row>
    <row r="32" spans="1:5" ht="16.8" x14ac:dyDescent="0.3">
      <c r="A32" s="70" t="str">
        <f>'BASE MAESTRA'!B38</f>
        <v>33</v>
      </c>
      <c r="B32" s="1">
        <f t="shared" si="0"/>
        <v>0</v>
      </c>
      <c r="E32" s="1" t="str">
        <f t="shared" si="1"/>
        <v>33</v>
      </c>
    </row>
    <row r="33" spans="1:5" ht="16.8" x14ac:dyDescent="0.3">
      <c r="A33" s="70" t="str">
        <f>'BASE MAESTRA'!B39</f>
        <v>34</v>
      </c>
      <c r="B33" s="1">
        <f t="shared" si="0"/>
        <v>0</v>
      </c>
      <c r="E33" s="1" t="str">
        <f t="shared" si="1"/>
        <v>34</v>
      </c>
    </row>
    <row r="34" spans="1:5" ht="16.8" x14ac:dyDescent="0.3">
      <c r="A34" s="70" t="str">
        <f>'BASE MAESTRA'!B40</f>
        <v>35</v>
      </c>
      <c r="B34" s="1">
        <f t="shared" si="0"/>
        <v>0</v>
      </c>
      <c r="E34" s="1" t="str">
        <f t="shared" si="1"/>
        <v>35</v>
      </c>
    </row>
    <row r="35" spans="1:5" ht="16.8" x14ac:dyDescent="0.3">
      <c r="A35" s="70" t="str">
        <f>'BASE MAESTRA'!B41</f>
        <v>36</v>
      </c>
      <c r="B35" s="1">
        <f t="shared" si="0"/>
        <v>0</v>
      </c>
      <c r="E35" s="1" t="str">
        <f t="shared" si="1"/>
        <v>36</v>
      </c>
    </row>
    <row r="36" spans="1:5" ht="16.8" x14ac:dyDescent="0.3">
      <c r="A36" s="70" t="str">
        <f>'BASE MAESTRA'!B42</f>
        <v>37</v>
      </c>
      <c r="B36" s="1">
        <f t="shared" si="0"/>
        <v>0</v>
      </c>
      <c r="E36" s="1" t="str">
        <f t="shared" si="1"/>
        <v>37</v>
      </c>
    </row>
    <row r="37" spans="1:5" ht="16.8" x14ac:dyDescent="0.3">
      <c r="A37" s="70" t="str">
        <f>'BASE MAESTRA'!B43</f>
        <v>38</v>
      </c>
      <c r="B37" s="1">
        <f t="shared" si="0"/>
        <v>0</v>
      </c>
      <c r="E37" s="1" t="str">
        <f t="shared" si="1"/>
        <v>38</v>
      </c>
    </row>
    <row r="38" spans="1:5" ht="16.8" x14ac:dyDescent="0.3">
      <c r="A38" s="70" t="str">
        <f>'BASE MAESTRA'!B44</f>
        <v>39</v>
      </c>
      <c r="B38" s="1">
        <f t="shared" si="0"/>
        <v>0</v>
      </c>
      <c r="E38" s="1" t="str">
        <f t="shared" si="1"/>
        <v>39</v>
      </c>
    </row>
    <row r="39" spans="1:5" ht="16.8" x14ac:dyDescent="0.3">
      <c r="A39" s="70">
        <f>'BASE MAESTRA'!B45</f>
        <v>37</v>
      </c>
      <c r="B39" s="1">
        <f t="shared" si="0"/>
        <v>0</v>
      </c>
      <c r="E39" s="1">
        <f t="shared" si="1"/>
        <v>37</v>
      </c>
    </row>
    <row r="40" spans="1:5" ht="16.8" x14ac:dyDescent="0.3">
      <c r="A40" s="70">
        <f>'BASE MAESTRA'!B46</f>
        <v>38</v>
      </c>
      <c r="B40" s="1">
        <f t="shared" si="0"/>
        <v>0</v>
      </c>
      <c r="E40" s="1">
        <f t="shared" si="1"/>
        <v>38</v>
      </c>
    </row>
    <row r="41" spans="1:5" ht="16.8" x14ac:dyDescent="0.3">
      <c r="A41" s="70">
        <f>'BASE MAESTRA'!B47</f>
        <v>39</v>
      </c>
      <c r="B41" s="1">
        <f t="shared" si="0"/>
        <v>0</v>
      </c>
      <c r="E41" s="1">
        <f t="shared" si="1"/>
        <v>39</v>
      </c>
    </row>
    <row r="42" spans="1:5" ht="16.8" x14ac:dyDescent="0.3">
      <c r="A42" s="70">
        <f>'BASE MAESTRA'!B48</f>
        <v>40</v>
      </c>
      <c r="B42" s="1">
        <f t="shared" si="0"/>
        <v>0</v>
      </c>
      <c r="E42" s="1">
        <f t="shared" si="1"/>
        <v>40</v>
      </c>
    </row>
    <row r="43" spans="1:5" ht="16.8" x14ac:dyDescent="0.3">
      <c r="A43" s="70">
        <f>'BASE MAESTRA'!B49</f>
        <v>41</v>
      </c>
      <c r="B43" s="1">
        <f t="shared" si="0"/>
        <v>0</v>
      </c>
      <c r="E43" s="1">
        <f t="shared" si="1"/>
        <v>41</v>
      </c>
    </row>
    <row r="44" spans="1:5" ht="16.8" x14ac:dyDescent="0.3">
      <c r="A44" s="70">
        <f>'BASE MAESTRA'!B50</f>
        <v>42</v>
      </c>
      <c r="B44" s="1">
        <f t="shared" si="0"/>
        <v>0</v>
      </c>
      <c r="E44" s="1">
        <f t="shared" si="1"/>
        <v>42</v>
      </c>
    </row>
    <row r="45" spans="1:5" ht="16.8" x14ac:dyDescent="0.3">
      <c r="A45" s="70">
        <f>'BASE MAESTRA'!B51</f>
        <v>43</v>
      </c>
      <c r="B45" s="1">
        <f t="shared" si="0"/>
        <v>0</v>
      </c>
      <c r="E45" s="1">
        <f t="shared" si="1"/>
        <v>43</v>
      </c>
    </row>
    <row r="46" spans="1:5" ht="16.8" x14ac:dyDescent="0.3">
      <c r="A46" s="70">
        <f>'BASE MAESTRA'!B52</f>
        <v>44</v>
      </c>
      <c r="B46" s="1">
        <f t="shared" si="0"/>
        <v>0</v>
      </c>
      <c r="E46" s="1">
        <f t="shared" si="1"/>
        <v>44</v>
      </c>
    </row>
    <row r="47" spans="1:5" ht="16.8" x14ac:dyDescent="0.3">
      <c r="A47" s="70">
        <f>'BASE MAESTRA'!B53</f>
        <v>45</v>
      </c>
      <c r="B47" s="1">
        <f t="shared" si="0"/>
        <v>0</v>
      </c>
      <c r="E47" s="1">
        <f t="shared" si="1"/>
        <v>45</v>
      </c>
    </row>
    <row r="48" spans="1:5" ht="16.8" x14ac:dyDescent="0.3">
      <c r="A48" s="70">
        <f>'BASE MAESTRA'!B54</f>
        <v>46</v>
      </c>
      <c r="B48" s="1">
        <f t="shared" si="0"/>
        <v>0</v>
      </c>
      <c r="E48" s="1">
        <f t="shared" si="1"/>
        <v>46</v>
      </c>
    </row>
    <row r="49" spans="1:5" ht="16.8" x14ac:dyDescent="0.3">
      <c r="A49" s="70">
        <f>'BASE MAESTRA'!B55</f>
        <v>47</v>
      </c>
      <c r="B49" s="1">
        <f t="shared" si="0"/>
        <v>0</v>
      </c>
      <c r="E49" s="1">
        <f t="shared" si="1"/>
        <v>47</v>
      </c>
    </row>
    <row r="50" spans="1:5" ht="16.8" x14ac:dyDescent="0.3">
      <c r="A50" s="70">
        <f>'BASE MAESTRA'!B56</f>
        <v>48</v>
      </c>
      <c r="B50" s="1">
        <f t="shared" si="0"/>
        <v>0</v>
      </c>
      <c r="E50" s="1">
        <f t="shared" si="1"/>
        <v>48</v>
      </c>
    </row>
    <row r="51" spans="1:5" ht="16.8" x14ac:dyDescent="0.3">
      <c r="A51" s="70">
        <f>'BASE MAESTRA'!B57</f>
        <v>49</v>
      </c>
      <c r="B51" s="1">
        <f t="shared" si="0"/>
        <v>0</v>
      </c>
      <c r="E51" s="1">
        <f t="shared" si="1"/>
        <v>49</v>
      </c>
    </row>
    <row r="52" spans="1:5" ht="16.8" x14ac:dyDescent="0.3">
      <c r="A52" s="70">
        <f>'BASE MAESTRA'!B58</f>
        <v>50</v>
      </c>
      <c r="B52" s="1">
        <f t="shared" si="0"/>
        <v>0</v>
      </c>
      <c r="E52" s="1">
        <f t="shared" si="1"/>
        <v>50</v>
      </c>
    </row>
    <row r="53" spans="1:5" ht="16.8" x14ac:dyDescent="0.3">
      <c r="A53" s="70">
        <f>'BASE MAESTRA'!B59</f>
        <v>51</v>
      </c>
      <c r="B53" s="1">
        <f t="shared" si="0"/>
        <v>0</v>
      </c>
      <c r="E53" s="1">
        <f t="shared" si="1"/>
        <v>51</v>
      </c>
    </row>
    <row r="54" spans="1:5" ht="16.8" x14ac:dyDescent="0.3">
      <c r="A54" s="70">
        <f>'BASE MAESTRA'!B60</f>
        <v>52</v>
      </c>
      <c r="B54" s="1">
        <f t="shared" si="0"/>
        <v>0</v>
      </c>
      <c r="E54" s="1">
        <f t="shared" si="1"/>
        <v>52</v>
      </c>
    </row>
    <row r="55" spans="1:5" ht="16.8" x14ac:dyDescent="0.3">
      <c r="A55" s="70">
        <f>'BASE MAESTRA'!B61</f>
        <v>53</v>
      </c>
      <c r="B55" s="1">
        <f t="shared" si="0"/>
        <v>0</v>
      </c>
      <c r="E55" s="1">
        <f t="shared" si="1"/>
        <v>53</v>
      </c>
    </row>
    <row r="56" spans="1:5" ht="16.8" x14ac:dyDescent="0.3">
      <c r="A56" s="70">
        <f>'BASE MAESTRA'!B62</f>
        <v>54</v>
      </c>
      <c r="B56" s="1">
        <f t="shared" si="0"/>
        <v>0</v>
      </c>
      <c r="E56" s="1">
        <f t="shared" si="1"/>
        <v>54</v>
      </c>
    </row>
    <row r="57" spans="1:5" ht="16.8" x14ac:dyDescent="0.3">
      <c r="A57" s="70">
        <f>'BASE MAESTRA'!B63</f>
        <v>55</v>
      </c>
      <c r="B57" s="1">
        <f t="shared" si="0"/>
        <v>0</v>
      </c>
      <c r="E57" s="1">
        <f t="shared" si="1"/>
        <v>55</v>
      </c>
    </row>
    <row r="58" spans="1:5" ht="16.8" x14ac:dyDescent="0.3">
      <c r="A58" s="70">
        <f>'BASE MAESTRA'!B64</f>
        <v>56</v>
      </c>
      <c r="B58" s="1">
        <f t="shared" si="0"/>
        <v>0</v>
      </c>
      <c r="E58" s="1">
        <f t="shared" si="1"/>
        <v>56</v>
      </c>
    </row>
    <row r="59" spans="1:5" ht="16.8" x14ac:dyDescent="0.3">
      <c r="A59" s="70">
        <f>'BASE MAESTRA'!B65</f>
        <v>57</v>
      </c>
      <c r="B59" s="1">
        <f t="shared" si="0"/>
        <v>0</v>
      </c>
      <c r="E59" s="1">
        <f t="shared" si="1"/>
        <v>57</v>
      </c>
    </row>
    <row r="60" spans="1:5" ht="16.8" x14ac:dyDescent="0.3">
      <c r="A60" s="70">
        <f>'BASE MAESTRA'!B66</f>
        <v>58</v>
      </c>
      <c r="B60" s="1">
        <f t="shared" si="0"/>
        <v>0</v>
      </c>
      <c r="E60" s="1">
        <f t="shared" si="1"/>
        <v>58</v>
      </c>
    </row>
    <row r="61" spans="1:5" ht="16.8" x14ac:dyDescent="0.3">
      <c r="A61" s="70">
        <f>'BASE MAESTRA'!B67</f>
        <v>59</v>
      </c>
      <c r="B61" s="1">
        <f t="shared" si="0"/>
        <v>0</v>
      </c>
      <c r="E61" s="1">
        <f t="shared" si="1"/>
        <v>59</v>
      </c>
    </row>
    <row r="62" spans="1:5" ht="16.8" x14ac:dyDescent="0.3">
      <c r="A62" s="70">
        <f>'BASE MAESTRA'!B68</f>
        <v>60</v>
      </c>
      <c r="B62" s="1">
        <f t="shared" si="0"/>
        <v>0</v>
      </c>
      <c r="E62" s="1">
        <f t="shared" si="1"/>
        <v>60</v>
      </c>
    </row>
    <row r="63" spans="1:5" ht="16.8" x14ac:dyDescent="0.3">
      <c r="A63" s="70">
        <f>'BASE MAESTRA'!B69</f>
        <v>61</v>
      </c>
      <c r="B63" s="1">
        <f t="shared" si="0"/>
        <v>0</v>
      </c>
      <c r="E63" s="1">
        <f t="shared" si="1"/>
        <v>61</v>
      </c>
    </row>
    <row r="64" spans="1:5" ht="16.8" x14ac:dyDescent="0.3">
      <c r="A64" s="70">
        <f>'BASE MAESTRA'!B70</f>
        <v>62</v>
      </c>
      <c r="B64" s="1">
        <f t="shared" si="0"/>
        <v>0</v>
      </c>
      <c r="E64" s="1">
        <f t="shared" si="1"/>
        <v>62</v>
      </c>
    </row>
    <row r="65" spans="1:5" ht="16.8" x14ac:dyDescent="0.3">
      <c r="A65" s="70">
        <f>'BASE MAESTRA'!B71</f>
        <v>63</v>
      </c>
      <c r="B65" s="1">
        <f t="shared" si="0"/>
        <v>0</v>
      </c>
      <c r="E65" s="1">
        <f t="shared" si="1"/>
        <v>63</v>
      </c>
    </row>
    <row r="66" spans="1:5" ht="16.8" x14ac:dyDescent="0.3">
      <c r="A66" s="70">
        <f>'BASE MAESTRA'!B72</f>
        <v>64</v>
      </c>
      <c r="B66" s="1">
        <f t="shared" si="0"/>
        <v>0</v>
      </c>
      <c r="E66" s="1">
        <f t="shared" si="1"/>
        <v>64</v>
      </c>
    </row>
    <row r="67" spans="1:5" ht="16.8" x14ac:dyDescent="0.3">
      <c r="A67" s="70">
        <f>'BASE MAESTRA'!B73</f>
        <v>65</v>
      </c>
      <c r="B67" s="1">
        <f t="shared" ref="B67:B130" si="2">VLOOKUP($A67,DatosEspecies,B$2,FALSE)</f>
        <v>0</v>
      </c>
      <c r="E67" s="1">
        <f t="shared" ref="E67:E130" si="3">VLOOKUP($A67,DatosEspecies,E$2,FALSE)</f>
        <v>65</v>
      </c>
    </row>
    <row r="68" spans="1:5" ht="16.8" x14ac:dyDescent="0.3">
      <c r="A68" s="70">
        <f>'BASE MAESTRA'!B74</f>
        <v>66</v>
      </c>
      <c r="B68" s="1">
        <f t="shared" si="2"/>
        <v>0</v>
      </c>
      <c r="E68" s="1">
        <f t="shared" si="3"/>
        <v>66</v>
      </c>
    </row>
    <row r="69" spans="1:5" ht="16.8" x14ac:dyDescent="0.3">
      <c r="A69" s="70">
        <f>'BASE MAESTRA'!B75</f>
        <v>67</v>
      </c>
      <c r="B69" s="1">
        <f t="shared" si="2"/>
        <v>0</v>
      </c>
      <c r="E69" s="1">
        <f t="shared" si="3"/>
        <v>67</v>
      </c>
    </row>
    <row r="70" spans="1:5" ht="16.8" x14ac:dyDescent="0.3">
      <c r="A70" s="70">
        <f>'BASE MAESTRA'!B76</f>
        <v>68</v>
      </c>
      <c r="B70" s="1">
        <f t="shared" si="2"/>
        <v>0</v>
      </c>
      <c r="E70" s="1">
        <f t="shared" si="3"/>
        <v>68</v>
      </c>
    </row>
    <row r="71" spans="1:5" ht="16.8" x14ac:dyDescent="0.3">
      <c r="A71" s="70">
        <f>'BASE MAESTRA'!B77</f>
        <v>69</v>
      </c>
      <c r="B71" s="1">
        <f t="shared" si="2"/>
        <v>0</v>
      </c>
      <c r="E71" s="1">
        <f t="shared" si="3"/>
        <v>69</v>
      </c>
    </row>
    <row r="72" spans="1:5" ht="16.8" x14ac:dyDescent="0.3">
      <c r="A72" s="70">
        <f>'BASE MAESTRA'!B78</f>
        <v>70</v>
      </c>
      <c r="B72" s="1">
        <f t="shared" si="2"/>
        <v>0</v>
      </c>
      <c r="E72" s="1">
        <f t="shared" si="3"/>
        <v>70</v>
      </c>
    </row>
    <row r="73" spans="1:5" ht="16.8" x14ac:dyDescent="0.3">
      <c r="A73" s="70">
        <f>'BASE MAESTRA'!B79</f>
        <v>71</v>
      </c>
      <c r="B73" s="1">
        <f t="shared" si="2"/>
        <v>0</v>
      </c>
      <c r="E73" s="1">
        <f t="shared" si="3"/>
        <v>71</v>
      </c>
    </row>
    <row r="74" spans="1:5" ht="16.8" x14ac:dyDescent="0.3">
      <c r="A74" s="70">
        <f>'BASE MAESTRA'!B80</f>
        <v>72</v>
      </c>
      <c r="B74" s="1">
        <f t="shared" si="2"/>
        <v>0</v>
      </c>
      <c r="E74" s="1">
        <f t="shared" si="3"/>
        <v>72</v>
      </c>
    </row>
    <row r="75" spans="1:5" ht="16.8" x14ac:dyDescent="0.3">
      <c r="A75" s="70">
        <f>'BASE MAESTRA'!B81</f>
        <v>73</v>
      </c>
      <c r="B75" s="1">
        <f t="shared" si="2"/>
        <v>0</v>
      </c>
      <c r="E75" s="1">
        <f t="shared" si="3"/>
        <v>73</v>
      </c>
    </row>
    <row r="76" spans="1:5" ht="16.8" x14ac:dyDescent="0.3">
      <c r="A76" s="70">
        <f>'BASE MAESTRA'!B82</f>
        <v>74</v>
      </c>
      <c r="B76" s="1">
        <f t="shared" si="2"/>
        <v>0</v>
      </c>
      <c r="E76" s="1">
        <f t="shared" si="3"/>
        <v>74</v>
      </c>
    </row>
    <row r="77" spans="1:5" ht="16.8" x14ac:dyDescent="0.3">
      <c r="A77" s="70">
        <f>'BASE MAESTRA'!B83</f>
        <v>75</v>
      </c>
      <c r="B77" s="1">
        <f t="shared" si="2"/>
        <v>0</v>
      </c>
      <c r="E77" s="1">
        <f t="shared" si="3"/>
        <v>75</v>
      </c>
    </row>
    <row r="78" spans="1:5" ht="16.8" x14ac:dyDescent="0.3">
      <c r="A78" s="70">
        <f>'BASE MAESTRA'!B84</f>
        <v>76</v>
      </c>
      <c r="B78" s="1">
        <f t="shared" si="2"/>
        <v>0</v>
      </c>
      <c r="E78" s="1">
        <f t="shared" si="3"/>
        <v>76</v>
      </c>
    </row>
    <row r="79" spans="1:5" ht="16.8" x14ac:dyDescent="0.3">
      <c r="A79" s="70">
        <f>'BASE MAESTRA'!B85</f>
        <v>77</v>
      </c>
      <c r="B79" s="1">
        <f t="shared" si="2"/>
        <v>0</v>
      </c>
      <c r="E79" s="1">
        <f t="shared" si="3"/>
        <v>77</v>
      </c>
    </row>
    <row r="80" spans="1:5" ht="16.8" x14ac:dyDescent="0.3">
      <c r="A80" s="70">
        <f>'BASE MAESTRA'!B86</f>
        <v>78</v>
      </c>
      <c r="B80" s="1">
        <f t="shared" si="2"/>
        <v>0</v>
      </c>
      <c r="E80" s="1">
        <f t="shared" si="3"/>
        <v>78</v>
      </c>
    </row>
    <row r="81" spans="1:5" ht="16.8" x14ac:dyDescent="0.3">
      <c r="A81" s="70">
        <f>'BASE MAESTRA'!B87</f>
        <v>79</v>
      </c>
      <c r="B81" s="1">
        <f t="shared" si="2"/>
        <v>0</v>
      </c>
      <c r="E81" s="1">
        <f t="shared" si="3"/>
        <v>79</v>
      </c>
    </row>
    <row r="82" spans="1:5" ht="16.8" x14ac:dyDescent="0.3">
      <c r="A82" s="70">
        <f>'BASE MAESTRA'!B88</f>
        <v>80</v>
      </c>
      <c r="B82" s="1">
        <f t="shared" si="2"/>
        <v>0</v>
      </c>
      <c r="E82" s="1">
        <f t="shared" si="3"/>
        <v>80</v>
      </c>
    </row>
    <row r="83" spans="1:5" ht="16.8" x14ac:dyDescent="0.3">
      <c r="A83" s="70">
        <f>'BASE MAESTRA'!B89</f>
        <v>81</v>
      </c>
      <c r="B83" s="1">
        <f t="shared" si="2"/>
        <v>0</v>
      </c>
      <c r="E83" s="1">
        <f t="shared" si="3"/>
        <v>81</v>
      </c>
    </row>
    <row r="84" spans="1:5" ht="16.8" x14ac:dyDescent="0.3">
      <c r="A84" s="70">
        <f>'BASE MAESTRA'!B90</f>
        <v>82</v>
      </c>
      <c r="B84" s="1">
        <f t="shared" si="2"/>
        <v>0</v>
      </c>
      <c r="E84" s="1">
        <f t="shared" si="3"/>
        <v>82</v>
      </c>
    </row>
    <row r="85" spans="1:5" ht="16.8" x14ac:dyDescent="0.3">
      <c r="A85" s="70">
        <f>'BASE MAESTRA'!B91</f>
        <v>83</v>
      </c>
      <c r="B85" s="1">
        <f t="shared" si="2"/>
        <v>0</v>
      </c>
      <c r="E85" s="1">
        <f t="shared" si="3"/>
        <v>83</v>
      </c>
    </row>
    <row r="86" spans="1:5" ht="16.8" x14ac:dyDescent="0.3">
      <c r="A86" s="70">
        <f>'BASE MAESTRA'!B92</f>
        <v>84</v>
      </c>
      <c r="B86" s="1">
        <f t="shared" si="2"/>
        <v>0</v>
      </c>
      <c r="E86" s="1">
        <f t="shared" si="3"/>
        <v>84</v>
      </c>
    </row>
    <row r="87" spans="1:5" ht="16.8" x14ac:dyDescent="0.3">
      <c r="A87" s="70">
        <f>'BASE MAESTRA'!B93</f>
        <v>85</v>
      </c>
      <c r="B87" s="1">
        <f t="shared" si="2"/>
        <v>0</v>
      </c>
      <c r="E87" s="1">
        <f t="shared" si="3"/>
        <v>85</v>
      </c>
    </row>
    <row r="88" spans="1:5" ht="16.8" x14ac:dyDescent="0.3">
      <c r="A88" s="70">
        <f>'BASE MAESTRA'!B94</f>
        <v>86</v>
      </c>
      <c r="B88" s="1">
        <f t="shared" si="2"/>
        <v>0</v>
      </c>
      <c r="E88" s="1">
        <f t="shared" si="3"/>
        <v>86</v>
      </c>
    </row>
    <row r="89" spans="1:5" ht="16.8" x14ac:dyDescent="0.3">
      <c r="A89" s="70">
        <f>'BASE MAESTRA'!B95</f>
        <v>87</v>
      </c>
      <c r="B89" s="1">
        <f t="shared" si="2"/>
        <v>0</v>
      </c>
      <c r="E89" s="1">
        <f t="shared" si="3"/>
        <v>87</v>
      </c>
    </row>
    <row r="90" spans="1:5" ht="16.8" x14ac:dyDescent="0.3">
      <c r="A90" s="70">
        <f>'BASE MAESTRA'!B96</f>
        <v>88</v>
      </c>
      <c r="B90" s="1">
        <f t="shared" si="2"/>
        <v>0</v>
      </c>
      <c r="E90" s="1">
        <f t="shared" si="3"/>
        <v>88</v>
      </c>
    </row>
    <row r="91" spans="1:5" ht="16.8" x14ac:dyDescent="0.3">
      <c r="A91" s="70">
        <f>'BASE MAESTRA'!B97</f>
        <v>89</v>
      </c>
      <c r="B91" s="1">
        <f t="shared" si="2"/>
        <v>0</v>
      </c>
      <c r="E91" s="1">
        <f t="shared" si="3"/>
        <v>89</v>
      </c>
    </row>
    <row r="92" spans="1:5" ht="16.8" x14ac:dyDescent="0.3">
      <c r="A92" s="70">
        <f>'BASE MAESTRA'!B98</f>
        <v>90</v>
      </c>
      <c r="B92" s="1">
        <f t="shared" si="2"/>
        <v>0</v>
      </c>
      <c r="E92" s="1">
        <f t="shared" si="3"/>
        <v>90</v>
      </c>
    </row>
    <row r="93" spans="1:5" ht="16.8" x14ac:dyDescent="0.3">
      <c r="A93" s="70">
        <f>'BASE MAESTRA'!B99</f>
        <v>91</v>
      </c>
      <c r="B93" s="1">
        <f t="shared" si="2"/>
        <v>0</v>
      </c>
      <c r="E93" s="1">
        <f t="shared" si="3"/>
        <v>91</v>
      </c>
    </row>
    <row r="94" spans="1:5" ht="16.8" x14ac:dyDescent="0.3">
      <c r="A94" s="70">
        <f>'BASE MAESTRA'!B100</f>
        <v>92</v>
      </c>
      <c r="B94" s="1">
        <f t="shared" si="2"/>
        <v>0</v>
      </c>
      <c r="E94" s="1">
        <f t="shared" si="3"/>
        <v>92</v>
      </c>
    </row>
    <row r="95" spans="1:5" ht="16.8" x14ac:dyDescent="0.3">
      <c r="A95" s="70">
        <f>'BASE MAESTRA'!B101</f>
        <v>93</v>
      </c>
      <c r="B95" s="1">
        <f t="shared" si="2"/>
        <v>0</v>
      </c>
      <c r="E95" s="1">
        <f t="shared" si="3"/>
        <v>93</v>
      </c>
    </row>
    <row r="96" spans="1:5" ht="16.8" x14ac:dyDescent="0.3">
      <c r="A96" s="70">
        <f>'BASE MAESTRA'!B102</f>
        <v>94</v>
      </c>
      <c r="B96" s="1">
        <f t="shared" si="2"/>
        <v>0</v>
      </c>
      <c r="E96" s="1">
        <f t="shared" si="3"/>
        <v>94</v>
      </c>
    </row>
    <row r="97" spans="1:5" ht="16.8" x14ac:dyDescent="0.3">
      <c r="A97" s="70">
        <f>'BASE MAESTRA'!B103</f>
        <v>95</v>
      </c>
      <c r="B97" s="1">
        <f t="shared" si="2"/>
        <v>0</v>
      </c>
      <c r="E97" s="1">
        <f t="shared" si="3"/>
        <v>95</v>
      </c>
    </row>
    <row r="98" spans="1:5" ht="16.8" x14ac:dyDescent="0.3">
      <c r="A98" s="70">
        <f>'BASE MAESTRA'!B104</f>
        <v>96</v>
      </c>
      <c r="B98" s="1">
        <f t="shared" si="2"/>
        <v>0</v>
      </c>
      <c r="E98" s="1">
        <f t="shared" si="3"/>
        <v>96</v>
      </c>
    </row>
    <row r="99" spans="1:5" ht="16.8" x14ac:dyDescent="0.3">
      <c r="A99" s="70">
        <f>'BASE MAESTRA'!B105</f>
        <v>97</v>
      </c>
      <c r="B99" s="1">
        <f t="shared" si="2"/>
        <v>0</v>
      </c>
      <c r="E99" s="1">
        <f t="shared" si="3"/>
        <v>97</v>
      </c>
    </row>
    <row r="100" spans="1:5" ht="16.8" x14ac:dyDescent="0.3">
      <c r="A100" s="70">
        <f>'BASE MAESTRA'!B106</f>
        <v>98</v>
      </c>
      <c r="B100" s="1">
        <f t="shared" si="2"/>
        <v>0</v>
      </c>
      <c r="E100" s="1">
        <f t="shared" si="3"/>
        <v>98</v>
      </c>
    </row>
    <row r="101" spans="1:5" ht="16.8" x14ac:dyDescent="0.3">
      <c r="A101" s="70">
        <f>'BASE MAESTRA'!B107</f>
        <v>99</v>
      </c>
      <c r="B101" s="1">
        <f t="shared" si="2"/>
        <v>0</v>
      </c>
      <c r="E101" s="1">
        <f t="shared" si="3"/>
        <v>99</v>
      </c>
    </row>
    <row r="102" spans="1:5" ht="16.8" x14ac:dyDescent="0.3">
      <c r="A102" s="70">
        <f>'BASE MAESTRA'!B108</f>
        <v>100</v>
      </c>
      <c r="B102" s="1">
        <f t="shared" si="2"/>
        <v>0</v>
      </c>
      <c r="E102" s="1">
        <f t="shared" si="3"/>
        <v>100</v>
      </c>
    </row>
    <row r="103" spans="1:5" ht="16.8" x14ac:dyDescent="0.3">
      <c r="A103" s="70">
        <f>'BASE MAESTRA'!B109</f>
        <v>101</v>
      </c>
      <c r="B103" s="1">
        <f t="shared" si="2"/>
        <v>0</v>
      </c>
      <c r="E103" s="1">
        <f t="shared" si="3"/>
        <v>101</v>
      </c>
    </row>
    <row r="104" spans="1:5" ht="16.8" x14ac:dyDescent="0.3">
      <c r="A104" s="70">
        <f>'BASE MAESTRA'!B110</f>
        <v>102</v>
      </c>
      <c r="B104" s="1">
        <f t="shared" si="2"/>
        <v>0</v>
      </c>
      <c r="E104" s="1">
        <f t="shared" si="3"/>
        <v>102</v>
      </c>
    </row>
    <row r="105" spans="1:5" ht="16.8" x14ac:dyDescent="0.3">
      <c r="A105" s="70">
        <f>'BASE MAESTRA'!B111</f>
        <v>103</v>
      </c>
      <c r="B105" s="1">
        <f t="shared" si="2"/>
        <v>0</v>
      </c>
      <c r="E105" s="1">
        <f t="shared" si="3"/>
        <v>103</v>
      </c>
    </row>
    <row r="106" spans="1:5" ht="16.8" x14ac:dyDescent="0.3">
      <c r="A106" s="70">
        <f>'BASE MAESTRA'!B112</f>
        <v>104</v>
      </c>
      <c r="B106" s="1">
        <f t="shared" si="2"/>
        <v>0</v>
      </c>
      <c r="E106" s="1">
        <f t="shared" si="3"/>
        <v>104</v>
      </c>
    </row>
    <row r="107" spans="1:5" ht="16.8" x14ac:dyDescent="0.3">
      <c r="A107" s="70">
        <f>'BASE MAESTRA'!B113</f>
        <v>105</v>
      </c>
      <c r="B107" s="1">
        <f t="shared" si="2"/>
        <v>0</v>
      </c>
      <c r="E107" s="1">
        <f t="shared" si="3"/>
        <v>105</v>
      </c>
    </row>
    <row r="108" spans="1:5" ht="16.8" x14ac:dyDescent="0.3">
      <c r="A108" s="70">
        <f>'BASE MAESTRA'!B114</f>
        <v>106</v>
      </c>
      <c r="B108" s="1">
        <f t="shared" si="2"/>
        <v>0</v>
      </c>
      <c r="E108" s="1">
        <f t="shared" si="3"/>
        <v>106</v>
      </c>
    </row>
    <row r="109" spans="1:5" ht="16.8" x14ac:dyDescent="0.3">
      <c r="A109" s="70">
        <f>'BASE MAESTRA'!B115</f>
        <v>107</v>
      </c>
      <c r="B109" s="1">
        <f t="shared" si="2"/>
        <v>0</v>
      </c>
      <c r="E109" s="1">
        <f t="shared" si="3"/>
        <v>107</v>
      </c>
    </row>
    <row r="110" spans="1:5" ht="16.8" x14ac:dyDescent="0.3">
      <c r="A110" s="70">
        <f>'BASE MAESTRA'!B116</f>
        <v>108</v>
      </c>
      <c r="B110" s="1">
        <f t="shared" si="2"/>
        <v>0</v>
      </c>
      <c r="E110" s="1">
        <f t="shared" si="3"/>
        <v>108</v>
      </c>
    </row>
    <row r="111" spans="1:5" ht="16.8" x14ac:dyDescent="0.3">
      <c r="A111" s="70">
        <f>'BASE MAESTRA'!B117</f>
        <v>109</v>
      </c>
      <c r="B111" s="1">
        <f t="shared" si="2"/>
        <v>0</v>
      </c>
      <c r="E111" s="1">
        <f t="shared" si="3"/>
        <v>109</v>
      </c>
    </row>
    <row r="112" spans="1:5" ht="16.8" x14ac:dyDescent="0.3">
      <c r="A112" s="70">
        <f>'BASE MAESTRA'!B118</f>
        <v>110</v>
      </c>
      <c r="B112" s="1">
        <f t="shared" si="2"/>
        <v>0</v>
      </c>
      <c r="E112" s="1">
        <f t="shared" si="3"/>
        <v>110</v>
      </c>
    </row>
    <row r="113" spans="1:5" ht="16.8" x14ac:dyDescent="0.3">
      <c r="A113" s="70">
        <f>'BASE MAESTRA'!B119</f>
        <v>111</v>
      </c>
      <c r="B113" s="1">
        <f t="shared" si="2"/>
        <v>0</v>
      </c>
      <c r="E113" s="1">
        <f t="shared" si="3"/>
        <v>111</v>
      </c>
    </row>
    <row r="114" spans="1:5" ht="16.8" x14ac:dyDescent="0.3">
      <c r="A114" s="70">
        <f>'BASE MAESTRA'!B120</f>
        <v>112</v>
      </c>
      <c r="B114" s="1">
        <f t="shared" si="2"/>
        <v>0</v>
      </c>
      <c r="E114" s="1">
        <f t="shared" si="3"/>
        <v>112</v>
      </c>
    </row>
    <row r="115" spans="1:5" ht="16.8" x14ac:dyDescent="0.3">
      <c r="A115" s="70">
        <f>'BASE MAESTRA'!B121</f>
        <v>113</v>
      </c>
      <c r="B115" s="1">
        <f t="shared" si="2"/>
        <v>0</v>
      </c>
      <c r="E115" s="1">
        <f t="shared" si="3"/>
        <v>113</v>
      </c>
    </row>
    <row r="116" spans="1:5" ht="16.8" x14ac:dyDescent="0.3">
      <c r="A116" s="70">
        <f>'BASE MAESTRA'!B122</f>
        <v>114</v>
      </c>
      <c r="B116" s="1">
        <f t="shared" si="2"/>
        <v>0</v>
      </c>
      <c r="E116" s="1">
        <f t="shared" si="3"/>
        <v>114</v>
      </c>
    </row>
    <row r="117" spans="1:5" ht="16.8" x14ac:dyDescent="0.3">
      <c r="A117" s="70">
        <f>'BASE MAESTRA'!B123</f>
        <v>115</v>
      </c>
      <c r="B117" s="1">
        <f t="shared" si="2"/>
        <v>0</v>
      </c>
      <c r="E117" s="1">
        <f t="shared" si="3"/>
        <v>115</v>
      </c>
    </row>
    <row r="118" spans="1:5" ht="16.8" x14ac:dyDescent="0.3">
      <c r="A118" s="70">
        <f>'BASE MAESTRA'!B124</f>
        <v>116</v>
      </c>
      <c r="B118" s="1">
        <f t="shared" si="2"/>
        <v>0</v>
      </c>
      <c r="E118" s="1">
        <f t="shared" si="3"/>
        <v>116</v>
      </c>
    </row>
    <row r="119" spans="1:5" ht="16.8" x14ac:dyDescent="0.3">
      <c r="A119" s="70">
        <f>'BASE MAESTRA'!B125</f>
        <v>117</v>
      </c>
      <c r="B119" s="1">
        <f t="shared" si="2"/>
        <v>0</v>
      </c>
      <c r="E119" s="1">
        <f t="shared" si="3"/>
        <v>117</v>
      </c>
    </row>
    <row r="120" spans="1:5" ht="16.8" x14ac:dyDescent="0.3">
      <c r="A120" s="70">
        <f>'BASE MAESTRA'!B126</f>
        <v>118</v>
      </c>
      <c r="B120" s="1">
        <f t="shared" si="2"/>
        <v>0</v>
      </c>
      <c r="E120" s="1">
        <f t="shared" si="3"/>
        <v>118</v>
      </c>
    </row>
    <row r="121" spans="1:5" ht="16.8" x14ac:dyDescent="0.3">
      <c r="A121" s="70">
        <f>'BASE MAESTRA'!B127</f>
        <v>119</v>
      </c>
      <c r="B121" s="1">
        <f t="shared" si="2"/>
        <v>0</v>
      </c>
      <c r="E121" s="1">
        <f t="shared" si="3"/>
        <v>119</v>
      </c>
    </row>
    <row r="122" spans="1:5" ht="16.8" x14ac:dyDescent="0.3">
      <c r="A122" s="70">
        <f>'BASE MAESTRA'!B128</f>
        <v>120</v>
      </c>
      <c r="B122" s="1">
        <f t="shared" si="2"/>
        <v>0</v>
      </c>
      <c r="E122" s="1">
        <f t="shared" si="3"/>
        <v>120</v>
      </c>
    </row>
    <row r="123" spans="1:5" ht="16.8" x14ac:dyDescent="0.3">
      <c r="A123" s="70">
        <f>'BASE MAESTRA'!B129</f>
        <v>121</v>
      </c>
      <c r="B123" s="1">
        <f t="shared" si="2"/>
        <v>0</v>
      </c>
      <c r="E123" s="1">
        <f t="shared" si="3"/>
        <v>121</v>
      </c>
    </row>
    <row r="124" spans="1:5" ht="16.8" x14ac:dyDescent="0.3">
      <c r="A124" s="70">
        <f>'BASE MAESTRA'!B130</f>
        <v>122</v>
      </c>
      <c r="B124" s="1">
        <f t="shared" si="2"/>
        <v>0</v>
      </c>
      <c r="E124" s="1">
        <f t="shared" si="3"/>
        <v>122</v>
      </c>
    </row>
    <row r="125" spans="1:5" ht="16.8" x14ac:dyDescent="0.3">
      <c r="A125" s="70">
        <f>'BASE MAESTRA'!B131</f>
        <v>123</v>
      </c>
      <c r="B125" s="1">
        <f t="shared" si="2"/>
        <v>0</v>
      </c>
      <c r="E125" s="1">
        <f t="shared" si="3"/>
        <v>123</v>
      </c>
    </row>
    <row r="126" spans="1:5" ht="16.8" x14ac:dyDescent="0.3">
      <c r="A126" s="70">
        <f>'BASE MAESTRA'!B132</f>
        <v>124</v>
      </c>
      <c r="B126" s="1">
        <f t="shared" si="2"/>
        <v>0</v>
      </c>
      <c r="E126" s="1">
        <f t="shared" si="3"/>
        <v>124</v>
      </c>
    </row>
    <row r="127" spans="1:5" ht="16.8" x14ac:dyDescent="0.3">
      <c r="A127" s="70">
        <f>'BASE MAESTRA'!B133</f>
        <v>125</v>
      </c>
      <c r="B127" s="1">
        <f t="shared" si="2"/>
        <v>0</v>
      </c>
      <c r="E127" s="1">
        <f t="shared" si="3"/>
        <v>125</v>
      </c>
    </row>
    <row r="128" spans="1:5" ht="16.8" x14ac:dyDescent="0.3">
      <c r="A128" s="70">
        <f>'BASE MAESTRA'!B134</f>
        <v>126</v>
      </c>
      <c r="B128" s="1">
        <f t="shared" si="2"/>
        <v>0</v>
      </c>
      <c r="E128" s="1">
        <f t="shared" si="3"/>
        <v>126</v>
      </c>
    </row>
    <row r="129" spans="1:5" ht="16.8" x14ac:dyDescent="0.3">
      <c r="A129" s="70">
        <f>'BASE MAESTRA'!B135</f>
        <v>127</v>
      </c>
      <c r="B129" s="1">
        <f t="shared" si="2"/>
        <v>0</v>
      </c>
      <c r="E129" s="1">
        <f t="shared" si="3"/>
        <v>127</v>
      </c>
    </row>
    <row r="130" spans="1:5" ht="16.8" x14ac:dyDescent="0.3">
      <c r="A130" s="70">
        <f>'BASE MAESTRA'!B136</f>
        <v>128</v>
      </c>
      <c r="B130" s="1">
        <f t="shared" si="2"/>
        <v>0</v>
      </c>
      <c r="E130" s="1">
        <f t="shared" si="3"/>
        <v>128</v>
      </c>
    </row>
    <row r="131" spans="1:5" ht="16.8" x14ac:dyDescent="0.3">
      <c r="A131" s="70">
        <f>'BASE MAESTRA'!B137</f>
        <v>129</v>
      </c>
      <c r="B131" s="1">
        <f t="shared" ref="B131:B194" si="4">VLOOKUP($A131,DatosEspecies,B$2,FALSE)</f>
        <v>0</v>
      </c>
      <c r="E131" s="1">
        <f t="shared" ref="E131:E194" si="5">VLOOKUP($A131,DatosEspecies,E$2,FALSE)</f>
        <v>129</v>
      </c>
    </row>
    <row r="132" spans="1:5" ht="16.8" x14ac:dyDescent="0.3">
      <c r="A132" s="70">
        <f>'BASE MAESTRA'!B138</f>
        <v>130</v>
      </c>
      <c r="B132" s="1">
        <f t="shared" si="4"/>
        <v>0</v>
      </c>
      <c r="E132" s="1">
        <f t="shared" si="5"/>
        <v>130</v>
      </c>
    </row>
    <row r="133" spans="1:5" ht="16.8" x14ac:dyDescent="0.3">
      <c r="A133" s="70">
        <f>'BASE MAESTRA'!B139</f>
        <v>131</v>
      </c>
      <c r="B133" s="1">
        <f t="shared" si="4"/>
        <v>0</v>
      </c>
      <c r="E133" s="1">
        <f t="shared" si="5"/>
        <v>131</v>
      </c>
    </row>
    <row r="134" spans="1:5" ht="16.8" x14ac:dyDescent="0.3">
      <c r="A134" s="70">
        <f>'BASE MAESTRA'!B140</f>
        <v>132</v>
      </c>
      <c r="B134" s="1">
        <f t="shared" si="4"/>
        <v>0</v>
      </c>
      <c r="E134" s="1">
        <f t="shared" si="5"/>
        <v>132</v>
      </c>
    </row>
    <row r="135" spans="1:5" ht="16.8" x14ac:dyDescent="0.3">
      <c r="A135" s="70">
        <f>'BASE MAESTRA'!B141</f>
        <v>133</v>
      </c>
      <c r="B135" s="1">
        <f t="shared" si="4"/>
        <v>0</v>
      </c>
      <c r="E135" s="1">
        <f t="shared" si="5"/>
        <v>133</v>
      </c>
    </row>
    <row r="136" spans="1:5" ht="16.8" x14ac:dyDescent="0.3">
      <c r="A136" s="70">
        <f>'BASE MAESTRA'!B142</f>
        <v>134</v>
      </c>
      <c r="B136" s="1">
        <f t="shared" si="4"/>
        <v>0</v>
      </c>
      <c r="E136" s="1">
        <f t="shared" si="5"/>
        <v>134</v>
      </c>
    </row>
    <row r="137" spans="1:5" ht="16.8" x14ac:dyDescent="0.3">
      <c r="A137" s="70">
        <f>'BASE MAESTRA'!B143</f>
        <v>135</v>
      </c>
      <c r="B137" s="1">
        <f t="shared" si="4"/>
        <v>0</v>
      </c>
      <c r="E137" s="1">
        <f t="shared" si="5"/>
        <v>135</v>
      </c>
    </row>
    <row r="138" spans="1:5" ht="16.8" x14ac:dyDescent="0.3">
      <c r="A138" s="70">
        <f>'BASE MAESTRA'!B144</f>
        <v>136</v>
      </c>
      <c r="B138" s="1">
        <f t="shared" si="4"/>
        <v>0</v>
      </c>
      <c r="E138" s="1">
        <f t="shared" si="5"/>
        <v>136</v>
      </c>
    </row>
    <row r="139" spans="1:5" ht="16.8" x14ac:dyDescent="0.3">
      <c r="A139" s="70">
        <f>'BASE MAESTRA'!B145</f>
        <v>137</v>
      </c>
      <c r="B139" s="1">
        <f t="shared" si="4"/>
        <v>0</v>
      </c>
      <c r="E139" s="1">
        <f t="shared" si="5"/>
        <v>137</v>
      </c>
    </row>
    <row r="140" spans="1:5" ht="16.8" x14ac:dyDescent="0.3">
      <c r="A140" s="70">
        <f>'BASE MAESTRA'!B146</f>
        <v>138</v>
      </c>
      <c r="B140" s="1">
        <f t="shared" si="4"/>
        <v>0</v>
      </c>
      <c r="E140" s="1">
        <f t="shared" si="5"/>
        <v>138</v>
      </c>
    </row>
    <row r="141" spans="1:5" ht="16.8" x14ac:dyDescent="0.3">
      <c r="A141" s="70">
        <f>'BASE MAESTRA'!B147</f>
        <v>139</v>
      </c>
      <c r="B141" s="1">
        <f t="shared" si="4"/>
        <v>0</v>
      </c>
      <c r="E141" s="1">
        <f t="shared" si="5"/>
        <v>139</v>
      </c>
    </row>
    <row r="142" spans="1:5" ht="16.8" x14ac:dyDescent="0.3">
      <c r="A142" s="70">
        <f>'BASE MAESTRA'!B148</f>
        <v>140</v>
      </c>
      <c r="B142" s="1">
        <f t="shared" si="4"/>
        <v>0</v>
      </c>
      <c r="E142" s="1">
        <f t="shared" si="5"/>
        <v>140</v>
      </c>
    </row>
    <row r="143" spans="1:5" ht="16.8" x14ac:dyDescent="0.3">
      <c r="A143" s="70">
        <f>'BASE MAESTRA'!B149</f>
        <v>141</v>
      </c>
      <c r="B143" s="1">
        <f t="shared" si="4"/>
        <v>0</v>
      </c>
      <c r="E143" s="1">
        <f t="shared" si="5"/>
        <v>141</v>
      </c>
    </row>
    <row r="144" spans="1:5" ht="16.8" x14ac:dyDescent="0.3">
      <c r="A144" s="70">
        <f>'BASE MAESTRA'!B150</f>
        <v>142</v>
      </c>
      <c r="B144" s="1">
        <f t="shared" si="4"/>
        <v>0</v>
      </c>
      <c r="E144" s="1">
        <f t="shared" si="5"/>
        <v>142</v>
      </c>
    </row>
    <row r="145" spans="1:5" ht="16.8" x14ac:dyDescent="0.3">
      <c r="A145" s="70">
        <f>'BASE MAESTRA'!B151</f>
        <v>143</v>
      </c>
      <c r="B145" s="1">
        <f t="shared" si="4"/>
        <v>0</v>
      </c>
      <c r="E145" s="1">
        <f t="shared" si="5"/>
        <v>143</v>
      </c>
    </row>
    <row r="146" spans="1:5" ht="16.8" x14ac:dyDescent="0.3">
      <c r="A146" s="70">
        <f>'BASE MAESTRA'!B152</f>
        <v>144</v>
      </c>
      <c r="B146" s="1">
        <f t="shared" si="4"/>
        <v>0</v>
      </c>
      <c r="E146" s="1">
        <f t="shared" si="5"/>
        <v>144</v>
      </c>
    </row>
    <row r="147" spans="1:5" ht="16.8" x14ac:dyDescent="0.3">
      <c r="A147" s="70">
        <f>'BASE MAESTRA'!B153</f>
        <v>145</v>
      </c>
      <c r="B147" s="1">
        <f t="shared" si="4"/>
        <v>0</v>
      </c>
      <c r="E147" s="1">
        <f t="shared" si="5"/>
        <v>145</v>
      </c>
    </row>
    <row r="148" spans="1:5" ht="16.8" x14ac:dyDescent="0.3">
      <c r="A148" s="70">
        <f>'BASE MAESTRA'!B154</f>
        <v>146</v>
      </c>
      <c r="B148" s="1">
        <f t="shared" si="4"/>
        <v>0</v>
      </c>
      <c r="E148" s="1">
        <f t="shared" si="5"/>
        <v>146</v>
      </c>
    </row>
    <row r="149" spans="1:5" ht="16.8" x14ac:dyDescent="0.3">
      <c r="A149" s="70">
        <f>'BASE MAESTRA'!B155</f>
        <v>147</v>
      </c>
      <c r="B149" s="1">
        <f t="shared" si="4"/>
        <v>0</v>
      </c>
      <c r="E149" s="1">
        <f t="shared" si="5"/>
        <v>147</v>
      </c>
    </row>
    <row r="150" spans="1:5" ht="16.8" x14ac:dyDescent="0.3">
      <c r="A150" s="70">
        <f>'BASE MAESTRA'!B156</f>
        <v>148</v>
      </c>
      <c r="B150" s="1">
        <f t="shared" si="4"/>
        <v>0</v>
      </c>
      <c r="E150" s="1">
        <f t="shared" si="5"/>
        <v>148</v>
      </c>
    </row>
    <row r="151" spans="1:5" ht="16.8" x14ac:dyDescent="0.3">
      <c r="A151" s="70">
        <f>'BASE MAESTRA'!B157</f>
        <v>149</v>
      </c>
      <c r="B151" s="1">
        <f t="shared" si="4"/>
        <v>0</v>
      </c>
      <c r="E151" s="1">
        <f t="shared" si="5"/>
        <v>149</v>
      </c>
    </row>
    <row r="152" spans="1:5" ht="16.8" x14ac:dyDescent="0.3">
      <c r="A152" s="70">
        <f>'BASE MAESTRA'!B158</f>
        <v>150</v>
      </c>
      <c r="B152" s="1">
        <f t="shared" si="4"/>
        <v>0</v>
      </c>
      <c r="E152" s="1">
        <f t="shared" si="5"/>
        <v>150</v>
      </c>
    </row>
    <row r="153" spans="1:5" ht="16.8" x14ac:dyDescent="0.3">
      <c r="A153" s="70">
        <f>'BASE MAESTRA'!B159</f>
        <v>151</v>
      </c>
      <c r="B153" s="1">
        <f t="shared" si="4"/>
        <v>0</v>
      </c>
      <c r="E153" s="1">
        <f t="shared" si="5"/>
        <v>151</v>
      </c>
    </row>
    <row r="154" spans="1:5" ht="16.8" x14ac:dyDescent="0.3">
      <c r="A154" s="70">
        <f>'BASE MAESTRA'!B160</f>
        <v>152</v>
      </c>
      <c r="B154" s="1">
        <f t="shared" si="4"/>
        <v>0</v>
      </c>
      <c r="E154" s="1">
        <f t="shared" si="5"/>
        <v>152</v>
      </c>
    </row>
    <row r="155" spans="1:5" ht="16.8" x14ac:dyDescent="0.3">
      <c r="A155" s="70">
        <f>'BASE MAESTRA'!B161</f>
        <v>153</v>
      </c>
      <c r="B155" s="1">
        <f t="shared" si="4"/>
        <v>0</v>
      </c>
      <c r="E155" s="1">
        <f t="shared" si="5"/>
        <v>153</v>
      </c>
    </row>
    <row r="156" spans="1:5" ht="16.8" x14ac:dyDescent="0.3">
      <c r="A156" s="70">
        <f>'BASE MAESTRA'!B162</f>
        <v>154</v>
      </c>
      <c r="B156" s="1">
        <f t="shared" si="4"/>
        <v>0</v>
      </c>
      <c r="E156" s="1">
        <f t="shared" si="5"/>
        <v>154</v>
      </c>
    </row>
    <row r="157" spans="1:5" ht="16.8" x14ac:dyDescent="0.3">
      <c r="A157" s="70">
        <f>'BASE MAESTRA'!B163</f>
        <v>155</v>
      </c>
      <c r="B157" s="1">
        <f t="shared" si="4"/>
        <v>0</v>
      </c>
      <c r="E157" s="1">
        <f t="shared" si="5"/>
        <v>155</v>
      </c>
    </row>
    <row r="158" spans="1:5" ht="16.8" x14ac:dyDescent="0.3">
      <c r="A158" s="70">
        <f>'BASE MAESTRA'!B164</f>
        <v>156</v>
      </c>
      <c r="B158" s="1">
        <f t="shared" si="4"/>
        <v>0</v>
      </c>
      <c r="E158" s="1">
        <f t="shared" si="5"/>
        <v>156</v>
      </c>
    </row>
    <row r="159" spans="1:5" ht="16.8" x14ac:dyDescent="0.3">
      <c r="A159" s="70">
        <f>'BASE MAESTRA'!B165</f>
        <v>157</v>
      </c>
      <c r="B159" s="1">
        <f t="shared" si="4"/>
        <v>0</v>
      </c>
      <c r="E159" s="1">
        <f t="shared" si="5"/>
        <v>157</v>
      </c>
    </row>
    <row r="160" spans="1:5" ht="16.8" x14ac:dyDescent="0.3">
      <c r="A160" s="70">
        <f>'BASE MAESTRA'!B166</f>
        <v>158</v>
      </c>
      <c r="B160" s="1">
        <f t="shared" si="4"/>
        <v>0</v>
      </c>
      <c r="E160" s="1">
        <f t="shared" si="5"/>
        <v>158</v>
      </c>
    </row>
    <row r="161" spans="1:5" ht="16.8" x14ac:dyDescent="0.3">
      <c r="A161" s="70">
        <f>'BASE MAESTRA'!B167</f>
        <v>159</v>
      </c>
      <c r="B161" s="1">
        <f t="shared" si="4"/>
        <v>0</v>
      </c>
      <c r="E161" s="1">
        <f t="shared" si="5"/>
        <v>159</v>
      </c>
    </row>
    <row r="162" spans="1:5" ht="16.8" x14ac:dyDescent="0.3">
      <c r="A162" s="70">
        <f>'BASE MAESTRA'!B168</f>
        <v>160</v>
      </c>
      <c r="B162" s="1">
        <f t="shared" si="4"/>
        <v>0</v>
      </c>
      <c r="E162" s="1">
        <f t="shared" si="5"/>
        <v>160</v>
      </c>
    </row>
    <row r="163" spans="1:5" ht="16.8" x14ac:dyDescent="0.3">
      <c r="A163" s="70">
        <f>'BASE MAESTRA'!B169</f>
        <v>161</v>
      </c>
      <c r="B163" s="1">
        <f t="shared" si="4"/>
        <v>0</v>
      </c>
      <c r="E163" s="1">
        <f t="shared" si="5"/>
        <v>161</v>
      </c>
    </row>
    <row r="164" spans="1:5" ht="16.8" x14ac:dyDescent="0.3">
      <c r="A164" s="70">
        <f>'BASE MAESTRA'!B170</f>
        <v>162</v>
      </c>
      <c r="B164" s="1">
        <f t="shared" si="4"/>
        <v>0</v>
      </c>
      <c r="E164" s="1">
        <f t="shared" si="5"/>
        <v>162</v>
      </c>
    </row>
    <row r="165" spans="1:5" ht="16.8" x14ac:dyDescent="0.3">
      <c r="A165" s="70">
        <f>'BASE MAESTRA'!B171</f>
        <v>163</v>
      </c>
      <c r="B165" s="1">
        <f t="shared" si="4"/>
        <v>0</v>
      </c>
      <c r="E165" s="1">
        <f t="shared" si="5"/>
        <v>163</v>
      </c>
    </row>
    <row r="166" spans="1:5" ht="16.8" x14ac:dyDescent="0.3">
      <c r="A166" s="70">
        <f>'BASE MAESTRA'!B172</f>
        <v>164</v>
      </c>
      <c r="B166" s="1">
        <f t="shared" si="4"/>
        <v>0</v>
      </c>
      <c r="E166" s="1">
        <f t="shared" si="5"/>
        <v>164</v>
      </c>
    </row>
    <row r="167" spans="1:5" ht="16.8" x14ac:dyDescent="0.3">
      <c r="A167" s="70">
        <f>'BASE MAESTRA'!B173</f>
        <v>165</v>
      </c>
      <c r="B167" s="1">
        <f t="shared" si="4"/>
        <v>0</v>
      </c>
      <c r="E167" s="1">
        <f t="shared" si="5"/>
        <v>165</v>
      </c>
    </row>
    <row r="168" spans="1:5" ht="16.8" x14ac:dyDescent="0.3">
      <c r="A168" s="70">
        <f>'BASE MAESTRA'!B174</f>
        <v>166</v>
      </c>
      <c r="B168" s="1">
        <f t="shared" si="4"/>
        <v>0</v>
      </c>
      <c r="E168" s="1">
        <f t="shared" si="5"/>
        <v>166</v>
      </c>
    </row>
    <row r="169" spans="1:5" ht="16.8" x14ac:dyDescent="0.3">
      <c r="A169" s="70">
        <f>'BASE MAESTRA'!B175</f>
        <v>167</v>
      </c>
      <c r="B169" s="1">
        <f t="shared" si="4"/>
        <v>0</v>
      </c>
      <c r="E169" s="1">
        <f t="shared" si="5"/>
        <v>167</v>
      </c>
    </row>
    <row r="170" spans="1:5" ht="16.8" x14ac:dyDescent="0.3">
      <c r="A170" s="70">
        <f>'BASE MAESTRA'!B176</f>
        <v>168</v>
      </c>
      <c r="B170" s="1">
        <f t="shared" si="4"/>
        <v>0</v>
      </c>
      <c r="E170" s="1">
        <f t="shared" si="5"/>
        <v>168</v>
      </c>
    </row>
    <row r="171" spans="1:5" ht="16.8" x14ac:dyDescent="0.3">
      <c r="A171" s="70">
        <f>'BASE MAESTRA'!B177</f>
        <v>169</v>
      </c>
      <c r="B171" s="1">
        <f t="shared" si="4"/>
        <v>0</v>
      </c>
      <c r="E171" s="1">
        <f t="shared" si="5"/>
        <v>169</v>
      </c>
    </row>
    <row r="172" spans="1:5" ht="16.8" x14ac:dyDescent="0.3">
      <c r="A172" s="70">
        <f>'BASE MAESTRA'!B178</f>
        <v>170</v>
      </c>
      <c r="B172" s="1">
        <f t="shared" si="4"/>
        <v>0</v>
      </c>
      <c r="E172" s="1">
        <f t="shared" si="5"/>
        <v>170</v>
      </c>
    </row>
    <row r="173" spans="1:5" ht="16.8" x14ac:dyDescent="0.3">
      <c r="A173" s="70">
        <f>'BASE MAESTRA'!B179</f>
        <v>171</v>
      </c>
      <c r="B173" s="1">
        <f t="shared" si="4"/>
        <v>0</v>
      </c>
      <c r="E173" s="1">
        <f t="shared" si="5"/>
        <v>171</v>
      </c>
    </row>
    <row r="174" spans="1:5" ht="16.8" x14ac:dyDescent="0.3">
      <c r="A174" s="70">
        <f>'BASE MAESTRA'!B180</f>
        <v>172</v>
      </c>
      <c r="B174" s="1">
        <f t="shared" si="4"/>
        <v>0</v>
      </c>
      <c r="E174" s="1">
        <f t="shared" si="5"/>
        <v>172</v>
      </c>
    </row>
    <row r="175" spans="1:5" ht="16.8" x14ac:dyDescent="0.3">
      <c r="A175" s="70">
        <f>'BASE MAESTRA'!B181</f>
        <v>173</v>
      </c>
      <c r="B175" s="1">
        <f t="shared" si="4"/>
        <v>0</v>
      </c>
      <c r="E175" s="1">
        <f t="shared" si="5"/>
        <v>173</v>
      </c>
    </row>
    <row r="176" spans="1:5" ht="16.8" x14ac:dyDescent="0.3">
      <c r="A176" s="70">
        <f>'BASE MAESTRA'!B182</f>
        <v>174</v>
      </c>
      <c r="B176" s="1">
        <f t="shared" si="4"/>
        <v>0</v>
      </c>
      <c r="E176" s="1">
        <f t="shared" si="5"/>
        <v>174</v>
      </c>
    </row>
    <row r="177" spans="1:5" ht="16.8" x14ac:dyDescent="0.3">
      <c r="A177" s="70">
        <f>'BASE MAESTRA'!B183</f>
        <v>175</v>
      </c>
      <c r="B177" s="1">
        <f t="shared" si="4"/>
        <v>0</v>
      </c>
      <c r="E177" s="1">
        <f t="shared" si="5"/>
        <v>175</v>
      </c>
    </row>
    <row r="178" spans="1:5" ht="16.8" x14ac:dyDescent="0.3">
      <c r="A178" s="70">
        <f>'BASE MAESTRA'!B184</f>
        <v>176</v>
      </c>
      <c r="B178" s="1">
        <f t="shared" si="4"/>
        <v>0</v>
      </c>
      <c r="E178" s="1">
        <f t="shared" si="5"/>
        <v>176</v>
      </c>
    </row>
    <row r="179" spans="1:5" ht="16.8" x14ac:dyDescent="0.3">
      <c r="A179" s="70">
        <f>'BASE MAESTRA'!B185</f>
        <v>177</v>
      </c>
      <c r="B179" s="1">
        <f t="shared" si="4"/>
        <v>0</v>
      </c>
      <c r="E179" s="1">
        <f t="shared" si="5"/>
        <v>177</v>
      </c>
    </row>
    <row r="180" spans="1:5" ht="16.8" x14ac:dyDescent="0.3">
      <c r="A180" s="70">
        <f>'BASE MAESTRA'!B186</f>
        <v>178</v>
      </c>
      <c r="B180" s="1">
        <f t="shared" si="4"/>
        <v>0</v>
      </c>
      <c r="E180" s="1">
        <f t="shared" si="5"/>
        <v>178</v>
      </c>
    </row>
    <row r="181" spans="1:5" ht="16.8" x14ac:dyDescent="0.3">
      <c r="A181" s="70">
        <f>'BASE MAESTRA'!B187</f>
        <v>179</v>
      </c>
      <c r="B181" s="1">
        <f t="shared" si="4"/>
        <v>0</v>
      </c>
      <c r="E181" s="1">
        <f t="shared" si="5"/>
        <v>179</v>
      </c>
    </row>
    <row r="182" spans="1:5" ht="16.8" x14ac:dyDescent="0.3">
      <c r="A182" s="70">
        <f>'BASE MAESTRA'!B188</f>
        <v>180</v>
      </c>
      <c r="B182" s="1">
        <f t="shared" si="4"/>
        <v>0</v>
      </c>
      <c r="E182" s="1">
        <f t="shared" si="5"/>
        <v>180</v>
      </c>
    </row>
    <row r="183" spans="1:5" ht="16.8" x14ac:dyDescent="0.3">
      <c r="A183" s="70">
        <f>'BASE MAESTRA'!B189</f>
        <v>181</v>
      </c>
      <c r="B183" s="1">
        <f t="shared" si="4"/>
        <v>0</v>
      </c>
      <c r="E183" s="1">
        <f t="shared" si="5"/>
        <v>181</v>
      </c>
    </row>
    <row r="184" spans="1:5" ht="16.8" x14ac:dyDescent="0.3">
      <c r="A184" s="70">
        <f>'BASE MAESTRA'!B190</f>
        <v>182</v>
      </c>
      <c r="B184" s="1">
        <f t="shared" si="4"/>
        <v>0</v>
      </c>
      <c r="E184" s="1">
        <f t="shared" si="5"/>
        <v>182</v>
      </c>
    </row>
    <row r="185" spans="1:5" ht="16.8" x14ac:dyDescent="0.3">
      <c r="A185" s="70">
        <f>'BASE MAESTRA'!B191</f>
        <v>183</v>
      </c>
      <c r="B185" s="1">
        <f t="shared" si="4"/>
        <v>0</v>
      </c>
      <c r="E185" s="1">
        <f t="shared" si="5"/>
        <v>183</v>
      </c>
    </row>
    <row r="186" spans="1:5" ht="16.8" x14ac:dyDescent="0.3">
      <c r="A186" s="70">
        <f>'BASE MAESTRA'!B192</f>
        <v>184</v>
      </c>
      <c r="B186" s="1">
        <f t="shared" si="4"/>
        <v>0</v>
      </c>
      <c r="E186" s="1">
        <f t="shared" si="5"/>
        <v>184</v>
      </c>
    </row>
    <row r="187" spans="1:5" ht="16.8" x14ac:dyDescent="0.3">
      <c r="A187" s="70">
        <f>'BASE MAESTRA'!B193</f>
        <v>185</v>
      </c>
      <c r="B187" s="1">
        <f t="shared" si="4"/>
        <v>0</v>
      </c>
      <c r="E187" s="1">
        <f t="shared" si="5"/>
        <v>185</v>
      </c>
    </row>
    <row r="188" spans="1:5" ht="16.8" x14ac:dyDescent="0.3">
      <c r="A188" s="70">
        <f>'BASE MAESTRA'!B194</f>
        <v>186</v>
      </c>
      <c r="B188" s="1">
        <f t="shared" si="4"/>
        <v>0</v>
      </c>
      <c r="E188" s="1">
        <f t="shared" si="5"/>
        <v>186</v>
      </c>
    </row>
    <row r="189" spans="1:5" ht="16.8" x14ac:dyDescent="0.3">
      <c r="A189" s="70">
        <f>'BASE MAESTRA'!B195</f>
        <v>187</v>
      </c>
      <c r="B189" s="1">
        <f t="shared" si="4"/>
        <v>0</v>
      </c>
      <c r="E189" s="1">
        <f t="shared" si="5"/>
        <v>187</v>
      </c>
    </row>
    <row r="190" spans="1:5" ht="16.8" x14ac:dyDescent="0.3">
      <c r="A190" s="70">
        <f>'BASE MAESTRA'!B196</f>
        <v>188</v>
      </c>
      <c r="B190" s="1">
        <f t="shared" si="4"/>
        <v>0</v>
      </c>
      <c r="E190" s="1">
        <f t="shared" si="5"/>
        <v>188</v>
      </c>
    </row>
    <row r="191" spans="1:5" ht="16.8" x14ac:dyDescent="0.3">
      <c r="A191" s="70">
        <f>'BASE MAESTRA'!B197</f>
        <v>189</v>
      </c>
      <c r="B191" s="1">
        <f t="shared" si="4"/>
        <v>0</v>
      </c>
      <c r="E191" s="1">
        <f t="shared" si="5"/>
        <v>189</v>
      </c>
    </row>
    <row r="192" spans="1:5" ht="16.8" x14ac:dyDescent="0.3">
      <c r="A192" s="70">
        <f>'BASE MAESTRA'!B198</f>
        <v>190</v>
      </c>
      <c r="B192" s="1">
        <f t="shared" si="4"/>
        <v>0</v>
      </c>
      <c r="E192" s="1">
        <f t="shared" si="5"/>
        <v>190</v>
      </c>
    </row>
    <row r="193" spans="1:5" ht="16.8" x14ac:dyDescent="0.3">
      <c r="A193" s="70">
        <f>'BASE MAESTRA'!B199</f>
        <v>191</v>
      </c>
      <c r="B193" s="1">
        <f t="shared" si="4"/>
        <v>0</v>
      </c>
      <c r="E193" s="1">
        <f t="shared" si="5"/>
        <v>191</v>
      </c>
    </row>
    <row r="194" spans="1:5" ht="16.8" x14ac:dyDescent="0.3">
      <c r="A194" s="70">
        <f>'BASE MAESTRA'!B200</f>
        <v>192</v>
      </c>
      <c r="B194" s="1">
        <f t="shared" si="4"/>
        <v>0</v>
      </c>
      <c r="E194" s="1">
        <f t="shared" si="5"/>
        <v>192</v>
      </c>
    </row>
    <row r="195" spans="1:5" ht="16.8" x14ac:dyDescent="0.3">
      <c r="A195" s="70">
        <f>'BASE MAESTRA'!B201</f>
        <v>193</v>
      </c>
      <c r="B195" s="1">
        <f t="shared" ref="B195:B202" si="6">VLOOKUP($A195,DatosEspecies,B$2,FALSE)</f>
        <v>0</v>
      </c>
      <c r="E195" s="1">
        <f t="shared" ref="E195:E202" si="7">VLOOKUP($A195,DatosEspecies,E$2,FALSE)</f>
        <v>193</v>
      </c>
    </row>
    <row r="196" spans="1:5" ht="16.8" x14ac:dyDescent="0.3">
      <c r="A196" s="70">
        <f>'BASE MAESTRA'!B202</f>
        <v>194</v>
      </c>
      <c r="B196" s="1">
        <f t="shared" si="6"/>
        <v>0</v>
      </c>
      <c r="E196" s="1">
        <f t="shared" si="7"/>
        <v>194</v>
      </c>
    </row>
    <row r="197" spans="1:5" ht="16.8" x14ac:dyDescent="0.3">
      <c r="A197" s="70">
        <f>'BASE MAESTRA'!B203</f>
        <v>195</v>
      </c>
      <c r="B197" s="1">
        <f t="shared" si="6"/>
        <v>0</v>
      </c>
      <c r="E197" s="1">
        <f t="shared" si="7"/>
        <v>195</v>
      </c>
    </row>
    <row r="198" spans="1:5" ht="16.8" x14ac:dyDescent="0.3">
      <c r="A198" s="70">
        <f>'BASE MAESTRA'!B204</f>
        <v>196</v>
      </c>
      <c r="B198" s="1">
        <f t="shared" si="6"/>
        <v>0</v>
      </c>
      <c r="E198" s="1">
        <f t="shared" si="7"/>
        <v>196</v>
      </c>
    </row>
    <row r="199" spans="1:5" ht="16.8" x14ac:dyDescent="0.3">
      <c r="A199" s="70">
        <f>'BASE MAESTRA'!B205</f>
        <v>197</v>
      </c>
      <c r="B199" s="1">
        <f t="shared" si="6"/>
        <v>0</v>
      </c>
      <c r="E199" s="1">
        <f t="shared" si="7"/>
        <v>197</v>
      </c>
    </row>
    <row r="200" spans="1:5" ht="16.8" x14ac:dyDescent="0.3">
      <c r="A200" s="70">
        <f>'BASE MAESTRA'!B206</f>
        <v>198</v>
      </c>
      <c r="B200" s="1">
        <f t="shared" si="6"/>
        <v>0</v>
      </c>
      <c r="E200" s="1">
        <f t="shared" si="7"/>
        <v>198</v>
      </c>
    </row>
    <row r="201" spans="1:5" ht="16.8" x14ac:dyDescent="0.3">
      <c r="A201" s="70">
        <f>'BASE MAESTRA'!B207</f>
        <v>199</v>
      </c>
      <c r="B201" s="1">
        <f t="shared" si="6"/>
        <v>0</v>
      </c>
      <c r="E201" s="1">
        <f t="shared" si="7"/>
        <v>199</v>
      </c>
    </row>
    <row r="202" spans="1:5" ht="16.8" x14ac:dyDescent="0.3">
      <c r="A202" s="70">
        <f>'BASE MAESTRA'!B208</f>
        <v>200</v>
      </c>
      <c r="B202" s="1">
        <f t="shared" si="6"/>
        <v>0</v>
      </c>
      <c r="E202" s="1">
        <f t="shared" si="7"/>
        <v>200</v>
      </c>
    </row>
  </sheetData>
  <customSheetViews>
    <customSheetView guid="{03A28D0E-D221-430C-9036-787CFB666EE7}">
      <selection activeCell="A3" sqref="A3:A138"/>
      <pageMargins left="0.7" right="0.7" top="0.75" bottom="0.75" header="0.3" footer="0.3"/>
    </customSheetView>
  </customSheetView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202"/>
  <sheetViews>
    <sheetView zoomScaleNormal="100" workbookViewId="0"/>
  </sheetViews>
  <sheetFormatPr defaultColWidth="11.44140625" defaultRowHeight="19.5" customHeight="1" x14ac:dyDescent="0.3"/>
  <cols>
    <col min="1" max="1" width="11.44140625" style="56"/>
    <col min="2" max="2" width="13.77734375" style="20" customWidth="1"/>
    <col min="3" max="4" width="11.44140625" style="20"/>
    <col min="5" max="5" width="15.33203125" style="20" customWidth="1"/>
    <col min="6" max="6" width="22.109375" style="20" customWidth="1"/>
    <col min="7" max="7" width="13.77734375" style="20" customWidth="1"/>
    <col min="8" max="8" width="11.44140625" style="20"/>
    <col min="9" max="16384" width="11.44140625" style="65"/>
  </cols>
  <sheetData>
    <row r="1" spans="1:8" ht="39.75" customHeight="1" x14ac:dyDescent="0.3">
      <c r="A1" s="55" t="s">
        <v>310</v>
      </c>
      <c r="B1" s="64" t="s">
        <v>5</v>
      </c>
      <c r="C1" s="64" t="s">
        <v>309</v>
      </c>
      <c r="D1" s="64" t="s">
        <v>307</v>
      </c>
      <c r="E1" s="64" t="s">
        <v>8</v>
      </c>
      <c r="F1" s="64" t="s">
        <v>201</v>
      </c>
      <c r="G1" s="64" t="s">
        <v>308</v>
      </c>
      <c r="H1" s="64" t="s">
        <v>306</v>
      </c>
    </row>
    <row r="2" spans="1:8" s="66" customFormat="1" ht="33" customHeight="1" x14ac:dyDescent="0.3">
      <c r="A2" s="55" t="s">
        <v>323</v>
      </c>
      <c r="B2" s="55"/>
      <c r="C2" s="55"/>
      <c r="D2" s="55"/>
      <c r="E2" s="55">
        <f>VLOOKUP(E1,CamposSIS,2,FALSE)</f>
        <v>1</v>
      </c>
      <c r="F2" s="55">
        <f>VLOOKUP(F1,CamposSIS,2,FALSE)</f>
        <v>13</v>
      </c>
      <c r="G2" s="55">
        <f>VLOOKUP(G1,CamposSIS,2,FALSE)</f>
        <v>15</v>
      </c>
      <c r="H2" s="55">
        <f>VLOOKUP(H1,CamposSIS,2,FALSE)</f>
        <v>14</v>
      </c>
    </row>
    <row r="3" spans="1:8" ht="19.5" customHeight="1" x14ac:dyDescent="0.3">
      <c r="A3" s="70" t="str">
        <f>'BASE MAESTRA'!B7</f>
        <v>3</v>
      </c>
      <c r="E3" s="20" t="str">
        <f t="shared" ref="E3:E66" si="0">VLOOKUP($A3,DatosEspecies,E$2,FALSE)</f>
        <v>3</v>
      </c>
      <c r="F3" s="20" t="str">
        <f t="shared" ref="F3:H22" si="1">VLOOKUP($A3,DatosEspecies,F$2,FALSE)</f>
        <v>Goniophlebium, Polypodium, Polypodium, Polypodium, Polypodium, Polypodium, Serpocaulon</v>
      </c>
      <c r="G3" s="20" t="str">
        <f t="shared" si="1"/>
        <v>(Desv.) Presl, Desv., Mille, Sodiro, C. Chr, Christ, (Sodiro) ARSm.</v>
      </c>
      <c r="H3" s="20" t="str">
        <f t="shared" si="1"/>
        <v>articulatum, articulatum, adnatum var. glaucescens, caceresii, fraxinifolium var. articulatum, fraxinifolium subsp. luridum, caceresii</v>
      </c>
    </row>
    <row r="4" spans="1:8" ht="19.5" customHeight="1" x14ac:dyDescent="0.3">
      <c r="A4" s="70" t="str">
        <f>'BASE MAESTRA'!B8</f>
        <v>4</v>
      </c>
      <c r="E4" s="20" t="str">
        <f t="shared" si="0"/>
        <v>4</v>
      </c>
      <c r="F4" s="20" t="str">
        <f t="shared" si="1"/>
        <v>Goniophlebium, Marginaria, Polypodium, Goniophlebium, Polypodium, Goniophlebium, Polypodium, Polypodium, Polypodium</v>
      </c>
      <c r="G4" s="20" t="str">
        <f t="shared" si="1"/>
        <v>Humb. &amp; Bonpl. ex Willd., (Humb. &amp; Bonpl. ex Willd.) Baker, C.Presl, (E.Fourn.) Pic.Serm., T. Moore, C. Presl, E.Fourn, Link</v>
      </c>
      <c r="H4" s="20" t="str">
        <f t="shared" si="1"/>
        <v>attenuatum, brasiliense var. attenuatum, attenuatum, kuhnii, oleandrifolium, oleaodrifolia, kuhnii, pycnosorum</v>
      </c>
    </row>
    <row r="5" spans="1:8" ht="19.5" customHeight="1" x14ac:dyDescent="0.3">
      <c r="A5" s="70" t="str">
        <f>'BASE MAESTRA'!B10</f>
        <v>6</v>
      </c>
      <c r="E5" s="20" t="str">
        <f t="shared" si="0"/>
        <v>6</v>
      </c>
      <c r="F5" s="20" t="str">
        <f t="shared" si="1"/>
        <v>Polypodium, Polypodium, Polypodium, Serpocaulon</v>
      </c>
      <c r="G5" s="20" t="str">
        <f t="shared" si="1"/>
        <v>M.Kessler &amp; A.R.Sm., Rosenst, Rosenst, D. Sanín</v>
      </c>
      <c r="H5" s="20" t="str">
        <f t="shared" si="1"/>
        <v xml:space="preserve"> concolorum, loriceum var. obscurum, loriceum var. squamuligerum, obscurinervium</v>
      </c>
    </row>
    <row r="6" spans="1:8" ht="19.5" customHeight="1" x14ac:dyDescent="0.3">
      <c r="A6" s="70" t="str">
        <f>'BASE MAESTRA'!B11</f>
        <v>7</v>
      </c>
      <c r="E6" s="20" t="str">
        <f t="shared" si="0"/>
        <v>7</v>
      </c>
      <c r="F6" s="20" t="str">
        <f t="shared" si="1"/>
        <v>Goniophlebium, Polypodium, Goniophlebium, Goniophlebium, Marginaria, Polypodium, Polypodium, Polypodium, Polypodium, Polypodium, Polypodium</v>
      </c>
      <c r="G6" s="20" t="str">
        <f t="shared" si="1"/>
        <v>(L.) J.Sm., L., Lodd., (Spreng.) Fée, (Spreng.) C.Presl, Kunze, Spreng., Christ, Siebold, Christ, Desv.</v>
      </c>
      <c r="H6" s="20" t="str">
        <f t="shared" si="1"/>
        <v>dissimile, dissimile, assimile, chnoodes, chnoodes, assimile, chnoodes, chnoodes, falciforme, loriceum var. Umbraticum, retrofractum</v>
      </c>
    </row>
    <row r="7" spans="1:8" ht="19.5" customHeight="1" x14ac:dyDescent="0.3">
      <c r="A7" s="70" t="str">
        <f>'BASE MAESTRA'!B12</f>
        <v>8</v>
      </c>
      <c r="E7" s="20" t="str">
        <f t="shared" si="0"/>
        <v>8</v>
      </c>
      <c r="F7" s="20" t="str">
        <f t="shared" si="1"/>
        <v>Goniophlebium, Polypodium, Goniophlebium, Goniophlebium, Polypodium, Polypodium, Polypodium, Polypodium, Polypodium</v>
      </c>
      <c r="G7" s="20" t="str">
        <f t="shared" si="1"/>
        <v>Fée, (Fée) Mett., Fée, (Fée) C.Chr., Sodiro, Hook., Mett., Sodiro</v>
      </c>
      <c r="H7" s="20" t="str">
        <f t="shared" si="1"/>
        <v>eleutherophlebium, eleutherophlebium, chondrocheilon, chondrocheilon, mindense, punctulatum, vagans, wiesbaurii</v>
      </c>
    </row>
    <row r="8" spans="1:8" ht="19.5" customHeight="1" x14ac:dyDescent="0.3">
      <c r="A8" s="70" t="str">
        <f>'BASE MAESTRA'!B13</f>
        <v>9</v>
      </c>
      <c r="E8" s="20" t="str">
        <f t="shared" si="0"/>
        <v>9</v>
      </c>
      <c r="F8" s="20" t="str">
        <f t="shared" si="1"/>
        <v>Polypodium, Goniophlebium, Goniophlebium, Goniophlebium, Goniophlebium, Goniophlebium, Marginaria, Polypodium, Polypodium, Polypodium, Polypodium, Polypodium, Polypodium, Polypodium, Polypodium, Polypodium</v>
      </c>
      <c r="G8" s="20" t="str">
        <f t="shared" si="1"/>
        <v>Jacq., T.Moore &amp; Houlston, J.Sm., T.Moore, Fée, C.Presl, C.Presl, Kunze, E.J.Lowe, Christ, Klotzsch) Christ, Rosenst., Kunze, Klotzsch, Willd., Sodiro</v>
      </c>
      <c r="H8" s="20" t="str">
        <f t="shared" si="1"/>
        <v>fraxinifolium, deflexum, distans, fraxinifolium, ornatum, rhizocaulon, distans, cymatodes, deflexum, fraxinifolium var. fraxinellum, fraxinifolium subsp. ornatum, fraxinifolium var. rhizocaulon, mutabile, ornatum, rhizocaulon, scutulatum</v>
      </c>
    </row>
    <row r="9" spans="1:8" ht="19.5" customHeight="1" x14ac:dyDescent="0.3">
      <c r="A9" s="70" t="str">
        <f>'BASE MAESTRA'!B14</f>
        <v>10</v>
      </c>
      <c r="E9" s="20" t="str">
        <f t="shared" si="0"/>
        <v>10</v>
      </c>
      <c r="F9" s="20" t="str">
        <f t="shared" si="1"/>
        <v>Polypodium</v>
      </c>
      <c r="G9" s="20" t="str">
        <f t="shared" si="1"/>
        <v>Mett.</v>
      </c>
      <c r="H9" s="20" t="str">
        <f t="shared" si="1"/>
        <v>funckii</v>
      </c>
    </row>
    <row r="10" spans="1:8" ht="19.5" customHeight="1" x14ac:dyDescent="0.3">
      <c r="A10" s="70" t="str">
        <f>'BASE MAESTRA'!B15</f>
        <v>11</v>
      </c>
      <c r="E10" s="20" t="str">
        <f t="shared" si="0"/>
        <v>11</v>
      </c>
      <c r="F10" s="20" t="str">
        <f t="shared" si="1"/>
        <v>Polypodium, Goniophlebium, Goniophlebium, Polypodium, Polypodium, Polypodium, Polypodium, Serpocaulon</v>
      </c>
      <c r="G10" s="20" t="str">
        <f t="shared" si="1"/>
        <v>Klotzsch, T. Moore, T. Moore, Sodiro, Hieron, Gillies ex Hook. &amp; Grev., (C.Chr.) A.R.Sm.</v>
      </c>
      <c r="H10" s="20" t="str">
        <f t="shared" si="1"/>
        <v>lasiopus, lasiopus, pubescens, argyrolepis, gilliesii, loriceum var. hirto-pubescens, pubescens, gilliesii</v>
      </c>
    </row>
    <row r="11" spans="1:8" ht="19.5" customHeight="1" x14ac:dyDescent="0.3">
      <c r="A11" s="70" t="str">
        <f>'BASE MAESTRA'!B16</f>
        <v>12</v>
      </c>
      <c r="E11" s="20" t="str">
        <f t="shared" si="0"/>
        <v>12</v>
      </c>
      <c r="F11" s="20" t="str">
        <f t="shared" si="1"/>
        <v>Polypodium</v>
      </c>
      <c r="G11" s="20" t="str">
        <f t="shared" si="1"/>
        <v>R.C.Moran &amp; B.Øllg.</v>
      </c>
      <c r="H11" s="20" t="str">
        <f t="shared" si="1"/>
        <v>latissimum</v>
      </c>
    </row>
    <row r="12" spans="1:8" ht="19.5" customHeight="1" x14ac:dyDescent="0.3">
      <c r="A12" s="70" t="str">
        <f>'BASE MAESTRA'!B17</f>
        <v>13</v>
      </c>
      <c r="E12" s="20" t="str">
        <f t="shared" si="0"/>
        <v>13</v>
      </c>
      <c r="F12" s="20" t="str">
        <f t="shared" si="1"/>
        <v>Campyloneurum, Goniophlebium, Polypodium, Goniophlebium, Polypodium</v>
      </c>
      <c r="G12" s="20" t="str">
        <f t="shared" si="1"/>
        <v>(Cav.) C.Presl, (Cav.) Conz., Cav., (Kunze ex Klotzsch) Fée, Kunze ex Klotzsch</v>
      </c>
      <c r="H12" s="20" t="str">
        <f t="shared" si="1"/>
        <v>levigatum, levigatum, levigatum, glaucophyllum, glaucophyllum</v>
      </c>
    </row>
    <row r="13" spans="1:8" ht="19.5" customHeight="1" x14ac:dyDescent="0.3">
      <c r="A13" s="70" t="str">
        <f>'BASE MAESTRA'!B18</f>
        <v>14</v>
      </c>
      <c r="E13" s="20" t="str">
        <f t="shared" si="0"/>
        <v>14</v>
      </c>
      <c r="F13" s="20" t="str">
        <f t="shared" si="1"/>
        <v xml:space="preserve">Goniophlebium, Marginaria, Polypodium, Goniophlebium, Goniophlebium, Goniophlebium, Goniophlebium, Marginaria, Polypodium, Polypodium, Polypodium, Polypodium, Polypodium, Polypodium, Polypodium
</v>
      </c>
      <c r="G13" s="20" t="str">
        <f t="shared" si="1"/>
        <v>(L.) J.Sm., (L.) C.Presl, L., Fée, J.Sm., T.Moore, (Lodd. ex Link) Fée, Fée, Baker, Cav. ex Sw., E.J.Lowe, Houtt., Sodiro, (J.Sm.) Baker, Lodd. ex Link</v>
      </c>
      <c r="H13" s="20" t="str">
        <f t="shared" si="1"/>
        <v>loriceum, loricea, loriceum, arcuatum, pectinatum, punctulatum, ramosum, falcata, chartaceum, elegans, karwinskianum, lineare, loriceum var. heterolepis, loriceum var. pectinatum, ramosum</v>
      </c>
    </row>
    <row r="14" spans="1:8" ht="19.5" customHeight="1" x14ac:dyDescent="0.3">
      <c r="A14" s="70" t="str">
        <f>'BASE MAESTRA'!B19</f>
        <v>15</v>
      </c>
      <c r="E14" s="20" t="str">
        <f t="shared" si="0"/>
        <v>15</v>
      </c>
      <c r="F14" s="20" t="str">
        <f t="shared" si="1"/>
        <v>Polypodium, Polypodium</v>
      </c>
      <c r="G14" s="20" t="str">
        <f t="shared" si="1"/>
        <v>Hieron., Rosenst.</v>
      </c>
      <c r="H14" s="20" t="str">
        <f t="shared" si="1"/>
        <v>maritimum, beyerianum</v>
      </c>
    </row>
    <row r="15" spans="1:8" ht="19.5" customHeight="1" x14ac:dyDescent="0.3">
      <c r="A15" s="70" t="str">
        <f>'BASE MAESTRA'!B20</f>
        <v>16</v>
      </c>
      <c r="E15" s="20" t="str">
        <f t="shared" si="0"/>
        <v>16</v>
      </c>
      <c r="F15" s="20" t="str">
        <f t="shared" si="1"/>
        <v>Polypodium</v>
      </c>
      <c r="G15" s="20" t="str">
        <f t="shared" si="1"/>
        <v>Sodiro</v>
      </c>
      <c r="H15" s="20" t="str">
        <f t="shared" si="1"/>
        <v>nanegalense</v>
      </c>
    </row>
    <row r="16" spans="1:8" ht="19.5" customHeight="1" x14ac:dyDescent="0.3">
      <c r="A16" s="70" t="str">
        <f>'BASE MAESTRA'!B21</f>
        <v>17</v>
      </c>
      <c r="E16" s="20" t="str">
        <f t="shared" si="0"/>
        <v>17</v>
      </c>
      <c r="F16" s="20" t="str">
        <f t="shared" si="1"/>
        <v>Ctenopteris, Polypodium, Polypodium</v>
      </c>
      <c r="G16" s="20" t="str">
        <f t="shared" si="1"/>
        <v>(Mett.) Copel., Mett., Baker</v>
      </c>
      <c r="H16" s="20" t="str">
        <f t="shared" si="1"/>
        <v>patentissima, patentissimum, manabyanum</v>
      </c>
    </row>
    <row r="17" spans="1:8" ht="19.5" customHeight="1" x14ac:dyDescent="0.3">
      <c r="A17" s="70" t="str">
        <f>'BASE MAESTRA'!B22</f>
        <v>18</v>
      </c>
      <c r="E17" s="20" t="str">
        <f t="shared" si="0"/>
        <v>18</v>
      </c>
      <c r="F17" s="20" t="str">
        <f t="shared" si="1"/>
        <v>N/A</v>
      </c>
      <c r="G17" s="20" t="str">
        <f t="shared" si="1"/>
        <v>N/A</v>
      </c>
      <c r="H17" s="20" t="str">
        <f t="shared" si="1"/>
        <v>N/A</v>
      </c>
    </row>
    <row r="18" spans="1:8" ht="19.5" customHeight="1" x14ac:dyDescent="0.3">
      <c r="A18" s="70" t="str">
        <f>'BASE MAESTRA'!B23</f>
        <v>19</v>
      </c>
      <c r="E18" s="20" t="str">
        <f t="shared" si="0"/>
        <v>19</v>
      </c>
      <c r="F18" s="20" t="str">
        <f t="shared" si="1"/>
        <v>Polypodium</v>
      </c>
      <c r="G18" s="20" t="str">
        <f t="shared" si="1"/>
        <v>Christ</v>
      </c>
      <c r="H18" s="20" t="str">
        <f t="shared" si="1"/>
        <v>ptilorhizon</v>
      </c>
    </row>
    <row r="19" spans="1:8" ht="19.5" customHeight="1" x14ac:dyDescent="0.3">
      <c r="A19" s="70" t="str">
        <f>'BASE MAESTRA'!B25</f>
        <v>20</v>
      </c>
      <c r="E19" s="20" t="str">
        <f t="shared" si="0"/>
        <v>20</v>
      </c>
      <c r="F19" s="20" t="str">
        <f t="shared" si="1"/>
        <v>Polypodium, Goniophlebium, Goniophlebium, Polypodium, Polypodium, Polypodium, Polypodium, Polypodium, Polypodium, Polypodium, Polypodium, Polypodium, Polypodium, Polypodium, Serpocaulon, Serpocaulon, Serpocaulon</v>
      </c>
      <c r="G19" s="20" t="str">
        <f t="shared" si="1"/>
        <v>Desv., Fée, (Hook.) T.Moore, H.Karst., Maxon, Hook., Hook., A.C.Sm., Baker, Sodiro, var. lobulatum E.Fourn., var. surucuchensis Mille, Hook., C.Chr., (Fée) Christenh., (Maxon) A.R.Sm., (Hook.) A.R.Sm.</v>
      </c>
      <c r="H19" s="20" t="str">
        <f t="shared" si="1"/>
        <v>sessilifolium, acuminatum, surucuchense, andinum, antillense, biauriculatum, chacapoyense, pseudofraternum, remotum, rimbachii, sessilifolium var. lobulatum, sessilifolium var. surucuchensis, surucuchense, uniseriale, acuminatum, antillense, chacapoyense</v>
      </c>
    </row>
    <row r="20" spans="1:8" ht="19.5" customHeight="1" x14ac:dyDescent="0.3">
      <c r="A20" s="70" t="str">
        <f>'BASE MAESTRA'!B26</f>
        <v>21</v>
      </c>
      <c r="E20" s="20" t="str">
        <f t="shared" si="0"/>
        <v>21</v>
      </c>
      <c r="F20" s="20" t="str">
        <f t="shared" si="1"/>
        <v>Polypodium</v>
      </c>
      <c r="G20" s="20" t="str">
        <f t="shared" si="1"/>
        <v>Sodiro</v>
      </c>
      <c r="H20" s="20" t="str">
        <f t="shared" si="1"/>
        <v>subandinum</v>
      </c>
    </row>
    <row r="21" spans="1:8" ht="19.5" customHeight="1" x14ac:dyDescent="0.3">
      <c r="A21" s="70" t="str">
        <f>'BASE MAESTRA'!B27</f>
        <v>22</v>
      </c>
      <c r="E21" s="20" t="str">
        <f t="shared" si="0"/>
        <v>22</v>
      </c>
      <c r="F21" s="20" t="str">
        <f t="shared" si="1"/>
        <v xml:space="preserve">Goniophlebium, Polypodium, Goniophlebium, Goniophlebium, Goniophlebium, Goniophlebium, Goniophlebium, Goniophlebium, Goniophlebium, Goniophlebium, Marginaria, Marginaria, Marginaria, Polypodium, Polypodium, Polypodium, Polypodium, Polypodium, Polypodium, Polypodium, Polypodium, Polypodium, Polypodium, Polypodium, Polypodium, Polypodium, Polypodium, Polypodium, Polypodium, Polypodium, Polypodium, Polypodium, Polypodium, Polypodium, Polypodium, </v>
      </c>
      <c r="G21" s="20" t="str">
        <f t="shared" si="1"/>
        <v>(Sw.) Wherry, Sw., Maxon, Farw., Farw., (C.Presl) Fée, C.Presl, Fée, (Schkuhr) Hook., (Kunze ex Mett.) Fée, C.Presl, (Schkuhr) C.Presl, C.Presl, (Maxon) Proctor, Poir., Kuhn, (Schkuhr) Baker, Christ ex Duss, Klotzsch, Vell., Kunze, (C.Presl) Liebm., C.Presl, Schrad., Schkuhr, Kuntze, Kuntze, Vell., Vell., Spreng., Rosenst., Klotzsch, (Kuhn) Proctor, Willd., Kunze ex Mett.</v>
      </c>
      <c r="H21" s="20" t="str">
        <f t="shared" si="1"/>
        <v xml:space="preserve">triseriale, triseriale, ampliatum, brasiliense, brasiliense var. preslianum, gladiatum, haenkei, intermedium, neriifolium, xiphophorum, gladiata, neriifolia, rhoifolia, ampliatum, brasiliense, brasiliense var. gladiatum, brasiliense var. neriifolium, brasiliense var. subcordatum, campylopodum, ensiforme, gladiatum, haenkei, longifolium, lucens, neriifolium, neriifolium var. acuminatissimum, neriifolium var. heterophyllum, palma, palmatum, preslianum, preslianum var. immersum, subalatum, triseriale var. gladiatum, variolatum, xiphophoron, </v>
      </c>
    </row>
    <row r="22" spans="1:8" ht="19.5" customHeight="1" x14ac:dyDescent="0.3">
      <c r="A22" s="70" t="str">
        <f>'BASE MAESTRA'!B28</f>
        <v>23</v>
      </c>
      <c r="E22" s="20" t="str">
        <f t="shared" si="0"/>
        <v>23</v>
      </c>
      <c r="F22" s="20" t="str">
        <f t="shared" si="1"/>
        <v>Polypodium, Goniophlebium, Polypodium, Polypodium, Polypodium, Polypodium, Serpocaulon</v>
      </c>
      <c r="G22" s="20" t="str">
        <f t="shared" si="1"/>
        <v>Mett., J.Sm., Christ, A.Samp., C.Chr., Jenman, (C.Chr.) A.R.Sm.</v>
      </c>
      <c r="H22" s="20" t="str">
        <f t="shared" si="1"/>
        <v>wagneri, pectinatum, costaricense, kuhlmannii, panorense, pectinatum var. Wagneri, panorense</v>
      </c>
    </row>
    <row r="23" spans="1:8" ht="19.5" customHeight="1" x14ac:dyDescent="0.3">
      <c r="A23" s="70" t="str">
        <f>'BASE MAESTRA'!B29</f>
        <v>24</v>
      </c>
      <c r="E23" s="20" t="str">
        <f t="shared" si="0"/>
        <v>24</v>
      </c>
      <c r="F23" s="20">
        <f t="shared" ref="F23:H86" si="2">VLOOKUP($A23,DatosEspecies,F$2,FALSE)</f>
        <v>0</v>
      </c>
      <c r="G23" s="20">
        <f t="shared" si="2"/>
        <v>0</v>
      </c>
      <c r="H23" s="20">
        <f t="shared" si="2"/>
        <v>0</v>
      </c>
    </row>
    <row r="24" spans="1:8" ht="19.5" customHeight="1" x14ac:dyDescent="0.3">
      <c r="A24" s="70" t="str">
        <f>'BASE MAESTRA'!B30</f>
        <v>25</v>
      </c>
      <c r="E24" s="20" t="str">
        <f t="shared" si="0"/>
        <v>25</v>
      </c>
      <c r="F24" s="20">
        <f t="shared" si="2"/>
        <v>0</v>
      </c>
      <c r="G24" s="20">
        <f t="shared" si="2"/>
        <v>0</v>
      </c>
      <c r="H24" s="20">
        <f t="shared" si="2"/>
        <v>0</v>
      </c>
    </row>
    <row r="25" spans="1:8" ht="19.5" customHeight="1" x14ac:dyDescent="0.3">
      <c r="A25" s="70" t="str">
        <f>'BASE MAESTRA'!B31</f>
        <v>26</v>
      </c>
      <c r="E25" s="20" t="str">
        <f t="shared" si="0"/>
        <v>26</v>
      </c>
      <c r="F25" s="20">
        <f t="shared" si="2"/>
        <v>0</v>
      </c>
      <c r="G25" s="20">
        <f t="shared" si="2"/>
        <v>0</v>
      </c>
      <c r="H25" s="20">
        <f t="shared" si="2"/>
        <v>0</v>
      </c>
    </row>
    <row r="26" spans="1:8" ht="19.5" customHeight="1" x14ac:dyDescent="0.3">
      <c r="A26" s="70" t="str">
        <f>'BASE MAESTRA'!B32</f>
        <v>27</v>
      </c>
      <c r="E26" s="20" t="str">
        <f t="shared" si="0"/>
        <v>27</v>
      </c>
      <c r="F26" s="20">
        <f t="shared" si="2"/>
        <v>0</v>
      </c>
      <c r="G26" s="20">
        <f t="shared" si="2"/>
        <v>0</v>
      </c>
      <c r="H26" s="20">
        <f t="shared" si="2"/>
        <v>0</v>
      </c>
    </row>
    <row r="27" spans="1:8" ht="19.5" customHeight="1" x14ac:dyDescent="0.3">
      <c r="A27" s="70" t="str">
        <f>'BASE MAESTRA'!B33</f>
        <v>28</v>
      </c>
      <c r="E27" s="20" t="str">
        <f t="shared" si="0"/>
        <v>28</v>
      </c>
      <c r="F27" s="20">
        <f t="shared" si="2"/>
        <v>0</v>
      </c>
      <c r="G27" s="20">
        <f t="shared" si="2"/>
        <v>0</v>
      </c>
      <c r="H27" s="20">
        <f t="shared" si="2"/>
        <v>0</v>
      </c>
    </row>
    <row r="28" spans="1:8" ht="19.5" customHeight="1" x14ac:dyDescent="0.3">
      <c r="A28" s="70" t="str">
        <f>'BASE MAESTRA'!B34</f>
        <v>29</v>
      </c>
      <c r="E28" s="20" t="str">
        <f t="shared" si="0"/>
        <v>29</v>
      </c>
      <c r="F28" s="20">
        <f t="shared" si="2"/>
        <v>0</v>
      </c>
      <c r="G28" s="20">
        <f t="shared" si="2"/>
        <v>0</v>
      </c>
      <c r="H28" s="20">
        <f t="shared" si="2"/>
        <v>0</v>
      </c>
    </row>
    <row r="29" spans="1:8" ht="19.5" customHeight="1" x14ac:dyDescent="0.3">
      <c r="A29" s="70" t="str">
        <f>'BASE MAESTRA'!B35</f>
        <v>30</v>
      </c>
      <c r="E29" s="20" t="str">
        <f t="shared" si="0"/>
        <v>30</v>
      </c>
      <c r="F29" s="20">
        <f t="shared" si="2"/>
        <v>0</v>
      </c>
      <c r="G29" s="20">
        <f t="shared" si="2"/>
        <v>0</v>
      </c>
      <c r="H29" s="20">
        <f t="shared" si="2"/>
        <v>0</v>
      </c>
    </row>
    <row r="30" spans="1:8" ht="19.5" customHeight="1" x14ac:dyDescent="0.3">
      <c r="A30" s="70" t="str">
        <f>'BASE MAESTRA'!B36</f>
        <v>31</v>
      </c>
      <c r="E30" s="20" t="str">
        <f t="shared" si="0"/>
        <v>31</v>
      </c>
      <c r="F30" s="20">
        <f t="shared" si="2"/>
        <v>0</v>
      </c>
      <c r="G30" s="20">
        <f t="shared" si="2"/>
        <v>0</v>
      </c>
      <c r="H30" s="20">
        <f t="shared" si="2"/>
        <v>0</v>
      </c>
    </row>
    <row r="31" spans="1:8" ht="19.5" customHeight="1" x14ac:dyDescent="0.3">
      <c r="A31" s="70" t="str">
        <f>'BASE MAESTRA'!B37</f>
        <v>32</v>
      </c>
      <c r="E31" s="20" t="str">
        <f t="shared" si="0"/>
        <v>32</v>
      </c>
      <c r="F31" s="20">
        <f t="shared" si="2"/>
        <v>0</v>
      </c>
      <c r="G31" s="20">
        <f t="shared" si="2"/>
        <v>0</v>
      </c>
      <c r="H31" s="20">
        <f t="shared" si="2"/>
        <v>0</v>
      </c>
    </row>
    <row r="32" spans="1:8" ht="19.5" customHeight="1" x14ac:dyDescent="0.3">
      <c r="A32" s="70" t="str">
        <f>'BASE MAESTRA'!B38</f>
        <v>33</v>
      </c>
      <c r="E32" s="20" t="str">
        <f t="shared" si="0"/>
        <v>33</v>
      </c>
      <c r="F32" s="20">
        <f t="shared" si="2"/>
        <v>0</v>
      </c>
      <c r="G32" s="20">
        <f t="shared" si="2"/>
        <v>0</v>
      </c>
      <c r="H32" s="20">
        <f t="shared" si="2"/>
        <v>0</v>
      </c>
    </row>
    <row r="33" spans="1:8" ht="19.5" customHeight="1" x14ac:dyDescent="0.3">
      <c r="A33" s="70" t="str">
        <f>'BASE MAESTRA'!B39</f>
        <v>34</v>
      </c>
      <c r="E33" s="20" t="str">
        <f t="shared" si="0"/>
        <v>34</v>
      </c>
      <c r="F33" s="20">
        <f t="shared" si="2"/>
        <v>0</v>
      </c>
      <c r="G33" s="20">
        <f t="shared" si="2"/>
        <v>0</v>
      </c>
      <c r="H33" s="20">
        <f t="shared" si="2"/>
        <v>0</v>
      </c>
    </row>
    <row r="34" spans="1:8" ht="19.5" customHeight="1" x14ac:dyDescent="0.3">
      <c r="A34" s="70" t="str">
        <f>'BASE MAESTRA'!B40</f>
        <v>35</v>
      </c>
      <c r="E34" s="20" t="str">
        <f t="shared" si="0"/>
        <v>35</v>
      </c>
      <c r="F34" s="20">
        <f t="shared" si="2"/>
        <v>0</v>
      </c>
      <c r="G34" s="20">
        <f t="shared" si="2"/>
        <v>0</v>
      </c>
      <c r="H34" s="20">
        <f t="shared" si="2"/>
        <v>0</v>
      </c>
    </row>
    <row r="35" spans="1:8" ht="19.5" customHeight="1" x14ac:dyDescent="0.3">
      <c r="A35" s="70" t="str">
        <f>'BASE MAESTRA'!B41</f>
        <v>36</v>
      </c>
      <c r="E35" s="20" t="str">
        <f t="shared" si="0"/>
        <v>36</v>
      </c>
      <c r="F35" s="20">
        <f t="shared" si="2"/>
        <v>0</v>
      </c>
      <c r="G35" s="20">
        <f t="shared" si="2"/>
        <v>0</v>
      </c>
      <c r="H35" s="20">
        <f t="shared" si="2"/>
        <v>0</v>
      </c>
    </row>
    <row r="36" spans="1:8" ht="19.5" customHeight="1" x14ac:dyDescent="0.3">
      <c r="A36" s="70" t="str">
        <f>'BASE MAESTRA'!B42</f>
        <v>37</v>
      </c>
      <c r="E36" s="20" t="str">
        <f t="shared" si="0"/>
        <v>37</v>
      </c>
      <c r="F36" s="20">
        <f t="shared" si="2"/>
        <v>0</v>
      </c>
      <c r="G36" s="20">
        <f t="shared" si="2"/>
        <v>0</v>
      </c>
      <c r="H36" s="20">
        <f t="shared" si="2"/>
        <v>0</v>
      </c>
    </row>
    <row r="37" spans="1:8" ht="19.5" customHeight="1" x14ac:dyDescent="0.3">
      <c r="A37" s="70" t="str">
        <f>'BASE MAESTRA'!B43</f>
        <v>38</v>
      </c>
      <c r="E37" s="20" t="str">
        <f t="shared" si="0"/>
        <v>38</v>
      </c>
      <c r="F37" s="20">
        <f t="shared" si="2"/>
        <v>0</v>
      </c>
      <c r="G37" s="20">
        <f t="shared" si="2"/>
        <v>0</v>
      </c>
      <c r="H37" s="20">
        <f t="shared" si="2"/>
        <v>0</v>
      </c>
    </row>
    <row r="38" spans="1:8" ht="19.5" customHeight="1" x14ac:dyDescent="0.3">
      <c r="A38" s="70" t="str">
        <f>'BASE MAESTRA'!B44</f>
        <v>39</v>
      </c>
      <c r="E38" s="20" t="str">
        <f t="shared" si="0"/>
        <v>39</v>
      </c>
      <c r="F38" s="20">
        <f t="shared" si="2"/>
        <v>0</v>
      </c>
      <c r="G38" s="20">
        <f t="shared" si="2"/>
        <v>0</v>
      </c>
      <c r="H38" s="20">
        <f t="shared" si="2"/>
        <v>0</v>
      </c>
    </row>
    <row r="39" spans="1:8" ht="19.5" customHeight="1" x14ac:dyDescent="0.3">
      <c r="A39" s="70">
        <f>'BASE MAESTRA'!B45</f>
        <v>37</v>
      </c>
      <c r="E39" s="20">
        <f t="shared" si="0"/>
        <v>37</v>
      </c>
      <c r="F39" s="20">
        <f t="shared" si="2"/>
        <v>0</v>
      </c>
      <c r="G39" s="20">
        <f t="shared" si="2"/>
        <v>0</v>
      </c>
      <c r="H39" s="20">
        <f t="shared" si="2"/>
        <v>0</v>
      </c>
    </row>
    <row r="40" spans="1:8" ht="19.5" customHeight="1" x14ac:dyDescent="0.3">
      <c r="A40" s="70">
        <f>'BASE MAESTRA'!B46</f>
        <v>38</v>
      </c>
      <c r="E40" s="20">
        <f t="shared" si="0"/>
        <v>38</v>
      </c>
      <c r="F40" s="20">
        <f t="shared" si="2"/>
        <v>0</v>
      </c>
      <c r="G40" s="20">
        <f t="shared" si="2"/>
        <v>0</v>
      </c>
      <c r="H40" s="20">
        <f t="shared" si="2"/>
        <v>0</v>
      </c>
    </row>
    <row r="41" spans="1:8" ht="19.5" customHeight="1" x14ac:dyDescent="0.3">
      <c r="A41" s="70">
        <f>'BASE MAESTRA'!B47</f>
        <v>39</v>
      </c>
      <c r="E41" s="20">
        <f t="shared" si="0"/>
        <v>39</v>
      </c>
      <c r="F41" s="20">
        <f t="shared" si="2"/>
        <v>0</v>
      </c>
      <c r="G41" s="20">
        <f t="shared" si="2"/>
        <v>0</v>
      </c>
      <c r="H41" s="20">
        <f t="shared" si="2"/>
        <v>0</v>
      </c>
    </row>
    <row r="42" spans="1:8" ht="19.5" customHeight="1" x14ac:dyDescent="0.3">
      <c r="A42" s="70">
        <f>'BASE MAESTRA'!B48</f>
        <v>40</v>
      </c>
      <c r="E42" s="20">
        <f t="shared" si="0"/>
        <v>40</v>
      </c>
      <c r="F42" s="20">
        <f t="shared" si="2"/>
        <v>0</v>
      </c>
      <c r="G42" s="20">
        <f t="shared" si="2"/>
        <v>0</v>
      </c>
      <c r="H42" s="20">
        <f t="shared" si="2"/>
        <v>0</v>
      </c>
    </row>
    <row r="43" spans="1:8" ht="19.5" customHeight="1" x14ac:dyDescent="0.3">
      <c r="A43" s="70">
        <f>'BASE MAESTRA'!B49</f>
        <v>41</v>
      </c>
      <c r="E43" s="20">
        <f t="shared" si="0"/>
        <v>41</v>
      </c>
      <c r="F43" s="20">
        <f t="shared" si="2"/>
        <v>0</v>
      </c>
      <c r="G43" s="20">
        <f t="shared" si="2"/>
        <v>0</v>
      </c>
      <c r="H43" s="20">
        <f t="shared" si="2"/>
        <v>0</v>
      </c>
    </row>
    <row r="44" spans="1:8" ht="19.5" customHeight="1" x14ac:dyDescent="0.3">
      <c r="A44" s="70">
        <f>'BASE MAESTRA'!B50</f>
        <v>42</v>
      </c>
      <c r="E44" s="20">
        <f t="shared" si="0"/>
        <v>42</v>
      </c>
      <c r="F44" s="20">
        <f t="shared" si="2"/>
        <v>0</v>
      </c>
      <c r="G44" s="20">
        <f t="shared" si="2"/>
        <v>0</v>
      </c>
      <c r="H44" s="20">
        <f t="shared" si="2"/>
        <v>0</v>
      </c>
    </row>
    <row r="45" spans="1:8" ht="19.5" customHeight="1" x14ac:dyDescent="0.3">
      <c r="A45" s="70">
        <f>'BASE MAESTRA'!B51</f>
        <v>43</v>
      </c>
      <c r="E45" s="20">
        <f t="shared" si="0"/>
        <v>43</v>
      </c>
      <c r="F45" s="20">
        <f t="shared" si="2"/>
        <v>0</v>
      </c>
      <c r="G45" s="20">
        <f t="shared" si="2"/>
        <v>0</v>
      </c>
      <c r="H45" s="20">
        <f t="shared" si="2"/>
        <v>0</v>
      </c>
    </row>
    <row r="46" spans="1:8" ht="19.5" customHeight="1" x14ac:dyDescent="0.3">
      <c r="A46" s="70">
        <f>'BASE MAESTRA'!B52</f>
        <v>44</v>
      </c>
      <c r="E46" s="20">
        <f t="shared" si="0"/>
        <v>44</v>
      </c>
      <c r="F46" s="20">
        <f t="shared" si="2"/>
        <v>0</v>
      </c>
      <c r="G46" s="20">
        <f t="shared" si="2"/>
        <v>0</v>
      </c>
      <c r="H46" s="20">
        <f t="shared" si="2"/>
        <v>0</v>
      </c>
    </row>
    <row r="47" spans="1:8" ht="19.5" customHeight="1" x14ac:dyDescent="0.3">
      <c r="A47" s="70">
        <f>'BASE MAESTRA'!B53</f>
        <v>45</v>
      </c>
      <c r="E47" s="20">
        <f t="shared" si="0"/>
        <v>45</v>
      </c>
      <c r="F47" s="20">
        <f t="shared" si="2"/>
        <v>0</v>
      </c>
      <c r="G47" s="20">
        <f t="shared" si="2"/>
        <v>0</v>
      </c>
      <c r="H47" s="20">
        <f t="shared" si="2"/>
        <v>0</v>
      </c>
    </row>
    <row r="48" spans="1:8" ht="19.5" customHeight="1" x14ac:dyDescent="0.3">
      <c r="A48" s="70">
        <f>'BASE MAESTRA'!B54</f>
        <v>46</v>
      </c>
      <c r="E48" s="20">
        <f t="shared" si="0"/>
        <v>46</v>
      </c>
      <c r="F48" s="20">
        <f t="shared" si="2"/>
        <v>0</v>
      </c>
      <c r="G48" s="20">
        <f t="shared" si="2"/>
        <v>0</v>
      </c>
      <c r="H48" s="20">
        <f t="shared" si="2"/>
        <v>0</v>
      </c>
    </row>
    <row r="49" spans="1:8" ht="19.5" customHeight="1" x14ac:dyDescent="0.3">
      <c r="A49" s="70">
        <f>'BASE MAESTRA'!B55</f>
        <v>47</v>
      </c>
      <c r="E49" s="20">
        <f t="shared" si="0"/>
        <v>47</v>
      </c>
      <c r="F49" s="20">
        <f t="shared" si="2"/>
        <v>0</v>
      </c>
      <c r="G49" s="20">
        <f t="shared" si="2"/>
        <v>0</v>
      </c>
      <c r="H49" s="20">
        <f t="shared" si="2"/>
        <v>0</v>
      </c>
    </row>
    <row r="50" spans="1:8" ht="19.5" customHeight="1" x14ac:dyDescent="0.3">
      <c r="A50" s="70">
        <f>'BASE MAESTRA'!B56</f>
        <v>48</v>
      </c>
      <c r="E50" s="20">
        <f t="shared" si="0"/>
        <v>48</v>
      </c>
      <c r="F50" s="20">
        <f t="shared" si="2"/>
        <v>0</v>
      </c>
      <c r="G50" s="20">
        <f t="shared" si="2"/>
        <v>0</v>
      </c>
      <c r="H50" s="20">
        <f t="shared" si="2"/>
        <v>0</v>
      </c>
    </row>
    <row r="51" spans="1:8" ht="19.5" customHeight="1" x14ac:dyDescent="0.3">
      <c r="A51" s="70">
        <f>'BASE MAESTRA'!B57</f>
        <v>49</v>
      </c>
      <c r="E51" s="20">
        <f t="shared" si="0"/>
        <v>49</v>
      </c>
      <c r="F51" s="20">
        <f t="shared" si="2"/>
        <v>0</v>
      </c>
      <c r="G51" s="20">
        <f t="shared" si="2"/>
        <v>0</v>
      </c>
      <c r="H51" s="20">
        <f t="shared" si="2"/>
        <v>0</v>
      </c>
    </row>
    <row r="52" spans="1:8" ht="19.5" customHeight="1" x14ac:dyDescent="0.3">
      <c r="A52" s="70">
        <f>'BASE MAESTRA'!B58</f>
        <v>50</v>
      </c>
      <c r="E52" s="20">
        <f t="shared" si="0"/>
        <v>50</v>
      </c>
      <c r="F52" s="20">
        <f t="shared" si="2"/>
        <v>0</v>
      </c>
      <c r="G52" s="20">
        <f t="shared" si="2"/>
        <v>0</v>
      </c>
      <c r="H52" s="20">
        <f t="shared" si="2"/>
        <v>0</v>
      </c>
    </row>
    <row r="53" spans="1:8" ht="19.5" customHeight="1" x14ac:dyDescent="0.3">
      <c r="A53" s="70">
        <f>'BASE MAESTRA'!B59</f>
        <v>51</v>
      </c>
      <c r="E53" s="20">
        <f t="shared" si="0"/>
        <v>51</v>
      </c>
      <c r="F53" s="20">
        <f t="shared" si="2"/>
        <v>0</v>
      </c>
      <c r="G53" s="20">
        <f t="shared" si="2"/>
        <v>0</v>
      </c>
      <c r="H53" s="20">
        <f t="shared" si="2"/>
        <v>0</v>
      </c>
    </row>
    <row r="54" spans="1:8" ht="19.5" customHeight="1" x14ac:dyDescent="0.3">
      <c r="A54" s="70">
        <f>'BASE MAESTRA'!B60</f>
        <v>52</v>
      </c>
      <c r="E54" s="20">
        <f t="shared" si="0"/>
        <v>52</v>
      </c>
      <c r="F54" s="20">
        <f t="shared" si="2"/>
        <v>0</v>
      </c>
      <c r="G54" s="20">
        <f t="shared" si="2"/>
        <v>0</v>
      </c>
      <c r="H54" s="20">
        <f t="shared" si="2"/>
        <v>0</v>
      </c>
    </row>
    <row r="55" spans="1:8" ht="19.5" customHeight="1" x14ac:dyDescent="0.3">
      <c r="A55" s="70">
        <f>'BASE MAESTRA'!B61</f>
        <v>53</v>
      </c>
      <c r="E55" s="20">
        <f t="shared" si="0"/>
        <v>53</v>
      </c>
      <c r="F55" s="20">
        <f t="shared" si="2"/>
        <v>0</v>
      </c>
      <c r="G55" s="20">
        <f t="shared" si="2"/>
        <v>0</v>
      </c>
      <c r="H55" s="20">
        <f t="shared" si="2"/>
        <v>0</v>
      </c>
    </row>
    <row r="56" spans="1:8" ht="19.5" customHeight="1" x14ac:dyDescent="0.3">
      <c r="A56" s="70">
        <f>'BASE MAESTRA'!B62</f>
        <v>54</v>
      </c>
      <c r="E56" s="20">
        <f t="shared" si="0"/>
        <v>54</v>
      </c>
      <c r="F56" s="20">
        <f t="shared" si="2"/>
        <v>0</v>
      </c>
      <c r="G56" s="20">
        <f t="shared" si="2"/>
        <v>0</v>
      </c>
      <c r="H56" s="20">
        <f t="shared" si="2"/>
        <v>0</v>
      </c>
    </row>
    <row r="57" spans="1:8" ht="19.5" customHeight="1" x14ac:dyDescent="0.3">
      <c r="A57" s="70">
        <f>'BASE MAESTRA'!B63</f>
        <v>55</v>
      </c>
      <c r="E57" s="20">
        <f t="shared" si="0"/>
        <v>55</v>
      </c>
      <c r="F57" s="20">
        <f t="shared" si="2"/>
        <v>0</v>
      </c>
      <c r="G57" s="20">
        <f t="shared" si="2"/>
        <v>0</v>
      </c>
      <c r="H57" s="20">
        <f t="shared" si="2"/>
        <v>0</v>
      </c>
    </row>
    <row r="58" spans="1:8" ht="19.5" customHeight="1" x14ac:dyDescent="0.3">
      <c r="A58" s="70">
        <f>'BASE MAESTRA'!B64</f>
        <v>56</v>
      </c>
      <c r="E58" s="20">
        <f t="shared" si="0"/>
        <v>56</v>
      </c>
      <c r="F58" s="20">
        <f t="shared" si="2"/>
        <v>0</v>
      </c>
      <c r="G58" s="20">
        <f t="shared" si="2"/>
        <v>0</v>
      </c>
      <c r="H58" s="20">
        <f t="shared" si="2"/>
        <v>0</v>
      </c>
    </row>
    <row r="59" spans="1:8" ht="19.5" customHeight="1" x14ac:dyDescent="0.3">
      <c r="A59" s="70">
        <f>'BASE MAESTRA'!B65</f>
        <v>57</v>
      </c>
      <c r="E59" s="20">
        <f t="shared" si="0"/>
        <v>57</v>
      </c>
      <c r="F59" s="20">
        <f t="shared" si="2"/>
        <v>0</v>
      </c>
      <c r="G59" s="20">
        <f t="shared" si="2"/>
        <v>0</v>
      </c>
      <c r="H59" s="20">
        <f t="shared" si="2"/>
        <v>0</v>
      </c>
    </row>
    <row r="60" spans="1:8" ht="19.5" customHeight="1" x14ac:dyDescent="0.3">
      <c r="A60" s="70">
        <f>'BASE MAESTRA'!B66</f>
        <v>58</v>
      </c>
      <c r="E60" s="20">
        <f t="shared" si="0"/>
        <v>58</v>
      </c>
      <c r="F60" s="20">
        <f t="shared" si="2"/>
        <v>0</v>
      </c>
      <c r="G60" s="20">
        <f t="shared" si="2"/>
        <v>0</v>
      </c>
      <c r="H60" s="20">
        <f t="shared" si="2"/>
        <v>0</v>
      </c>
    </row>
    <row r="61" spans="1:8" ht="19.5" customHeight="1" x14ac:dyDescent="0.3">
      <c r="A61" s="70">
        <f>'BASE MAESTRA'!B67</f>
        <v>59</v>
      </c>
      <c r="E61" s="20">
        <f t="shared" si="0"/>
        <v>59</v>
      </c>
      <c r="F61" s="20">
        <f t="shared" si="2"/>
        <v>0</v>
      </c>
      <c r="G61" s="20">
        <f t="shared" si="2"/>
        <v>0</v>
      </c>
      <c r="H61" s="20">
        <f t="shared" si="2"/>
        <v>0</v>
      </c>
    </row>
    <row r="62" spans="1:8" ht="19.5" customHeight="1" x14ac:dyDescent="0.3">
      <c r="A62" s="70">
        <f>'BASE MAESTRA'!B68</f>
        <v>60</v>
      </c>
      <c r="E62" s="20">
        <f t="shared" si="0"/>
        <v>60</v>
      </c>
      <c r="F62" s="20">
        <f t="shared" si="2"/>
        <v>0</v>
      </c>
      <c r="G62" s="20">
        <f t="shared" si="2"/>
        <v>0</v>
      </c>
      <c r="H62" s="20">
        <f t="shared" si="2"/>
        <v>0</v>
      </c>
    </row>
    <row r="63" spans="1:8" ht="19.5" customHeight="1" x14ac:dyDescent="0.3">
      <c r="A63" s="70">
        <f>'BASE MAESTRA'!B69</f>
        <v>61</v>
      </c>
      <c r="E63" s="20">
        <f t="shared" si="0"/>
        <v>61</v>
      </c>
      <c r="F63" s="20">
        <f t="shared" si="2"/>
        <v>0</v>
      </c>
      <c r="G63" s="20">
        <f t="shared" si="2"/>
        <v>0</v>
      </c>
      <c r="H63" s="20">
        <f t="shared" si="2"/>
        <v>0</v>
      </c>
    </row>
    <row r="64" spans="1:8" ht="19.5" customHeight="1" x14ac:dyDescent="0.3">
      <c r="A64" s="70">
        <f>'BASE MAESTRA'!B70</f>
        <v>62</v>
      </c>
      <c r="E64" s="20">
        <f t="shared" si="0"/>
        <v>62</v>
      </c>
      <c r="F64" s="20">
        <f t="shared" si="2"/>
        <v>0</v>
      </c>
      <c r="G64" s="20">
        <f t="shared" si="2"/>
        <v>0</v>
      </c>
      <c r="H64" s="20">
        <f t="shared" si="2"/>
        <v>0</v>
      </c>
    </row>
    <row r="65" spans="1:8" ht="19.5" customHeight="1" x14ac:dyDescent="0.3">
      <c r="A65" s="70">
        <f>'BASE MAESTRA'!B71</f>
        <v>63</v>
      </c>
      <c r="E65" s="20">
        <f t="shared" si="0"/>
        <v>63</v>
      </c>
      <c r="F65" s="20">
        <f t="shared" si="2"/>
        <v>0</v>
      </c>
      <c r="G65" s="20">
        <f t="shared" si="2"/>
        <v>0</v>
      </c>
      <c r="H65" s="20">
        <f t="shared" si="2"/>
        <v>0</v>
      </c>
    </row>
    <row r="66" spans="1:8" ht="19.5" customHeight="1" x14ac:dyDescent="0.3">
      <c r="A66" s="70">
        <f>'BASE MAESTRA'!B72</f>
        <v>64</v>
      </c>
      <c r="E66" s="20">
        <f t="shared" si="0"/>
        <v>64</v>
      </c>
      <c r="F66" s="20">
        <f t="shared" si="2"/>
        <v>0</v>
      </c>
      <c r="G66" s="20">
        <f t="shared" si="2"/>
        <v>0</v>
      </c>
      <c r="H66" s="20">
        <f t="shared" si="2"/>
        <v>0</v>
      </c>
    </row>
    <row r="67" spans="1:8" ht="19.5" customHeight="1" x14ac:dyDescent="0.3">
      <c r="A67" s="70">
        <f>'BASE MAESTRA'!B73</f>
        <v>65</v>
      </c>
      <c r="E67" s="20">
        <f t="shared" ref="E67:E130" si="3">VLOOKUP($A67,DatosEspecies,E$2,FALSE)</f>
        <v>65</v>
      </c>
      <c r="F67" s="20">
        <f t="shared" si="2"/>
        <v>0</v>
      </c>
      <c r="G67" s="20">
        <f t="shared" si="2"/>
        <v>0</v>
      </c>
      <c r="H67" s="20">
        <f t="shared" si="2"/>
        <v>0</v>
      </c>
    </row>
    <row r="68" spans="1:8" ht="19.5" customHeight="1" x14ac:dyDescent="0.3">
      <c r="A68" s="70">
        <f>'BASE MAESTRA'!B74</f>
        <v>66</v>
      </c>
      <c r="E68" s="20">
        <f t="shared" si="3"/>
        <v>66</v>
      </c>
      <c r="F68" s="20">
        <f t="shared" si="2"/>
        <v>0</v>
      </c>
      <c r="G68" s="20">
        <f t="shared" si="2"/>
        <v>0</v>
      </c>
      <c r="H68" s="20">
        <f t="shared" si="2"/>
        <v>0</v>
      </c>
    </row>
    <row r="69" spans="1:8" ht="19.5" customHeight="1" x14ac:dyDescent="0.3">
      <c r="A69" s="70">
        <f>'BASE MAESTRA'!B75</f>
        <v>67</v>
      </c>
      <c r="E69" s="20">
        <f t="shared" si="3"/>
        <v>67</v>
      </c>
      <c r="F69" s="20">
        <f t="shared" si="2"/>
        <v>0</v>
      </c>
      <c r="G69" s="20">
        <f t="shared" si="2"/>
        <v>0</v>
      </c>
      <c r="H69" s="20">
        <f t="shared" si="2"/>
        <v>0</v>
      </c>
    </row>
    <row r="70" spans="1:8" ht="19.5" customHeight="1" x14ac:dyDescent="0.3">
      <c r="A70" s="70">
        <f>'BASE MAESTRA'!B76</f>
        <v>68</v>
      </c>
      <c r="E70" s="20">
        <f t="shared" si="3"/>
        <v>68</v>
      </c>
      <c r="F70" s="20">
        <f t="shared" si="2"/>
        <v>0</v>
      </c>
      <c r="G70" s="20">
        <f t="shared" si="2"/>
        <v>0</v>
      </c>
      <c r="H70" s="20">
        <f t="shared" si="2"/>
        <v>0</v>
      </c>
    </row>
    <row r="71" spans="1:8" ht="19.5" customHeight="1" x14ac:dyDescent="0.3">
      <c r="A71" s="70">
        <f>'BASE MAESTRA'!B77</f>
        <v>69</v>
      </c>
      <c r="E71" s="20">
        <f t="shared" si="3"/>
        <v>69</v>
      </c>
      <c r="F71" s="20">
        <f t="shared" si="2"/>
        <v>0</v>
      </c>
      <c r="G71" s="20">
        <f t="shared" si="2"/>
        <v>0</v>
      </c>
      <c r="H71" s="20">
        <f t="shared" si="2"/>
        <v>0</v>
      </c>
    </row>
    <row r="72" spans="1:8" ht="19.5" customHeight="1" x14ac:dyDescent="0.3">
      <c r="A72" s="70">
        <f>'BASE MAESTRA'!B78</f>
        <v>70</v>
      </c>
      <c r="E72" s="20">
        <f t="shared" si="3"/>
        <v>70</v>
      </c>
      <c r="F72" s="20">
        <f t="shared" si="2"/>
        <v>0</v>
      </c>
      <c r="G72" s="20">
        <f t="shared" si="2"/>
        <v>0</v>
      </c>
      <c r="H72" s="20">
        <f t="shared" si="2"/>
        <v>0</v>
      </c>
    </row>
    <row r="73" spans="1:8" ht="19.5" customHeight="1" x14ac:dyDescent="0.3">
      <c r="A73" s="70">
        <f>'BASE MAESTRA'!B79</f>
        <v>71</v>
      </c>
      <c r="E73" s="20">
        <f t="shared" si="3"/>
        <v>71</v>
      </c>
      <c r="F73" s="20">
        <f t="shared" si="2"/>
        <v>0</v>
      </c>
      <c r="G73" s="20">
        <f t="shared" si="2"/>
        <v>0</v>
      </c>
      <c r="H73" s="20">
        <f t="shared" si="2"/>
        <v>0</v>
      </c>
    </row>
    <row r="74" spans="1:8" ht="19.5" customHeight="1" x14ac:dyDescent="0.3">
      <c r="A74" s="70">
        <f>'BASE MAESTRA'!B80</f>
        <v>72</v>
      </c>
      <c r="E74" s="20">
        <f t="shared" si="3"/>
        <v>72</v>
      </c>
      <c r="F74" s="20">
        <f t="shared" si="2"/>
        <v>0</v>
      </c>
      <c r="G74" s="20">
        <f t="shared" si="2"/>
        <v>0</v>
      </c>
      <c r="H74" s="20">
        <f t="shared" si="2"/>
        <v>0</v>
      </c>
    </row>
    <row r="75" spans="1:8" ht="19.5" customHeight="1" x14ac:dyDescent="0.3">
      <c r="A75" s="70">
        <f>'BASE MAESTRA'!B81</f>
        <v>73</v>
      </c>
      <c r="E75" s="20">
        <f t="shared" si="3"/>
        <v>73</v>
      </c>
      <c r="F75" s="20">
        <f t="shared" si="2"/>
        <v>0</v>
      </c>
      <c r="G75" s="20">
        <f t="shared" si="2"/>
        <v>0</v>
      </c>
      <c r="H75" s="20">
        <f t="shared" si="2"/>
        <v>0</v>
      </c>
    </row>
    <row r="76" spans="1:8" ht="19.5" customHeight="1" x14ac:dyDescent="0.3">
      <c r="A76" s="70">
        <f>'BASE MAESTRA'!B82</f>
        <v>74</v>
      </c>
      <c r="E76" s="20">
        <f t="shared" si="3"/>
        <v>74</v>
      </c>
      <c r="F76" s="20">
        <f t="shared" si="2"/>
        <v>0</v>
      </c>
      <c r="G76" s="20">
        <f t="shared" si="2"/>
        <v>0</v>
      </c>
      <c r="H76" s="20">
        <f t="shared" si="2"/>
        <v>0</v>
      </c>
    </row>
    <row r="77" spans="1:8" ht="19.5" customHeight="1" x14ac:dyDescent="0.3">
      <c r="A77" s="70">
        <f>'BASE MAESTRA'!B83</f>
        <v>75</v>
      </c>
      <c r="E77" s="20">
        <f t="shared" si="3"/>
        <v>75</v>
      </c>
      <c r="F77" s="20">
        <f t="shared" si="2"/>
        <v>0</v>
      </c>
      <c r="G77" s="20">
        <f t="shared" si="2"/>
        <v>0</v>
      </c>
      <c r="H77" s="20">
        <f t="shared" si="2"/>
        <v>0</v>
      </c>
    </row>
    <row r="78" spans="1:8" ht="19.5" customHeight="1" x14ac:dyDescent="0.3">
      <c r="A78" s="70">
        <f>'BASE MAESTRA'!B84</f>
        <v>76</v>
      </c>
      <c r="E78" s="20">
        <f t="shared" si="3"/>
        <v>76</v>
      </c>
      <c r="F78" s="20">
        <f t="shared" si="2"/>
        <v>0</v>
      </c>
      <c r="G78" s="20">
        <f t="shared" si="2"/>
        <v>0</v>
      </c>
      <c r="H78" s="20">
        <f t="shared" si="2"/>
        <v>0</v>
      </c>
    </row>
    <row r="79" spans="1:8" ht="19.5" customHeight="1" x14ac:dyDescent="0.3">
      <c r="A79" s="70">
        <f>'BASE MAESTRA'!B85</f>
        <v>77</v>
      </c>
      <c r="E79" s="20">
        <f t="shared" si="3"/>
        <v>77</v>
      </c>
      <c r="F79" s="20">
        <f t="shared" si="2"/>
        <v>0</v>
      </c>
      <c r="G79" s="20">
        <f t="shared" si="2"/>
        <v>0</v>
      </c>
      <c r="H79" s="20">
        <f t="shared" si="2"/>
        <v>0</v>
      </c>
    </row>
    <row r="80" spans="1:8" ht="19.5" customHeight="1" x14ac:dyDescent="0.3">
      <c r="A80" s="70">
        <f>'BASE MAESTRA'!B86</f>
        <v>78</v>
      </c>
      <c r="E80" s="20">
        <f t="shared" si="3"/>
        <v>78</v>
      </c>
      <c r="F80" s="20">
        <f t="shared" si="2"/>
        <v>0</v>
      </c>
      <c r="G80" s="20">
        <f t="shared" si="2"/>
        <v>0</v>
      </c>
      <c r="H80" s="20">
        <f t="shared" si="2"/>
        <v>0</v>
      </c>
    </row>
    <row r="81" spans="1:8" ht="19.5" customHeight="1" x14ac:dyDescent="0.3">
      <c r="A81" s="70">
        <f>'BASE MAESTRA'!B87</f>
        <v>79</v>
      </c>
      <c r="E81" s="20">
        <f t="shared" si="3"/>
        <v>79</v>
      </c>
      <c r="F81" s="20">
        <f t="shared" si="2"/>
        <v>0</v>
      </c>
      <c r="G81" s="20">
        <f t="shared" si="2"/>
        <v>0</v>
      </c>
      <c r="H81" s="20">
        <f t="shared" si="2"/>
        <v>0</v>
      </c>
    </row>
    <row r="82" spans="1:8" ht="19.5" customHeight="1" x14ac:dyDescent="0.3">
      <c r="A82" s="70">
        <f>'BASE MAESTRA'!B88</f>
        <v>80</v>
      </c>
      <c r="E82" s="20">
        <f t="shared" si="3"/>
        <v>80</v>
      </c>
      <c r="F82" s="20">
        <f t="shared" si="2"/>
        <v>0</v>
      </c>
      <c r="G82" s="20">
        <f t="shared" si="2"/>
        <v>0</v>
      </c>
      <c r="H82" s="20">
        <f t="shared" si="2"/>
        <v>0</v>
      </c>
    </row>
    <row r="83" spans="1:8" ht="19.5" customHeight="1" x14ac:dyDescent="0.3">
      <c r="A83" s="70">
        <f>'BASE MAESTRA'!B89</f>
        <v>81</v>
      </c>
      <c r="E83" s="20">
        <f t="shared" si="3"/>
        <v>81</v>
      </c>
      <c r="F83" s="20">
        <f t="shared" si="2"/>
        <v>0</v>
      </c>
      <c r="G83" s="20">
        <f t="shared" si="2"/>
        <v>0</v>
      </c>
      <c r="H83" s="20">
        <f t="shared" si="2"/>
        <v>0</v>
      </c>
    </row>
    <row r="84" spans="1:8" ht="19.5" customHeight="1" x14ac:dyDescent="0.3">
      <c r="A84" s="70">
        <f>'BASE MAESTRA'!B90</f>
        <v>82</v>
      </c>
      <c r="E84" s="20">
        <f t="shared" si="3"/>
        <v>82</v>
      </c>
      <c r="F84" s="20">
        <f t="shared" si="2"/>
        <v>0</v>
      </c>
      <c r="G84" s="20">
        <f t="shared" si="2"/>
        <v>0</v>
      </c>
      <c r="H84" s="20">
        <f t="shared" si="2"/>
        <v>0</v>
      </c>
    </row>
    <row r="85" spans="1:8" ht="19.5" customHeight="1" x14ac:dyDescent="0.3">
      <c r="A85" s="70">
        <f>'BASE MAESTRA'!B91</f>
        <v>83</v>
      </c>
      <c r="E85" s="20">
        <f t="shared" si="3"/>
        <v>83</v>
      </c>
      <c r="F85" s="20">
        <f t="shared" si="2"/>
        <v>0</v>
      </c>
      <c r="G85" s="20">
        <f t="shared" si="2"/>
        <v>0</v>
      </c>
      <c r="H85" s="20">
        <f t="shared" si="2"/>
        <v>0</v>
      </c>
    </row>
    <row r="86" spans="1:8" ht="19.5" customHeight="1" x14ac:dyDescent="0.3">
      <c r="A86" s="70">
        <f>'BASE MAESTRA'!B92</f>
        <v>84</v>
      </c>
      <c r="E86" s="20">
        <f t="shared" si="3"/>
        <v>84</v>
      </c>
      <c r="F86" s="20">
        <f t="shared" si="2"/>
        <v>0</v>
      </c>
      <c r="G86" s="20">
        <f t="shared" si="2"/>
        <v>0</v>
      </c>
      <c r="H86" s="20">
        <f t="shared" si="2"/>
        <v>0</v>
      </c>
    </row>
    <row r="87" spans="1:8" ht="19.5" customHeight="1" x14ac:dyDescent="0.3">
      <c r="A87" s="70">
        <f>'BASE MAESTRA'!B93</f>
        <v>85</v>
      </c>
      <c r="E87" s="20">
        <f t="shared" si="3"/>
        <v>85</v>
      </c>
      <c r="F87" s="20">
        <f t="shared" ref="F87:H150" si="4">VLOOKUP($A87,DatosEspecies,F$2,FALSE)</f>
        <v>0</v>
      </c>
      <c r="G87" s="20">
        <f t="shared" si="4"/>
        <v>0</v>
      </c>
      <c r="H87" s="20">
        <f t="shared" si="4"/>
        <v>0</v>
      </c>
    </row>
    <row r="88" spans="1:8" ht="19.5" customHeight="1" x14ac:dyDescent="0.3">
      <c r="A88" s="70">
        <f>'BASE MAESTRA'!B94</f>
        <v>86</v>
      </c>
      <c r="E88" s="20">
        <f t="shared" si="3"/>
        <v>86</v>
      </c>
      <c r="F88" s="20">
        <f t="shared" si="4"/>
        <v>0</v>
      </c>
      <c r="G88" s="20">
        <f t="shared" si="4"/>
        <v>0</v>
      </c>
      <c r="H88" s="20">
        <f t="shared" si="4"/>
        <v>0</v>
      </c>
    </row>
    <row r="89" spans="1:8" ht="19.5" customHeight="1" x14ac:dyDescent="0.3">
      <c r="A89" s="70">
        <f>'BASE MAESTRA'!B95</f>
        <v>87</v>
      </c>
      <c r="E89" s="20">
        <f t="shared" si="3"/>
        <v>87</v>
      </c>
      <c r="F89" s="20">
        <f t="shared" si="4"/>
        <v>0</v>
      </c>
      <c r="G89" s="20">
        <f t="shared" si="4"/>
        <v>0</v>
      </c>
      <c r="H89" s="20">
        <f t="shared" si="4"/>
        <v>0</v>
      </c>
    </row>
    <row r="90" spans="1:8" ht="19.5" customHeight="1" x14ac:dyDescent="0.3">
      <c r="A90" s="70">
        <f>'BASE MAESTRA'!B96</f>
        <v>88</v>
      </c>
      <c r="E90" s="20">
        <f t="shared" si="3"/>
        <v>88</v>
      </c>
      <c r="F90" s="20">
        <f t="shared" si="4"/>
        <v>0</v>
      </c>
      <c r="G90" s="20">
        <f t="shared" si="4"/>
        <v>0</v>
      </c>
      <c r="H90" s="20">
        <f t="shared" si="4"/>
        <v>0</v>
      </c>
    </row>
    <row r="91" spans="1:8" ht="19.5" customHeight="1" x14ac:dyDescent="0.3">
      <c r="A91" s="70">
        <f>'BASE MAESTRA'!B97</f>
        <v>89</v>
      </c>
      <c r="E91" s="20">
        <f t="shared" si="3"/>
        <v>89</v>
      </c>
      <c r="F91" s="20">
        <f t="shared" si="4"/>
        <v>0</v>
      </c>
      <c r="G91" s="20">
        <f t="shared" si="4"/>
        <v>0</v>
      </c>
      <c r="H91" s="20">
        <f t="shared" si="4"/>
        <v>0</v>
      </c>
    </row>
    <row r="92" spans="1:8" ht="19.5" customHeight="1" x14ac:dyDescent="0.3">
      <c r="A92" s="70">
        <f>'BASE MAESTRA'!B98</f>
        <v>90</v>
      </c>
      <c r="E92" s="20">
        <f t="shared" si="3"/>
        <v>90</v>
      </c>
      <c r="F92" s="20">
        <f t="shared" si="4"/>
        <v>0</v>
      </c>
      <c r="G92" s="20">
        <f t="shared" si="4"/>
        <v>0</v>
      </c>
      <c r="H92" s="20">
        <f t="shared" si="4"/>
        <v>0</v>
      </c>
    </row>
    <row r="93" spans="1:8" ht="19.5" customHeight="1" x14ac:dyDescent="0.3">
      <c r="A93" s="70">
        <f>'BASE MAESTRA'!B99</f>
        <v>91</v>
      </c>
      <c r="E93" s="20">
        <f t="shared" si="3"/>
        <v>91</v>
      </c>
      <c r="F93" s="20">
        <f t="shared" si="4"/>
        <v>0</v>
      </c>
      <c r="G93" s="20">
        <f t="shared" si="4"/>
        <v>0</v>
      </c>
      <c r="H93" s="20">
        <f t="shared" si="4"/>
        <v>0</v>
      </c>
    </row>
    <row r="94" spans="1:8" ht="19.5" customHeight="1" x14ac:dyDescent="0.3">
      <c r="A94" s="70">
        <f>'BASE MAESTRA'!B100</f>
        <v>92</v>
      </c>
      <c r="E94" s="20">
        <f t="shared" si="3"/>
        <v>92</v>
      </c>
      <c r="F94" s="20">
        <f t="shared" si="4"/>
        <v>0</v>
      </c>
      <c r="G94" s="20">
        <f t="shared" si="4"/>
        <v>0</v>
      </c>
      <c r="H94" s="20">
        <f t="shared" si="4"/>
        <v>0</v>
      </c>
    </row>
    <row r="95" spans="1:8" ht="19.5" customHeight="1" x14ac:dyDescent="0.3">
      <c r="A95" s="70">
        <f>'BASE MAESTRA'!B101</f>
        <v>93</v>
      </c>
      <c r="E95" s="20">
        <f t="shared" si="3"/>
        <v>93</v>
      </c>
      <c r="F95" s="20">
        <f t="shared" si="4"/>
        <v>0</v>
      </c>
      <c r="G95" s="20">
        <f t="shared" si="4"/>
        <v>0</v>
      </c>
      <c r="H95" s="20">
        <f t="shared" si="4"/>
        <v>0</v>
      </c>
    </row>
    <row r="96" spans="1:8" ht="19.5" customHeight="1" x14ac:dyDescent="0.3">
      <c r="A96" s="70">
        <f>'BASE MAESTRA'!B102</f>
        <v>94</v>
      </c>
      <c r="E96" s="20">
        <f t="shared" si="3"/>
        <v>94</v>
      </c>
      <c r="F96" s="20">
        <f t="shared" si="4"/>
        <v>0</v>
      </c>
      <c r="G96" s="20">
        <f t="shared" si="4"/>
        <v>0</v>
      </c>
      <c r="H96" s="20">
        <f t="shared" si="4"/>
        <v>0</v>
      </c>
    </row>
    <row r="97" spans="1:8" ht="19.5" customHeight="1" x14ac:dyDescent="0.3">
      <c r="A97" s="70">
        <f>'BASE MAESTRA'!B103</f>
        <v>95</v>
      </c>
      <c r="E97" s="20">
        <f t="shared" si="3"/>
        <v>95</v>
      </c>
      <c r="F97" s="20">
        <f t="shared" si="4"/>
        <v>0</v>
      </c>
      <c r="G97" s="20">
        <f t="shared" si="4"/>
        <v>0</v>
      </c>
      <c r="H97" s="20">
        <f t="shared" si="4"/>
        <v>0</v>
      </c>
    </row>
    <row r="98" spans="1:8" ht="19.5" customHeight="1" x14ac:dyDescent="0.3">
      <c r="A98" s="70">
        <f>'BASE MAESTRA'!B104</f>
        <v>96</v>
      </c>
      <c r="E98" s="20">
        <f t="shared" si="3"/>
        <v>96</v>
      </c>
      <c r="F98" s="20">
        <f t="shared" si="4"/>
        <v>0</v>
      </c>
      <c r="G98" s="20">
        <f t="shared" si="4"/>
        <v>0</v>
      </c>
      <c r="H98" s="20">
        <f t="shared" si="4"/>
        <v>0</v>
      </c>
    </row>
    <row r="99" spans="1:8" ht="19.5" customHeight="1" x14ac:dyDescent="0.3">
      <c r="A99" s="70">
        <f>'BASE MAESTRA'!B105</f>
        <v>97</v>
      </c>
      <c r="E99" s="20">
        <f t="shared" si="3"/>
        <v>97</v>
      </c>
      <c r="F99" s="20">
        <f t="shared" si="4"/>
        <v>0</v>
      </c>
      <c r="G99" s="20">
        <f t="shared" si="4"/>
        <v>0</v>
      </c>
      <c r="H99" s="20">
        <f t="shared" si="4"/>
        <v>0</v>
      </c>
    </row>
    <row r="100" spans="1:8" ht="19.5" customHeight="1" x14ac:dyDescent="0.3">
      <c r="A100" s="70">
        <f>'BASE MAESTRA'!B106</f>
        <v>98</v>
      </c>
      <c r="E100" s="20">
        <f t="shared" si="3"/>
        <v>98</v>
      </c>
      <c r="F100" s="20">
        <f t="shared" si="4"/>
        <v>0</v>
      </c>
      <c r="G100" s="20">
        <f t="shared" si="4"/>
        <v>0</v>
      </c>
      <c r="H100" s="20">
        <f t="shared" si="4"/>
        <v>0</v>
      </c>
    </row>
    <row r="101" spans="1:8" ht="19.5" customHeight="1" x14ac:dyDescent="0.3">
      <c r="A101" s="70">
        <f>'BASE MAESTRA'!B107</f>
        <v>99</v>
      </c>
      <c r="E101" s="20">
        <f t="shared" si="3"/>
        <v>99</v>
      </c>
      <c r="F101" s="20">
        <f t="shared" si="4"/>
        <v>0</v>
      </c>
      <c r="G101" s="20">
        <f t="shared" si="4"/>
        <v>0</v>
      </c>
      <c r="H101" s="20">
        <f t="shared" si="4"/>
        <v>0</v>
      </c>
    </row>
    <row r="102" spans="1:8" ht="19.5" customHeight="1" x14ac:dyDescent="0.3">
      <c r="A102" s="70">
        <f>'BASE MAESTRA'!B108</f>
        <v>100</v>
      </c>
      <c r="E102" s="20">
        <f t="shared" si="3"/>
        <v>100</v>
      </c>
      <c r="F102" s="20">
        <f t="shared" si="4"/>
        <v>0</v>
      </c>
      <c r="G102" s="20">
        <f t="shared" si="4"/>
        <v>0</v>
      </c>
      <c r="H102" s="20">
        <f t="shared" si="4"/>
        <v>0</v>
      </c>
    </row>
    <row r="103" spans="1:8" ht="19.5" customHeight="1" x14ac:dyDescent="0.3">
      <c r="A103" s="70">
        <f>'BASE MAESTRA'!B109</f>
        <v>101</v>
      </c>
      <c r="E103" s="20">
        <f t="shared" si="3"/>
        <v>101</v>
      </c>
      <c r="F103" s="20">
        <f t="shared" si="4"/>
        <v>0</v>
      </c>
      <c r="G103" s="20">
        <f t="shared" si="4"/>
        <v>0</v>
      </c>
      <c r="H103" s="20">
        <f t="shared" si="4"/>
        <v>0</v>
      </c>
    </row>
    <row r="104" spans="1:8" ht="19.5" customHeight="1" x14ac:dyDescent="0.3">
      <c r="A104" s="70">
        <f>'BASE MAESTRA'!B110</f>
        <v>102</v>
      </c>
      <c r="E104" s="20">
        <f t="shared" si="3"/>
        <v>102</v>
      </c>
      <c r="F104" s="20">
        <f t="shared" si="4"/>
        <v>0</v>
      </c>
      <c r="G104" s="20">
        <f t="shared" si="4"/>
        <v>0</v>
      </c>
      <c r="H104" s="20">
        <f t="shared" si="4"/>
        <v>0</v>
      </c>
    </row>
    <row r="105" spans="1:8" ht="19.5" customHeight="1" x14ac:dyDescent="0.3">
      <c r="A105" s="70">
        <f>'BASE MAESTRA'!B111</f>
        <v>103</v>
      </c>
      <c r="E105" s="20">
        <f t="shared" si="3"/>
        <v>103</v>
      </c>
      <c r="F105" s="20">
        <f t="shared" si="4"/>
        <v>0</v>
      </c>
      <c r="G105" s="20">
        <f t="shared" si="4"/>
        <v>0</v>
      </c>
      <c r="H105" s="20">
        <f t="shared" si="4"/>
        <v>0</v>
      </c>
    </row>
    <row r="106" spans="1:8" ht="19.5" customHeight="1" x14ac:dyDescent="0.3">
      <c r="A106" s="70">
        <f>'BASE MAESTRA'!B112</f>
        <v>104</v>
      </c>
      <c r="E106" s="20">
        <f t="shared" si="3"/>
        <v>104</v>
      </c>
      <c r="F106" s="20">
        <f t="shared" si="4"/>
        <v>0</v>
      </c>
      <c r="G106" s="20">
        <f t="shared" si="4"/>
        <v>0</v>
      </c>
      <c r="H106" s="20">
        <f t="shared" si="4"/>
        <v>0</v>
      </c>
    </row>
    <row r="107" spans="1:8" ht="19.5" customHeight="1" x14ac:dyDescent="0.3">
      <c r="A107" s="70">
        <f>'BASE MAESTRA'!B113</f>
        <v>105</v>
      </c>
      <c r="E107" s="20">
        <f t="shared" si="3"/>
        <v>105</v>
      </c>
      <c r="F107" s="20">
        <f t="shared" si="4"/>
        <v>0</v>
      </c>
      <c r="G107" s="20">
        <f t="shared" si="4"/>
        <v>0</v>
      </c>
      <c r="H107" s="20">
        <f t="shared" si="4"/>
        <v>0</v>
      </c>
    </row>
    <row r="108" spans="1:8" ht="19.5" customHeight="1" x14ac:dyDescent="0.3">
      <c r="A108" s="70">
        <f>'BASE MAESTRA'!B114</f>
        <v>106</v>
      </c>
      <c r="E108" s="20">
        <f t="shared" si="3"/>
        <v>106</v>
      </c>
      <c r="F108" s="20">
        <f t="shared" si="4"/>
        <v>0</v>
      </c>
      <c r="G108" s="20">
        <f t="shared" si="4"/>
        <v>0</v>
      </c>
      <c r="H108" s="20">
        <f t="shared" si="4"/>
        <v>0</v>
      </c>
    </row>
    <row r="109" spans="1:8" ht="19.5" customHeight="1" x14ac:dyDescent="0.3">
      <c r="A109" s="70">
        <f>'BASE MAESTRA'!B115</f>
        <v>107</v>
      </c>
      <c r="E109" s="20">
        <f t="shared" si="3"/>
        <v>107</v>
      </c>
      <c r="F109" s="20">
        <f t="shared" si="4"/>
        <v>0</v>
      </c>
      <c r="G109" s="20">
        <f t="shared" si="4"/>
        <v>0</v>
      </c>
      <c r="H109" s="20">
        <f t="shared" si="4"/>
        <v>0</v>
      </c>
    </row>
    <row r="110" spans="1:8" ht="19.5" customHeight="1" x14ac:dyDescent="0.3">
      <c r="A110" s="70">
        <f>'BASE MAESTRA'!B116</f>
        <v>108</v>
      </c>
      <c r="E110" s="20">
        <f t="shared" si="3"/>
        <v>108</v>
      </c>
      <c r="F110" s="20">
        <f t="shared" si="4"/>
        <v>0</v>
      </c>
      <c r="G110" s="20">
        <f t="shared" si="4"/>
        <v>0</v>
      </c>
      <c r="H110" s="20">
        <f t="shared" si="4"/>
        <v>0</v>
      </c>
    </row>
    <row r="111" spans="1:8" ht="19.5" customHeight="1" x14ac:dyDescent="0.3">
      <c r="A111" s="70">
        <f>'BASE MAESTRA'!B117</f>
        <v>109</v>
      </c>
      <c r="E111" s="20">
        <f t="shared" si="3"/>
        <v>109</v>
      </c>
      <c r="F111" s="20">
        <f t="shared" si="4"/>
        <v>0</v>
      </c>
      <c r="G111" s="20">
        <f t="shared" si="4"/>
        <v>0</v>
      </c>
      <c r="H111" s="20">
        <f t="shared" si="4"/>
        <v>0</v>
      </c>
    </row>
    <row r="112" spans="1:8" ht="19.5" customHeight="1" x14ac:dyDescent="0.3">
      <c r="A112" s="70">
        <f>'BASE MAESTRA'!B118</f>
        <v>110</v>
      </c>
      <c r="E112" s="20">
        <f t="shared" si="3"/>
        <v>110</v>
      </c>
      <c r="F112" s="20">
        <f t="shared" si="4"/>
        <v>0</v>
      </c>
      <c r="G112" s="20">
        <f t="shared" si="4"/>
        <v>0</v>
      </c>
      <c r="H112" s="20">
        <f t="shared" si="4"/>
        <v>0</v>
      </c>
    </row>
    <row r="113" spans="1:8" ht="19.5" customHeight="1" x14ac:dyDescent="0.3">
      <c r="A113" s="70">
        <f>'BASE MAESTRA'!B119</f>
        <v>111</v>
      </c>
      <c r="E113" s="20">
        <f t="shared" si="3"/>
        <v>111</v>
      </c>
      <c r="F113" s="20">
        <f t="shared" si="4"/>
        <v>0</v>
      </c>
      <c r="G113" s="20">
        <f t="shared" si="4"/>
        <v>0</v>
      </c>
      <c r="H113" s="20">
        <f t="shared" si="4"/>
        <v>0</v>
      </c>
    </row>
    <row r="114" spans="1:8" ht="19.5" customHeight="1" x14ac:dyDescent="0.3">
      <c r="A114" s="70">
        <f>'BASE MAESTRA'!B120</f>
        <v>112</v>
      </c>
      <c r="E114" s="20">
        <f t="shared" si="3"/>
        <v>112</v>
      </c>
      <c r="F114" s="20">
        <f t="shared" si="4"/>
        <v>0</v>
      </c>
      <c r="G114" s="20">
        <f t="shared" si="4"/>
        <v>0</v>
      </c>
      <c r="H114" s="20">
        <f t="shared" si="4"/>
        <v>0</v>
      </c>
    </row>
    <row r="115" spans="1:8" ht="19.5" customHeight="1" x14ac:dyDescent="0.3">
      <c r="A115" s="70">
        <f>'BASE MAESTRA'!B121</f>
        <v>113</v>
      </c>
      <c r="E115" s="20">
        <f t="shared" si="3"/>
        <v>113</v>
      </c>
      <c r="F115" s="20">
        <f t="shared" si="4"/>
        <v>0</v>
      </c>
      <c r="G115" s="20">
        <f t="shared" si="4"/>
        <v>0</v>
      </c>
      <c r="H115" s="20">
        <f t="shared" si="4"/>
        <v>0</v>
      </c>
    </row>
    <row r="116" spans="1:8" ht="19.5" customHeight="1" x14ac:dyDescent="0.3">
      <c r="A116" s="70">
        <f>'BASE MAESTRA'!B122</f>
        <v>114</v>
      </c>
      <c r="E116" s="20">
        <f t="shared" si="3"/>
        <v>114</v>
      </c>
      <c r="F116" s="20">
        <f t="shared" si="4"/>
        <v>0</v>
      </c>
      <c r="G116" s="20">
        <f t="shared" si="4"/>
        <v>0</v>
      </c>
      <c r="H116" s="20">
        <f t="shared" si="4"/>
        <v>0</v>
      </c>
    </row>
    <row r="117" spans="1:8" ht="19.5" customHeight="1" x14ac:dyDescent="0.3">
      <c r="A117" s="70">
        <f>'BASE MAESTRA'!B123</f>
        <v>115</v>
      </c>
      <c r="E117" s="20">
        <f t="shared" si="3"/>
        <v>115</v>
      </c>
      <c r="F117" s="20">
        <f t="shared" si="4"/>
        <v>0</v>
      </c>
      <c r="G117" s="20">
        <f t="shared" si="4"/>
        <v>0</v>
      </c>
      <c r="H117" s="20">
        <f t="shared" si="4"/>
        <v>0</v>
      </c>
    </row>
    <row r="118" spans="1:8" ht="19.5" customHeight="1" x14ac:dyDescent="0.3">
      <c r="A118" s="70">
        <f>'BASE MAESTRA'!B124</f>
        <v>116</v>
      </c>
      <c r="E118" s="20">
        <f t="shared" si="3"/>
        <v>116</v>
      </c>
      <c r="F118" s="20">
        <f t="shared" si="4"/>
        <v>0</v>
      </c>
      <c r="G118" s="20">
        <f t="shared" si="4"/>
        <v>0</v>
      </c>
      <c r="H118" s="20">
        <f t="shared" si="4"/>
        <v>0</v>
      </c>
    </row>
    <row r="119" spans="1:8" ht="19.5" customHeight="1" x14ac:dyDescent="0.3">
      <c r="A119" s="70">
        <f>'BASE MAESTRA'!B125</f>
        <v>117</v>
      </c>
      <c r="E119" s="20">
        <f t="shared" si="3"/>
        <v>117</v>
      </c>
      <c r="F119" s="20">
        <f t="shared" si="4"/>
        <v>0</v>
      </c>
      <c r="G119" s="20">
        <f t="shared" si="4"/>
        <v>0</v>
      </c>
      <c r="H119" s="20">
        <f t="shared" si="4"/>
        <v>0</v>
      </c>
    </row>
    <row r="120" spans="1:8" ht="19.5" customHeight="1" x14ac:dyDescent="0.3">
      <c r="A120" s="70">
        <f>'BASE MAESTRA'!B126</f>
        <v>118</v>
      </c>
      <c r="E120" s="20">
        <f t="shared" si="3"/>
        <v>118</v>
      </c>
      <c r="F120" s="20">
        <f t="shared" si="4"/>
        <v>0</v>
      </c>
      <c r="G120" s="20">
        <f t="shared" si="4"/>
        <v>0</v>
      </c>
      <c r="H120" s="20">
        <f t="shared" si="4"/>
        <v>0</v>
      </c>
    </row>
    <row r="121" spans="1:8" ht="19.5" customHeight="1" x14ac:dyDescent="0.3">
      <c r="A121" s="70">
        <f>'BASE MAESTRA'!B127</f>
        <v>119</v>
      </c>
      <c r="E121" s="20">
        <f t="shared" si="3"/>
        <v>119</v>
      </c>
      <c r="F121" s="20">
        <f t="shared" si="4"/>
        <v>0</v>
      </c>
      <c r="G121" s="20">
        <f t="shared" si="4"/>
        <v>0</v>
      </c>
      <c r="H121" s="20">
        <f t="shared" si="4"/>
        <v>0</v>
      </c>
    </row>
    <row r="122" spans="1:8" ht="19.5" customHeight="1" x14ac:dyDescent="0.3">
      <c r="A122" s="70">
        <f>'BASE MAESTRA'!B128</f>
        <v>120</v>
      </c>
      <c r="E122" s="20">
        <f t="shared" si="3"/>
        <v>120</v>
      </c>
      <c r="F122" s="20">
        <f t="shared" si="4"/>
        <v>0</v>
      </c>
      <c r="G122" s="20">
        <f t="shared" si="4"/>
        <v>0</v>
      </c>
      <c r="H122" s="20">
        <f t="shared" si="4"/>
        <v>0</v>
      </c>
    </row>
    <row r="123" spans="1:8" ht="19.5" customHeight="1" x14ac:dyDescent="0.3">
      <c r="A123" s="70">
        <f>'BASE MAESTRA'!B129</f>
        <v>121</v>
      </c>
      <c r="E123" s="20">
        <f t="shared" si="3"/>
        <v>121</v>
      </c>
      <c r="F123" s="20">
        <f t="shared" si="4"/>
        <v>0</v>
      </c>
      <c r="G123" s="20">
        <f t="shared" si="4"/>
        <v>0</v>
      </c>
      <c r="H123" s="20">
        <f t="shared" si="4"/>
        <v>0</v>
      </c>
    </row>
    <row r="124" spans="1:8" ht="19.5" customHeight="1" x14ac:dyDescent="0.3">
      <c r="A124" s="70">
        <f>'BASE MAESTRA'!B130</f>
        <v>122</v>
      </c>
      <c r="E124" s="20">
        <f t="shared" si="3"/>
        <v>122</v>
      </c>
      <c r="F124" s="20">
        <f t="shared" si="4"/>
        <v>0</v>
      </c>
      <c r="G124" s="20">
        <f t="shared" si="4"/>
        <v>0</v>
      </c>
      <c r="H124" s="20">
        <f t="shared" si="4"/>
        <v>0</v>
      </c>
    </row>
    <row r="125" spans="1:8" ht="19.5" customHeight="1" x14ac:dyDescent="0.3">
      <c r="A125" s="70">
        <f>'BASE MAESTRA'!B131</f>
        <v>123</v>
      </c>
      <c r="E125" s="20">
        <f t="shared" si="3"/>
        <v>123</v>
      </c>
      <c r="F125" s="20">
        <f t="shared" si="4"/>
        <v>0</v>
      </c>
      <c r="G125" s="20">
        <f t="shared" si="4"/>
        <v>0</v>
      </c>
      <c r="H125" s="20">
        <f t="shared" si="4"/>
        <v>0</v>
      </c>
    </row>
    <row r="126" spans="1:8" ht="19.5" customHeight="1" x14ac:dyDescent="0.3">
      <c r="A126" s="70">
        <f>'BASE MAESTRA'!B132</f>
        <v>124</v>
      </c>
      <c r="E126" s="20">
        <f t="shared" si="3"/>
        <v>124</v>
      </c>
      <c r="F126" s="20">
        <f t="shared" si="4"/>
        <v>0</v>
      </c>
      <c r="G126" s="20">
        <f t="shared" si="4"/>
        <v>0</v>
      </c>
      <c r="H126" s="20">
        <f t="shared" si="4"/>
        <v>0</v>
      </c>
    </row>
    <row r="127" spans="1:8" ht="19.5" customHeight="1" x14ac:dyDescent="0.3">
      <c r="A127" s="70">
        <f>'BASE MAESTRA'!B133</f>
        <v>125</v>
      </c>
      <c r="E127" s="20">
        <f t="shared" si="3"/>
        <v>125</v>
      </c>
      <c r="F127" s="20">
        <f t="shared" si="4"/>
        <v>0</v>
      </c>
      <c r="G127" s="20">
        <f t="shared" si="4"/>
        <v>0</v>
      </c>
      <c r="H127" s="20">
        <f t="shared" si="4"/>
        <v>0</v>
      </c>
    </row>
    <row r="128" spans="1:8" ht="19.5" customHeight="1" x14ac:dyDescent="0.3">
      <c r="A128" s="70">
        <f>'BASE MAESTRA'!B134</f>
        <v>126</v>
      </c>
      <c r="E128" s="20">
        <f t="shared" si="3"/>
        <v>126</v>
      </c>
      <c r="F128" s="20">
        <f t="shared" si="4"/>
        <v>0</v>
      </c>
      <c r="G128" s="20">
        <f t="shared" si="4"/>
        <v>0</v>
      </c>
      <c r="H128" s="20">
        <f t="shared" si="4"/>
        <v>0</v>
      </c>
    </row>
    <row r="129" spans="1:8" ht="19.5" customHeight="1" x14ac:dyDescent="0.3">
      <c r="A129" s="70">
        <f>'BASE MAESTRA'!B135</f>
        <v>127</v>
      </c>
      <c r="E129" s="20">
        <f t="shared" si="3"/>
        <v>127</v>
      </c>
      <c r="F129" s="20">
        <f t="shared" si="4"/>
        <v>0</v>
      </c>
      <c r="G129" s="20">
        <f t="shared" si="4"/>
        <v>0</v>
      </c>
      <c r="H129" s="20">
        <f t="shared" si="4"/>
        <v>0</v>
      </c>
    </row>
    <row r="130" spans="1:8" ht="19.5" customHeight="1" x14ac:dyDescent="0.3">
      <c r="A130" s="70">
        <f>'BASE MAESTRA'!B136</f>
        <v>128</v>
      </c>
      <c r="E130" s="20">
        <f t="shared" si="3"/>
        <v>128</v>
      </c>
      <c r="F130" s="20">
        <f t="shared" si="4"/>
        <v>0</v>
      </c>
      <c r="G130" s="20">
        <f t="shared" si="4"/>
        <v>0</v>
      </c>
      <c r="H130" s="20">
        <f t="shared" si="4"/>
        <v>0</v>
      </c>
    </row>
    <row r="131" spans="1:8" ht="19.5" customHeight="1" x14ac:dyDescent="0.3">
      <c r="A131" s="70">
        <f>'BASE MAESTRA'!B137</f>
        <v>129</v>
      </c>
      <c r="E131" s="20">
        <f t="shared" ref="E131:E194" si="5">VLOOKUP($A131,DatosEspecies,E$2,FALSE)</f>
        <v>129</v>
      </c>
      <c r="F131" s="20">
        <f t="shared" si="4"/>
        <v>0</v>
      </c>
      <c r="G131" s="20">
        <f t="shared" si="4"/>
        <v>0</v>
      </c>
      <c r="H131" s="20">
        <f t="shared" si="4"/>
        <v>0</v>
      </c>
    </row>
    <row r="132" spans="1:8" ht="19.5" customHeight="1" x14ac:dyDescent="0.3">
      <c r="A132" s="70">
        <f>'BASE MAESTRA'!B138</f>
        <v>130</v>
      </c>
      <c r="E132" s="20">
        <f t="shared" si="5"/>
        <v>130</v>
      </c>
      <c r="F132" s="20">
        <f t="shared" si="4"/>
        <v>0</v>
      </c>
      <c r="G132" s="20">
        <f t="shared" si="4"/>
        <v>0</v>
      </c>
      <c r="H132" s="20">
        <f t="shared" si="4"/>
        <v>0</v>
      </c>
    </row>
    <row r="133" spans="1:8" ht="19.5" customHeight="1" x14ac:dyDescent="0.3">
      <c r="A133" s="70">
        <f>'BASE MAESTRA'!B139</f>
        <v>131</v>
      </c>
      <c r="E133" s="20">
        <f t="shared" si="5"/>
        <v>131</v>
      </c>
      <c r="F133" s="20">
        <f t="shared" si="4"/>
        <v>0</v>
      </c>
      <c r="G133" s="20">
        <f t="shared" si="4"/>
        <v>0</v>
      </c>
      <c r="H133" s="20">
        <f t="shared" si="4"/>
        <v>0</v>
      </c>
    </row>
    <row r="134" spans="1:8" ht="19.5" customHeight="1" x14ac:dyDescent="0.3">
      <c r="A134" s="70">
        <f>'BASE MAESTRA'!B140</f>
        <v>132</v>
      </c>
      <c r="E134" s="20">
        <f t="shared" si="5"/>
        <v>132</v>
      </c>
      <c r="F134" s="20">
        <f t="shared" si="4"/>
        <v>0</v>
      </c>
      <c r="G134" s="20">
        <f t="shared" si="4"/>
        <v>0</v>
      </c>
      <c r="H134" s="20">
        <f t="shared" si="4"/>
        <v>0</v>
      </c>
    </row>
    <row r="135" spans="1:8" ht="19.5" customHeight="1" x14ac:dyDescent="0.3">
      <c r="A135" s="70">
        <f>'BASE MAESTRA'!B141</f>
        <v>133</v>
      </c>
      <c r="E135" s="20">
        <f t="shared" si="5"/>
        <v>133</v>
      </c>
      <c r="F135" s="20">
        <f t="shared" si="4"/>
        <v>0</v>
      </c>
      <c r="G135" s="20">
        <f t="shared" si="4"/>
        <v>0</v>
      </c>
      <c r="H135" s="20">
        <f t="shared" si="4"/>
        <v>0</v>
      </c>
    </row>
    <row r="136" spans="1:8" ht="19.5" customHeight="1" x14ac:dyDescent="0.3">
      <c r="A136" s="70">
        <f>'BASE MAESTRA'!B142</f>
        <v>134</v>
      </c>
      <c r="E136" s="20">
        <f t="shared" si="5"/>
        <v>134</v>
      </c>
      <c r="F136" s="20">
        <f t="shared" si="4"/>
        <v>0</v>
      </c>
      <c r="G136" s="20">
        <f t="shared" si="4"/>
        <v>0</v>
      </c>
      <c r="H136" s="20">
        <f t="shared" si="4"/>
        <v>0</v>
      </c>
    </row>
    <row r="137" spans="1:8" ht="19.5" customHeight="1" x14ac:dyDescent="0.3">
      <c r="A137" s="70">
        <f>'BASE MAESTRA'!B143</f>
        <v>135</v>
      </c>
      <c r="E137" s="20">
        <f t="shared" si="5"/>
        <v>135</v>
      </c>
      <c r="F137" s="20">
        <f t="shared" si="4"/>
        <v>0</v>
      </c>
      <c r="G137" s="20">
        <f t="shared" si="4"/>
        <v>0</v>
      </c>
      <c r="H137" s="20">
        <f t="shared" si="4"/>
        <v>0</v>
      </c>
    </row>
    <row r="138" spans="1:8" ht="19.5" customHeight="1" x14ac:dyDescent="0.3">
      <c r="A138" s="70">
        <f>'BASE MAESTRA'!B144</f>
        <v>136</v>
      </c>
      <c r="E138" s="20">
        <f t="shared" si="5"/>
        <v>136</v>
      </c>
      <c r="F138" s="20">
        <f t="shared" si="4"/>
        <v>0</v>
      </c>
      <c r="G138" s="20">
        <f t="shared" si="4"/>
        <v>0</v>
      </c>
      <c r="H138" s="20">
        <f t="shared" si="4"/>
        <v>0</v>
      </c>
    </row>
    <row r="139" spans="1:8" ht="19.5" customHeight="1" x14ac:dyDescent="0.3">
      <c r="A139" s="70">
        <f>'BASE MAESTRA'!B145</f>
        <v>137</v>
      </c>
      <c r="E139" s="20">
        <f t="shared" si="5"/>
        <v>137</v>
      </c>
      <c r="F139" s="20">
        <f t="shared" si="4"/>
        <v>0</v>
      </c>
      <c r="G139" s="20">
        <f t="shared" si="4"/>
        <v>0</v>
      </c>
      <c r="H139" s="20">
        <f t="shared" si="4"/>
        <v>0</v>
      </c>
    </row>
    <row r="140" spans="1:8" ht="19.5" customHeight="1" x14ac:dyDescent="0.3">
      <c r="A140" s="70">
        <f>'BASE MAESTRA'!B146</f>
        <v>138</v>
      </c>
      <c r="E140" s="20">
        <f t="shared" si="5"/>
        <v>138</v>
      </c>
      <c r="F140" s="20">
        <f t="shared" si="4"/>
        <v>0</v>
      </c>
      <c r="G140" s="20">
        <f t="shared" si="4"/>
        <v>0</v>
      </c>
      <c r="H140" s="20">
        <f t="shared" si="4"/>
        <v>0</v>
      </c>
    </row>
    <row r="141" spans="1:8" ht="19.5" customHeight="1" x14ac:dyDescent="0.3">
      <c r="A141" s="70">
        <f>'BASE MAESTRA'!B147</f>
        <v>139</v>
      </c>
      <c r="E141" s="20">
        <f t="shared" si="5"/>
        <v>139</v>
      </c>
      <c r="F141" s="20">
        <f t="shared" si="4"/>
        <v>0</v>
      </c>
      <c r="G141" s="20">
        <f t="shared" si="4"/>
        <v>0</v>
      </c>
      <c r="H141" s="20">
        <f t="shared" si="4"/>
        <v>0</v>
      </c>
    </row>
    <row r="142" spans="1:8" ht="19.5" customHeight="1" x14ac:dyDescent="0.3">
      <c r="A142" s="70">
        <f>'BASE MAESTRA'!B148</f>
        <v>140</v>
      </c>
      <c r="E142" s="20">
        <f t="shared" si="5"/>
        <v>140</v>
      </c>
      <c r="F142" s="20">
        <f t="shared" si="4"/>
        <v>0</v>
      </c>
      <c r="G142" s="20">
        <f t="shared" si="4"/>
        <v>0</v>
      </c>
      <c r="H142" s="20">
        <f t="shared" si="4"/>
        <v>0</v>
      </c>
    </row>
    <row r="143" spans="1:8" ht="19.5" customHeight="1" x14ac:dyDescent="0.3">
      <c r="A143" s="70">
        <f>'BASE MAESTRA'!B149</f>
        <v>141</v>
      </c>
      <c r="E143" s="20">
        <f t="shared" si="5"/>
        <v>141</v>
      </c>
      <c r="F143" s="20">
        <f t="shared" si="4"/>
        <v>0</v>
      </c>
      <c r="G143" s="20">
        <f t="shared" si="4"/>
        <v>0</v>
      </c>
      <c r="H143" s="20">
        <f t="shared" si="4"/>
        <v>0</v>
      </c>
    </row>
    <row r="144" spans="1:8" ht="19.5" customHeight="1" x14ac:dyDescent="0.3">
      <c r="A144" s="70">
        <f>'BASE MAESTRA'!B150</f>
        <v>142</v>
      </c>
      <c r="E144" s="20">
        <f t="shared" si="5"/>
        <v>142</v>
      </c>
      <c r="F144" s="20">
        <f t="shared" si="4"/>
        <v>0</v>
      </c>
      <c r="G144" s="20">
        <f t="shared" si="4"/>
        <v>0</v>
      </c>
      <c r="H144" s="20">
        <f t="shared" si="4"/>
        <v>0</v>
      </c>
    </row>
    <row r="145" spans="1:8" ht="19.5" customHeight="1" x14ac:dyDescent="0.3">
      <c r="A145" s="70">
        <f>'BASE MAESTRA'!B151</f>
        <v>143</v>
      </c>
      <c r="E145" s="20">
        <f t="shared" si="5"/>
        <v>143</v>
      </c>
      <c r="F145" s="20">
        <f t="shared" si="4"/>
        <v>0</v>
      </c>
      <c r="G145" s="20">
        <f t="shared" si="4"/>
        <v>0</v>
      </c>
      <c r="H145" s="20">
        <f t="shared" si="4"/>
        <v>0</v>
      </c>
    </row>
    <row r="146" spans="1:8" ht="19.5" customHeight="1" x14ac:dyDescent="0.3">
      <c r="A146" s="70">
        <f>'BASE MAESTRA'!B152</f>
        <v>144</v>
      </c>
      <c r="E146" s="20">
        <f t="shared" si="5"/>
        <v>144</v>
      </c>
      <c r="F146" s="20">
        <f t="shared" si="4"/>
        <v>0</v>
      </c>
      <c r="G146" s="20">
        <f t="shared" si="4"/>
        <v>0</v>
      </c>
      <c r="H146" s="20">
        <f t="shared" si="4"/>
        <v>0</v>
      </c>
    </row>
    <row r="147" spans="1:8" ht="19.5" customHeight="1" x14ac:dyDescent="0.3">
      <c r="A147" s="70">
        <f>'BASE MAESTRA'!B153</f>
        <v>145</v>
      </c>
      <c r="E147" s="20">
        <f t="shared" si="5"/>
        <v>145</v>
      </c>
      <c r="F147" s="20">
        <f t="shared" si="4"/>
        <v>0</v>
      </c>
      <c r="G147" s="20">
        <f t="shared" si="4"/>
        <v>0</v>
      </c>
      <c r="H147" s="20">
        <f t="shared" si="4"/>
        <v>0</v>
      </c>
    </row>
    <row r="148" spans="1:8" ht="19.5" customHeight="1" x14ac:dyDescent="0.3">
      <c r="A148" s="70">
        <f>'BASE MAESTRA'!B154</f>
        <v>146</v>
      </c>
      <c r="E148" s="20">
        <f t="shared" si="5"/>
        <v>146</v>
      </c>
      <c r="F148" s="20">
        <f t="shared" si="4"/>
        <v>0</v>
      </c>
      <c r="G148" s="20">
        <f t="shared" si="4"/>
        <v>0</v>
      </c>
      <c r="H148" s="20">
        <f t="shared" si="4"/>
        <v>0</v>
      </c>
    </row>
    <row r="149" spans="1:8" ht="19.5" customHeight="1" x14ac:dyDescent="0.3">
      <c r="A149" s="70">
        <f>'BASE MAESTRA'!B155</f>
        <v>147</v>
      </c>
      <c r="E149" s="20">
        <f t="shared" si="5"/>
        <v>147</v>
      </c>
      <c r="F149" s="20">
        <f t="shared" si="4"/>
        <v>0</v>
      </c>
      <c r="G149" s="20">
        <f t="shared" si="4"/>
        <v>0</v>
      </c>
      <c r="H149" s="20">
        <f t="shared" si="4"/>
        <v>0</v>
      </c>
    </row>
    <row r="150" spans="1:8" ht="19.5" customHeight="1" x14ac:dyDescent="0.3">
      <c r="A150" s="70">
        <f>'BASE MAESTRA'!B156</f>
        <v>148</v>
      </c>
      <c r="E150" s="20">
        <f t="shared" si="5"/>
        <v>148</v>
      </c>
      <c r="F150" s="20">
        <f t="shared" si="4"/>
        <v>0</v>
      </c>
      <c r="G150" s="20">
        <f t="shared" si="4"/>
        <v>0</v>
      </c>
      <c r="H150" s="20">
        <f t="shared" si="4"/>
        <v>0</v>
      </c>
    </row>
    <row r="151" spans="1:8" ht="19.5" customHeight="1" x14ac:dyDescent="0.3">
      <c r="A151" s="70">
        <f>'BASE MAESTRA'!B157</f>
        <v>149</v>
      </c>
      <c r="E151" s="20">
        <f t="shared" si="5"/>
        <v>149</v>
      </c>
      <c r="F151" s="20">
        <f t="shared" ref="F151:H202" si="6">VLOOKUP($A151,DatosEspecies,F$2,FALSE)</f>
        <v>0</v>
      </c>
      <c r="G151" s="20">
        <f t="shared" si="6"/>
        <v>0</v>
      </c>
      <c r="H151" s="20">
        <f t="shared" si="6"/>
        <v>0</v>
      </c>
    </row>
    <row r="152" spans="1:8" ht="19.5" customHeight="1" x14ac:dyDescent="0.3">
      <c r="A152" s="70">
        <f>'BASE MAESTRA'!B158</f>
        <v>150</v>
      </c>
      <c r="E152" s="20">
        <f t="shared" si="5"/>
        <v>150</v>
      </c>
      <c r="F152" s="20">
        <f t="shared" si="6"/>
        <v>0</v>
      </c>
      <c r="G152" s="20">
        <f t="shared" si="6"/>
        <v>0</v>
      </c>
      <c r="H152" s="20">
        <f t="shared" si="6"/>
        <v>0</v>
      </c>
    </row>
    <row r="153" spans="1:8" ht="19.5" customHeight="1" x14ac:dyDescent="0.3">
      <c r="A153" s="70">
        <f>'BASE MAESTRA'!B159</f>
        <v>151</v>
      </c>
      <c r="E153" s="20">
        <f t="shared" si="5"/>
        <v>151</v>
      </c>
      <c r="F153" s="20">
        <f t="shared" si="6"/>
        <v>0</v>
      </c>
      <c r="G153" s="20">
        <f t="shared" si="6"/>
        <v>0</v>
      </c>
      <c r="H153" s="20">
        <f t="shared" si="6"/>
        <v>0</v>
      </c>
    </row>
    <row r="154" spans="1:8" ht="19.5" customHeight="1" x14ac:dyDescent="0.3">
      <c r="A154" s="70">
        <f>'BASE MAESTRA'!B160</f>
        <v>152</v>
      </c>
      <c r="E154" s="20">
        <f t="shared" si="5"/>
        <v>152</v>
      </c>
      <c r="F154" s="20">
        <f t="shared" si="6"/>
        <v>0</v>
      </c>
      <c r="G154" s="20">
        <f t="shared" si="6"/>
        <v>0</v>
      </c>
      <c r="H154" s="20">
        <f t="shared" si="6"/>
        <v>0</v>
      </c>
    </row>
    <row r="155" spans="1:8" ht="19.5" customHeight="1" x14ac:dyDescent="0.3">
      <c r="A155" s="70">
        <f>'BASE MAESTRA'!B161</f>
        <v>153</v>
      </c>
      <c r="E155" s="20">
        <f t="shared" si="5"/>
        <v>153</v>
      </c>
      <c r="F155" s="20">
        <f t="shared" si="6"/>
        <v>0</v>
      </c>
      <c r="G155" s="20">
        <f t="shared" si="6"/>
        <v>0</v>
      </c>
      <c r="H155" s="20">
        <f t="shared" si="6"/>
        <v>0</v>
      </c>
    </row>
    <row r="156" spans="1:8" ht="19.5" customHeight="1" x14ac:dyDescent="0.3">
      <c r="A156" s="70">
        <f>'BASE MAESTRA'!B162</f>
        <v>154</v>
      </c>
      <c r="E156" s="20">
        <f t="shared" si="5"/>
        <v>154</v>
      </c>
      <c r="F156" s="20">
        <f t="shared" si="6"/>
        <v>0</v>
      </c>
      <c r="G156" s="20">
        <f t="shared" si="6"/>
        <v>0</v>
      </c>
      <c r="H156" s="20">
        <f t="shared" si="6"/>
        <v>0</v>
      </c>
    </row>
    <row r="157" spans="1:8" ht="19.5" customHeight="1" x14ac:dyDescent="0.3">
      <c r="A157" s="70">
        <f>'BASE MAESTRA'!B163</f>
        <v>155</v>
      </c>
      <c r="E157" s="20">
        <f t="shared" si="5"/>
        <v>155</v>
      </c>
      <c r="F157" s="20">
        <f t="shared" si="6"/>
        <v>0</v>
      </c>
      <c r="G157" s="20">
        <f t="shared" si="6"/>
        <v>0</v>
      </c>
      <c r="H157" s="20">
        <f t="shared" si="6"/>
        <v>0</v>
      </c>
    </row>
    <row r="158" spans="1:8" ht="19.5" customHeight="1" x14ac:dyDescent="0.3">
      <c r="A158" s="70">
        <f>'BASE MAESTRA'!B164</f>
        <v>156</v>
      </c>
      <c r="E158" s="20">
        <f t="shared" si="5"/>
        <v>156</v>
      </c>
      <c r="F158" s="20">
        <f t="shared" si="6"/>
        <v>0</v>
      </c>
      <c r="G158" s="20">
        <f t="shared" si="6"/>
        <v>0</v>
      </c>
      <c r="H158" s="20">
        <f t="shared" si="6"/>
        <v>0</v>
      </c>
    </row>
    <row r="159" spans="1:8" ht="19.5" customHeight="1" x14ac:dyDescent="0.3">
      <c r="A159" s="70">
        <f>'BASE MAESTRA'!B165</f>
        <v>157</v>
      </c>
      <c r="E159" s="20">
        <f t="shared" si="5"/>
        <v>157</v>
      </c>
      <c r="F159" s="20">
        <f t="shared" si="6"/>
        <v>0</v>
      </c>
      <c r="G159" s="20">
        <f t="shared" si="6"/>
        <v>0</v>
      </c>
      <c r="H159" s="20">
        <f t="shared" si="6"/>
        <v>0</v>
      </c>
    </row>
    <row r="160" spans="1:8" ht="19.5" customHeight="1" x14ac:dyDescent="0.3">
      <c r="A160" s="70">
        <f>'BASE MAESTRA'!B166</f>
        <v>158</v>
      </c>
      <c r="E160" s="20">
        <f t="shared" si="5"/>
        <v>158</v>
      </c>
      <c r="F160" s="20">
        <f t="shared" si="6"/>
        <v>0</v>
      </c>
      <c r="G160" s="20">
        <f t="shared" si="6"/>
        <v>0</v>
      </c>
      <c r="H160" s="20">
        <f t="shared" si="6"/>
        <v>0</v>
      </c>
    </row>
    <row r="161" spans="1:8" ht="19.5" customHeight="1" x14ac:dyDescent="0.3">
      <c r="A161" s="70">
        <f>'BASE MAESTRA'!B167</f>
        <v>159</v>
      </c>
      <c r="E161" s="20">
        <f t="shared" si="5"/>
        <v>159</v>
      </c>
      <c r="F161" s="20">
        <f t="shared" si="6"/>
        <v>0</v>
      </c>
      <c r="G161" s="20">
        <f t="shared" si="6"/>
        <v>0</v>
      </c>
      <c r="H161" s="20">
        <f t="shared" si="6"/>
        <v>0</v>
      </c>
    </row>
    <row r="162" spans="1:8" ht="19.5" customHeight="1" x14ac:dyDescent="0.3">
      <c r="A162" s="70">
        <f>'BASE MAESTRA'!B168</f>
        <v>160</v>
      </c>
      <c r="E162" s="20">
        <f t="shared" si="5"/>
        <v>160</v>
      </c>
      <c r="F162" s="20">
        <f t="shared" si="6"/>
        <v>0</v>
      </c>
      <c r="G162" s="20">
        <f t="shared" si="6"/>
        <v>0</v>
      </c>
      <c r="H162" s="20">
        <f t="shared" si="6"/>
        <v>0</v>
      </c>
    </row>
    <row r="163" spans="1:8" ht="19.5" customHeight="1" x14ac:dyDescent="0.3">
      <c r="A163" s="70">
        <f>'BASE MAESTRA'!B169</f>
        <v>161</v>
      </c>
      <c r="E163" s="20">
        <f t="shared" si="5"/>
        <v>161</v>
      </c>
      <c r="F163" s="20">
        <f t="shared" si="6"/>
        <v>0</v>
      </c>
      <c r="G163" s="20">
        <f t="shared" si="6"/>
        <v>0</v>
      </c>
      <c r="H163" s="20">
        <f t="shared" si="6"/>
        <v>0</v>
      </c>
    </row>
    <row r="164" spans="1:8" ht="19.5" customHeight="1" x14ac:dyDescent="0.3">
      <c r="A164" s="70">
        <f>'BASE MAESTRA'!B170</f>
        <v>162</v>
      </c>
      <c r="E164" s="20">
        <f t="shared" si="5"/>
        <v>162</v>
      </c>
      <c r="F164" s="20">
        <f t="shared" si="6"/>
        <v>0</v>
      </c>
      <c r="G164" s="20">
        <f t="shared" si="6"/>
        <v>0</v>
      </c>
      <c r="H164" s="20">
        <f t="shared" si="6"/>
        <v>0</v>
      </c>
    </row>
    <row r="165" spans="1:8" ht="19.5" customHeight="1" x14ac:dyDescent="0.3">
      <c r="A165" s="70">
        <f>'BASE MAESTRA'!B171</f>
        <v>163</v>
      </c>
      <c r="E165" s="20">
        <f t="shared" si="5"/>
        <v>163</v>
      </c>
      <c r="F165" s="20">
        <f t="shared" si="6"/>
        <v>0</v>
      </c>
      <c r="G165" s="20">
        <f t="shared" si="6"/>
        <v>0</v>
      </c>
      <c r="H165" s="20">
        <f t="shared" si="6"/>
        <v>0</v>
      </c>
    </row>
    <row r="166" spans="1:8" ht="19.5" customHeight="1" x14ac:dyDescent="0.3">
      <c r="A166" s="70">
        <f>'BASE MAESTRA'!B172</f>
        <v>164</v>
      </c>
      <c r="E166" s="20">
        <f t="shared" si="5"/>
        <v>164</v>
      </c>
      <c r="F166" s="20">
        <f t="shared" si="6"/>
        <v>0</v>
      </c>
      <c r="G166" s="20">
        <f t="shared" si="6"/>
        <v>0</v>
      </c>
      <c r="H166" s="20">
        <f t="shared" si="6"/>
        <v>0</v>
      </c>
    </row>
    <row r="167" spans="1:8" ht="19.5" customHeight="1" x14ac:dyDescent="0.3">
      <c r="A167" s="70">
        <f>'BASE MAESTRA'!B173</f>
        <v>165</v>
      </c>
      <c r="E167" s="20">
        <f t="shared" si="5"/>
        <v>165</v>
      </c>
      <c r="F167" s="20">
        <f t="shared" si="6"/>
        <v>0</v>
      </c>
      <c r="G167" s="20">
        <f t="shared" si="6"/>
        <v>0</v>
      </c>
      <c r="H167" s="20">
        <f t="shared" si="6"/>
        <v>0</v>
      </c>
    </row>
    <row r="168" spans="1:8" ht="19.5" customHeight="1" x14ac:dyDescent="0.3">
      <c r="A168" s="70">
        <f>'BASE MAESTRA'!B174</f>
        <v>166</v>
      </c>
      <c r="E168" s="20">
        <f t="shared" si="5"/>
        <v>166</v>
      </c>
      <c r="F168" s="20">
        <f t="shared" si="6"/>
        <v>0</v>
      </c>
      <c r="G168" s="20">
        <f t="shared" si="6"/>
        <v>0</v>
      </c>
      <c r="H168" s="20">
        <f t="shared" si="6"/>
        <v>0</v>
      </c>
    </row>
    <row r="169" spans="1:8" ht="19.5" customHeight="1" x14ac:dyDescent="0.3">
      <c r="A169" s="70">
        <f>'BASE MAESTRA'!B175</f>
        <v>167</v>
      </c>
      <c r="E169" s="20">
        <f t="shared" si="5"/>
        <v>167</v>
      </c>
      <c r="F169" s="20">
        <f t="shared" si="6"/>
        <v>0</v>
      </c>
      <c r="G169" s="20">
        <f t="shared" si="6"/>
        <v>0</v>
      </c>
      <c r="H169" s="20">
        <f t="shared" si="6"/>
        <v>0</v>
      </c>
    </row>
    <row r="170" spans="1:8" ht="19.5" customHeight="1" x14ac:dyDescent="0.3">
      <c r="A170" s="70">
        <f>'BASE MAESTRA'!B176</f>
        <v>168</v>
      </c>
      <c r="E170" s="20">
        <f t="shared" si="5"/>
        <v>168</v>
      </c>
      <c r="F170" s="20">
        <f t="shared" si="6"/>
        <v>0</v>
      </c>
      <c r="G170" s="20">
        <f t="shared" si="6"/>
        <v>0</v>
      </c>
      <c r="H170" s="20">
        <f t="shared" si="6"/>
        <v>0</v>
      </c>
    </row>
    <row r="171" spans="1:8" ht="19.5" customHeight="1" x14ac:dyDescent="0.3">
      <c r="A171" s="70">
        <f>'BASE MAESTRA'!B177</f>
        <v>169</v>
      </c>
      <c r="E171" s="20">
        <f t="shared" si="5"/>
        <v>169</v>
      </c>
      <c r="F171" s="20">
        <f t="shared" si="6"/>
        <v>0</v>
      </c>
      <c r="G171" s="20">
        <f t="shared" si="6"/>
        <v>0</v>
      </c>
      <c r="H171" s="20">
        <f t="shared" si="6"/>
        <v>0</v>
      </c>
    </row>
    <row r="172" spans="1:8" ht="19.5" customHeight="1" x14ac:dyDescent="0.3">
      <c r="A172" s="70">
        <f>'BASE MAESTRA'!B178</f>
        <v>170</v>
      </c>
      <c r="E172" s="20">
        <f t="shared" si="5"/>
        <v>170</v>
      </c>
      <c r="F172" s="20">
        <f t="shared" si="6"/>
        <v>0</v>
      </c>
      <c r="G172" s="20">
        <f t="shared" si="6"/>
        <v>0</v>
      </c>
      <c r="H172" s="20">
        <f t="shared" si="6"/>
        <v>0</v>
      </c>
    </row>
    <row r="173" spans="1:8" ht="19.5" customHeight="1" x14ac:dyDescent="0.3">
      <c r="A173" s="70">
        <f>'BASE MAESTRA'!B179</f>
        <v>171</v>
      </c>
      <c r="E173" s="20">
        <f t="shared" si="5"/>
        <v>171</v>
      </c>
      <c r="F173" s="20">
        <f t="shared" si="6"/>
        <v>0</v>
      </c>
      <c r="G173" s="20">
        <f t="shared" si="6"/>
        <v>0</v>
      </c>
      <c r="H173" s="20">
        <f t="shared" si="6"/>
        <v>0</v>
      </c>
    </row>
    <row r="174" spans="1:8" ht="19.5" customHeight="1" x14ac:dyDescent="0.3">
      <c r="A174" s="70">
        <f>'BASE MAESTRA'!B180</f>
        <v>172</v>
      </c>
      <c r="E174" s="20">
        <f t="shared" si="5"/>
        <v>172</v>
      </c>
      <c r="F174" s="20">
        <f t="shared" si="6"/>
        <v>0</v>
      </c>
      <c r="G174" s="20">
        <f t="shared" si="6"/>
        <v>0</v>
      </c>
      <c r="H174" s="20">
        <f t="shared" si="6"/>
        <v>0</v>
      </c>
    </row>
    <row r="175" spans="1:8" ht="19.5" customHeight="1" x14ac:dyDescent="0.3">
      <c r="A175" s="70">
        <f>'BASE MAESTRA'!B181</f>
        <v>173</v>
      </c>
      <c r="E175" s="20">
        <f t="shared" si="5"/>
        <v>173</v>
      </c>
      <c r="F175" s="20">
        <f t="shared" si="6"/>
        <v>0</v>
      </c>
      <c r="G175" s="20">
        <f t="shared" si="6"/>
        <v>0</v>
      </c>
      <c r="H175" s="20">
        <f t="shared" si="6"/>
        <v>0</v>
      </c>
    </row>
    <row r="176" spans="1:8" ht="19.5" customHeight="1" x14ac:dyDescent="0.3">
      <c r="A176" s="70">
        <f>'BASE MAESTRA'!B182</f>
        <v>174</v>
      </c>
      <c r="E176" s="20">
        <f t="shared" si="5"/>
        <v>174</v>
      </c>
      <c r="F176" s="20">
        <f t="shared" si="6"/>
        <v>0</v>
      </c>
      <c r="G176" s="20">
        <f t="shared" si="6"/>
        <v>0</v>
      </c>
      <c r="H176" s="20">
        <f t="shared" si="6"/>
        <v>0</v>
      </c>
    </row>
    <row r="177" spans="1:8" ht="19.5" customHeight="1" x14ac:dyDescent="0.3">
      <c r="A177" s="70">
        <f>'BASE MAESTRA'!B183</f>
        <v>175</v>
      </c>
      <c r="E177" s="20">
        <f t="shared" si="5"/>
        <v>175</v>
      </c>
      <c r="F177" s="20">
        <f t="shared" si="6"/>
        <v>0</v>
      </c>
      <c r="G177" s="20">
        <f t="shared" si="6"/>
        <v>0</v>
      </c>
      <c r="H177" s="20">
        <f t="shared" si="6"/>
        <v>0</v>
      </c>
    </row>
    <row r="178" spans="1:8" ht="19.5" customHeight="1" x14ac:dyDescent="0.3">
      <c r="A178" s="70">
        <f>'BASE MAESTRA'!B184</f>
        <v>176</v>
      </c>
      <c r="E178" s="20">
        <f t="shared" si="5"/>
        <v>176</v>
      </c>
      <c r="F178" s="20">
        <f t="shared" si="6"/>
        <v>0</v>
      </c>
      <c r="G178" s="20">
        <f t="shared" si="6"/>
        <v>0</v>
      </c>
      <c r="H178" s="20">
        <f t="shared" si="6"/>
        <v>0</v>
      </c>
    </row>
    <row r="179" spans="1:8" ht="19.5" customHeight="1" x14ac:dyDescent="0.3">
      <c r="A179" s="70">
        <f>'BASE MAESTRA'!B185</f>
        <v>177</v>
      </c>
      <c r="E179" s="20">
        <f t="shared" si="5"/>
        <v>177</v>
      </c>
      <c r="F179" s="20">
        <f t="shared" si="6"/>
        <v>0</v>
      </c>
      <c r="G179" s="20">
        <f t="shared" si="6"/>
        <v>0</v>
      </c>
      <c r="H179" s="20">
        <f t="shared" si="6"/>
        <v>0</v>
      </c>
    </row>
    <row r="180" spans="1:8" ht="19.5" customHeight="1" x14ac:dyDescent="0.3">
      <c r="A180" s="70">
        <f>'BASE MAESTRA'!B186</f>
        <v>178</v>
      </c>
      <c r="E180" s="20">
        <f t="shared" si="5"/>
        <v>178</v>
      </c>
      <c r="F180" s="20">
        <f t="shared" si="6"/>
        <v>0</v>
      </c>
      <c r="G180" s="20">
        <f t="shared" si="6"/>
        <v>0</v>
      </c>
      <c r="H180" s="20">
        <f t="shared" si="6"/>
        <v>0</v>
      </c>
    </row>
    <row r="181" spans="1:8" ht="19.5" customHeight="1" x14ac:dyDescent="0.3">
      <c r="A181" s="70">
        <f>'BASE MAESTRA'!B187</f>
        <v>179</v>
      </c>
      <c r="E181" s="20">
        <f t="shared" si="5"/>
        <v>179</v>
      </c>
      <c r="F181" s="20">
        <f t="shared" si="6"/>
        <v>0</v>
      </c>
      <c r="G181" s="20">
        <f t="shared" si="6"/>
        <v>0</v>
      </c>
      <c r="H181" s="20">
        <f t="shared" si="6"/>
        <v>0</v>
      </c>
    </row>
    <row r="182" spans="1:8" ht="19.5" customHeight="1" x14ac:dyDescent="0.3">
      <c r="A182" s="70">
        <f>'BASE MAESTRA'!B188</f>
        <v>180</v>
      </c>
      <c r="E182" s="20">
        <f t="shared" si="5"/>
        <v>180</v>
      </c>
      <c r="F182" s="20">
        <f t="shared" si="6"/>
        <v>0</v>
      </c>
      <c r="G182" s="20">
        <f t="shared" si="6"/>
        <v>0</v>
      </c>
      <c r="H182" s="20">
        <f t="shared" si="6"/>
        <v>0</v>
      </c>
    </row>
    <row r="183" spans="1:8" ht="19.5" customHeight="1" x14ac:dyDescent="0.3">
      <c r="A183" s="70">
        <f>'BASE MAESTRA'!B189</f>
        <v>181</v>
      </c>
      <c r="E183" s="20">
        <f t="shared" si="5"/>
        <v>181</v>
      </c>
      <c r="F183" s="20">
        <f t="shared" si="6"/>
        <v>0</v>
      </c>
      <c r="G183" s="20">
        <f t="shared" si="6"/>
        <v>0</v>
      </c>
      <c r="H183" s="20">
        <f t="shared" si="6"/>
        <v>0</v>
      </c>
    </row>
    <row r="184" spans="1:8" ht="19.5" customHeight="1" x14ac:dyDescent="0.3">
      <c r="A184" s="70">
        <f>'BASE MAESTRA'!B190</f>
        <v>182</v>
      </c>
      <c r="E184" s="20">
        <f t="shared" si="5"/>
        <v>182</v>
      </c>
      <c r="F184" s="20">
        <f t="shared" si="6"/>
        <v>0</v>
      </c>
      <c r="G184" s="20">
        <f t="shared" si="6"/>
        <v>0</v>
      </c>
      <c r="H184" s="20">
        <f t="shared" si="6"/>
        <v>0</v>
      </c>
    </row>
    <row r="185" spans="1:8" ht="19.5" customHeight="1" x14ac:dyDescent="0.3">
      <c r="A185" s="70">
        <f>'BASE MAESTRA'!B191</f>
        <v>183</v>
      </c>
      <c r="E185" s="20">
        <f t="shared" si="5"/>
        <v>183</v>
      </c>
      <c r="F185" s="20">
        <f t="shared" si="6"/>
        <v>0</v>
      </c>
      <c r="G185" s="20">
        <f t="shared" si="6"/>
        <v>0</v>
      </c>
      <c r="H185" s="20">
        <f t="shared" si="6"/>
        <v>0</v>
      </c>
    </row>
    <row r="186" spans="1:8" ht="19.5" customHeight="1" x14ac:dyDescent="0.3">
      <c r="A186" s="70">
        <f>'BASE MAESTRA'!B192</f>
        <v>184</v>
      </c>
      <c r="E186" s="20">
        <f t="shared" si="5"/>
        <v>184</v>
      </c>
      <c r="F186" s="20">
        <f t="shared" si="6"/>
        <v>0</v>
      </c>
      <c r="G186" s="20">
        <f t="shared" si="6"/>
        <v>0</v>
      </c>
      <c r="H186" s="20">
        <f t="shared" si="6"/>
        <v>0</v>
      </c>
    </row>
    <row r="187" spans="1:8" ht="19.5" customHeight="1" x14ac:dyDescent="0.3">
      <c r="A187" s="70">
        <f>'BASE MAESTRA'!B193</f>
        <v>185</v>
      </c>
      <c r="E187" s="20">
        <f t="shared" si="5"/>
        <v>185</v>
      </c>
      <c r="F187" s="20">
        <f t="shared" si="6"/>
        <v>0</v>
      </c>
      <c r="G187" s="20">
        <f t="shared" si="6"/>
        <v>0</v>
      </c>
      <c r="H187" s="20">
        <f t="shared" si="6"/>
        <v>0</v>
      </c>
    </row>
    <row r="188" spans="1:8" ht="19.5" customHeight="1" x14ac:dyDescent="0.3">
      <c r="A188" s="70">
        <f>'BASE MAESTRA'!B194</f>
        <v>186</v>
      </c>
      <c r="E188" s="20">
        <f t="shared" si="5"/>
        <v>186</v>
      </c>
      <c r="F188" s="20">
        <f t="shared" si="6"/>
        <v>0</v>
      </c>
      <c r="G188" s="20">
        <f t="shared" si="6"/>
        <v>0</v>
      </c>
      <c r="H188" s="20">
        <f t="shared" si="6"/>
        <v>0</v>
      </c>
    </row>
    <row r="189" spans="1:8" ht="19.5" customHeight="1" x14ac:dyDescent="0.3">
      <c r="A189" s="70">
        <f>'BASE MAESTRA'!B195</f>
        <v>187</v>
      </c>
      <c r="E189" s="20">
        <f t="shared" si="5"/>
        <v>187</v>
      </c>
      <c r="F189" s="20">
        <f t="shared" si="6"/>
        <v>0</v>
      </c>
      <c r="G189" s="20">
        <f t="shared" si="6"/>
        <v>0</v>
      </c>
      <c r="H189" s="20">
        <f t="shared" si="6"/>
        <v>0</v>
      </c>
    </row>
    <row r="190" spans="1:8" ht="19.5" customHeight="1" x14ac:dyDescent="0.3">
      <c r="A190" s="70">
        <f>'BASE MAESTRA'!B196</f>
        <v>188</v>
      </c>
      <c r="E190" s="20">
        <f t="shared" si="5"/>
        <v>188</v>
      </c>
      <c r="F190" s="20">
        <f t="shared" si="6"/>
        <v>0</v>
      </c>
      <c r="G190" s="20">
        <f t="shared" si="6"/>
        <v>0</v>
      </c>
      <c r="H190" s="20">
        <f t="shared" si="6"/>
        <v>0</v>
      </c>
    </row>
    <row r="191" spans="1:8" ht="19.5" customHeight="1" x14ac:dyDescent="0.3">
      <c r="A191" s="70">
        <f>'BASE MAESTRA'!B197</f>
        <v>189</v>
      </c>
      <c r="E191" s="20">
        <f t="shared" si="5"/>
        <v>189</v>
      </c>
      <c r="F191" s="20">
        <f t="shared" si="6"/>
        <v>0</v>
      </c>
      <c r="G191" s="20">
        <f t="shared" si="6"/>
        <v>0</v>
      </c>
      <c r="H191" s="20">
        <f t="shared" si="6"/>
        <v>0</v>
      </c>
    </row>
    <row r="192" spans="1:8" ht="19.5" customHeight="1" x14ac:dyDescent="0.3">
      <c r="A192" s="70">
        <f>'BASE MAESTRA'!B198</f>
        <v>190</v>
      </c>
      <c r="E192" s="20">
        <f t="shared" si="5"/>
        <v>190</v>
      </c>
      <c r="F192" s="20">
        <f t="shared" si="6"/>
        <v>0</v>
      </c>
      <c r="G192" s="20">
        <f t="shared" si="6"/>
        <v>0</v>
      </c>
      <c r="H192" s="20">
        <f t="shared" si="6"/>
        <v>0</v>
      </c>
    </row>
    <row r="193" spans="1:8" ht="19.5" customHeight="1" x14ac:dyDescent="0.3">
      <c r="A193" s="70">
        <f>'BASE MAESTRA'!B199</f>
        <v>191</v>
      </c>
      <c r="E193" s="20">
        <f t="shared" si="5"/>
        <v>191</v>
      </c>
      <c r="F193" s="20">
        <f t="shared" si="6"/>
        <v>0</v>
      </c>
      <c r="G193" s="20">
        <f t="shared" si="6"/>
        <v>0</v>
      </c>
      <c r="H193" s="20">
        <f t="shared" si="6"/>
        <v>0</v>
      </c>
    </row>
    <row r="194" spans="1:8" ht="19.5" customHeight="1" x14ac:dyDescent="0.3">
      <c r="A194" s="70">
        <f>'BASE MAESTRA'!B200</f>
        <v>192</v>
      </c>
      <c r="E194" s="20">
        <f t="shared" si="5"/>
        <v>192</v>
      </c>
      <c r="F194" s="20">
        <f t="shared" si="6"/>
        <v>0</v>
      </c>
      <c r="G194" s="20">
        <f t="shared" si="6"/>
        <v>0</v>
      </c>
      <c r="H194" s="20">
        <f t="shared" si="6"/>
        <v>0</v>
      </c>
    </row>
    <row r="195" spans="1:8" ht="19.5" customHeight="1" x14ac:dyDescent="0.3">
      <c r="A195" s="70">
        <f>'BASE MAESTRA'!B201</f>
        <v>193</v>
      </c>
      <c r="E195" s="20">
        <f t="shared" ref="E195:E202" si="7">VLOOKUP($A195,DatosEspecies,E$2,FALSE)</f>
        <v>193</v>
      </c>
      <c r="F195" s="20">
        <f t="shared" si="6"/>
        <v>0</v>
      </c>
      <c r="G195" s="20">
        <f t="shared" si="6"/>
        <v>0</v>
      </c>
      <c r="H195" s="20">
        <f t="shared" si="6"/>
        <v>0</v>
      </c>
    </row>
    <row r="196" spans="1:8" ht="19.5" customHeight="1" x14ac:dyDescent="0.3">
      <c r="A196" s="70">
        <f>'BASE MAESTRA'!B202</f>
        <v>194</v>
      </c>
      <c r="E196" s="20">
        <f t="shared" si="7"/>
        <v>194</v>
      </c>
      <c r="F196" s="20">
        <f t="shared" si="6"/>
        <v>0</v>
      </c>
      <c r="G196" s="20">
        <f t="shared" si="6"/>
        <v>0</v>
      </c>
      <c r="H196" s="20">
        <f t="shared" si="6"/>
        <v>0</v>
      </c>
    </row>
    <row r="197" spans="1:8" ht="19.5" customHeight="1" x14ac:dyDescent="0.3">
      <c r="A197" s="70">
        <f>'BASE MAESTRA'!B203</f>
        <v>195</v>
      </c>
      <c r="E197" s="20">
        <f t="shared" si="7"/>
        <v>195</v>
      </c>
      <c r="F197" s="20">
        <f t="shared" si="6"/>
        <v>0</v>
      </c>
      <c r="G197" s="20">
        <f t="shared" si="6"/>
        <v>0</v>
      </c>
      <c r="H197" s="20">
        <f t="shared" si="6"/>
        <v>0</v>
      </c>
    </row>
    <row r="198" spans="1:8" ht="19.5" customHeight="1" x14ac:dyDescent="0.3">
      <c r="A198" s="70">
        <f>'BASE MAESTRA'!B204</f>
        <v>196</v>
      </c>
      <c r="E198" s="20">
        <f t="shared" si="7"/>
        <v>196</v>
      </c>
      <c r="F198" s="20">
        <f t="shared" si="6"/>
        <v>0</v>
      </c>
      <c r="G198" s="20">
        <f t="shared" si="6"/>
        <v>0</v>
      </c>
      <c r="H198" s="20">
        <f t="shared" si="6"/>
        <v>0</v>
      </c>
    </row>
    <row r="199" spans="1:8" ht="19.5" customHeight="1" x14ac:dyDescent="0.3">
      <c r="A199" s="70">
        <f>'BASE MAESTRA'!B205</f>
        <v>197</v>
      </c>
      <c r="E199" s="20">
        <f t="shared" si="7"/>
        <v>197</v>
      </c>
      <c r="F199" s="20">
        <f t="shared" si="6"/>
        <v>0</v>
      </c>
      <c r="G199" s="20">
        <f t="shared" si="6"/>
        <v>0</v>
      </c>
      <c r="H199" s="20">
        <f t="shared" si="6"/>
        <v>0</v>
      </c>
    </row>
    <row r="200" spans="1:8" ht="19.5" customHeight="1" x14ac:dyDescent="0.3">
      <c r="A200" s="70">
        <f>'BASE MAESTRA'!B206</f>
        <v>198</v>
      </c>
      <c r="E200" s="20">
        <f t="shared" si="7"/>
        <v>198</v>
      </c>
      <c r="F200" s="20">
        <f t="shared" si="6"/>
        <v>0</v>
      </c>
      <c r="G200" s="20">
        <f t="shared" si="6"/>
        <v>0</v>
      </c>
      <c r="H200" s="20">
        <f t="shared" si="6"/>
        <v>0</v>
      </c>
    </row>
    <row r="201" spans="1:8" ht="19.5" customHeight="1" x14ac:dyDescent="0.3">
      <c r="A201" s="70">
        <f>'BASE MAESTRA'!B207</f>
        <v>199</v>
      </c>
      <c r="E201" s="20">
        <f t="shared" si="7"/>
        <v>199</v>
      </c>
      <c r="F201" s="20">
        <f t="shared" si="6"/>
        <v>0</v>
      </c>
      <c r="G201" s="20">
        <f t="shared" si="6"/>
        <v>0</v>
      </c>
      <c r="H201" s="20">
        <f t="shared" si="6"/>
        <v>0</v>
      </c>
    </row>
    <row r="202" spans="1:8" ht="19.5" customHeight="1" x14ac:dyDescent="0.3">
      <c r="A202" s="70">
        <f>'BASE MAESTRA'!B208</f>
        <v>200</v>
      </c>
      <c r="E202" s="20">
        <f t="shared" si="7"/>
        <v>200</v>
      </c>
      <c r="F202" s="20">
        <f t="shared" si="6"/>
        <v>0</v>
      </c>
      <c r="G202" s="20">
        <f t="shared" si="6"/>
        <v>0</v>
      </c>
      <c r="H202" s="20">
        <f t="shared" si="6"/>
        <v>0</v>
      </c>
    </row>
  </sheetData>
  <customSheetViews>
    <customSheetView guid="{03A28D0E-D221-430C-9036-787CFB666EE7}">
      <selection activeCell="A3" sqref="A3:A138"/>
      <pageMargins left="0.7" right="0.7" top="0.75" bottom="0.75" header="0.3" footer="0.3"/>
      <pageSetup orientation="portrait" r:id="rId1"/>
    </customSheetView>
  </customSheetViews>
  <pageMargins left="0.7" right="0.7" top="0.75" bottom="0.75" header="0.3" footer="0.3"/>
  <pageSetup orientation="portrait"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O202"/>
  <sheetViews>
    <sheetView zoomScaleNormal="100" workbookViewId="0"/>
  </sheetViews>
  <sheetFormatPr defaultColWidth="10.6640625" defaultRowHeight="13.8" x14ac:dyDescent="0.3"/>
  <cols>
    <col min="1" max="1" width="10.6640625" style="60"/>
    <col min="2" max="3" width="10.6640625" style="61"/>
    <col min="4" max="4" width="14.44140625" style="61" customWidth="1"/>
    <col min="5" max="14" width="10.6640625" style="61"/>
    <col min="15" max="15" width="16.109375" style="61" customWidth="1"/>
    <col min="16" max="16384" width="10.6640625" style="61"/>
  </cols>
  <sheetData>
    <row r="1" spans="1:15" s="20" customFormat="1" ht="25.5" customHeight="1" x14ac:dyDescent="0.3">
      <c r="A1" s="55" t="s">
        <v>310</v>
      </c>
      <c r="B1" s="20" t="s">
        <v>0</v>
      </c>
      <c r="C1" s="20" t="s">
        <v>1</v>
      </c>
      <c r="D1" s="20" t="s">
        <v>2</v>
      </c>
      <c r="E1" s="27" t="s">
        <v>3</v>
      </c>
      <c r="F1" s="27" t="s">
        <v>4</v>
      </c>
      <c r="G1" s="27" t="s">
        <v>5</v>
      </c>
      <c r="H1" s="27" t="s">
        <v>6</v>
      </c>
      <c r="I1" s="27" t="s">
        <v>7</v>
      </c>
      <c r="J1" s="27" t="s">
        <v>8</v>
      </c>
      <c r="K1" s="27" t="s">
        <v>9</v>
      </c>
      <c r="L1" s="27" t="s">
        <v>10</v>
      </c>
      <c r="M1" s="27" t="s">
        <v>11</v>
      </c>
      <c r="N1" s="27" t="s">
        <v>12</v>
      </c>
      <c r="O1" s="27" t="s">
        <v>13</v>
      </c>
    </row>
    <row r="2" spans="1:15" s="56" customFormat="1" ht="27.6" x14ac:dyDescent="0.3">
      <c r="A2" s="55" t="s">
        <v>323</v>
      </c>
      <c r="B2" s="55"/>
      <c r="C2" s="55"/>
      <c r="D2" s="55">
        <f>VLOOKUP(D1,CamposSIS,2,FALSE)</f>
        <v>4</v>
      </c>
      <c r="E2" s="55">
        <f>VLOOKUP(E1,CamposSIS,2,FALSE)</f>
        <v>6</v>
      </c>
      <c r="F2" s="55">
        <f>VLOOKUP(F1,CamposSIS,2,FALSE)</f>
        <v>7</v>
      </c>
      <c r="G2" s="55"/>
      <c r="H2" s="55"/>
      <c r="I2" s="55"/>
      <c r="J2" s="55">
        <f t="shared" ref="J2:O2" si="0">VLOOKUP(J1,CamposSIS,2,FALSE)</f>
        <v>1</v>
      </c>
      <c r="K2" s="55">
        <f t="shared" si="0"/>
        <v>2</v>
      </c>
      <c r="L2" s="55">
        <f t="shared" si="0"/>
        <v>5</v>
      </c>
      <c r="M2" s="55">
        <f t="shared" si="0"/>
        <v>3</v>
      </c>
      <c r="N2" s="55">
        <f t="shared" si="0"/>
        <v>8</v>
      </c>
      <c r="O2" s="55">
        <f t="shared" si="0"/>
        <v>9</v>
      </c>
    </row>
    <row r="3" spans="1:15" ht="16.8" x14ac:dyDescent="0.3">
      <c r="A3" s="70" t="str">
        <f>'BASE MAESTRA'!B7</f>
        <v>3</v>
      </c>
      <c r="B3" s="63"/>
      <c r="D3" s="61" t="str">
        <f t="shared" ref="D3:O19" si="1">VLOOKUP($A3,DatosEspecies,D$2,FALSE)</f>
        <v>Equisetopsida</v>
      </c>
      <c r="E3" s="61" t="str">
        <f t="shared" si="1"/>
        <v>Polypodiaceae</v>
      </c>
      <c r="F3" s="61" t="str">
        <f t="shared" si="1"/>
        <v>Serpocaulon</v>
      </c>
      <c r="J3" s="61" t="str">
        <f t="shared" si="1"/>
        <v>3</v>
      </c>
      <c r="K3" s="61" t="str">
        <f t="shared" si="1"/>
        <v>Plantae</v>
      </c>
      <c r="L3" s="61" t="str">
        <f t="shared" si="1"/>
        <v>Polypodiales</v>
      </c>
      <c r="M3" s="61" t="str">
        <f t="shared" si="1"/>
        <v>Tracheophyta</v>
      </c>
      <c r="N3" s="61" t="str">
        <f t="shared" si="1"/>
        <v>articulatum</v>
      </c>
      <c r="O3" s="61" t="str">
        <f t="shared" si="1"/>
        <v>(C.Presl) Schwartsb. &amp; ARSm.</v>
      </c>
    </row>
    <row r="4" spans="1:15" ht="16.8" x14ac:dyDescent="0.3">
      <c r="A4" s="70" t="str">
        <f>'BASE MAESTRA'!B8</f>
        <v>4</v>
      </c>
      <c r="B4" s="63"/>
      <c r="D4" s="61" t="str">
        <f t="shared" si="1"/>
        <v>Equisetopsida</v>
      </c>
      <c r="E4" s="61" t="str">
        <f t="shared" si="1"/>
        <v>Polypodiaceae</v>
      </c>
      <c r="F4" s="61" t="str">
        <f t="shared" si="1"/>
        <v>Serpocaulon</v>
      </c>
      <c r="J4" s="61" t="str">
        <f t="shared" si="1"/>
        <v>4</v>
      </c>
      <c r="K4" s="61" t="str">
        <f t="shared" si="1"/>
        <v>Plantae</v>
      </c>
      <c r="L4" s="61" t="str">
        <f t="shared" si="1"/>
        <v>Polypodiales</v>
      </c>
      <c r="M4" s="61" t="str">
        <f t="shared" si="1"/>
        <v>Tracheophyta</v>
      </c>
      <c r="N4" s="61" t="str">
        <f t="shared" si="1"/>
        <v>attenuatum</v>
      </c>
      <c r="O4" s="61" t="str">
        <f t="shared" si="1"/>
        <v>(Humb. &amp; Bonpl. ex Willd.) A.R.Sm.</v>
      </c>
    </row>
    <row r="5" spans="1:15" ht="16.8" x14ac:dyDescent="0.3">
      <c r="A5" s="70" t="str">
        <f>'BASE MAESTRA'!B10</f>
        <v>6</v>
      </c>
      <c r="B5" s="63"/>
      <c r="D5" s="61" t="str">
        <f t="shared" si="1"/>
        <v>Equisetopsida</v>
      </c>
      <c r="E5" s="61" t="str">
        <f t="shared" si="1"/>
        <v>Polypodiaceae</v>
      </c>
      <c r="F5" s="61" t="str">
        <f t="shared" si="1"/>
        <v>Serpocaulon</v>
      </c>
      <c r="J5" s="61" t="str">
        <f t="shared" si="1"/>
        <v>6</v>
      </c>
      <c r="K5" s="61" t="str">
        <f t="shared" si="1"/>
        <v>Plantae</v>
      </c>
      <c r="L5" s="61" t="str">
        <f t="shared" si="1"/>
        <v>Polypodiales</v>
      </c>
      <c r="M5" s="61" t="str">
        <f t="shared" si="1"/>
        <v>Tracheophyta</v>
      </c>
      <c r="N5" s="61" t="str">
        <f t="shared" si="1"/>
        <v>concolorum</v>
      </c>
      <c r="O5" s="61" t="str">
        <f t="shared" si="1"/>
        <v>(M.Kessler &amp; A.R.Sm.) A.R.Sm.</v>
      </c>
    </row>
    <row r="6" spans="1:15" ht="16.8" x14ac:dyDescent="0.3">
      <c r="A6" s="70" t="str">
        <f>'BASE MAESTRA'!B11</f>
        <v>7</v>
      </c>
      <c r="B6" s="63"/>
      <c r="D6" s="61" t="str">
        <f t="shared" si="1"/>
        <v>Equisetopsida</v>
      </c>
      <c r="E6" s="61" t="str">
        <f t="shared" si="1"/>
        <v>Polypodiaceae</v>
      </c>
      <c r="F6" s="61" t="str">
        <f t="shared" si="1"/>
        <v>Serpocaulon</v>
      </c>
      <c r="J6" s="61" t="str">
        <f t="shared" si="1"/>
        <v>7</v>
      </c>
      <c r="K6" s="61" t="str">
        <f t="shared" si="1"/>
        <v>Plantae</v>
      </c>
      <c r="L6" s="61" t="str">
        <f t="shared" si="1"/>
        <v>Polypodiales</v>
      </c>
      <c r="M6" s="61" t="str">
        <f t="shared" si="1"/>
        <v>Tracheophyta</v>
      </c>
      <c r="N6" s="61" t="str">
        <f t="shared" si="1"/>
        <v>dissimile</v>
      </c>
      <c r="O6" s="61" t="str">
        <f t="shared" si="1"/>
        <v>(L.) A.R.Sm.</v>
      </c>
    </row>
    <row r="7" spans="1:15" ht="16.8" x14ac:dyDescent="0.3">
      <c r="A7" s="70" t="str">
        <f>'BASE MAESTRA'!B12</f>
        <v>8</v>
      </c>
      <c r="B7" s="63"/>
      <c r="D7" s="61" t="str">
        <f t="shared" si="1"/>
        <v>Equisetopsida</v>
      </c>
      <c r="E7" s="61" t="str">
        <f t="shared" si="1"/>
        <v>Polypodiaceae</v>
      </c>
      <c r="F7" s="61" t="str">
        <f t="shared" si="1"/>
        <v>Serpocaulon</v>
      </c>
      <c r="J7" s="61" t="str">
        <f t="shared" si="1"/>
        <v>8</v>
      </c>
      <c r="K7" s="61" t="str">
        <f t="shared" si="1"/>
        <v>Plantae</v>
      </c>
      <c r="L7" s="61" t="str">
        <f t="shared" si="1"/>
        <v>Polypodiales</v>
      </c>
      <c r="M7" s="61" t="str">
        <f t="shared" si="1"/>
        <v>Tracheophyta</v>
      </c>
      <c r="N7" s="61" t="str">
        <f t="shared" si="1"/>
        <v>eleutherophlebium</v>
      </c>
      <c r="O7" s="61" t="str">
        <f t="shared" si="1"/>
        <v>(Fée) A.R.Sm.</v>
      </c>
    </row>
    <row r="8" spans="1:15" ht="16.8" x14ac:dyDescent="0.3">
      <c r="A8" s="70" t="str">
        <f>'BASE MAESTRA'!B13</f>
        <v>9</v>
      </c>
      <c r="B8" s="63"/>
      <c r="D8" s="61" t="str">
        <f t="shared" si="1"/>
        <v>Equisetopsida</v>
      </c>
      <c r="E8" s="61" t="str">
        <f t="shared" si="1"/>
        <v>Polypodiaceae</v>
      </c>
      <c r="F8" s="61" t="str">
        <f t="shared" si="1"/>
        <v>Serpocaulon</v>
      </c>
      <c r="J8" s="61" t="str">
        <f t="shared" si="1"/>
        <v>9</v>
      </c>
      <c r="K8" s="61" t="str">
        <f t="shared" si="1"/>
        <v>Plantae</v>
      </c>
      <c r="L8" s="61" t="str">
        <f t="shared" si="1"/>
        <v>Polypodiales</v>
      </c>
      <c r="M8" s="61" t="str">
        <f t="shared" si="1"/>
        <v>Tracheophyta</v>
      </c>
      <c r="N8" s="61" t="str">
        <f t="shared" si="1"/>
        <v>fraxinifolium</v>
      </c>
      <c r="O8" s="61" t="str">
        <f t="shared" si="1"/>
        <v>(Jacq.) A.R.Sm.</v>
      </c>
    </row>
    <row r="9" spans="1:15" ht="16.8" x14ac:dyDescent="0.3">
      <c r="A9" s="70" t="str">
        <f>'BASE MAESTRA'!B14</f>
        <v>10</v>
      </c>
      <c r="B9" s="63"/>
      <c r="D9" s="61" t="str">
        <f t="shared" si="1"/>
        <v>Equisetopsida</v>
      </c>
      <c r="E9" s="61" t="str">
        <f t="shared" si="1"/>
        <v>Polypodiaceae</v>
      </c>
      <c r="F9" s="61" t="str">
        <f t="shared" si="1"/>
        <v>Serpocaulon</v>
      </c>
      <c r="J9" s="61" t="str">
        <f t="shared" si="1"/>
        <v>10</v>
      </c>
      <c r="K9" s="61" t="str">
        <f t="shared" si="1"/>
        <v>Plantae</v>
      </c>
      <c r="L9" s="61" t="str">
        <f t="shared" si="1"/>
        <v>Polypodiales</v>
      </c>
      <c r="M9" s="61" t="str">
        <f t="shared" si="1"/>
        <v>Tracheophyta</v>
      </c>
      <c r="N9" s="61" t="str">
        <f t="shared" si="1"/>
        <v>funckii</v>
      </c>
      <c r="O9" s="61" t="str">
        <f t="shared" si="1"/>
        <v>(Mett.) A.R.Sm.</v>
      </c>
    </row>
    <row r="10" spans="1:15" ht="16.8" x14ac:dyDescent="0.3">
      <c r="A10" s="70" t="str">
        <f>'BASE MAESTRA'!B15</f>
        <v>11</v>
      </c>
      <c r="B10" s="63"/>
      <c r="D10" s="61" t="str">
        <f t="shared" si="1"/>
        <v>Equisetopsida</v>
      </c>
      <c r="E10" s="61" t="str">
        <f t="shared" si="1"/>
        <v>Polypodiaceae</v>
      </c>
      <c r="F10" s="61" t="str">
        <f t="shared" si="1"/>
        <v>Serpocaulon</v>
      </c>
      <c r="J10" s="61" t="str">
        <f t="shared" si="1"/>
        <v>11</v>
      </c>
      <c r="K10" s="61" t="str">
        <f t="shared" si="1"/>
        <v>Plantae</v>
      </c>
      <c r="L10" s="61" t="str">
        <f t="shared" si="1"/>
        <v>Polypodiales</v>
      </c>
      <c r="M10" s="61" t="str">
        <f t="shared" si="1"/>
        <v>Tracheophyta</v>
      </c>
      <c r="N10" s="61" t="str">
        <f t="shared" si="1"/>
        <v>lasiopus</v>
      </c>
      <c r="O10" s="61" t="str">
        <f t="shared" si="1"/>
        <v>(Klotzsch) A.R.Sm.</v>
      </c>
    </row>
    <row r="11" spans="1:15" ht="16.8" x14ac:dyDescent="0.3">
      <c r="A11" s="70" t="str">
        <f>'BASE MAESTRA'!B16</f>
        <v>12</v>
      </c>
      <c r="B11" s="63"/>
      <c r="D11" s="61" t="str">
        <f t="shared" si="1"/>
        <v>Equisetopsida</v>
      </c>
      <c r="E11" s="61" t="str">
        <f t="shared" si="1"/>
        <v>Polypodiaceae</v>
      </c>
      <c r="F11" s="61" t="str">
        <f t="shared" si="1"/>
        <v>Serpocaulon</v>
      </c>
      <c r="J11" s="61" t="str">
        <f t="shared" si="1"/>
        <v>12</v>
      </c>
      <c r="K11" s="61" t="str">
        <f t="shared" si="1"/>
        <v>Plantae</v>
      </c>
      <c r="L11" s="61" t="str">
        <f t="shared" si="1"/>
        <v>Polypodiales</v>
      </c>
      <c r="M11" s="61" t="str">
        <f t="shared" si="1"/>
        <v>Tracheophyta</v>
      </c>
      <c r="N11" s="61" t="str">
        <f t="shared" si="1"/>
        <v>latissimum</v>
      </c>
      <c r="O11" s="61" t="str">
        <f t="shared" si="1"/>
        <v>(R.C.Moran &amp; B.Øllg.) A.R.Sm.</v>
      </c>
    </row>
    <row r="12" spans="1:15" ht="16.8" x14ac:dyDescent="0.3">
      <c r="A12" s="70" t="str">
        <f>'BASE MAESTRA'!B17</f>
        <v>13</v>
      </c>
      <c r="B12" s="63"/>
      <c r="D12" s="61" t="str">
        <f t="shared" si="1"/>
        <v>Equisetopsida</v>
      </c>
      <c r="E12" s="61" t="str">
        <f t="shared" si="1"/>
        <v>Polypodiaceae</v>
      </c>
      <c r="F12" s="61" t="str">
        <f t="shared" si="1"/>
        <v>Serpocaulon</v>
      </c>
      <c r="J12" s="61" t="str">
        <f t="shared" si="1"/>
        <v>13</v>
      </c>
      <c r="K12" s="61" t="str">
        <f t="shared" si="1"/>
        <v>Plantae</v>
      </c>
      <c r="L12" s="61" t="str">
        <f t="shared" si="1"/>
        <v>Polypodiales</v>
      </c>
      <c r="M12" s="61" t="str">
        <f t="shared" si="1"/>
        <v>Tracheophyta</v>
      </c>
      <c r="N12" s="61" t="str">
        <f t="shared" si="1"/>
        <v>levigatum</v>
      </c>
      <c r="O12" s="61" t="str">
        <f t="shared" si="1"/>
        <v>(Cav.) A.R.Sm.</v>
      </c>
    </row>
    <row r="13" spans="1:15" ht="16.8" x14ac:dyDescent="0.3">
      <c r="A13" s="70" t="str">
        <f>'BASE MAESTRA'!B18</f>
        <v>14</v>
      </c>
      <c r="B13" s="63"/>
      <c r="D13" s="61" t="str">
        <f t="shared" si="1"/>
        <v>Equisetopsida</v>
      </c>
      <c r="E13" s="61" t="str">
        <f t="shared" si="1"/>
        <v>Polypodiaceae</v>
      </c>
      <c r="F13" s="61" t="str">
        <f t="shared" si="1"/>
        <v>Serpocaulon</v>
      </c>
      <c r="J13" s="61" t="str">
        <f t="shared" si="1"/>
        <v>14</v>
      </c>
      <c r="K13" s="61" t="str">
        <f t="shared" si="1"/>
        <v>Plantae</v>
      </c>
      <c r="L13" s="61" t="str">
        <f t="shared" si="1"/>
        <v>Polypodiales</v>
      </c>
      <c r="M13" s="61" t="str">
        <f t="shared" si="1"/>
        <v>Tracheophyta</v>
      </c>
      <c r="N13" s="61" t="str">
        <f t="shared" si="1"/>
        <v>loriceum</v>
      </c>
      <c r="O13" s="61" t="str">
        <f t="shared" si="1"/>
        <v>(L.) A.R.Sm.</v>
      </c>
    </row>
    <row r="14" spans="1:15" ht="16.8" x14ac:dyDescent="0.3">
      <c r="A14" s="70" t="str">
        <f>'BASE MAESTRA'!B19</f>
        <v>15</v>
      </c>
      <c r="B14" s="63"/>
      <c r="D14" s="61" t="str">
        <f t="shared" si="1"/>
        <v>Equisetopsida</v>
      </c>
      <c r="E14" s="61" t="str">
        <f t="shared" si="1"/>
        <v>Polypodiaceae</v>
      </c>
      <c r="F14" s="61" t="str">
        <f t="shared" si="1"/>
        <v>Serpocaulon</v>
      </c>
      <c r="J14" s="61" t="str">
        <f t="shared" si="1"/>
        <v>15</v>
      </c>
      <c r="K14" s="61" t="str">
        <f t="shared" si="1"/>
        <v>Plantae</v>
      </c>
      <c r="L14" s="61" t="str">
        <f t="shared" si="1"/>
        <v>Polypodiales</v>
      </c>
      <c r="M14" s="61" t="str">
        <f t="shared" si="1"/>
        <v>Tracheophyta</v>
      </c>
      <c r="N14" s="61" t="str">
        <f t="shared" si="1"/>
        <v>maritimum</v>
      </c>
      <c r="O14" s="61" t="str">
        <f t="shared" si="1"/>
        <v>(Hieron.) A.R.Sm.</v>
      </c>
    </row>
    <row r="15" spans="1:15" ht="16.8" x14ac:dyDescent="0.3">
      <c r="A15" s="70" t="str">
        <f>'BASE MAESTRA'!B20</f>
        <v>16</v>
      </c>
      <c r="B15" s="63"/>
      <c r="D15" s="61" t="str">
        <f t="shared" si="1"/>
        <v>Equisetopsida</v>
      </c>
      <c r="E15" s="61" t="str">
        <f t="shared" si="1"/>
        <v>Polypodiaceae</v>
      </c>
      <c r="F15" s="61" t="str">
        <f t="shared" si="1"/>
        <v>Serpocaulon</v>
      </c>
      <c r="J15" s="61" t="str">
        <f t="shared" si="1"/>
        <v>16</v>
      </c>
      <c r="K15" s="61" t="str">
        <f t="shared" si="1"/>
        <v>Plantae</v>
      </c>
      <c r="L15" s="61" t="str">
        <f t="shared" si="1"/>
        <v>Polypodiales</v>
      </c>
      <c r="M15" s="61" t="str">
        <f t="shared" si="1"/>
        <v>Tracheophyta</v>
      </c>
      <c r="N15" s="61" t="str">
        <f t="shared" si="1"/>
        <v>nanegalense</v>
      </c>
      <c r="O15" s="61" t="str">
        <f t="shared" si="1"/>
        <v>(Sodiro) A.R.Sm.</v>
      </c>
    </row>
    <row r="16" spans="1:15" ht="16.8" x14ac:dyDescent="0.3">
      <c r="A16" s="70" t="str">
        <f>'BASE MAESTRA'!B21</f>
        <v>17</v>
      </c>
      <c r="B16" s="63"/>
      <c r="D16" s="61" t="str">
        <f t="shared" si="1"/>
        <v>Equisetopsida</v>
      </c>
      <c r="E16" s="61" t="str">
        <f t="shared" si="1"/>
        <v>Polypodiaceae</v>
      </c>
      <c r="F16" s="61" t="str">
        <f t="shared" si="1"/>
        <v>Serpocaulon</v>
      </c>
      <c r="J16" s="61" t="str">
        <f t="shared" si="1"/>
        <v>17</v>
      </c>
      <c r="K16" s="61" t="str">
        <f t="shared" si="1"/>
        <v>Plantae</v>
      </c>
      <c r="L16" s="61" t="str">
        <f t="shared" si="1"/>
        <v>Polypodiales</v>
      </c>
      <c r="M16" s="61" t="str">
        <f t="shared" si="1"/>
        <v>Tracheophyta</v>
      </c>
      <c r="N16" s="61" t="str">
        <f t="shared" si="1"/>
        <v>patentissimum</v>
      </c>
      <c r="O16" s="61" t="str">
        <f t="shared" si="1"/>
        <v>(Mett.) A.R.Sm.</v>
      </c>
    </row>
    <row r="17" spans="1:15" ht="16.8" x14ac:dyDescent="0.3">
      <c r="A17" s="70" t="str">
        <f>'BASE MAESTRA'!B22</f>
        <v>18</v>
      </c>
      <c r="B17" s="63"/>
      <c r="D17" s="61" t="str">
        <f t="shared" si="1"/>
        <v>Equisetopsida</v>
      </c>
      <c r="E17" s="61" t="str">
        <f t="shared" si="1"/>
        <v>Polypodiaceae</v>
      </c>
      <c r="F17" s="61" t="str">
        <f t="shared" si="1"/>
        <v>Serpocaulon</v>
      </c>
      <c r="J17" s="61" t="str">
        <f t="shared" si="1"/>
        <v>18</v>
      </c>
      <c r="K17" s="61" t="str">
        <f t="shared" si="1"/>
        <v>Plantae</v>
      </c>
      <c r="L17" s="61" t="str">
        <f t="shared" si="1"/>
        <v>Polypodiales</v>
      </c>
      <c r="M17" s="61" t="str">
        <f t="shared" si="1"/>
        <v>Tracheophyta</v>
      </c>
      <c r="N17" s="61" t="str">
        <f t="shared" si="1"/>
        <v>psychotrium</v>
      </c>
      <c r="O17" s="61" t="str">
        <f t="shared" si="1"/>
        <v>Mostacero, D.Sanín &amp; A.R.Sm.</v>
      </c>
    </row>
    <row r="18" spans="1:15" ht="16.8" x14ac:dyDescent="0.3">
      <c r="A18" s="70" t="str">
        <f>'BASE MAESTRA'!B23</f>
        <v>19</v>
      </c>
      <c r="B18" s="63"/>
      <c r="D18" s="61" t="str">
        <f t="shared" si="1"/>
        <v>Equisetopsida</v>
      </c>
      <c r="E18" s="61" t="str">
        <f t="shared" si="1"/>
        <v>Polypodiaceae</v>
      </c>
      <c r="F18" s="61" t="str">
        <f t="shared" si="1"/>
        <v>Serpocaulon</v>
      </c>
      <c r="J18" s="61" t="str">
        <f t="shared" si="1"/>
        <v>19</v>
      </c>
      <c r="K18" s="61" t="str">
        <f t="shared" si="1"/>
        <v>Plantae</v>
      </c>
      <c r="L18" s="61" t="str">
        <f t="shared" si="1"/>
        <v>Polypodiales</v>
      </c>
      <c r="M18" s="61" t="str">
        <f t="shared" si="1"/>
        <v>Tracheophyta</v>
      </c>
      <c r="N18" s="61" t="str">
        <f t="shared" si="1"/>
        <v>ptilorhizon</v>
      </c>
      <c r="O18" s="61" t="str">
        <f t="shared" si="1"/>
        <v>(Christ) A.R.Sm.</v>
      </c>
    </row>
    <row r="19" spans="1:15" ht="16.8" x14ac:dyDescent="0.3">
      <c r="A19" s="70" t="str">
        <f>'BASE MAESTRA'!B25</f>
        <v>20</v>
      </c>
      <c r="B19" s="63"/>
      <c r="D19" s="61" t="str">
        <f t="shared" si="1"/>
        <v>Equisetopsida</v>
      </c>
      <c r="E19" s="61" t="str">
        <f t="shared" si="1"/>
        <v>Polypodiaceae</v>
      </c>
      <c r="F19" s="61" t="str">
        <f t="shared" si="1"/>
        <v>Serpocaulon</v>
      </c>
      <c r="J19" s="61" t="str">
        <f t="shared" ref="D19:O40" si="2">VLOOKUP($A19,DatosEspecies,J$2,FALSE)</f>
        <v>20</v>
      </c>
      <c r="K19" s="61" t="str">
        <f t="shared" si="2"/>
        <v>Plantae</v>
      </c>
      <c r="L19" s="61" t="str">
        <f t="shared" si="2"/>
        <v>Polypodiales</v>
      </c>
      <c r="M19" s="61" t="str">
        <f t="shared" si="2"/>
        <v>Tracheophyta</v>
      </c>
      <c r="N19" s="61" t="str">
        <f t="shared" si="2"/>
        <v>sessilifolium</v>
      </c>
      <c r="O19" s="61" t="str">
        <f t="shared" si="2"/>
        <v>(Desv.) A.R.Sm.</v>
      </c>
    </row>
    <row r="20" spans="1:15" ht="16.8" x14ac:dyDescent="0.3">
      <c r="A20" s="70" t="str">
        <f>'BASE MAESTRA'!B26</f>
        <v>21</v>
      </c>
      <c r="B20" s="63"/>
      <c r="D20" s="61" t="str">
        <f t="shared" si="2"/>
        <v>Equisetopsida</v>
      </c>
      <c r="E20" s="61" t="str">
        <f t="shared" si="2"/>
        <v>Polypodiaceae</v>
      </c>
      <c r="F20" s="61" t="str">
        <f t="shared" si="2"/>
        <v>Serpocaulon</v>
      </c>
      <c r="J20" s="61" t="str">
        <f t="shared" si="2"/>
        <v>21</v>
      </c>
      <c r="K20" s="61" t="str">
        <f t="shared" si="2"/>
        <v>Plantae</v>
      </c>
      <c r="L20" s="61" t="str">
        <f t="shared" si="2"/>
        <v>Polypodiales</v>
      </c>
      <c r="M20" s="61" t="str">
        <f t="shared" si="2"/>
        <v>Tracheophyta</v>
      </c>
      <c r="N20" s="61" t="str">
        <f t="shared" si="2"/>
        <v>subandinum</v>
      </c>
      <c r="O20" s="61" t="str">
        <f t="shared" si="2"/>
        <v>(Sodiro) A.R.Sm.</v>
      </c>
    </row>
    <row r="21" spans="1:15" ht="16.8" x14ac:dyDescent="0.3">
      <c r="A21" s="70" t="str">
        <f>'BASE MAESTRA'!B27</f>
        <v>22</v>
      </c>
      <c r="B21" s="63"/>
      <c r="D21" s="61" t="str">
        <f t="shared" si="2"/>
        <v>Equisetopsida</v>
      </c>
      <c r="E21" s="61" t="str">
        <f t="shared" si="2"/>
        <v>Polypodiaceae</v>
      </c>
      <c r="F21" s="61" t="str">
        <f t="shared" si="2"/>
        <v>Serpocaulon</v>
      </c>
      <c r="J21" s="61" t="str">
        <f t="shared" si="2"/>
        <v>22</v>
      </c>
      <c r="K21" s="61" t="str">
        <f t="shared" si="2"/>
        <v>Plantae</v>
      </c>
      <c r="L21" s="61" t="str">
        <f t="shared" si="2"/>
        <v>Polypodiales</v>
      </c>
      <c r="M21" s="61" t="str">
        <f t="shared" si="2"/>
        <v>Tracheophyta</v>
      </c>
      <c r="N21" s="61" t="str">
        <f t="shared" si="2"/>
        <v>triseriale</v>
      </c>
      <c r="O21" s="61" t="str">
        <f t="shared" si="2"/>
        <v>(Sw.) A.R.Sm.</v>
      </c>
    </row>
    <row r="22" spans="1:15" ht="16.8" x14ac:dyDescent="0.3">
      <c r="A22" s="70" t="str">
        <f>'BASE MAESTRA'!B28</f>
        <v>23</v>
      </c>
      <c r="B22" s="63"/>
      <c r="D22" s="61" t="str">
        <f t="shared" si="2"/>
        <v>Equisetopsida</v>
      </c>
      <c r="E22" s="61" t="str">
        <f t="shared" si="2"/>
        <v>Polypodiaceae</v>
      </c>
      <c r="F22" s="61" t="str">
        <f t="shared" si="2"/>
        <v>Serpocaulon</v>
      </c>
      <c r="J22" s="61" t="str">
        <f t="shared" si="2"/>
        <v>23</v>
      </c>
      <c r="K22" s="61" t="str">
        <f t="shared" si="2"/>
        <v>Plantae</v>
      </c>
      <c r="L22" s="61" t="str">
        <f t="shared" si="2"/>
        <v>Polypodiales</v>
      </c>
      <c r="M22" s="61" t="str">
        <f t="shared" si="2"/>
        <v>Tracheophyta</v>
      </c>
      <c r="N22" s="61" t="str">
        <f t="shared" si="2"/>
        <v>wagneri</v>
      </c>
      <c r="O22" s="61" t="str">
        <f t="shared" si="2"/>
        <v>(Mett.) A.R.Sm.</v>
      </c>
    </row>
    <row r="23" spans="1:15" ht="16.8" x14ac:dyDescent="0.3">
      <c r="A23" s="70" t="str">
        <f>'BASE MAESTRA'!B29</f>
        <v>24</v>
      </c>
      <c r="B23" s="63"/>
      <c r="D23" s="61">
        <f t="shared" si="2"/>
        <v>0</v>
      </c>
      <c r="E23" s="61">
        <f t="shared" si="2"/>
        <v>0</v>
      </c>
      <c r="F23" s="61">
        <f t="shared" si="2"/>
        <v>0</v>
      </c>
      <c r="J23" s="61" t="str">
        <f t="shared" si="2"/>
        <v>24</v>
      </c>
      <c r="K23" s="61">
        <f t="shared" si="2"/>
        <v>0</v>
      </c>
      <c r="L23" s="61">
        <f t="shared" si="2"/>
        <v>0</v>
      </c>
      <c r="M23" s="61">
        <f t="shared" si="2"/>
        <v>0</v>
      </c>
      <c r="N23" s="61">
        <f t="shared" si="2"/>
        <v>0</v>
      </c>
      <c r="O23" s="61">
        <f t="shared" si="2"/>
        <v>0</v>
      </c>
    </row>
    <row r="24" spans="1:15" ht="16.8" x14ac:dyDescent="0.3">
      <c r="A24" s="70" t="str">
        <f>'BASE MAESTRA'!B30</f>
        <v>25</v>
      </c>
      <c r="B24" s="63"/>
      <c r="D24" s="61">
        <f t="shared" si="2"/>
        <v>0</v>
      </c>
      <c r="E24" s="61">
        <f t="shared" si="2"/>
        <v>0</v>
      </c>
      <c r="F24" s="61">
        <f t="shared" si="2"/>
        <v>0</v>
      </c>
      <c r="J24" s="61" t="str">
        <f t="shared" si="2"/>
        <v>25</v>
      </c>
      <c r="K24" s="61">
        <f t="shared" si="2"/>
        <v>0</v>
      </c>
      <c r="L24" s="61">
        <f t="shared" si="2"/>
        <v>0</v>
      </c>
      <c r="M24" s="61">
        <f t="shared" si="2"/>
        <v>0</v>
      </c>
      <c r="N24" s="61">
        <f t="shared" si="2"/>
        <v>0</v>
      </c>
      <c r="O24" s="61">
        <f t="shared" si="2"/>
        <v>0</v>
      </c>
    </row>
    <row r="25" spans="1:15" ht="16.8" x14ac:dyDescent="0.3">
      <c r="A25" s="70" t="str">
        <f>'BASE MAESTRA'!B31</f>
        <v>26</v>
      </c>
      <c r="B25" s="63"/>
      <c r="D25" s="61">
        <f t="shared" si="2"/>
        <v>0</v>
      </c>
      <c r="E25" s="61">
        <f t="shared" si="2"/>
        <v>0</v>
      </c>
      <c r="F25" s="61">
        <f t="shared" si="2"/>
        <v>0</v>
      </c>
      <c r="J25" s="61" t="str">
        <f t="shared" si="2"/>
        <v>26</v>
      </c>
      <c r="K25" s="61">
        <f t="shared" si="2"/>
        <v>0</v>
      </c>
      <c r="L25" s="61">
        <f t="shared" si="2"/>
        <v>0</v>
      </c>
      <c r="M25" s="61">
        <f t="shared" si="2"/>
        <v>0</v>
      </c>
      <c r="N25" s="61">
        <f t="shared" si="2"/>
        <v>0</v>
      </c>
      <c r="O25" s="61">
        <f t="shared" si="2"/>
        <v>0</v>
      </c>
    </row>
    <row r="26" spans="1:15" ht="16.8" x14ac:dyDescent="0.3">
      <c r="A26" s="70" t="str">
        <f>'BASE MAESTRA'!B32</f>
        <v>27</v>
      </c>
      <c r="B26" s="63"/>
      <c r="D26" s="61">
        <f t="shared" si="2"/>
        <v>0</v>
      </c>
      <c r="E26" s="61">
        <f t="shared" si="2"/>
        <v>0</v>
      </c>
      <c r="F26" s="61">
        <f t="shared" si="2"/>
        <v>0</v>
      </c>
      <c r="J26" s="61" t="str">
        <f t="shared" si="2"/>
        <v>27</v>
      </c>
      <c r="K26" s="61">
        <f t="shared" si="2"/>
        <v>0</v>
      </c>
      <c r="L26" s="61">
        <f t="shared" si="2"/>
        <v>0</v>
      </c>
      <c r="M26" s="61">
        <f t="shared" si="2"/>
        <v>0</v>
      </c>
      <c r="N26" s="61">
        <f t="shared" si="2"/>
        <v>0</v>
      </c>
      <c r="O26" s="61">
        <f t="shared" si="2"/>
        <v>0</v>
      </c>
    </row>
    <row r="27" spans="1:15" ht="16.8" x14ac:dyDescent="0.3">
      <c r="A27" s="70" t="str">
        <f>'BASE MAESTRA'!B33</f>
        <v>28</v>
      </c>
      <c r="B27" s="63"/>
      <c r="D27" s="61">
        <f t="shared" si="2"/>
        <v>0</v>
      </c>
      <c r="E27" s="61">
        <f t="shared" si="2"/>
        <v>0</v>
      </c>
      <c r="F27" s="61">
        <f t="shared" si="2"/>
        <v>0</v>
      </c>
      <c r="J27" s="61" t="str">
        <f t="shared" si="2"/>
        <v>28</v>
      </c>
      <c r="K27" s="61">
        <f t="shared" si="2"/>
        <v>0</v>
      </c>
      <c r="L27" s="61">
        <f t="shared" si="2"/>
        <v>0</v>
      </c>
      <c r="M27" s="61">
        <f t="shared" si="2"/>
        <v>0</v>
      </c>
      <c r="N27" s="61">
        <f t="shared" si="2"/>
        <v>0</v>
      </c>
      <c r="O27" s="61">
        <f t="shared" si="2"/>
        <v>0</v>
      </c>
    </row>
    <row r="28" spans="1:15" ht="16.8" x14ac:dyDescent="0.3">
      <c r="A28" s="70" t="str">
        <f>'BASE MAESTRA'!B34</f>
        <v>29</v>
      </c>
      <c r="B28" s="63"/>
      <c r="D28" s="61">
        <f t="shared" si="2"/>
        <v>0</v>
      </c>
      <c r="E28" s="61">
        <f t="shared" si="2"/>
        <v>0</v>
      </c>
      <c r="F28" s="61">
        <f t="shared" si="2"/>
        <v>0</v>
      </c>
      <c r="J28" s="61" t="str">
        <f t="shared" si="2"/>
        <v>29</v>
      </c>
      <c r="K28" s="61">
        <f t="shared" si="2"/>
        <v>0</v>
      </c>
      <c r="L28" s="61">
        <f t="shared" si="2"/>
        <v>0</v>
      </c>
      <c r="M28" s="61">
        <f t="shared" si="2"/>
        <v>0</v>
      </c>
      <c r="N28" s="61">
        <f t="shared" si="2"/>
        <v>0</v>
      </c>
      <c r="O28" s="61">
        <f t="shared" si="2"/>
        <v>0</v>
      </c>
    </row>
    <row r="29" spans="1:15" ht="16.8" x14ac:dyDescent="0.3">
      <c r="A29" s="70" t="str">
        <f>'BASE MAESTRA'!B35</f>
        <v>30</v>
      </c>
      <c r="B29" s="63"/>
      <c r="D29" s="61">
        <f t="shared" si="2"/>
        <v>0</v>
      </c>
      <c r="E29" s="61">
        <f t="shared" si="2"/>
        <v>0</v>
      </c>
      <c r="F29" s="61">
        <f t="shared" si="2"/>
        <v>0</v>
      </c>
      <c r="J29" s="61" t="str">
        <f t="shared" si="2"/>
        <v>30</v>
      </c>
      <c r="K29" s="61">
        <f t="shared" si="2"/>
        <v>0</v>
      </c>
      <c r="L29" s="61">
        <f t="shared" si="2"/>
        <v>0</v>
      </c>
      <c r="M29" s="61">
        <f t="shared" si="2"/>
        <v>0</v>
      </c>
      <c r="N29" s="61">
        <f t="shared" si="2"/>
        <v>0</v>
      </c>
      <c r="O29" s="61">
        <f t="shared" si="2"/>
        <v>0</v>
      </c>
    </row>
    <row r="30" spans="1:15" ht="16.8" x14ac:dyDescent="0.3">
      <c r="A30" s="70" t="str">
        <f>'BASE MAESTRA'!B36</f>
        <v>31</v>
      </c>
      <c r="B30" s="63"/>
      <c r="D30" s="61">
        <f t="shared" si="2"/>
        <v>0</v>
      </c>
      <c r="E30" s="61">
        <f t="shared" si="2"/>
        <v>0</v>
      </c>
      <c r="F30" s="61">
        <f t="shared" si="2"/>
        <v>0</v>
      </c>
      <c r="J30" s="61" t="str">
        <f t="shared" si="2"/>
        <v>31</v>
      </c>
      <c r="K30" s="61">
        <f t="shared" si="2"/>
        <v>0</v>
      </c>
      <c r="L30" s="61">
        <f t="shared" si="2"/>
        <v>0</v>
      </c>
      <c r="M30" s="61">
        <f t="shared" si="2"/>
        <v>0</v>
      </c>
      <c r="N30" s="61">
        <f t="shared" si="2"/>
        <v>0</v>
      </c>
      <c r="O30" s="61">
        <f t="shared" si="2"/>
        <v>0</v>
      </c>
    </row>
    <row r="31" spans="1:15" ht="16.8" x14ac:dyDescent="0.3">
      <c r="A31" s="70" t="str">
        <f>'BASE MAESTRA'!B37</f>
        <v>32</v>
      </c>
      <c r="B31" s="63"/>
      <c r="D31" s="61">
        <f t="shared" si="2"/>
        <v>0</v>
      </c>
      <c r="E31" s="61">
        <f t="shared" si="2"/>
        <v>0</v>
      </c>
      <c r="F31" s="61">
        <f t="shared" si="2"/>
        <v>0</v>
      </c>
      <c r="J31" s="61" t="str">
        <f t="shared" si="2"/>
        <v>32</v>
      </c>
      <c r="K31" s="61">
        <f t="shared" si="2"/>
        <v>0</v>
      </c>
      <c r="L31" s="61">
        <f t="shared" si="2"/>
        <v>0</v>
      </c>
      <c r="M31" s="61">
        <f t="shared" si="2"/>
        <v>0</v>
      </c>
      <c r="N31" s="61">
        <f t="shared" si="2"/>
        <v>0</v>
      </c>
      <c r="O31" s="61">
        <f t="shared" si="2"/>
        <v>0</v>
      </c>
    </row>
    <row r="32" spans="1:15" ht="16.8" x14ac:dyDescent="0.3">
      <c r="A32" s="70" t="str">
        <f>'BASE MAESTRA'!B38</f>
        <v>33</v>
      </c>
      <c r="B32" s="63"/>
      <c r="D32" s="61">
        <f t="shared" si="2"/>
        <v>0</v>
      </c>
      <c r="E32" s="61">
        <f t="shared" si="2"/>
        <v>0</v>
      </c>
      <c r="F32" s="61">
        <f t="shared" si="2"/>
        <v>0</v>
      </c>
      <c r="J32" s="61" t="str">
        <f t="shared" si="2"/>
        <v>33</v>
      </c>
      <c r="K32" s="61">
        <f t="shared" si="2"/>
        <v>0</v>
      </c>
      <c r="L32" s="61">
        <f t="shared" si="2"/>
        <v>0</v>
      </c>
      <c r="M32" s="61">
        <f t="shared" si="2"/>
        <v>0</v>
      </c>
      <c r="N32" s="61">
        <f t="shared" si="2"/>
        <v>0</v>
      </c>
      <c r="O32" s="61">
        <f t="shared" si="2"/>
        <v>0</v>
      </c>
    </row>
    <row r="33" spans="1:15" ht="16.8" x14ac:dyDescent="0.3">
      <c r="A33" s="70" t="str">
        <f>'BASE MAESTRA'!B39</f>
        <v>34</v>
      </c>
      <c r="B33" s="63"/>
      <c r="D33" s="61">
        <f t="shared" si="2"/>
        <v>0</v>
      </c>
      <c r="E33" s="61">
        <f t="shared" si="2"/>
        <v>0</v>
      </c>
      <c r="F33" s="61">
        <f t="shared" si="2"/>
        <v>0</v>
      </c>
      <c r="J33" s="61" t="str">
        <f t="shared" si="2"/>
        <v>34</v>
      </c>
      <c r="K33" s="61">
        <f t="shared" si="2"/>
        <v>0</v>
      </c>
      <c r="L33" s="61">
        <f t="shared" si="2"/>
        <v>0</v>
      </c>
      <c r="M33" s="61">
        <f t="shared" si="2"/>
        <v>0</v>
      </c>
      <c r="N33" s="61">
        <f t="shared" si="2"/>
        <v>0</v>
      </c>
      <c r="O33" s="61">
        <f t="shared" si="2"/>
        <v>0</v>
      </c>
    </row>
    <row r="34" spans="1:15" ht="16.8" x14ac:dyDescent="0.3">
      <c r="A34" s="70" t="str">
        <f>'BASE MAESTRA'!B40</f>
        <v>35</v>
      </c>
      <c r="B34" s="63"/>
      <c r="D34" s="61">
        <f t="shared" si="2"/>
        <v>0</v>
      </c>
      <c r="E34" s="61">
        <f t="shared" si="2"/>
        <v>0</v>
      </c>
      <c r="F34" s="61">
        <f t="shared" si="2"/>
        <v>0</v>
      </c>
      <c r="J34" s="61" t="str">
        <f t="shared" si="2"/>
        <v>35</v>
      </c>
      <c r="K34" s="61">
        <f t="shared" si="2"/>
        <v>0</v>
      </c>
      <c r="L34" s="61">
        <f t="shared" si="2"/>
        <v>0</v>
      </c>
      <c r="M34" s="61">
        <f t="shared" si="2"/>
        <v>0</v>
      </c>
      <c r="N34" s="61">
        <f t="shared" si="2"/>
        <v>0</v>
      </c>
      <c r="O34" s="61">
        <f t="shared" si="2"/>
        <v>0</v>
      </c>
    </row>
    <row r="35" spans="1:15" ht="16.8" x14ac:dyDescent="0.3">
      <c r="A35" s="70" t="str">
        <f>'BASE MAESTRA'!B41</f>
        <v>36</v>
      </c>
      <c r="B35" s="63"/>
      <c r="D35" s="61">
        <f t="shared" si="2"/>
        <v>0</v>
      </c>
      <c r="E35" s="61">
        <f t="shared" si="2"/>
        <v>0</v>
      </c>
      <c r="F35" s="61">
        <f t="shared" si="2"/>
        <v>0</v>
      </c>
      <c r="J35" s="61" t="str">
        <f t="shared" si="2"/>
        <v>36</v>
      </c>
      <c r="K35" s="61">
        <f t="shared" si="2"/>
        <v>0</v>
      </c>
      <c r="L35" s="61">
        <f t="shared" si="2"/>
        <v>0</v>
      </c>
      <c r="M35" s="61">
        <f t="shared" si="2"/>
        <v>0</v>
      </c>
      <c r="N35" s="61">
        <f t="shared" si="2"/>
        <v>0</v>
      </c>
      <c r="O35" s="61">
        <f t="shared" si="2"/>
        <v>0</v>
      </c>
    </row>
    <row r="36" spans="1:15" ht="16.8" x14ac:dyDescent="0.3">
      <c r="A36" s="70" t="str">
        <f>'BASE MAESTRA'!B42</f>
        <v>37</v>
      </c>
      <c r="B36" s="63"/>
      <c r="D36" s="61">
        <f t="shared" si="2"/>
        <v>0</v>
      </c>
      <c r="E36" s="61">
        <f t="shared" si="2"/>
        <v>0</v>
      </c>
      <c r="F36" s="61">
        <f t="shared" si="2"/>
        <v>0</v>
      </c>
      <c r="J36" s="61" t="str">
        <f t="shared" si="2"/>
        <v>37</v>
      </c>
      <c r="K36" s="61">
        <f t="shared" si="2"/>
        <v>0</v>
      </c>
      <c r="L36" s="61">
        <f t="shared" si="2"/>
        <v>0</v>
      </c>
      <c r="M36" s="61">
        <f t="shared" si="2"/>
        <v>0</v>
      </c>
      <c r="N36" s="61">
        <f t="shared" si="2"/>
        <v>0</v>
      </c>
      <c r="O36" s="61">
        <f t="shared" si="2"/>
        <v>0</v>
      </c>
    </row>
    <row r="37" spans="1:15" ht="16.8" x14ac:dyDescent="0.3">
      <c r="A37" s="70" t="str">
        <f>'BASE MAESTRA'!B43</f>
        <v>38</v>
      </c>
      <c r="B37" s="63"/>
      <c r="D37" s="61">
        <f t="shared" si="2"/>
        <v>0</v>
      </c>
      <c r="E37" s="61">
        <f t="shared" si="2"/>
        <v>0</v>
      </c>
      <c r="F37" s="61">
        <f t="shared" si="2"/>
        <v>0</v>
      </c>
      <c r="J37" s="61" t="str">
        <f t="shared" si="2"/>
        <v>38</v>
      </c>
      <c r="K37" s="61">
        <f t="shared" si="2"/>
        <v>0</v>
      </c>
      <c r="L37" s="61">
        <f t="shared" si="2"/>
        <v>0</v>
      </c>
      <c r="M37" s="61">
        <f t="shared" si="2"/>
        <v>0</v>
      </c>
      <c r="N37" s="61">
        <f t="shared" si="2"/>
        <v>0</v>
      </c>
      <c r="O37" s="61">
        <f t="shared" si="2"/>
        <v>0</v>
      </c>
    </row>
    <row r="38" spans="1:15" ht="16.8" x14ac:dyDescent="0.3">
      <c r="A38" s="70" t="str">
        <f>'BASE MAESTRA'!B44</f>
        <v>39</v>
      </c>
      <c r="B38" s="63"/>
      <c r="D38" s="61">
        <f t="shared" si="2"/>
        <v>0</v>
      </c>
      <c r="E38" s="61">
        <f t="shared" si="2"/>
        <v>0</v>
      </c>
      <c r="F38" s="61">
        <f t="shared" si="2"/>
        <v>0</v>
      </c>
      <c r="J38" s="61" t="str">
        <f t="shared" si="2"/>
        <v>39</v>
      </c>
      <c r="K38" s="61">
        <f t="shared" si="2"/>
        <v>0</v>
      </c>
      <c r="L38" s="61">
        <f t="shared" si="2"/>
        <v>0</v>
      </c>
      <c r="M38" s="61">
        <f t="shared" si="2"/>
        <v>0</v>
      </c>
      <c r="N38" s="61">
        <f t="shared" si="2"/>
        <v>0</v>
      </c>
      <c r="O38" s="61">
        <f t="shared" si="2"/>
        <v>0</v>
      </c>
    </row>
    <row r="39" spans="1:15" ht="16.8" x14ac:dyDescent="0.3">
      <c r="A39" s="70">
        <f>'BASE MAESTRA'!B45</f>
        <v>37</v>
      </c>
      <c r="B39" s="63"/>
      <c r="D39" s="61">
        <f t="shared" si="2"/>
        <v>0</v>
      </c>
      <c r="E39" s="61">
        <f t="shared" si="2"/>
        <v>0</v>
      </c>
      <c r="F39" s="61">
        <f t="shared" si="2"/>
        <v>0</v>
      </c>
      <c r="J39" s="61">
        <f t="shared" si="2"/>
        <v>37</v>
      </c>
      <c r="K39" s="61">
        <f t="shared" si="2"/>
        <v>0</v>
      </c>
      <c r="L39" s="61">
        <f t="shared" si="2"/>
        <v>0</v>
      </c>
      <c r="M39" s="61">
        <f t="shared" si="2"/>
        <v>0</v>
      </c>
      <c r="N39" s="61">
        <f t="shared" si="2"/>
        <v>0</v>
      </c>
      <c r="O39" s="61">
        <f t="shared" si="2"/>
        <v>0</v>
      </c>
    </row>
    <row r="40" spans="1:15" ht="16.8" x14ac:dyDescent="0.3">
      <c r="A40" s="70">
        <f>'BASE MAESTRA'!B46</f>
        <v>38</v>
      </c>
      <c r="B40" s="63"/>
      <c r="D40" s="61">
        <f t="shared" si="2"/>
        <v>0</v>
      </c>
      <c r="E40" s="61">
        <f t="shared" si="2"/>
        <v>0</v>
      </c>
      <c r="F40" s="61">
        <f t="shared" si="2"/>
        <v>0</v>
      </c>
      <c r="J40" s="61">
        <f t="shared" si="2"/>
        <v>38</v>
      </c>
      <c r="K40" s="61">
        <f t="shared" ref="D40:O61" si="3">VLOOKUP($A40,DatosEspecies,K$2,FALSE)</f>
        <v>0</v>
      </c>
      <c r="L40" s="61">
        <f t="shared" si="3"/>
        <v>0</v>
      </c>
      <c r="M40" s="61">
        <f t="shared" si="3"/>
        <v>0</v>
      </c>
      <c r="N40" s="61">
        <f t="shared" si="3"/>
        <v>0</v>
      </c>
      <c r="O40" s="61">
        <f t="shared" si="3"/>
        <v>0</v>
      </c>
    </row>
    <row r="41" spans="1:15" ht="16.8" x14ac:dyDescent="0.3">
      <c r="A41" s="70">
        <f>'BASE MAESTRA'!B47</f>
        <v>39</v>
      </c>
      <c r="B41" s="63"/>
      <c r="D41" s="61">
        <f t="shared" si="3"/>
        <v>0</v>
      </c>
      <c r="E41" s="61">
        <f t="shared" si="3"/>
        <v>0</v>
      </c>
      <c r="F41" s="61">
        <f t="shared" si="3"/>
        <v>0</v>
      </c>
      <c r="J41" s="61">
        <f t="shared" si="3"/>
        <v>39</v>
      </c>
      <c r="K41" s="61">
        <f t="shared" si="3"/>
        <v>0</v>
      </c>
      <c r="L41" s="61">
        <f t="shared" si="3"/>
        <v>0</v>
      </c>
      <c r="M41" s="61">
        <f t="shared" si="3"/>
        <v>0</v>
      </c>
      <c r="N41" s="61">
        <f t="shared" si="3"/>
        <v>0</v>
      </c>
      <c r="O41" s="61">
        <f t="shared" si="3"/>
        <v>0</v>
      </c>
    </row>
    <row r="42" spans="1:15" ht="16.8" x14ac:dyDescent="0.3">
      <c r="A42" s="70">
        <f>'BASE MAESTRA'!B48</f>
        <v>40</v>
      </c>
      <c r="B42" s="63"/>
      <c r="D42" s="61">
        <f t="shared" si="3"/>
        <v>0</v>
      </c>
      <c r="E42" s="61">
        <f t="shared" si="3"/>
        <v>0</v>
      </c>
      <c r="F42" s="61">
        <f t="shared" si="3"/>
        <v>0</v>
      </c>
      <c r="J42" s="61">
        <f t="shared" si="3"/>
        <v>40</v>
      </c>
      <c r="K42" s="61">
        <f t="shared" si="3"/>
        <v>0</v>
      </c>
      <c r="L42" s="61">
        <f t="shared" si="3"/>
        <v>0</v>
      </c>
      <c r="M42" s="61">
        <f t="shared" si="3"/>
        <v>0</v>
      </c>
      <c r="N42" s="61">
        <f t="shared" si="3"/>
        <v>0</v>
      </c>
      <c r="O42" s="61">
        <f t="shared" si="3"/>
        <v>0</v>
      </c>
    </row>
    <row r="43" spans="1:15" ht="16.8" x14ac:dyDescent="0.3">
      <c r="A43" s="70">
        <f>'BASE MAESTRA'!B49</f>
        <v>41</v>
      </c>
      <c r="B43" s="63"/>
      <c r="D43" s="61">
        <f t="shared" si="3"/>
        <v>0</v>
      </c>
      <c r="E43" s="61">
        <f t="shared" si="3"/>
        <v>0</v>
      </c>
      <c r="F43" s="61">
        <f t="shared" si="3"/>
        <v>0</v>
      </c>
      <c r="J43" s="61">
        <f t="shared" si="3"/>
        <v>41</v>
      </c>
      <c r="K43" s="61">
        <f t="shared" si="3"/>
        <v>0</v>
      </c>
      <c r="L43" s="61">
        <f t="shared" si="3"/>
        <v>0</v>
      </c>
      <c r="M43" s="61">
        <f t="shared" si="3"/>
        <v>0</v>
      </c>
      <c r="N43" s="61">
        <f t="shared" si="3"/>
        <v>0</v>
      </c>
      <c r="O43" s="61">
        <f t="shared" si="3"/>
        <v>0</v>
      </c>
    </row>
    <row r="44" spans="1:15" ht="16.8" x14ac:dyDescent="0.3">
      <c r="A44" s="70">
        <f>'BASE MAESTRA'!B50</f>
        <v>42</v>
      </c>
      <c r="B44" s="63"/>
      <c r="D44" s="61">
        <f t="shared" si="3"/>
        <v>0</v>
      </c>
      <c r="E44" s="61">
        <f t="shared" si="3"/>
        <v>0</v>
      </c>
      <c r="F44" s="61">
        <f t="shared" si="3"/>
        <v>0</v>
      </c>
      <c r="J44" s="61">
        <f t="shared" si="3"/>
        <v>42</v>
      </c>
      <c r="K44" s="61">
        <f t="shared" si="3"/>
        <v>0</v>
      </c>
      <c r="L44" s="61">
        <f t="shared" si="3"/>
        <v>0</v>
      </c>
      <c r="M44" s="61">
        <f t="shared" si="3"/>
        <v>0</v>
      </c>
      <c r="N44" s="61">
        <f t="shared" si="3"/>
        <v>0</v>
      </c>
      <c r="O44" s="61">
        <f t="shared" si="3"/>
        <v>0</v>
      </c>
    </row>
    <row r="45" spans="1:15" ht="16.8" x14ac:dyDescent="0.3">
      <c r="A45" s="70">
        <f>'BASE MAESTRA'!B51</f>
        <v>43</v>
      </c>
      <c r="B45" s="63"/>
      <c r="D45" s="61">
        <f t="shared" si="3"/>
        <v>0</v>
      </c>
      <c r="E45" s="61">
        <f t="shared" si="3"/>
        <v>0</v>
      </c>
      <c r="F45" s="61">
        <f t="shared" si="3"/>
        <v>0</v>
      </c>
      <c r="J45" s="61">
        <f t="shared" si="3"/>
        <v>43</v>
      </c>
      <c r="K45" s="61">
        <f t="shared" si="3"/>
        <v>0</v>
      </c>
      <c r="L45" s="61">
        <f t="shared" si="3"/>
        <v>0</v>
      </c>
      <c r="M45" s="61">
        <f t="shared" si="3"/>
        <v>0</v>
      </c>
      <c r="N45" s="61">
        <f t="shared" si="3"/>
        <v>0</v>
      </c>
      <c r="O45" s="61">
        <f t="shared" si="3"/>
        <v>0</v>
      </c>
    </row>
    <row r="46" spans="1:15" ht="16.8" x14ac:dyDescent="0.3">
      <c r="A46" s="70">
        <f>'BASE MAESTRA'!B52</f>
        <v>44</v>
      </c>
      <c r="B46" s="63"/>
      <c r="D46" s="61">
        <f t="shared" si="3"/>
        <v>0</v>
      </c>
      <c r="E46" s="61">
        <f t="shared" si="3"/>
        <v>0</v>
      </c>
      <c r="F46" s="61">
        <f t="shared" si="3"/>
        <v>0</v>
      </c>
      <c r="J46" s="61">
        <f t="shared" si="3"/>
        <v>44</v>
      </c>
      <c r="K46" s="61">
        <f t="shared" si="3"/>
        <v>0</v>
      </c>
      <c r="L46" s="61">
        <f t="shared" si="3"/>
        <v>0</v>
      </c>
      <c r="M46" s="61">
        <f t="shared" si="3"/>
        <v>0</v>
      </c>
      <c r="N46" s="61">
        <f t="shared" si="3"/>
        <v>0</v>
      </c>
      <c r="O46" s="61">
        <f t="shared" si="3"/>
        <v>0</v>
      </c>
    </row>
    <row r="47" spans="1:15" ht="16.8" x14ac:dyDescent="0.3">
      <c r="A47" s="70">
        <f>'BASE MAESTRA'!B53</f>
        <v>45</v>
      </c>
      <c r="B47" s="63"/>
      <c r="D47" s="61">
        <f t="shared" si="3"/>
        <v>0</v>
      </c>
      <c r="E47" s="61">
        <f t="shared" si="3"/>
        <v>0</v>
      </c>
      <c r="F47" s="61">
        <f t="shared" si="3"/>
        <v>0</v>
      </c>
      <c r="J47" s="61">
        <f t="shared" si="3"/>
        <v>45</v>
      </c>
      <c r="K47" s="61">
        <f t="shared" si="3"/>
        <v>0</v>
      </c>
      <c r="L47" s="61">
        <f t="shared" si="3"/>
        <v>0</v>
      </c>
      <c r="M47" s="61">
        <f t="shared" si="3"/>
        <v>0</v>
      </c>
      <c r="N47" s="61">
        <f t="shared" si="3"/>
        <v>0</v>
      </c>
      <c r="O47" s="61">
        <f t="shared" si="3"/>
        <v>0</v>
      </c>
    </row>
    <row r="48" spans="1:15" ht="16.8" x14ac:dyDescent="0.3">
      <c r="A48" s="70">
        <f>'BASE MAESTRA'!B54</f>
        <v>46</v>
      </c>
      <c r="B48" s="63"/>
      <c r="D48" s="61">
        <f t="shared" si="3"/>
        <v>0</v>
      </c>
      <c r="E48" s="61">
        <f t="shared" si="3"/>
        <v>0</v>
      </c>
      <c r="F48" s="61">
        <f t="shared" si="3"/>
        <v>0</v>
      </c>
      <c r="J48" s="61">
        <f t="shared" si="3"/>
        <v>46</v>
      </c>
      <c r="K48" s="61">
        <f t="shared" si="3"/>
        <v>0</v>
      </c>
      <c r="L48" s="61">
        <f t="shared" si="3"/>
        <v>0</v>
      </c>
      <c r="M48" s="61">
        <f t="shared" si="3"/>
        <v>0</v>
      </c>
      <c r="N48" s="61">
        <f t="shared" si="3"/>
        <v>0</v>
      </c>
      <c r="O48" s="61">
        <f t="shared" si="3"/>
        <v>0</v>
      </c>
    </row>
    <row r="49" spans="1:15" ht="16.8" x14ac:dyDescent="0.3">
      <c r="A49" s="70">
        <f>'BASE MAESTRA'!B55</f>
        <v>47</v>
      </c>
      <c r="B49" s="63"/>
      <c r="D49" s="61">
        <f t="shared" si="3"/>
        <v>0</v>
      </c>
      <c r="E49" s="61">
        <f t="shared" si="3"/>
        <v>0</v>
      </c>
      <c r="F49" s="61">
        <f t="shared" si="3"/>
        <v>0</v>
      </c>
      <c r="J49" s="61">
        <f t="shared" si="3"/>
        <v>47</v>
      </c>
      <c r="K49" s="61">
        <f t="shared" si="3"/>
        <v>0</v>
      </c>
      <c r="L49" s="61">
        <f t="shared" si="3"/>
        <v>0</v>
      </c>
      <c r="M49" s="61">
        <f t="shared" si="3"/>
        <v>0</v>
      </c>
      <c r="N49" s="61">
        <f t="shared" si="3"/>
        <v>0</v>
      </c>
      <c r="O49" s="61">
        <f t="shared" si="3"/>
        <v>0</v>
      </c>
    </row>
    <row r="50" spans="1:15" ht="16.8" x14ac:dyDescent="0.3">
      <c r="A50" s="70">
        <f>'BASE MAESTRA'!B56</f>
        <v>48</v>
      </c>
      <c r="B50" s="63"/>
      <c r="D50" s="61">
        <f t="shared" si="3"/>
        <v>0</v>
      </c>
      <c r="E50" s="61">
        <f t="shared" si="3"/>
        <v>0</v>
      </c>
      <c r="F50" s="61">
        <f t="shared" si="3"/>
        <v>0</v>
      </c>
      <c r="J50" s="61">
        <f t="shared" si="3"/>
        <v>48</v>
      </c>
      <c r="K50" s="61">
        <f t="shared" si="3"/>
        <v>0</v>
      </c>
      <c r="L50" s="61">
        <f t="shared" si="3"/>
        <v>0</v>
      </c>
      <c r="M50" s="61">
        <f t="shared" si="3"/>
        <v>0</v>
      </c>
      <c r="N50" s="61">
        <f t="shared" si="3"/>
        <v>0</v>
      </c>
      <c r="O50" s="61">
        <f t="shared" si="3"/>
        <v>0</v>
      </c>
    </row>
    <row r="51" spans="1:15" ht="16.8" x14ac:dyDescent="0.3">
      <c r="A51" s="70">
        <f>'BASE MAESTRA'!B57</f>
        <v>49</v>
      </c>
      <c r="B51" s="63"/>
      <c r="D51" s="61">
        <f t="shared" si="3"/>
        <v>0</v>
      </c>
      <c r="E51" s="61">
        <f t="shared" si="3"/>
        <v>0</v>
      </c>
      <c r="F51" s="61">
        <f t="shared" si="3"/>
        <v>0</v>
      </c>
      <c r="J51" s="61">
        <f t="shared" si="3"/>
        <v>49</v>
      </c>
      <c r="K51" s="61">
        <f t="shared" si="3"/>
        <v>0</v>
      </c>
      <c r="L51" s="61">
        <f t="shared" si="3"/>
        <v>0</v>
      </c>
      <c r="M51" s="61">
        <f t="shared" si="3"/>
        <v>0</v>
      </c>
      <c r="N51" s="61">
        <f t="shared" si="3"/>
        <v>0</v>
      </c>
      <c r="O51" s="61">
        <f t="shared" si="3"/>
        <v>0</v>
      </c>
    </row>
    <row r="52" spans="1:15" ht="16.8" x14ac:dyDescent="0.3">
      <c r="A52" s="70">
        <f>'BASE MAESTRA'!B58</f>
        <v>50</v>
      </c>
      <c r="B52" s="63"/>
      <c r="D52" s="61">
        <f t="shared" si="3"/>
        <v>0</v>
      </c>
      <c r="E52" s="61">
        <f t="shared" si="3"/>
        <v>0</v>
      </c>
      <c r="F52" s="61">
        <f t="shared" si="3"/>
        <v>0</v>
      </c>
      <c r="J52" s="61">
        <f t="shared" si="3"/>
        <v>50</v>
      </c>
      <c r="K52" s="61">
        <f t="shared" si="3"/>
        <v>0</v>
      </c>
      <c r="L52" s="61">
        <f t="shared" si="3"/>
        <v>0</v>
      </c>
      <c r="M52" s="61">
        <f t="shared" si="3"/>
        <v>0</v>
      </c>
      <c r="N52" s="61">
        <f t="shared" si="3"/>
        <v>0</v>
      </c>
      <c r="O52" s="61">
        <f t="shared" si="3"/>
        <v>0</v>
      </c>
    </row>
    <row r="53" spans="1:15" ht="16.8" x14ac:dyDescent="0.3">
      <c r="A53" s="70">
        <f>'BASE MAESTRA'!B59</f>
        <v>51</v>
      </c>
      <c r="B53" s="63"/>
      <c r="D53" s="61">
        <f t="shared" si="3"/>
        <v>0</v>
      </c>
      <c r="E53" s="61">
        <f t="shared" si="3"/>
        <v>0</v>
      </c>
      <c r="F53" s="61">
        <f t="shared" si="3"/>
        <v>0</v>
      </c>
      <c r="J53" s="61">
        <f t="shared" si="3"/>
        <v>51</v>
      </c>
      <c r="K53" s="61">
        <f t="shared" si="3"/>
        <v>0</v>
      </c>
      <c r="L53" s="61">
        <f t="shared" si="3"/>
        <v>0</v>
      </c>
      <c r="M53" s="61">
        <f t="shared" si="3"/>
        <v>0</v>
      </c>
      <c r="N53" s="61">
        <f t="shared" si="3"/>
        <v>0</v>
      </c>
      <c r="O53" s="61">
        <f t="shared" si="3"/>
        <v>0</v>
      </c>
    </row>
    <row r="54" spans="1:15" ht="16.8" x14ac:dyDescent="0.3">
      <c r="A54" s="70">
        <f>'BASE MAESTRA'!B60</f>
        <v>52</v>
      </c>
      <c r="B54" s="63"/>
      <c r="D54" s="61">
        <f t="shared" si="3"/>
        <v>0</v>
      </c>
      <c r="E54" s="61">
        <f t="shared" si="3"/>
        <v>0</v>
      </c>
      <c r="F54" s="61">
        <f t="shared" si="3"/>
        <v>0</v>
      </c>
      <c r="J54" s="61">
        <f t="shared" si="3"/>
        <v>52</v>
      </c>
      <c r="K54" s="61">
        <f t="shared" si="3"/>
        <v>0</v>
      </c>
      <c r="L54" s="61">
        <f t="shared" si="3"/>
        <v>0</v>
      </c>
      <c r="M54" s="61">
        <f t="shared" si="3"/>
        <v>0</v>
      </c>
      <c r="N54" s="61">
        <f t="shared" si="3"/>
        <v>0</v>
      </c>
      <c r="O54" s="61">
        <f t="shared" si="3"/>
        <v>0</v>
      </c>
    </row>
    <row r="55" spans="1:15" ht="16.8" x14ac:dyDescent="0.3">
      <c r="A55" s="70">
        <f>'BASE MAESTRA'!B61</f>
        <v>53</v>
      </c>
      <c r="B55" s="63"/>
      <c r="D55" s="61">
        <f t="shared" si="3"/>
        <v>0</v>
      </c>
      <c r="E55" s="61">
        <f t="shared" si="3"/>
        <v>0</v>
      </c>
      <c r="F55" s="61">
        <f t="shared" si="3"/>
        <v>0</v>
      </c>
      <c r="J55" s="61">
        <f t="shared" si="3"/>
        <v>53</v>
      </c>
      <c r="K55" s="61">
        <f t="shared" si="3"/>
        <v>0</v>
      </c>
      <c r="L55" s="61">
        <f t="shared" si="3"/>
        <v>0</v>
      </c>
      <c r="M55" s="61">
        <f t="shared" si="3"/>
        <v>0</v>
      </c>
      <c r="N55" s="61">
        <f t="shared" si="3"/>
        <v>0</v>
      </c>
      <c r="O55" s="61">
        <f t="shared" si="3"/>
        <v>0</v>
      </c>
    </row>
    <row r="56" spans="1:15" ht="16.8" x14ac:dyDescent="0.3">
      <c r="A56" s="70">
        <f>'BASE MAESTRA'!B62</f>
        <v>54</v>
      </c>
      <c r="B56" s="63"/>
      <c r="D56" s="61">
        <f t="shared" si="3"/>
        <v>0</v>
      </c>
      <c r="E56" s="61">
        <f t="shared" si="3"/>
        <v>0</v>
      </c>
      <c r="F56" s="61">
        <f t="shared" si="3"/>
        <v>0</v>
      </c>
      <c r="J56" s="61">
        <f t="shared" si="3"/>
        <v>54</v>
      </c>
      <c r="K56" s="61">
        <f t="shared" si="3"/>
        <v>0</v>
      </c>
      <c r="L56" s="61">
        <f t="shared" si="3"/>
        <v>0</v>
      </c>
      <c r="M56" s="61">
        <f t="shared" si="3"/>
        <v>0</v>
      </c>
      <c r="N56" s="61">
        <f t="shared" si="3"/>
        <v>0</v>
      </c>
      <c r="O56" s="61">
        <f t="shared" si="3"/>
        <v>0</v>
      </c>
    </row>
    <row r="57" spans="1:15" ht="16.8" x14ac:dyDescent="0.3">
      <c r="A57" s="70">
        <f>'BASE MAESTRA'!B63</f>
        <v>55</v>
      </c>
      <c r="B57" s="63"/>
      <c r="D57" s="61">
        <f t="shared" si="3"/>
        <v>0</v>
      </c>
      <c r="E57" s="61">
        <f t="shared" si="3"/>
        <v>0</v>
      </c>
      <c r="F57" s="61">
        <f t="shared" si="3"/>
        <v>0</v>
      </c>
      <c r="J57" s="61">
        <f t="shared" si="3"/>
        <v>55</v>
      </c>
      <c r="K57" s="61">
        <f t="shared" si="3"/>
        <v>0</v>
      </c>
      <c r="L57" s="61">
        <f t="shared" si="3"/>
        <v>0</v>
      </c>
      <c r="M57" s="61">
        <f t="shared" si="3"/>
        <v>0</v>
      </c>
      <c r="N57" s="61">
        <f t="shared" si="3"/>
        <v>0</v>
      </c>
      <c r="O57" s="61">
        <f t="shared" si="3"/>
        <v>0</v>
      </c>
    </row>
    <row r="58" spans="1:15" ht="16.8" x14ac:dyDescent="0.3">
      <c r="A58" s="70">
        <f>'BASE MAESTRA'!B64</f>
        <v>56</v>
      </c>
      <c r="B58" s="63"/>
      <c r="D58" s="61">
        <f t="shared" si="3"/>
        <v>0</v>
      </c>
      <c r="E58" s="61">
        <f t="shared" si="3"/>
        <v>0</v>
      </c>
      <c r="F58" s="61">
        <f t="shared" si="3"/>
        <v>0</v>
      </c>
      <c r="J58" s="61">
        <f t="shared" si="3"/>
        <v>56</v>
      </c>
      <c r="K58" s="61">
        <f t="shared" si="3"/>
        <v>0</v>
      </c>
      <c r="L58" s="61">
        <f t="shared" si="3"/>
        <v>0</v>
      </c>
      <c r="M58" s="61">
        <f t="shared" si="3"/>
        <v>0</v>
      </c>
      <c r="N58" s="61">
        <f t="shared" si="3"/>
        <v>0</v>
      </c>
      <c r="O58" s="61">
        <f t="shared" si="3"/>
        <v>0</v>
      </c>
    </row>
    <row r="59" spans="1:15" ht="16.8" x14ac:dyDescent="0.3">
      <c r="A59" s="70">
        <f>'BASE MAESTRA'!B65</f>
        <v>57</v>
      </c>
      <c r="B59" s="63"/>
      <c r="D59" s="61">
        <f t="shared" si="3"/>
        <v>0</v>
      </c>
      <c r="E59" s="61">
        <f t="shared" si="3"/>
        <v>0</v>
      </c>
      <c r="F59" s="61">
        <f t="shared" si="3"/>
        <v>0</v>
      </c>
      <c r="J59" s="61">
        <f t="shared" si="3"/>
        <v>57</v>
      </c>
      <c r="K59" s="61">
        <f t="shared" si="3"/>
        <v>0</v>
      </c>
      <c r="L59" s="61">
        <f t="shared" si="3"/>
        <v>0</v>
      </c>
      <c r="M59" s="61">
        <f t="shared" si="3"/>
        <v>0</v>
      </c>
      <c r="N59" s="61">
        <f t="shared" si="3"/>
        <v>0</v>
      </c>
      <c r="O59" s="61">
        <f t="shared" si="3"/>
        <v>0</v>
      </c>
    </row>
    <row r="60" spans="1:15" ht="16.8" x14ac:dyDescent="0.3">
      <c r="A60" s="70">
        <f>'BASE MAESTRA'!B66</f>
        <v>58</v>
      </c>
      <c r="B60" s="63"/>
      <c r="D60" s="61">
        <f t="shared" si="3"/>
        <v>0</v>
      </c>
      <c r="E60" s="61">
        <f t="shared" si="3"/>
        <v>0</v>
      </c>
      <c r="F60" s="61">
        <f t="shared" si="3"/>
        <v>0</v>
      </c>
      <c r="J60" s="61">
        <f t="shared" si="3"/>
        <v>58</v>
      </c>
      <c r="K60" s="61">
        <f t="shared" si="3"/>
        <v>0</v>
      </c>
      <c r="L60" s="61">
        <f t="shared" si="3"/>
        <v>0</v>
      </c>
      <c r="M60" s="61">
        <f t="shared" si="3"/>
        <v>0</v>
      </c>
      <c r="N60" s="61">
        <f t="shared" si="3"/>
        <v>0</v>
      </c>
      <c r="O60" s="61">
        <f t="shared" si="3"/>
        <v>0</v>
      </c>
    </row>
    <row r="61" spans="1:15" ht="16.8" x14ac:dyDescent="0.3">
      <c r="A61" s="70">
        <f>'BASE MAESTRA'!B67</f>
        <v>59</v>
      </c>
      <c r="B61" s="63"/>
      <c r="D61" s="61">
        <f t="shared" si="3"/>
        <v>0</v>
      </c>
      <c r="E61" s="61">
        <f t="shared" si="3"/>
        <v>0</v>
      </c>
      <c r="F61" s="61">
        <f t="shared" si="3"/>
        <v>0</v>
      </c>
      <c r="J61" s="61">
        <f t="shared" si="3"/>
        <v>59</v>
      </c>
      <c r="K61" s="61">
        <f t="shared" si="3"/>
        <v>0</v>
      </c>
      <c r="L61" s="61">
        <f t="shared" si="3"/>
        <v>0</v>
      </c>
      <c r="M61" s="61">
        <f t="shared" si="3"/>
        <v>0</v>
      </c>
      <c r="N61" s="61">
        <f t="shared" ref="D61:O83" si="4">VLOOKUP($A61,DatosEspecies,N$2,FALSE)</f>
        <v>0</v>
      </c>
      <c r="O61" s="61">
        <f t="shared" si="4"/>
        <v>0</v>
      </c>
    </row>
    <row r="62" spans="1:15" ht="16.8" x14ac:dyDescent="0.3">
      <c r="A62" s="70">
        <f>'BASE MAESTRA'!B68</f>
        <v>60</v>
      </c>
      <c r="B62" s="63"/>
      <c r="D62" s="61">
        <f t="shared" si="4"/>
        <v>0</v>
      </c>
      <c r="E62" s="61">
        <f t="shared" si="4"/>
        <v>0</v>
      </c>
      <c r="F62" s="61">
        <f t="shared" si="4"/>
        <v>0</v>
      </c>
      <c r="J62" s="61">
        <f t="shared" si="4"/>
        <v>60</v>
      </c>
      <c r="K62" s="61">
        <f t="shared" si="4"/>
        <v>0</v>
      </c>
      <c r="L62" s="61">
        <f t="shared" si="4"/>
        <v>0</v>
      </c>
      <c r="M62" s="61">
        <f t="shared" si="4"/>
        <v>0</v>
      </c>
      <c r="N62" s="61">
        <f t="shared" si="4"/>
        <v>0</v>
      </c>
      <c r="O62" s="61">
        <f t="shared" si="4"/>
        <v>0</v>
      </c>
    </row>
    <row r="63" spans="1:15" ht="16.8" x14ac:dyDescent="0.3">
      <c r="A63" s="70">
        <f>'BASE MAESTRA'!B69</f>
        <v>61</v>
      </c>
      <c r="B63" s="63"/>
      <c r="D63" s="61">
        <f t="shared" si="4"/>
        <v>0</v>
      </c>
      <c r="E63" s="61">
        <f t="shared" si="4"/>
        <v>0</v>
      </c>
      <c r="F63" s="61">
        <f t="shared" si="4"/>
        <v>0</v>
      </c>
      <c r="J63" s="61">
        <f t="shared" si="4"/>
        <v>61</v>
      </c>
      <c r="K63" s="61">
        <f t="shared" si="4"/>
        <v>0</v>
      </c>
      <c r="L63" s="61">
        <f t="shared" si="4"/>
        <v>0</v>
      </c>
      <c r="M63" s="61">
        <f t="shared" si="4"/>
        <v>0</v>
      </c>
      <c r="N63" s="61">
        <f t="shared" si="4"/>
        <v>0</v>
      </c>
      <c r="O63" s="61">
        <f t="shared" si="4"/>
        <v>0</v>
      </c>
    </row>
    <row r="64" spans="1:15" ht="16.8" x14ac:dyDescent="0.3">
      <c r="A64" s="70">
        <f>'BASE MAESTRA'!B70</f>
        <v>62</v>
      </c>
      <c r="B64" s="63"/>
      <c r="D64" s="61">
        <f t="shared" si="4"/>
        <v>0</v>
      </c>
      <c r="E64" s="61">
        <f t="shared" si="4"/>
        <v>0</v>
      </c>
      <c r="F64" s="61">
        <f t="shared" si="4"/>
        <v>0</v>
      </c>
      <c r="J64" s="61">
        <f t="shared" si="4"/>
        <v>62</v>
      </c>
      <c r="K64" s="61">
        <f t="shared" si="4"/>
        <v>0</v>
      </c>
      <c r="L64" s="61">
        <f t="shared" si="4"/>
        <v>0</v>
      </c>
      <c r="M64" s="61">
        <f t="shared" si="4"/>
        <v>0</v>
      </c>
      <c r="N64" s="61">
        <f t="shared" si="4"/>
        <v>0</v>
      </c>
      <c r="O64" s="61">
        <f t="shared" si="4"/>
        <v>0</v>
      </c>
    </row>
    <row r="65" spans="1:15" ht="16.8" x14ac:dyDescent="0.3">
      <c r="A65" s="70">
        <f>'BASE MAESTRA'!B71</f>
        <v>63</v>
      </c>
      <c r="B65" s="63"/>
      <c r="D65" s="61">
        <f t="shared" si="4"/>
        <v>0</v>
      </c>
      <c r="E65" s="61">
        <f t="shared" si="4"/>
        <v>0</v>
      </c>
      <c r="F65" s="61">
        <f t="shared" si="4"/>
        <v>0</v>
      </c>
      <c r="J65" s="61">
        <f t="shared" si="4"/>
        <v>63</v>
      </c>
      <c r="K65" s="61">
        <f t="shared" si="4"/>
        <v>0</v>
      </c>
      <c r="L65" s="61">
        <f t="shared" si="4"/>
        <v>0</v>
      </c>
      <c r="M65" s="61">
        <f t="shared" si="4"/>
        <v>0</v>
      </c>
      <c r="N65" s="61">
        <f t="shared" si="4"/>
        <v>0</v>
      </c>
      <c r="O65" s="61">
        <f t="shared" si="4"/>
        <v>0</v>
      </c>
    </row>
    <row r="66" spans="1:15" ht="16.8" x14ac:dyDescent="0.3">
      <c r="A66" s="70">
        <f>'BASE MAESTRA'!B72</f>
        <v>64</v>
      </c>
      <c r="B66" s="63"/>
      <c r="D66" s="61">
        <f t="shared" si="4"/>
        <v>0</v>
      </c>
      <c r="E66" s="61">
        <f t="shared" si="4"/>
        <v>0</v>
      </c>
      <c r="F66" s="61">
        <f t="shared" si="4"/>
        <v>0</v>
      </c>
      <c r="J66" s="61">
        <f t="shared" si="4"/>
        <v>64</v>
      </c>
      <c r="K66" s="61">
        <f t="shared" si="4"/>
        <v>0</v>
      </c>
      <c r="L66" s="61">
        <f t="shared" si="4"/>
        <v>0</v>
      </c>
      <c r="M66" s="61">
        <f t="shared" si="4"/>
        <v>0</v>
      </c>
      <c r="N66" s="61">
        <f t="shared" si="4"/>
        <v>0</v>
      </c>
      <c r="O66" s="61">
        <f t="shared" si="4"/>
        <v>0</v>
      </c>
    </row>
    <row r="67" spans="1:15" ht="16.8" x14ac:dyDescent="0.3">
      <c r="A67" s="70">
        <f>'BASE MAESTRA'!B73</f>
        <v>65</v>
      </c>
      <c r="B67" s="63"/>
      <c r="D67" s="61">
        <f t="shared" si="4"/>
        <v>0</v>
      </c>
      <c r="E67" s="61">
        <f t="shared" si="4"/>
        <v>0</v>
      </c>
      <c r="F67" s="61">
        <f t="shared" si="4"/>
        <v>0</v>
      </c>
      <c r="J67" s="61">
        <f t="shared" si="4"/>
        <v>65</v>
      </c>
      <c r="K67" s="61">
        <f t="shared" si="4"/>
        <v>0</v>
      </c>
      <c r="L67" s="61">
        <f t="shared" si="4"/>
        <v>0</v>
      </c>
      <c r="M67" s="61">
        <f t="shared" si="4"/>
        <v>0</v>
      </c>
      <c r="N67" s="61">
        <f t="shared" si="4"/>
        <v>0</v>
      </c>
      <c r="O67" s="61">
        <f t="shared" si="4"/>
        <v>0</v>
      </c>
    </row>
    <row r="68" spans="1:15" ht="16.8" x14ac:dyDescent="0.3">
      <c r="A68" s="70">
        <f>'BASE MAESTRA'!B74</f>
        <v>66</v>
      </c>
      <c r="B68" s="63"/>
      <c r="D68" s="61">
        <f t="shared" si="4"/>
        <v>0</v>
      </c>
      <c r="E68" s="61">
        <f t="shared" si="4"/>
        <v>0</v>
      </c>
      <c r="F68" s="61">
        <f t="shared" si="4"/>
        <v>0</v>
      </c>
      <c r="J68" s="61">
        <f t="shared" si="4"/>
        <v>66</v>
      </c>
      <c r="K68" s="61">
        <f t="shared" si="4"/>
        <v>0</v>
      </c>
      <c r="L68" s="61">
        <f t="shared" si="4"/>
        <v>0</v>
      </c>
      <c r="M68" s="61">
        <f t="shared" si="4"/>
        <v>0</v>
      </c>
      <c r="N68" s="61">
        <f t="shared" si="4"/>
        <v>0</v>
      </c>
      <c r="O68" s="61">
        <f t="shared" si="4"/>
        <v>0</v>
      </c>
    </row>
    <row r="69" spans="1:15" ht="16.8" x14ac:dyDescent="0.3">
      <c r="A69" s="70">
        <f>'BASE MAESTRA'!B75</f>
        <v>67</v>
      </c>
      <c r="B69" s="63"/>
      <c r="D69" s="61">
        <f t="shared" si="4"/>
        <v>0</v>
      </c>
      <c r="E69" s="61">
        <f t="shared" si="4"/>
        <v>0</v>
      </c>
      <c r="F69" s="61">
        <f t="shared" si="4"/>
        <v>0</v>
      </c>
      <c r="J69" s="61">
        <f t="shared" si="4"/>
        <v>67</v>
      </c>
      <c r="K69" s="61">
        <f t="shared" si="4"/>
        <v>0</v>
      </c>
      <c r="L69" s="61">
        <f t="shared" si="4"/>
        <v>0</v>
      </c>
      <c r="M69" s="61">
        <f t="shared" si="4"/>
        <v>0</v>
      </c>
      <c r="N69" s="61">
        <f t="shared" si="4"/>
        <v>0</v>
      </c>
      <c r="O69" s="61">
        <f t="shared" si="4"/>
        <v>0</v>
      </c>
    </row>
    <row r="70" spans="1:15" ht="16.8" x14ac:dyDescent="0.3">
      <c r="A70" s="70">
        <f>'BASE MAESTRA'!B76</f>
        <v>68</v>
      </c>
      <c r="B70" s="63"/>
      <c r="D70" s="61">
        <f t="shared" si="4"/>
        <v>0</v>
      </c>
      <c r="E70" s="61">
        <f t="shared" si="4"/>
        <v>0</v>
      </c>
      <c r="F70" s="61">
        <f t="shared" si="4"/>
        <v>0</v>
      </c>
      <c r="J70" s="61">
        <f t="shared" si="4"/>
        <v>68</v>
      </c>
      <c r="K70" s="61">
        <f t="shared" si="4"/>
        <v>0</v>
      </c>
      <c r="L70" s="61">
        <f t="shared" si="4"/>
        <v>0</v>
      </c>
      <c r="M70" s="61">
        <f t="shared" si="4"/>
        <v>0</v>
      </c>
      <c r="N70" s="61">
        <f t="shared" si="4"/>
        <v>0</v>
      </c>
      <c r="O70" s="61">
        <f t="shared" si="4"/>
        <v>0</v>
      </c>
    </row>
    <row r="71" spans="1:15" ht="16.8" x14ac:dyDescent="0.3">
      <c r="A71" s="70">
        <f>'BASE MAESTRA'!B77</f>
        <v>69</v>
      </c>
      <c r="B71" s="63"/>
      <c r="D71" s="61">
        <f t="shared" si="4"/>
        <v>0</v>
      </c>
      <c r="E71" s="61">
        <f t="shared" si="4"/>
        <v>0</v>
      </c>
      <c r="F71" s="61">
        <f t="shared" si="4"/>
        <v>0</v>
      </c>
      <c r="J71" s="61">
        <f t="shared" si="4"/>
        <v>69</v>
      </c>
      <c r="K71" s="61">
        <f t="shared" si="4"/>
        <v>0</v>
      </c>
      <c r="L71" s="61">
        <f t="shared" si="4"/>
        <v>0</v>
      </c>
      <c r="M71" s="61">
        <f t="shared" si="4"/>
        <v>0</v>
      </c>
      <c r="N71" s="61">
        <f t="shared" si="4"/>
        <v>0</v>
      </c>
      <c r="O71" s="61">
        <f t="shared" si="4"/>
        <v>0</v>
      </c>
    </row>
    <row r="72" spans="1:15" ht="16.8" x14ac:dyDescent="0.3">
      <c r="A72" s="70">
        <f>'BASE MAESTRA'!B78</f>
        <v>70</v>
      </c>
      <c r="B72" s="63"/>
      <c r="D72" s="61">
        <f t="shared" si="4"/>
        <v>0</v>
      </c>
      <c r="E72" s="61">
        <f t="shared" si="4"/>
        <v>0</v>
      </c>
      <c r="F72" s="61">
        <f t="shared" si="4"/>
        <v>0</v>
      </c>
      <c r="J72" s="61">
        <f t="shared" si="4"/>
        <v>70</v>
      </c>
      <c r="K72" s="61">
        <f t="shared" si="4"/>
        <v>0</v>
      </c>
      <c r="L72" s="61">
        <f t="shared" si="4"/>
        <v>0</v>
      </c>
      <c r="M72" s="61">
        <f t="shared" si="4"/>
        <v>0</v>
      </c>
      <c r="N72" s="61">
        <f t="shared" si="4"/>
        <v>0</v>
      </c>
      <c r="O72" s="61">
        <f t="shared" si="4"/>
        <v>0</v>
      </c>
    </row>
    <row r="73" spans="1:15" ht="16.8" x14ac:dyDescent="0.3">
      <c r="A73" s="70">
        <f>'BASE MAESTRA'!B79</f>
        <v>71</v>
      </c>
      <c r="B73" s="63"/>
      <c r="D73" s="61">
        <f t="shared" si="4"/>
        <v>0</v>
      </c>
      <c r="E73" s="61">
        <f t="shared" si="4"/>
        <v>0</v>
      </c>
      <c r="F73" s="61">
        <f t="shared" si="4"/>
        <v>0</v>
      </c>
      <c r="J73" s="61">
        <f t="shared" si="4"/>
        <v>71</v>
      </c>
      <c r="K73" s="61">
        <f t="shared" si="4"/>
        <v>0</v>
      </c>
      <c r="L73" s="61">
        <f t="shared" si="4"/>
        <v>0</v>
      </c>
      <c r="M73" s="61">
        <f t="shared" si="4"/>
        <v>0</v>
      </c>
      <c r="N73" s="61">
        <f t="shared" si="4"/>
        <v>0</v>
      </c>
      <c r="O73" s="61">
        <f t="shared" si="4"/>
        <v>0</v>
      </c>
    </row>
    <row r="74" spans="1:15" ht="16.8" x14ac:dyDescent="0.3">
      <c r="A74" s="70">
        <f>'BASE MAESTRA'!B80</f>
        <v>72</v>
      </c>
      <c r="B74" s="63"/>
      <c r="D74" s="61">
        <f t="shared" si="4"/>
        <v>0</v>
      </c>
      <c r="E74" s="61">
        <f t="shared" si="4"/>
        <v>0</v>
      </c>
      <c r="F74" s="61">
        <f t="shared" si="4"/>
        <v>0</v>
      </c>
      <c r="J74" s="61">
        <f t="shared" si="4"/>
        <v>72</v>
      </c>
      <c r="K74" s="61">
        <f t="shared" si="4"/>
        <v>0</v>
      </c>
      <c r="L74" s="61">
        <f t="shared" si="4"/>
        <v>0</v>
      </c>
      <c r="M74" s="61">
        <f t="shared" si="4"/>
        <v>0</v>
      </c>
      <c r="N74" s="61">
        <f t="shared" si="4"/>
        <v>0</v>
      </c>
      <c r="O74" s="61">
        <f t="shared" si="4"/>
        <v>0</v>
      </c>
    </row>
    <row r="75" spans="1:15" ht="16.8" x14ac:dyDescent="0.3">
      <c r="A75" s="70">
        <f>'BASE MAESTRA'!B81</f>
        <v>73</v>
      </c>
      <c r="B75" s="63"/>
      <c r="D75" s="61">
        <f t="shared" si="4"/>
        <v>0</v>
      </c>
      <c r="E75" s="61">
        <f t="shared" si="4"/>
        <v>0</v>
      </c>
      <c r="F75" s="61">
        <f t="shared" si="4"/>
        <v>0</v>
      </c>
      <c r="J75" s="61">
        <f t="shared" si="4"/>
        <v>73</v>
      </c>
      <c r="K75" s="61">
        <f t="shared" si="4"/>
        <v>0</v>
      </c>
      <c r="L75" s="61">
        <f t="shared" si="4"/>
        <v>0</v>
      </c>
      <c r="M75" s="61">
        <f t="shared" si="4"/>
        <v>0</v>
      </c>
      <c r="N75" s="61">
        <f t="shared" si="4"/>
        <v>0</v>
      </c>
      <c r="O75" s="61">
        <f t="shared" si="4"/>
        <v>0</v>
      </c>
    </row>
    <row r="76" spans="1:15" ht="16.8" x14ac:dyDescent="0.3">
      <c r="A76" s="70">
        <f>'BASE MAESTRA'!B82</f>
        <v>74</v>
      </c>
      <c r="B76" s="63"/>
      <c r="D76" s="61">
        <f t="shared" si="4"/>
        <v>0</v>
      </c>
      <c r="E76" s="61">
        <f t="shared" si="4"/>
        <v>0</v>
      </c>
      <c r="F76" s="61">
        <f t="shared" si="4"/>
        <v>0</v>
      </c>
      <c r="J76" s="61">
        <f t="shared" si="4"/>
        <v>74</v>
      </c>
      <c r="K76" s="61">
        <f t="shared" si="4"/>
        <v>0</v>
      </c>
      <c r="L76" s="61">
        <f t="shared" si="4"/>
        <v>0</v>
      </c>
      <c r="M76" s="61">
        <f t="shared" si="4"/>
        <v>0</v>
      </c>
      <c r="N76" s="61">
        <f t="shared" si="4"/>
        <v>0</v>
      </c>
      <c r="O76" s="61">
        <f t="shared" si="4"/>
        <v>0</v>
      </c>
    </row>
    <row r="77" spans="1:15" ht="16.8" x14ac:dyDescent="0.3">
      <c r="A77" s="70">
        <f>'BASE MAESTRA'!B83</f>
        <v>75</v>
      </c>
      <c r="B77" s="63"/>
      <c r="D77" s="61">
        <f t="shared" si="4"/>
        <v>0</v>
      </c>
      <c r="E77" s="61">
        <f t="shared" si="4"/>
        <v>0</v>
      </c>
      <c r="F77" s="61">
        <f t="shared" si="4"/>
        <v>0</v>
      </c>
      <c r="J77" s="61">
        <f t="shared" si="4"/>
        <v>75</v>
      </c>
      <c r="K77" s="61">
        <f t="shared" si="4"/>
        <v>0</v>
      </c>
      <c r="L77" s="61">
        <f t="shared" si="4"/>
        <v>0</v>
      </c>
      <c r="M77" s="61">
        <f t="shared" si="4"/>
        <v>0</v>
      </c>
      <c r="N77" s="61">
        <f t="shared" si="4"/>
        <v>0</v>
      </c>
      <c r="O77" s="61">
        <f t="shared" si="4"/>
        <v>0</v>
      </c>
    </row>
    <row r="78" spans="1:15" ht="16.8" x14ac:dyDescent="0.3">
      <c r="A78" s="70">
        <f>'BASE MAESTRA'!B84</f>
        <v>76</v>
      </c>
      <c r="B78" s="63"/>
      <c r="D78" s="61">
        <f t="shared" si="4"/>
        <v>0</v>
      </c>
      <c r="E78" s="61">
        <f t="shared" si="4"/>
        <v>0</v>
      </c>
      <c r="F78" s="61">
        <f t="shared" si="4"/>
        <v>0</v>
      </c>
      <c r="J78" s="61">
        <f t="shared" si="4"/>
        <v>76</v>
      </c>
      <c r="K78" s="61">
        <f t="shared" si="4"/>
        <v>0</v>
      </c>
      <c r="L78" s="61">
        <f t="shared" si="4"/>
        <v>0</v>
      </c>
      <c r="M78" s="61">
        <f t="shared" si="4"/>
        <v>0</v>
      </c>
      <c r="N78" s="61">
        <f t="shared" si="4"/>
        <v>0</v>
      </c>
      <c r="O78" s="61">
        <f t="shared" si="4"/>
        <v>0</v>
      </c>
    </row>
    <row r="79" spans="1:15" ht="16.8" x14ac:dyDescent="0.3">
      <c r="A79" s="70">
        <f>'BASE MAESTRA'!B85</f>
        <v>77</v>
      </c>
      <c r="B79" s="63"/>
      <c r="D79" s="61">
        <f t="shared" si="4"/>
        <v>0</v>
      </c>
      <c r="E79" s="61">
        <f t="shared" si="4"/>
        <v>0</v>
      </c>
      <c r="F79" s="61">
        <f t="shared" si="4"/>
        <v>0</v>
      </c>
      <c r="J79" s="61">
        <f t="shared" si="4"/>
        <v>77</v>
      </c>
      <c r="K79" s="61">
        <f t="shared" si="4"/>
        <v>0</v>
      </c>
      <c r="L79" s="61">
        <f t="shared" si="4"/>
        <v>0</v>
      </c>
      <c r="M79" s="61">
        <f t="shared" si="4"/>
        <v>0</v>
      </c>
      <c r="N79" s="61">
        <f t="shared" si="4"/>
        <v>0</v>
      </c>
      <c r="O79" s="61">
        <f t="shared" si="4"/>
        <v>0</v>
      </c>
    </row>
    <row r="80" spans="1:15" ht="16.8" x14ac:dyDescent="0.3">
      <c r="A80" s="70">
        <f>'BASE MAESTRA'!B86</f>
        <v>78</v>
      </c>
      <c r="B80" s="63"/>
      <c r="D80" s="61">
        <f t="shared" si="4"/>
        <v>0</v>
      </c>
      <c r="E80" s="61">
        <f t="shared" si="4"/>
        <v>0</v>
      </c>
      <c r="F80" s="61">
        <f t="shared" si="4"/>
        <v>0</v>
      </c>
      <c r="J80" s="61">
        <f t="shared" si="4"/>
        <v>78</v>
      </c>
      <c r="K80" s="61">
        <f t="shared" si="4"/>
        <v>0</v>
      </c>
      <c r="L80" s="61">
        <f t="shared" si="4"/>
        <v>0</v>
      </c>
      <c r="M80" s="61">
        <f t="shared" si="4"/>
        <v>0</v>
      </c>
      <c r="N80" s="61">
        <f t="shared" si="4"/>
        <v>0</v>
      </c>
      <c r="O80" s="61">
        <f t="shared" si="4"/>
        <v>0</v>
      </c>
    </row>
    <row r="81" spans="1:15" ht="16.8" x14ac:dyDescent="0.3">
      <c r="A81" s="70">
        <f>'BASE MAESTRA'!B87</f>
        <v>79</v>
      </c>
      <c r="B81" s="63"/>
      <c r="D81" s="61">
        <f t="shared" si="4"/>
        <v>0</v>
      </c>
      <c r="E81" s="61">
        <f t="shared" si="4"/>
        <v>0</v>
      </c>
      <c r="F81" s="61">
        <f t="shared" si="4"/>
        <v>0</v>
      </c>
      <c r="J81" s="61">
        <f t="shared" si="4"/>
        <v>79</v>
      </c>
      <c r="K81" s="61">
        <f t="shared" si="4"/>
        <v>0</v>
      </c>
      <c r="L81" s="61">
        <f t="shared" si="4"/>
        <v>0</v>
      </c>
      <c r="M81" s="61">
        <f t="shared" si="4"/>
        <v>0</v>
      </c>
      <c r="N81" s="61">
        <f t="shared" si="4"/>
        <v>0</v>
      </c>
      <c r="O81" s="61">
        <f t="shared" si="4"/>
        <v>0</v>
      </c>
    </row>
    <row r="82" spans="1:15" ht="16.8" x14ac:dyDescent="0.3">
      <c r="A82" s="70">
        <f>'BASE MAESTRA'!B88</f>
        <v>80</v>
      </c>
      <c r="B82" s="63"/>
      <c r="D82" s="61">
        <f t="shared" si="4"/>
        <v>0</v>
      </c>
      <c r="E82" s="61">
        <f t="shared" si="4"/>
        <v>0</v>
      </c>
      <c r="F82" s="61">
        <f t="shared" si="4"/>
        <v>0</v>
      </c>
      <c r="J82" s="61">
        <f t="shared" si="4"/>
        <v>80</v>
      </c>
      <c r="K82" s="61">
        <f t="shared" si="4"/>
        <v>0</v>
      </c>
      <c r="L82" s="61">
        <f t="shared" si="4"/>
        <v>0</v>
      </c>
      <c r="M82" s="61">
        <f t="shared" si="4"/>
        <v>0</v>
      </c>
      <c r="N82" s="61">
        <f t="shared" si="4"/>
        <v>0</v>
      </c>
      <c r="O82" s="61">
        <f t="shared" si="4"/>
        <v>0</v>
      </c>
    </row>
    <row r="83" spans="1:15" ht="16.8" x14ac:dyDescent="0.3">
      <c r="A83" s="70">
        <f>'BASE MAESTRA'!B89</f>
        <v>81</v>
      </c>
      <c r="B83" s="63"/>
      <c r="D83" s="61">
        <f t="shared" si="4"/>
        <v>0</v>
      </c>
      <c r="E83" s="61">
        <f t="shared" ref="D83:O104" si="5">VLOOKUP($A83,DatosEspecies,E$2,FALSE)</f>
        <v>0</v>
      </c>
      <c r="F83" s="61">
        <f t="shared" si="5"/>
        <v>0</v>
      </c>
      <c r="J83" s="61">
        <f t="shared" si="5"/>
        <v>81</v>
      </c>
      <c r="K83" s="61">
        <f t="shared" si="5"/>
        <v>0</v>
      </c>
      <c r="L83" s="61">
        <f t="shared" si="5"/>
        <v>0</v>
      </c>
      <c r="M83" s="61">
        <f t="shared" si="5"/>
        <v>0</v>
      </c>
      <c r="N83" s="61">
        <f t="shared" si="5"/>
        <v>0</v>
      </c>
      <c r="O83" s="61">
        <f t="shared" si="5"/>
        <v>0</v>
      </c>
    </row>
    <row r="84" spans="1:15" ht="16.8" x14ac:dyDescent="0.3">
      <c r="A84" s="70">
        <f>'BASE MAESTRA'!B90</f>
        <v>82</v>
      </c>
      <c r="B84" s="63"/>
      <c r="D84" s="61">
        <f t="shared" si="5"/>
        <v>0</v>
      </c>
      <c r="E84" s="61">
        <f t="shared" si="5"/>
        <v>0</v>
      </c>
      <c r="F84" s="61">
        <f t="shared" si="5"/>
        <v>0</v>
      </c>
      <c r="J84" s="61">
        <f t="shared" si="5"/>
        <v>82</v>
      </c>
      <c r="K84" s="61">
        <f t="shared" si="5"/>
        <v>0</v>
      </c>
      <c r="L84" s="61">
        <f t="shared" si="5"/>
        <v>0</v>
      </c>
      <c r="M84" s="61">
        <f t="shared" si="5"/>
        <v>0</v>
      </c>
      <c r="N84" s="61">
        <f t="shared" si="5"/>
        <v>0</v>
      </c>
      <c r="O84" s="61">
        <f t="shared" si="5"/>
        <v>0</v>
      </c>
    </row>
    <row r="85" spans="1:15" ht="16.8" x14ac:dyDescent="0.3">
      <c r="A85" s="70">
        <f>'BASE MAESTRA'!B91</f>
        <v>83</v>
      </c>
      <c r="B85" s="63"/>
      <c r="D85" s="61">
        <f t="shared" si="5"/>
        <v>0</v>
      </c>
      <c r="E85" s="61">
        <f t="shared" si="5"/>
        <v>0</v>
      </c>
      <c r="F85" s="61">
        <f t="shared" si="5"/>
        <v>0</v>
      </c>
      <c r="J85" s="61">
        <f t="shared" si="5"/>
        <v>83</v>
      </c>
      <c r="K85" s="61">
        <f t="shared" si="5"/>
        <v>0</v>
      </c>
      <c r="L85" s="61">
        <f t="shared" si="5"/>
        <v>0</v>
      </c>
      <c r="M85" s="61">
        <f t="shared" si="5"/>
        <v>0</v>
      </c>
      <c r="N85" s="61">
        <f t="shared" si="5"/>
        <v>0</v>
      </c>
      <c r="O85" s="61">
        <f t="shared" si="5"/>
        <v>0</v>
      </c>
    </row>
    <row r="86" spans="1:15" ht="16.8" x14ac:dyDescent="0.3">
      <c r="A86" s="70">
        <f>'BASE MAESTRA'!B92</f>
        <v>84</v>
      </c>
      <c r="B86" s="63"/>
      <c r="D86" s="61">
        <f t="shared" si="5"/>
        <v>0</v>
      </c>
      <c r="E86" s="61">
        <f t="shared" si="5"/>
        <v>0</v>
      </c>
      <c r="F86" s="61">
        <f t="shared" si="5"/>
        <v>0</v>
      </c>
      <c r="J86" s="61">
        <f t="shared" si="5"/>
        <v>84</v>
      </c>
      <c r="K86" s="61">
        <f t="shared" si="5"/>
        <v>0</v>
      </c>
      <c r="L86" s="61">
        <f t="shared" si="5"/>
        <v>0</v>
      </c>
      <c r="M86" s="61">
        <f t="shared" si="5"/>
        <v>0</v>
      </c>
      <c r="N86" s="61">
        <f t="shared" si="5"/>
        <v>0</v>
      </c>
      <c r="O86" s="61">
        <f t="shared" si="5"/>
        <v>0</v>
      </c>
    </row>
    <row r="87" spans="1:15" ht="16.8" x14ac:dyDescent="0.3">
      <c r="A87" s="70">
        <f>'BASE MAESTRA'!B93</f>
        <v>85</v>
      </c>
      <c r="B87" s="63"/>
      <c r="D87" s="61">
        <f t="shared" si="5"/>
        <v>0</v>
      </c>
      <c r="E87" s="61">
        <f t="shared" si="5"/>
        <v>0</v>
      </c>
      <c r="F87" s="61">
        <f t="shared" si="5"/>
        <v>0</v>
      </c>
      <c r="J87" s="61">
        <f t="shared" si="5"/>
        <v>85</v>
      </c>
      <c r="K87" s="61">
        <f t="shared" si="5"/>
        <v>0</v>
      </c>
      <c r="L87" s="61">
        <f t="shared" si="5"/>
        <v>0</v>
      </c>
      <c r="M87" s="61">
        <f t="shared" si="5"/>
        <v>0</v>
      </c>
      <c r="N87" s="61">
        <f t="shared" si="5"/>
        <v>0</v>
      </c>
      <c r="O87" s="61">
        <f t="shared" si="5"/>
        <v>0</v>
      </c>
    </row>
    <row r="88" spans="1:15" ht="16.8" x14ac:dyDescent="0.3">
      <c r="A88" s="70">
        <f>'BASE MAESTRA'!B94</f>
        <v>86</v>
      </c>
      <c r="B88" s="63"/>
      <c r="D88" s="61">
        <f t="shared" si="5"/>
        <v>0</v>
      </c>
      <c r="E88" s="61">
        <f t="shared" si="5"/>
        <v>0</v>
      </c>
      <c r="F88" s="61">
        <f t="shared" si="5"/>
        <v>0</v>
      </c>
      <c r="J88" s="61">
        <f t="shared" si="5"/>
        <v>86</v>
      </c>
      <c r="K88" s="61">
        <f t="shared" si="5"/>
        <v>0</v>
      </c>
      <c r="L88" s="61">
        <f t="shared" si="5"/>
        <v>0</v>
      </c>
      <c r="M88" s="61">
        <f t="shared" si="5"/>
        <v>0</v>
      </c>
      <c r="N88" s="61">
        <f t="shared" si="5"/>
        <v>0</v>
      </c>
      <c r="O88" s="61">
        <f t="shared" si="5"/>
        <v>0</v>
      </c>
    </row>
    <row r="89" spans="1:15" ht="16.8" x14ac:dyDescent="0.3">
      <c r="A89" s="70">
        <f>'BASE MAESTRA'!B95</f>
        <v>87</v>
      </c>
      <c r="B89" s="63"/>
      <c r="D89" s="61">
        <f t="shared" si="5"/>
        <v>0</v>
      </c>
      <c r="E89" s="61">
        <f t="shared" si="5"/>
        <v>0</v>
      </c>
      <c r="F89" s="61">
        <f t="shared" si="5"/>
        <v>0</v>
      </c>
      <c r="J89" s="61">
        <f t="shared" si="5"/>
        <v>87</v>
      </c>
      <c r="K89" s="61">
        <f t="shared" si="5"/>
        <v>0</v>
      </c>
      <c r="L89" s="61">
        <f t="shared" si="5"/>
        <v>0</v>
      </c>
      <c r="M89" s="61">
        <f t="shared" si="5"/>
        <v>0</v>
      </c>
      <c r="N89" s="61">
        <f t="shared" si="5"/>
        <v>0</v>
      </c>
      <c r="O89" s="61">
        <f t="shared" si="5"/>
        <v>0</v>
      </c>
    </row>
    <row r="90" spans="1:15" ht="16.8" x14ac:dyDescent="0.3">
      <c r="A90" s="70">
        <f>'BASE MAESTRA'!B96</f>
        <v>88</v>
      </c>
      <c r="B90" s="63"/>
      <c r="D90" s="61">
        <f t="shared" si="5"/>
        <v>0</v>
      </c>
      <c r="E90" s="61">
        <f t="shared" si="5"/>
        <v>0</v>
      </c>
      <c r="F90" s="61">
        <f t="shared" si="5"/>
        <v>0</v>
      </c>
      <c r="J90" s="61">
        <f t="shared" si="5"/>
        <v>88</v>
      </c>
      <c r="K90" s="61">
        <f t="shared" si="5"/>
        <v>0</v>
      </c>
      <c r="L90" s="61">
        <f t="shared" si="5"/>
        <v>0</v>
      </c>
      <c r="M90" s="61">
        <f t="shared" si="5"/>
        <v>0</v>
      </c>
      <c r="N90" s="61">
        <f t="shared" si="5"/>
        <v>0</v>
      </c>
      <c r="O90" s="61">
        <f t="shared" si="5"/>
        <v>0</v>
      </c>
    </row>
    <row r="91" spans="1:15" ht="16.8" x14ac:dyDescent="0.3">
      <c r="A91" s="70">
        <f>'BASE MAESTRA'!B97</f>
        <v>89</v>
      </c>
      <c r="B91" s="63"/>
      <c r="D91" s="61">
        <f t="shared" si="5"/>
        <v>0</v>
      </c>
      <c r="E91" s="61">
        <f t="shared" si="5"/>
        <v>0</v>
      </c>
      <c r="F91" s="61">
        <f t="shared" si="5"/>
        <v>0</v>
      </c>
      <c r="J91" s="61">
        <f t="shared" si="5"/>
        <v>89</v>
      </c>
      <c r="K91" s="61">
        <f t="shared" si="5"/>
        <v>0</v>
      </c>
      <c r="L91" s="61">
        <f t="shared" si="5"/>
        <v>0</v>
      </c>
      <c r="M91" s="61">
        <f t="shared" si="5"/>
        <v>0</v>
      </c>
      <c r="N91" s="61">
        <f t="shared" si="5"/>
        <v>0</v>
      </c>
      <c r="O91" s="61">
        <f t="shared" si="5"/>
        <v>0</v>
      </c>
    </row>
    <row r="92" spans="1:15" ht="16.8" x14ac:dyDescent="0.3">
      <c r="A92" s="70">
        <f>'BASE MAESTRA'!B98</f>
        <v>90</v>
      </c>
      <c r="B92" s="63"/>
      <c r="D92" s="61">
        <f t="shared" si="5"/>
        <v>0</v>
      </c>
      <c r="E92" s="61">
        <f t="shared" si="5"/>
        <v>0</v>
      </c>
      <c r="F92" s="61">
        <f t="shared" si="5"/>
        <v>0</v>
      </c>
      <c r="J92" s="61">
        <f t="shared" si="5"/>
        <v>90</v>
      </c>
      <c r="K92" s="61">
        <f t="shared" si="5"/>
        <v>0</v>
      </c>
      <c r="L92" s="61">
        <f t="shared" si="5"/>
        <v>0</v>
      </c>
      <c r="M92" s="61">
        <f t="shared" si="5"/>
        <v>0</v>
      </c>
      <c r="N92" s="61">
        <f t="shared" si="5"/>
        <v>0</v>
      </c>
      <c r="O92" s="61">
        <f t="shared" si="5"/>
        <v>0</v>
      </c>
    </row>
    <row r="93" spans="1:15" ht="16.8" x14ac:dyDescent="0.3">
      <c r="A93" s="70">
        <f>'BASE MAESTRA'!B99</f>
        <v>91</v>
      </c>
      <c r="B93" s="63"/>
      <c r="D93" s="61">
        <f t="shared" si="5"/>
        <v>0</v>
      </c>
      <c r="E93" s="61">
        <f t="shared" si="5"/>
        <v>0</v>
      </c>
      <c r="F93" s="61">
        <f t="shared" si="5"/>
        <v>0</v>
      </c>
      <c r="J93" s="61">
        <f t="shared" si="5"/>
        <v>91</v>
      </c>
      <c r="K93" s="61">
        <f t="shared" si="5"/>
        <v>0</v>
      </c>
      <c r="L93" s="61">
        <f t="shared" si="5"/>
        <v>0</v>
      </c>
      <c r="M93" s="61">
        <f t="shared" si="5"/>
        <v>0</v>
      </c>
      <c r="N93" s="61">
        <f t="shared" si="5"/>
        <v>0</v>
      </c>
      <c r="O93" s="61">
        <f t="shared" si="5"/>
        <v>0</v>
      </c>
    </row>
    <row r="94" spans="1:15" ht="16.8" x14ac:dyDescent="0.3">
      <c r="A94" s="70">
        <f>'BASE MAESTRA'!B100</f>
        <v>92</v>
      </c>
      <c r="B94" s="63"/>
      <c r="D94" s="61">
        <f t="shared" si="5"/>
        <v>0</v>
      </c>
      <c r="E94" s="61">
        <f t="shared" si="5"/>
        <v>0</v>
      </c>
      <c r="F94" s="61">
        <f t="shared" si="5"/>
        <v>0</v>
      </c>
      <c r="J94" s="61">
        <f t="shared" si="5"/>
        <v>92</v>
      </c>
      <c r="K94" s="61">
        <f t="shared" si="5"/>
        <v>0</v>
      </c>
      <c r="L94" s="61">
        <f t="shared" si="5"/>
        <v>0</v>
      </c>
      <c r="M94" s="61">
        <f t="shared" si="5"/>
        <v>0</v>
      </c>
      <c r="N94" s="61">
        <f t="shared" si="5"/>
        <v>0</v>
      </c>
      <c r="O94" s="61">
        <f t="shared" si="5"/>
        <v>0</v>
      </c>
    </row>
    <row r="95" spans="1:15" ht="16.8" x14ac:dyDescent="0.3">
      <c r="A95" s="70">
        <f>'BASE MAESTRA'!B101</f>
        <v>93</v>
      </c>
      <c r="B95" s="63"/>
      <c r="D95" s="61">
        <f t="shared" si="5"/>
        <v>0</v>
      </c>
      <c r="E95" s="61">
        <f t="shared" si="5"/>
        <v>0</v>
      </c>
      <c r="F95" s="61">
        <f t="shared" si="5"/>
        <v>0</v>
      </c>
      <c r="J95" s="61">
        <f t="shared" si="5"/>
        <v>93</v>
      </c>
      <c r="K95" s="61">
        <f t="shared" si="5"/>
        <v>0</v>
      </c>
      <c r="L95" s="61">
        <f t="shared" si="5"/>
        <v>0</v>
      </c>
      <c r="M95" s="61">
        <f t="shared" si="5"/>
        <v>0</v>
      </c>
      <c r="N95" s="61">
        <f t="shared" si="5"/>
        <v>0</v>
      </c>
      <c r="O95" s="61">
        <f t="shared" si="5"/>
        <v>0</v>
      </c>
    </row>
    <row r="96" spans="1:15" ht="16.8" x14ac:dyDescent="0.3">
      <c r="A96" s="70">
        <f>'BASE MAESTRA'!B102</f>
        <v>94</v>
      </c>
      <c r="B96" s="63"/>
      <c r="D96" s="61">
        <f t="shared" si="5"/>
        <v>0</v>
      </c>
      <c r="E96" s="61">
        <f t="shared" si="5"/>
        <v>0</v>
      </c>
      <c r="F96" s="61">
        <f t="shared" si="5"/>
        <v>0</v>
      </c>
      <c r="J96" s="61">
        <f t="shared" si="5"/>
        <v>94</v>
      </c>
      <c r="K96" s="61">
        <f t="shared" si="5"/>
        <v>0</v>
      </c>
      <c r="L96" s="61">
        <f t="shared" si="5"/>
        <v>0</v>
      </c>
      <c r="M96" s="61">
        <f t="shared" si="5"/>
        <v>0</v>
      </c>
      <c r="N96" s="61">
        <f t="shared" si="5"/>
        <v>0</v>
      </c>
      <c r="O96" s="61">
        <f t="shared" si="5"/>
        <v>0</v>
      </c>
    </row>
    <row r="97" spans="1:15" ht="16.8" x14ac:dyDescent="0.3">
      <c r="A97" s="70">
        <f>'BASE MAESTRA'!B103</f>
        <v>95</v>
      </c>
      <c r="B97" s="63"/>
      <c r="D97" s="61">
        <f t="shared" si="5"/>
        <v>0</v>
      </c>
      <c r="E97" s="61">
        <f t="shared" si="5"/>
        <v>0</v>
      </c>
      <c r="F97" s="61">
        <f t="shared" si="5"/>
        <v>0</v>
      </c>
      <c r="J97" s="61">
        <f t="shared" si="5"/>
        <v>95</v>
      </c>
      <c r="K97" s="61">
        <f t="shared" si="5"/>
        <v>0</v>
      </c>
      <c r="L97" s="61">
        <f t="shared" si="5"/>
        <v>0</v>
      </c>
      <c r="M97" s="61">
        <f t="shared" si="5"/>
        <v>0</v>
      </c>
      <c r="N97" s="61">
        <f t="shared" si="5"/>
        <v>0</v>
      </c>
      <c r="O97" s="61">
        <f t="shared" si="5"/>
        <v>0</v>
      </c>
    </row>
    <row r="98" spans="1:15" ht="16.8" x14ac:dyDescent="0.3">
      <c r="A98" s="70">
        <f>'BASE MAESTRA'!B104</f>
        <v>96</v>
      </c>
      <c r="B98" s="63"/>
      <c r="D98" s="61">
        <f t="shared" si="5"/>
        <v>0</v>
      </c>
      <c r="E98" s="61">
        <f t="shared" si="5"/>
        <v>0</v>
      </c>
      <c r="F98" s="61">
        <f t="shared" si="5"/>
        <v>0</v>
      </c>
      <c r="J98" s="61">
        <f t="shared" si="5"/>
        <v>96</v>
      </c>
      <c r="K98" s="61">
        <f t="shared" si="5"/>
        <v>0</v>
      </c>
      <c r="L98" s="61">
        <f t="shared" si="5"/>
        <v>0</v>
      </c>
      <c r="M98" s="61">
        <f t="shared" si="5"/>
        <v>0</v>
      </c>
      <c r="N98" s="61">
        <f t="shared" si="5"/>
        <v>0</v>
      </c>
      <c r="O98" s="61">
        <f t="shared" si="5"/>
        <v>0</v>
      </c>
    </row>
    <row r="99" spans="1:15" ht="16.8" x14ac:dyDescent="0.3">
      <c r="A99" s="70">
        <f>'BASE MAESTRA'!B105</f>
        <v>97</v>
      </c>
      <c r="B99" s="63"/>
      <c r="D99" s="61">
        <f t="shared" si="5"/>
        <v>0</v>
      </c>
      <c r="E99" s="61">
        <f t="shared" si="5"/>
        <v>0</v>
      </c>
      <c r="F99" s="61">
        <f t="shared" si="5"/>
        <v>0</v>
      </c>
      <c r="J99" s="61">
        <f t="shared" si="5"/>
        <v>97</v>
      </c>
      <c r="K99" s="61">
        <f t="shared" si="5"/>
        <v>0</v>
      </c>
      <c r="L99" s="61">
        <f t="shared" si="5"/>
        <v>0</v>
      </c>
      <c r="M99" s="61">
        <f t="shared" si="5"/>
        <v>0</v>
      </c>
      <c r="N99" s="61">
        <f t="shared" si="5"/>
        <v>0</v>
      </c>
      <c r="O99" s="61">
        <f t="shared" si="5"/>
        <v>0</v>
      </c>
    </row>
    <row r="100" spans="1:15" ht="16.8" x14ac:dyDescent="0.3">
      <c r="A100" s="70">
        <f>'BASE MAESTRA'!B106</f>
        <v>98</v>
      </c>
      <c r="B100" s="63"/>
      <c r="D100" s="61">
        <f t="shared" si="5"/>
        <v>0</v>
      </c>
      <c r="E100" s="61">
        <f t="shared" si="5"/>
        <v>0</v>
      </c>
      <c r="F100" s="61">
        <f t="shared" si="5"/>
        <v>0</v>
      </c>
      <c r="J100" s="61">
        <f t="shared" si="5"/>
        <v>98</v>
      </c>
      <c r="K100" s="61">
        <f t="shared" si="5"/>
        <v>0</v>
      </c>
      <c r="L100" s="61">
        <f t="shared" si="5"/>
        <v>0</v>
      </c>
      <c r="M100" s="61">
        <f t="shared" si="5"/>
        <v>0</v>
      </c>
      <c r="N100" s="61">
        <f t="shared" si="5"/>
        <v>0</v>
      </c>
      <c r="O100" s="61">
        <f t="shared" si="5"/>
        <v>0</v>
      </c>
    </row>
    <row r="101" spans="1:15" ht="16.8" x14ac:dyDescent="0.3">
      <c r="A101" s="70">
        <f>'BASE MAESTRA'!B107</f>
        <v>99</v>
      </c>
      <c r="B101" s="63"/>
      <c r="D101" s="61">
        <f t="shared" si="5"/>
        <v>0</v>
      </c>
      <c r="E101" s="61">
        <f t="shared" si="5"/>
        <v>0</v>
      </c>
      <c r="F101" s="61">
        <f t="shared" si="5"/>
        <v>0</v>
      </c>
      <c r="J101" s="61">
        <f t="shared" si="5"/>
        <v>99</v>
      </c>
      <c r="K101" s="61">
        <f t="shared" si="5"/>
        <v>0</v>
      </c>
      <c r="L101" s="61">
        <f t="shared" si="5"/>
        <v>0</v>
      </c>
      <c r="M101" s="61">
        <f t="shared" si="5"/>
        <v>0</v>
      </c>
      <c r="N101" s="61">
        <f t="shared" si="5"/>
        <v>0</v>
      </c>
      <c r="O101" s="61">
        <f t="shared" si="5"/>
        <v>0</v>
      </c>
    </row>
    <row r="102" spans="1:15" ht="16.8" x14ac:dyDescent="0.3">
      <c r="A102" s="70">
        <f>'BASE MAESTRA'!B108</f>
        <v>100</v>
      </c>
      <c r="B102" s="63"/>
      <c r="D102" s="61">
        <f t="shared" si="5"/>
        <v>0</v>
      </c>
      <c r="E102" s="61">
        <f t="shared" si="5"/>
        <v>0</v>
      </c>
      <c r="F102" s="61">
        <f t="shared" si="5"/>
        <v>0</v>
      </c>
      <c r="J102" s="61">
        <f t="shared" si="5"/>
        <v>100</v>
      </c>
      <c r="K102" s="61">
        <f t="shared" si="5"/>
        <v>0</v>
      </c>
      <c r="L102" s="61">
        <f t="shared" si="5"/>
        <v>0</v>
      </c>
      <c r="M102" s="61">
        <f t="shared" si="5"/>
        <v>0</v>
      </c>
      <c r="N102" s="61">
        <f t="shared" si="5"/>
        <v>0</v>
      </c>
      <c r="O102" s="61">
        <f t="shared" si="5"/>
        <v>0</v>
      </c>
    </row>
    <row r="103" spans="1:15" ht="16.8" x14ac:dyDescent="0.3">
      <c r="A103" s="70">
        <f>'BASE MAESTRA'!B109</f>
        <v>101</v>
      </c>
      <c r="B103" s="63"/>
      <c r="D103" s="61">
        <f t="shared" si="5"/>
        <v>0</v>
      </c>
      <c r="E103" s="61">
        <f t="shared" si="5"/>
        <v>0</v>
      </c>
      <c r="F103" s="61">
        <f t="shared" si="5"/>
        <v>0</v>
      </c>
      <c r="J103" s="61">
        <f t="shared" si="5"/>
        <v>101</v>
      </c>
      <c r="K103" s="61">
        <f t="shared" si="5"/>
        <v>0</v>
      </c>
      <c r="L103" s="61">
        <f t="shared" si="5"/>
        <v>0</v>
      </c>
      <c r="M103" s="61">
        <f t="shared" si="5"/>
        <v>0</v>
      </c>
      <c r="N103" s="61">
        <f t="shared" si="5"/>
        <v>0</v>
      </c>
      <c r="O103" s="61">
        <f t="shared" si="5"/>
        <v>0</v>
      </c>
    </row>
    <row r="104" spans="1:15" ht="16.8" x14ac:dyDescent="0.3">
      <c r="A104" s="70">
        <f>'BASE MAESTRA'!B110</f>
        <v>102</v>
      </c>
      <c r="B104" s="63"/>
      <c r="D104" s="61">
        <f t="shared" si="5"/>
        <v>0</v>
      </c>
      <c r="E104" s="61">
        <f t="shared" si="5"/>
        <v>0</v>
      </c>
      <c r="F104" s="61">
        <f t="shared" si="5"/>
        <v>0</v>
      </c>
      <c r="J104" s="61">
        <f t="shared" ref="D104:O125" si="6">VLOOKUP($A104,DatosEspecies,J$2,FALSE)</f>
        <v>102</v>
      </c>
      <c r="K104" s="61">
        <f t="shared" si="6"/>
        <v>0</v>
      </c>
      <c r="L104" s="61">
        <f t="shared" si="6"/>
        <v>0</v>
      </c>
      <c r="M104" s="61">
        <f t="shared" si="6"/>
        <v>0</v>
      </c>
      <c r="N104" s="61">
        <f t="shared" si="6"/>
        <v>0</v>
      </c>
      <c r="O104" s="61">
        <f t="shared" si="6"/>
        <v>0</v>
      </c>
    </row>
    <row r="105" spans="1:15" ht="16.8" x14ac:dyDescent="0.3">
      <c r="A105" s="70">
        <f>'BASE MAESTRA'!B111</f>
        <v>103</v>
      </c>
      <c r="B105" s="63"/>
      <c r="D105" s="61">
        <f t="shared" si="6"/>
        <v>0</v>
      </c>
      <c r="E105" s="61">
        <f t="shared" si="6"/>
        <v>0</v>
      </c>
      <c r="F105" s="61">
        <f t="shared" si="6"/>
        <v>0</v>
      </c>
      <c r="J105" s="61">
        <f t="shared" si="6"/>
        <v>103</v>
      </c>
      <c r="K105" s="61">
        <f t="shared" si="6"/>
        <v>0</v>
      </c>
      <c r="L105" s="61">
        <f t="shared" si="6"/>
        <v>0</v>
      </c>
      <c r="M105" s="61">
        <f t="shared" si="6"/>
        <v>0</v>
      </c>
      <c r="N105" s="61">
        <f t="shared" si="6"/>
        <v>0</v>
      </c>
      <c r="O105" s="61">
        <f t="shared" si="6"/>
        <v>0</v>
      </c>
    </row>
    <row r="106" spans="1:15" ht="16.8" x14ac:dyDescent="0.3">
      <c r="A106" s="70">
        <f>'BASE MAESTRA'!B112</f>
        <v>104</v>
      </c>
      <c r="B106" s="63"/>
      <c r="D106" s="61">
        <f t="shared" si="6"/>
        <v>0</v>
      </c>
      <c r="E106" s="61">
        <f t="shared" si="6"/>
        <v>0</v>
      </c>
      <c r="F106" s="61">
        <f t="shared" si="6"/>
        <v>0</v>
      </c>
      <c r="J106" s="61">
        <f t="shared" si="6"/>
        <v>104</v>
      </c>
      <c r="K106" s="61">
        <f t="shared" si="6"/>
        <v>0</v>
      </c>
      <c r="L106" s="61">
        <f t="shared" si="6"/>
        <v>0</v>
      </c>
      <c r="M106" s="61">
        <f t="shared" si="6"/>
        <v>0</v>
      </c>
      <c r="N106" s="61">
        <f t="shared" si="6"/>
        <v>0</v>
      </c>
      <c r="O106" s="61">
        <f t="shared" si="6"/>
        <v>0</v>
      </c>
    </row>
    <row r="107" spans="1:15" ht="16.8" x14ac:dyDescent="0.3">
      <c r="A107" s="70">
        <f>'BASE MAESTRA'!B113</f>
        <v>105</v>
      </c>
      <c r="B107" s="63"/>
      <c r="D107" s="61">
        <f t="shared" si="6"/>
        <v>0</v>
      </c>
      <c r="E107" s="61">
        <f t="shared" si="6"/>
        <v>0</v>
      </c>
      <c r="F107" s="61">
        <f t="shared" si="6"/>
        <v>0</v>
      </c>
      <c r="J107" s="61">
        <f t="shared" si="6"/>
        <v>105</v>
      </c>
      <c r="K107" s="61">
        <f t="shared" si="6"/>
        <v>0</v>
      </c>
      <c r="L107" s="61">
        <f t="shared" si="6"/>
        <v>0</v>
      </c>
      <c r="M107" s="61">
        <f t="shared" si="6"/>
        <v>0</v>
      </c>
      <c r="N107" s="61">
        <f t="shared" si="6"/>
        <v>0</v>
      </c>
      <c r="O107" s="61">
        <f t="shared" si="6"/>
        <v>0</v>
      </c>
    </row>
    <row r="108" spans="1:15" ht="16.8" x14ac:dyDescent="0.3">
      <c r="A108" s="70">
        <f>'BASE MAESTRA'!B114</f>
        <v>106</v>
      </c>
      <c r="B108" s="63"/>
      <c r="D108" s="61">
        <f t="shared" si="6"/>
        <v>0</v>
      </c>
      <c r="E108" s="61">
        <f t="shared" si="6"/>
        <v>0</v>
      </c>
      <c r="F108" s="61">
        <f t="shared" si="6"/>
        <v>0</v>
      </c>
      <c r="J108" s="61">
        <f t="shared" si="6"/>
        <v>106</v>
      </c>
      <c r="K108" s="61">
        <f t="shared" si="6"/>
        <v>0</v>
      </c>
      <c r="L108" s="61">
        <f t="shared" si="6"/>
        <v>0</v>
      </c>
      <c r="M108" s="61">
        <f t="shared" si="6"/>
        <v>0</v>
      </c>
      <c r="N108" s="61">
        <f t="shared" si="6"/>
        <v>0</v>
      </c>
      <c r="O108" s="61">
        <f t="shared" si="6"/>
        <v>0</v>
      </c>
    </row>
    <row r="109" spans="1:15" ht="16.8" x14ac:dyDescent="0.3">
      <c r="A109" s="70">
        <f>'BASE MAESTRA'!B115</f>
        <v>107</v>
      </c>
      <c r="B109" s="63"/>
      <c r="D109" s="61">
        <f t="shared" si="6"/>
        <v>0</v>
      </c>
      <c r="E109" s="61">
        <f t="shared" si="6"/>
        <v>0</v>
      </c>
      <c r="F109" s="61">
        <f t="shared" si="6"/>
        <v>0</v>
      </c>
      <c r="J109" s="61">
        <f t="shared" si="6"/>
        <v>107</v>
      </c>
      <c r="K109" s="61">
        <f t="shared" si="6"/>
        <v>0</v>
      </c>
      <c r="L109" s="61">
        <f t="shared" si="6"/>
        <v>0</v>
      </c>
      <c r="M109" s="61">
        <f t="shared" si="6"/>
        <v>0</v>
      </c>
      <c r="N109" s="61">
        <f t="shared" si="6"/>
        <v>0</v>
      </c>
      <c r="O109" s="61">
        <f t="shared" si="6"/>
        <v>0</v>
      </c>
    </row>
    <row r="110" spans="1:15" ht="16.8" x14ac:dyDescent="0.3">
      <c r="A110" s="70">
        <f>'BASE MAESTRA'!B116</f>
        <v>108</v>
      </c>
      <c r="B110" s="63"/>
      <c r="D110" s="61">
        <f t="shared" si="6"/>
        <v>0</v>
      </c>
      <c r="E110" s="61">
        <f t="shared" si="6"/>
        <v>0</v>
      </c>
      <c r="F110" s="61">
        <f t="shared" si="6"/>
        <v>0</v>
      </c>
      <c r="J110" s="61">
        <f t="shared" si="6"/>
        <v>108</v>
      </c>
      <c r="K110" s="61">
        <f t="shared" si="6"/>
        <v>0</v>
      </c>
      <c r="L110" s="61">
        <f t="shared" si="6"/>
        <v>0</v>
      </c>
      <c r="M110" s="61">
        <f t="shared" si="6"/>
        <v>0</v>
      </c>
      <c r="N110" s="61">
        <f t="shared" si="6"/>
        <v>0</v>
      </c>
      <c r="O110" s="61">
        <f t="shared" si="6"/>
        <v>0</v>
      </c>
    </row>
    <row r="111" spans="1:15" ht="16.8" x14ac:dyDescent="0.3">
      <c r="A111" s="70">
        <f>'BASE MAESTRA'!B117</f>
        <v>109</v>
      </c>
      <c r="B111" s="63"/>
      <c r="D111" s="61">
        <f t="shared" si="6"/>
        <v>0</v>
      </c>
      <c r="E111" s="61">
        <f t="shared" si="6"/>
        <v>0</v>
      </c>
      <c r="F111" s="61">
        <f t="shared" si="6"/>
        <v>0</v>
      </c>
      <c r="J111" s="61">
        <f t="shared" si="6"/>
        <v>109</v>
      </c>
      <c r="K111" s="61">
        <f t="shared" si="6"/>
        <v>0</v>
      </c>
      <c r="L111" s="61">
        <f t="shared" si="6"/>
        <v>0</v>
      </c>
      <c r="M111" s="61">
        <f t="shared" si="6"/>
        <v>0</v>
      </c>
      <c r="N111" s="61">
        <f t="shared" si="6"/>
        <v>0</v>
      </c>
      <c r="O111" s="61">
        <f t="shared" si="6"/>
        <v>0</v>
      </c>
    </row>
    <row r="112" spans="1:15" ht="16.8" x14ac:dyDescent="0.3">
      <c r="A112" s="70">
        <f>'BASE MAESTRA'!B118</f>
        <v>110</v>
      </c>
      <c r="B112" s="63"/>
      <c r="D112" s="61">
        <f t="shared" si="6"/>
        <v>0</v>
      </c>
      <c r="E112" s="61">
        <f t="shared" si="6"/>
        <v>0</v>
      </c>
      <c r="F112" s="61">
        <f t="shared" si="6"/>
        <v>0</v>
      </c>
      <c r="J112" s="61">
        <f t="shared" si="6"/>
        <v>110</v>
      </c>
      <c r="K112" s="61">
        <f t="shared" si="6"/>
        <v>0</v>
      </c>
      <c r="L112" s="61">
        <f t="shared" si="6"/>
        <v>0</v>
      </c>
      <c r="M112" s="61">
        <f t="shared" si="6"/>
        <v>0</v>
      </c>
      <c r="N112" s="61">
        <f t="shared" si="6"/>
        <v>0</v>
      </c>
      <c r="O112" s="61">
        <f t="shared" si="6"/>
        <v>0</v>
      </c>
    </row>
    <row r="113" spans="1:15" ht="16.8" x14ac:dyDescent="0.3">
      <c r="A113" s="70">
        <f>'BASE MAESTRA'!B119</f>
        <v>111</v>
      </c>
      <c r="B113" s="63"/>
      <c r="D113" s="61">
        <f t="shared" si="6"/>
        <v>0</v>
      </c>
      <c r="E113" s="61">
        <f t="shared" si="6"/>
        <v>0</v>
      </c>
      <c r="F113" s="61">
        <f t="shared" si="6"/>
        <v>0</v>
      </c>
      <c r="J113" s="61">
        <f t="shared" si="6"/>
        <v>111</v>
      </c>
      <c r="K113" s="61">
        <f t="shared" si="6"/>
        <v>0</v>
      </c>
      <c r="L113" s="61">
        <f t="shared" si="6"/>
        <v>0</v>
      </c>
      <c r="M113" s="61">
        <f t="shared" si="6"/>
        <v>0</v>
      </c>
      <c r="N113" s="61">
        <f t="shared" si="6"/>
        <v>0</v>
      </c>
      <c r="O113" s="61">
        <f t="shared" si="6"/>
        <v>0</v>
      </c>
    </row>
    <row r="114" spans="1:15" ht="16.8" x14ac:dyDescent="0.3">
      <c r="A114" s="70">
        <f>'BASE MAESTRA'!B120</f>
        <v>112</v>
      </c>
      <c r="B114" s="63"/>
      <c r="D114" s="61">
        <f t="shared" si="6"/>
        <v>0</v>
      </c>
      <c r="E114" s="61">
        <f t="shared" si="6"/>
        <v>0</v>
      </c>
      <c r="F114" s="61">
        <f t="shared" si="6"/>
        <v>0</v>
      </c>
      <c r="J114" s="61">
        <f t="shared" si="6"/>
        <v>112</v>
      </c>
      <c r="K114" s="61">
        <f t="shared" si="6"/>
        <v>0</v>
      </c>
      <c r="L114" s="61">
        <f t="shared" si="6"/>
        <v>0</v>
      </c>
      <c r="M114" s="61">
        <f t="shared" si="6"/>
        <v>0</v>
      </c>
      <c r="N114" s="61">
        <f t="shared" si="6"/>
        <v>0</v>
      </c>
      <c r="O114" s="61">
        <f t="shared" si="6"/>
        <v>0</v>
      </c>
    </row>
    <row r="115" spans="1:15" ht="16.8" x14ac:dyDescent="0.3">
      <c r="A115" s="70">
        <f>'BASE MAESTRA'!B121</f>
        <v>113</v>
      </c>
      <c r="B115" s="63"/>
      <c r="D115" s="61">
        <f t="shared" si="6"/>
        <v>0</v>
      </c>
      <c r="E115" s="61">
        <f t="shared" si="6"/>
        <v>0</v>
      </c>
      <c r="F115" s="61">
        <f t="shared" si="6"/>
        <v>0</v>
      </c>
      <c r="J115" s="61">
        <f t="shared" si="6"/>
        <v>113</v>
      </c>
      <c r="K115" s="61">
        <f t="shared" si="6"/>
        <v>0</v>
      </c>
      <c r="L115" s="61">
        <f t="shared" si="6"/>
        <v>0</v>
      </c>
      <c r="M115" s="61">
        <f t="shared" si="6"/>
        <v>0</v>
      </c>
      <c r="N115" s="61">
        <f t="shared" si="6"/>
        <v>0</v>
      </c>
      <c r="O115" s="61">
        <f t="shared" si="6"/>
        <v>0</v>
      </c>
    </row>
    <row r="116" spans="1:15" ht="16.8" x14ac:dyDescent="0.3">
      <c r="A116" s="70">
        <f>'BASE MAESTRA'!B122</f>
        <v>114</v>
      </c>
      <c r="B116" s="63"/>
      <c r="D116" s="61">
        <f t="shared" si="6"/>
        <v>0</v>
      </c>
      <c r="E116" s="61">
        <f t="shared" si="6"/>
        <v>0</v>
      </c>
      <c r="F116" s="61">
        <f t="shared" si="6"/>
        <v>0</v>
      </c>
      <c r="J116" s="61">
        <f t="shared" si="6"/>
        <v>114</v>
      </c>
      <c r="K116" s="61">
        <f t="shared" si="6"/>
        <v>0</v>
      </c>
      <c r="L116" s="61">
        <f t="shared" si="6"/>
        <v>0</v>
      </c>
      <c r="M116" s="61">
        <f t="shared" si="6"/>
        <v>0</v>
      </c>
      <c r="N116" s="61">
        <f t="shared" si="6"/>
        <v>0</v>
      </c>
      <c r="O116" s="61">
        <f t="shared" si="6"/>
        <v>0</v>
      </c>
    </row>
    <row r="117" spans="1:15" ht="16.8" x14ac:dyDescent="0.3">
      <c r="A117" s="70">
        <f>'BASE MAESTRA'!B123</f>
        <v>115</v>
      </c>
      <c r="B117" s="63"/>
      <c r="D117" s="61">
        <f t="shared" si="6"/>
        <v>0</v>
      </c>
      <c r="E117" s="61">
        <f t="shared" si="6"/>
        <v>0</v>
      </c>
      <c r="F117" s="61">
        <f t="shared" si="6"/>
        <v>0</v>
      </c>
      <c r="J117" s="61">
        <f t="shared" si="6"/>
        <v>115</v>
      </c>
      <c r="K117" s="61">
        <f t="shared" si="6"/>
        <v>0</v>
      </c>
      <c r="L117" s="61">
        <f t="shared" si="6"/>
        <v>0</v>
      </c>
      <c r="M117" s="61">
        <f t="shared" si="6"/>
        <v>0</v>
      </c>
      <c r="N117" s="61">
        <f t="shared" si="6"/>
        <v>0</v>
      </c>
      <c r="O117" s="61">
        <f t="shared" si="6"/>
        <v>0</v>
      </c>
    </row>
    <row r="118" spans="1:15" ht="16.8" x14ac:dyDescent="0.3">
      <c r="A118" s="70">
        <f>'BASE MAESTRA'!B124</f>
        <v>116</v>
      </c>
      <c r="B118" s="63"/>
      <c r="D118" s="61">
        <f t="shared" si="6"/>
        <v>0</v>
      </c>
      <c r="E118" s="61">
        <f t="shared" si="6"/>
        <v>0</v>
      </c>
      <c r="F118" s="61">
        <f t="shared" si="6"/>
        <v>0</v>
      </c>
      <c r="J118" s="61">
        <f t="shared" si="6"/>
        <v>116</v>
      </c>
      <c r="K118" s="61">
        <f t="shared" si="6"/>
        <v>0</v>
      </c>
      <c r="L118" s="61">
        <f t="shared" si="6"/>
        <v>0</v>
      </c>
      <c r="M118" s="61">
        <f t="shared" si="6"/>
        <v>0</v>
      </c>
      <c r="N118" s="61">
        <f t="shared" si="6"/>
        <v>0</v>
      </c>
      <c r="O118" s="61">
        <f t="shared" si="6"/>
        <v>0</v>
      </c>
    </row>
    <row r="119" spans="1:15" ht="16.8" x14ac:dyDescent="0.3">
      <c r="A119" s="70">
        <f>'BASE MAESTRA'!B125</f>
        <v>117</v>
      </c>
      <c r="B119" s="63"/>
      <c r="D119" s="61">
        <f t="shared" si="6"/>
        <v>0</v>
      </c>
      <c r="E119" s="61">
        <f t="shared" si="6"/>
        <v>0</v>
      </c>
      <c r="F119" s="61">
        <f t="shared" si="6"/>
        <v>0</v>
      </c>
      <c r="J119" s="61">
        <f t="shared" si="6"/>
        <v>117</v>
      </c>
      <c r="K119" s="61">
        <f t="shared" si="6"/>
        <v>0</v>
      </c>
      <c r="L119" s="61">
        <f t="shared" si="6"/>
        <v>0</v>
      </c>
      <c r="M119" s="61">
        <f t="shared" si="6"/>
        <v>0</v>
      </c>
      <c r="N119" s="61">
        <f t="shared" si="6"/>
        <v>0</v>
      </c>
      <c r="O119" s="61">
        <f t="shared" si="6"/>
        <v>0</v>
      </c>
    </row>
    <row r="120" spans="1:15" ht="16.8" x14ac:dyDescent="0.3">
      <c r="A120" s="70">
        <f>'BASE MAESTRA'!B126</f>
        <v>118</v>
      </c>
      <c r="B120" s="63"/>
      <c r="D120" s="61">
        <f t="shared" si="6"/>
        <v>0</v>
      </c>
      <c r="E120" s="61">
        <f t="shared" si="6"/>
        <v>0</v>
      </c>
      <c r="F120" s="61">
        <f t="shared" si="6"/>
        <v>0</v>
      </c>
      <c r="J120" s="61">
        <f t="shared" si="6"/>
        <v>118</v>
      </c>
      <c r="K120" s="61">
        <f t="shared" si="6"/>
        <v>0</v>
      </c>
      <c r="L120" s="61">
        <f t="shared" si="6"/>
        <v>0</v>
      </c>
      <c r="M120" s="61">
        <f t="shared" si="6"/>
        <v>0</v>
      </c>
      <c r="N120" s="61">
        <f t="shared" si="6"/>
        <v>0</v>
      </c>
      <c r="O120" s="61">
        <f t="shared" si="6"/>
        <v>0</v>
      </c>
    </row>
    <row r="121" spans="1:15" ht="16.8" x14ac:dyDescent="0.3">
      <c r="A121" s="70">
        <f>'BASE MAESTRA'!B127</f>
        <v>119</v>
      </c>
      <c r="B121" s="63"/>
      <c r="D121" s="61">
        <f t="shared" si="6"/>
        <v>0</v>
      </c>
      <c r="E121" s="61">
        <f t="shared" si="6"/>
        <v>0</v>
      </c>
      <c r="F121" s="61">
        <f t="shared" si="6"/>
        <v>0</v>
      </c>
      <c r="J121" s="61">
        <f t="shared" si="6"/>
        <v>119</v>
      </c>
      <c r="K121" s="61">
        <f t="shared" si="6"/>
        <v>0</v>
      </c>
      <c r="L121" s="61">
        <f t="shared" si="6"/>
        <v>0</v>
      </c>
      <c r="M121" s="61">
        <f t="shared" si="6"/>
        <v>0</v>
      </c>
      <c r="N121" s="61">
        <f t="shared" si="6"/>
        <v>0</v>
      </c>
      <c r="O121" s="61">
        <f t="shared" si="6"/>
        <v>0</v>
      </c>
    </row>
    <row r="122" spans="1:15" ht="16.8" x14ac:dyDescent="0.3">
      <c r="A122" s="70">
        <f>'BASE MAESTRA'!B128</f>
        <v>120</v>
      </c>
      <c r="B122" s="63"/>
      <c r="D122" s="61">
        <f t="shared" si="6"/>
        <v>0</v>
      </c>
      <c r="E122" s="61">
        <f t="shared" si="6"/>
        <v>0</v>
      </c>
      <c r="F122" s="61">
        <f t="shared" si="6"/>
        <v>0</v>
      </c>
      <c r="J122" s="61">
        <f t="shared" si="6"/>
        <v>120</v>
      </c>
      <c r="K122" s="61">
        <f t="shared" si="6"/>
        <v>0</v>
      </c>
      <c r="L122" s="61">
        <f t="shared" si="6"/>
        <v>0</v>
      </c>
      <c r="M122" s="61">
        <f t="shared" si="6"/>
        <v>0</v>
      </c>
      <c r="N122" s="61">
        <f t="shared" si="6"/>
        <v>0</v>
      </c>
      <c r="O122" s="61">
        <f t="shared" si="6"/>
        <v>0</v>
      </c>
    </row>
    <row r="123" spans="1:15" ht="16.8" x14ac:dyDescent="0.3">
      <c r="A123" s="70">
        <f>'BASE MAESTRA'!B129</f>
        <v>121</v>
      </c>
      <c r="B123" s="63"/>
      <c r="D123" s="61">
        <f t="shared" si="6"/>
        <v>0</v>
      </c>
      <c r="E123" s="61">
        <f t="shared" si="6"/>
        <v>0</v>
      </c>
      <c r="F123" s="61">
        <f t="shared" si="6"/>
        <v>0</v>
      </c>
      <c r="J123" s="61">
        <f t="shared" si="6"/>
        <v>121</v>
      </c>
      <c r="K123" s="61">
        <f t="shared" si="6"/>
        <v>0</v>
      </c>
      <c r="L123" s="61">
        <f t="shared" si="6"/>
        <v>0</v>
      </c>
      <c r="M123" s="61">
        <f t="shared" si="6"/>
        <v>0</v>
      </c>
      <c r="N123" s="61">
        <f t="shared" si="6"/>
        <v>0</v>
      </c>
      <c r="O123" s="61">
        <f t="shared" si="6"/>
        <v>0</v>
      </c>
    </row>
    <row r="124" spans="1:15" ht="16.8" x14ac:dyDescent="0.3">
      <c r="A124" s="70">
        <f>'BASE MAESTRA'!B130</f>
        <v>122</v>
      </c>
      <c r="B124" s="63"/>
      <c r="D124" s="61">
        <f t="shared" si="6"/>
        <v>0</v>
      </c>
      <c r="E124" s="61">
        <f t="shared" si="6"/>
        <v>0</v>
      </c>
      <c r="F124" s="61">
        <f t="shared" si="6"/>
        <v>0</v>
      </c>
      <c r="J124" s="61">
        <f t="shared" si="6"/>
        <v>122</v>
      </c>
      <c r="K124" s="61">
        <f t="shared" si="6"/>
        <v>0</v>
      </c>
      <c r="L124" s="61">
        <f t="shared" si="6"/>
        <v>0</v>
      </c>
      <c r="M124" s="61">
        <f t="shared" si="6"/>
        <v>0</v>
      </c>
      <c r="N124" s="61">
        <f t="shared" si="6"/>
        <v>0</v>
      </c>
      <c r="O124" s="61">
        <f t="shared" si="6"/>
        <v>0</v>
      </c>
    </row>
    <row r="125" spans="1:15" ht="16.8" x14ac:dyDescent="0.3">
      <c r="A125" s="70">
        <f>'BASE MAESTRA'!B131</f>
        <v>123</v>
      </c>
      <c r="B125" s="63"/>
      <c r="D125" s="61">
        <f t="shared" si="6"/>
        <v>0</v>
      </c>
      <c r="E125" s="61">
        <f t="shared" si="6"/>
        <v>0</v>
      </c>
      <c r="F125" s="61">
        <f t="shared" si="6"/>
        <v>0</v>
      </c>
      <c r="J125" s="61">
        <f t="shared" si="6"/>
        <v>123</v>
      </c>
      <c r="K125" s="61">
        <f t="shared" ref="D125:O146" si="7">VLOOKUP($A125,DatosEspecies,K$2,FALSE)</f>
        <v>0</v>
      </c>
      <c r="L125" s="61">
        <f t="shared" si="7"/>
        <v>0</v>
      </c>
      <c r="M125" s="61">
        <f t="shared" si="7"/>
        <v>0</v>
      </c>
      <c r="N125" s="61">
        <f t="shared" si="7"/>
        <v>0</v>
      </c>
      <c r="O125" s="61">
        <f t="shared" si="7"/>
        <v>0</v>
      </c>
    </row>
    <row r="126" spans="1:15" ht="16.8" x14ac:dyDescent="0.3">
      <c r="A126" s="70">
        <f>'BASE MAESTRA'!B132</f>
        <v>124</v>
      </c>
      <c r="B126" s="63"/>
      <c r="D126" s="61">
        <f t="shared" si="7"/>
        <v>0</v>
      </c>
      <c r="E126" s="61">
        <f t="shared" si="7"/>
        <v>0</v>
      </c>
      <c r="F126" s="61">
        <f t="shared" si="7"/>
        <v>0</v>
      </c>
      <c r="J126" s="61">
        <f t="shared" si="7"/>
        <v>124</v>
      </c>
      <c r="K126" s="61">
        <f t="shared" si="7"/>
        <v>0</v>
      </c>
      <c r="L126" s="61">
        <f t="shared" si="7"/>
        <v>0</v>
      </c>
      <c r="M126" s="61">
        <f t="shared" si="7"/>
        <v>0</v>
      </c>
      <c r="N126" s="61">
        <f t="shared" si="7"/>
        <v>0</v>
      </c>
      <c r="O126" s="61">
        <f t="shared" si="7"/>
        <v>0</v>
      </c>
    </row>
    <row r="127" spans="1:15" ht="16.8" x14ac:dyDescent="0.3">
      <c r="A127" s="70">
        <f>'BASE MAESTRA'!B133</f>
        <v>125</v>
      </c>
      <c r="B127" s="63"/>
      <c r="D127" s="61">
        <f t="shared" si="7"/>
        <v>0</v>
      </c>
      <c r="E127" s="61">
        <f t="shared" si="7"/>
        <v>0</v>
      </c>
      <c r="F127" s="61">
        <f t="shared" si="7"/>
        <v>0</v>
      </c>
      <c r="J127" s="61">
        <f t="shared" si="7"/>
        <v>125</v>
      </c>
      <c r="K127" s="61">
        <f t="shared" si="7"/>
        <v>0</v>
      </c>
      <c r="L127" s="61">
        <f t="shared" si="7"/>
        <v>0</v>
      </c>
      <c r="M127" s="61">
        <f t="shared" si="7"/>
        <v>0</v>
      </c>
      <c r="N127" s="61">
        <f t="shared" si="7"/>
        <v>0</v>
      </c>
      <c r="O127" s="61">
        <f t="shared" si="7"/>
        <v>0</v>
      </c>
    </row>
    <row r="128" spans="1:15" ht="16.8" x14ac:dyDescent="0.3">
      <c r="A128" s="70">
        <f>'BASE MAESTRA'!B134</f>
        <v>126</v>
      </c>
      <c r="B128" s="63"/>
      <c r="D128" s="61">
        <f t="shared" si="7"/>
        <v>0</v>
      </c>
      <c r="E128" s="61">
        <f t="shared" si="7"/>
        <v>0</v>
      </c>
      <c r="F128" s="61">
        <f t="shared" si="7"/>
        <v>0</v>
      </c>
      <c r="J128" s="61">
        <f t="shared" si="7"/>
        <v>126</v>
      </c>
      <c r="K128" s="61">
        <f t="shared" si="7"/>
        <v>0</v>
      </c>
      <c r="L128" s="61">
        <f t="shared" si="7"/>
        <v>0</v>
      </c>
      <c r="M128" s="61">
        <f t="shared" si="7"/>
        <v>0</v>
      </c>
      <c r="N128" s="61">
        <f t="shared" si="7"/>
        <v>0</v>
      </c>
      <c r="O128" s="61">
        <f t="shared" si="7"/>
        <v>0</v>
      </c>
    </row>
    <row r="129" spans="1:15" ht="16.8" x14ac:dyDescent="0.3">
      <c r="A129" s="70">
        <f>'BASE MAESTRA'!B135</f>
        <v>127</v>
      </c>
      <c r="B129" s="63"/>
      <c r="D129" s="61">
        <f t="shared" si="7"/>
        <v>0</v>
      </c>
      <c r="E129" s="61">
        <f t="shared" si="7"/>
        <v>0</v>
      </c>
      <c r="F129" s="61">
        <f t="shared" si="7"/>
        <v>0</v>
      </c>
      <c r="J129" s="61">
        <f t="shared" si="7"/>
        <v>127</v>
      </c>
      <c r="K129" s="61">
        <f t="shared" si="7"/>
        <v>0</v>
      </c>
      <c r="L129" s="61">
        <f t="shared" si="7"/>
        <v>0</v>
      </c>
      <c r="M129" s="61">
        <f t="shared" si="7"/>
        <v>0</v>
      </c>
      <c r="N129" s="61">
        <f t="shared" si="7"/>
        <v>0</v>
      </c>
      <c r="O129" s="61">
        <f t="shared" si="7"/>
        <v>0</v>
      </c>
    </row>
    <row r="130" spans="1:15" ht="16.8" x14ac:dyDescent="0.3">
      <c r="A130" s="70">
        <f>'BASE MAESTRA'!B136</f>
        <v>128</v>
      </c>
      <c r="B130" s="63"/>
      <c r="D130" s="61">
        <f t="shared" si="7"/>
        <v>0</v>
      </c>
      <c r="E130" s="61">
        <f t="shared" si="7"/>
        <v>0</v>
      </c>
      <c r="F130" s="61">
        <f t="shared" si="7"/>
        <v>0</v>
      </c>
      <c r="J130" s="61">
        <f t="shared" si="7"/>
        <v>128</v>
      </c>
      <c r="K130" s="61">
        <f t="shared" si="7"/>
        <v>0</v>
      </c>
      <c r="L130" s="61">
        <f t="shared" si="7"/>
        <v>0</v>
      </c>
      <c r="M130" s="61">
        <f t="shared" si="7"/>
        <v>0</v>
      </c>
      <c r="N130" s="61">
        <f t="shared" si="7"/>
        <v>0</v>
      </c>
      <c r="O130" s="61">
        <f t="shared" si="7"/>
        <v>0</v>
      </c>
    </row>
    <row r="131" spans="1:15" ht="16.8" x14ac:dyDescent="0.3">
      <c r="A131" s="70">
        <f>'BASE MAESTRA'!B137</f>
        <v>129</v>
      </c>
      <c r="B131" s="63"/>
      <c r="D131" s="61">
        <f t="shared" si="7"/>
        <v>0</v>
      </c>
      <c r="E131" s="61">
        <f t="shared" si="7"/>
        <v>0</v>
      </c>
      <c r="F131" s="61">
        <f t="shared" si="7"/>
        <v>0</v>
      </c>
      <c r="J131" s="61">
        <f t="shared" si="7"/>
        <v>129</v>
      </c>
      <c r="K131" s="61">
        <f t="shared" si="7"/>
        <v>0</v>
      </c>
      <c r="L131" s="61">
        <f t="shared" si="7"/>
        <v>0</v>
      </c>
      <c r="M131" s="61">
        <f t="shared" si="7"/>
        <v>0</v>
      </c>
      <c r="N131" s="61">
        <f t="shared" si="7"/>
        <v>0</v>
      </c>
      <c r="O131" s="61">
        <f t="shared" si="7"/>
        <v>0</v>
      </c>
    </row>
    <row r="132" spans="1:15" ht="16.8" x14ac:dyDescent="0.3">
      <c r="A132" s="70">
        <f>'BASE MAESTRA'!B138</f>
        <v>130</v>
      </c>
      <c r="B132" s="63"/>
      <c r="D132" s="61">
        <f t="shared" si="7"/>
        <v>0</v>
      </c>
      <c r="E132" s="61">
        <f t="shared" si="7"/>
        <v>0</v>
      </c>
      <c r="F132" s="61">
        <f t="shared" si="7"/>
        <v>0</v>
      </c>
      <c r="J132" s="61">
        <f t="shared" si="7"/>
        <v>130</v>
      </c>
      <c r="K132" s="61">
        <f t="shared" si="7"/>
        <v>0</v>
      </c>
      <c r="L132" s="61">
        <f t="shared" si="7"/>
        <v>0</v>
      </c>
      <c r="M132" s="61">
        <f t="shared" si="7"/>
        <v>0</v>
      </c>
      <c r="N132" s="61">
        <f t="shared" si="7"/>
        <v>0</v>
      </c>
      <c r="O132" s="61">
        <f t="shared" si="7"/>
        <v>0</v>
      </c>
    </row>
    <row r="133" spans="1:15" ht="16.8" x14ac:dyDescent="0.3">
      <c r="A133" s="70">
        <f>'BASE MAESTRA'!B139</f>
        <v>131</v>
      </c>
      <c r="B133" s="63"/>
      <c r="D133" s="61">
        <f t="shared" si="7"/>
        <v>0</v>
      </c>
      <c r="E133" s="61">
        <f t="shared" si="7"/>
        <v>0</v>
      </c>
      <c r="F133" s="61">
        <f t="shared" si="7"/>
        <v>0</v>
      </c>
      <c r="J133" s="61">
        <f t="shared" si="7"/>
        <v>131</v>
      </c>
      <c r="K133" s="61">
        <f t="shared" si="7"/>
        <v>0</v>
      </c>
      <c r="L133" s="61">
        <f t="shared" si="7"/>
        <v>0</v>
      </c>
      <c r="M133" s="61">
        <f t="shared" si="7"/>
        <v>0</v>
      </c>
      <c r="N133" s="61">
        <f t="shared" si="7"/>
        <v>0</v>
      </c>
      <c r="O133" s="61">
        <f t="shared" si="7"/>
        <v>0</v>
      </c>
    </row>
    <row r="134" spans="1:15" ht="16.8" x14ac:dyDescent="0.3">
      <c r="A134" s="70">
        <f>'BASE MAESTRA'!B140</f>
        <v>132</v>
      </c>
      <c r="B134" s="63"/>
      <c r="D134" s="61">
        <f t="shared" si="7"/>
        <v>0</v>
      </c>
      <c r="E134" s="61">
        <f t="shared" si="7"/>
        <v>0</v>
      </c>
      <c r="F134" s="61">
        <f t="shared" si="7"/>
        <v>0</v>
      </c>
      <c r="J134" s="61">
        <f t="shared" si="7"/>
        <v>132</v>
      </c>
      <c r="K134" s="61">
        <f t="shared" si="7"/>
        <v>0</v>
      </c>
      <c r="L134" s="61">
        <f t="shared" si="7"/>
        <v>0</v>
      </c>
      <c r="M134" s="61">
        <f t="shared" si="7"/>
        <v>0</v>
      </c>
      <c r="N134" s="61">
        <f t="shared" si="7"/>
        <v>0</v>
      </c>
      <c r="O134" s="61">
        <f t="shared" si="7"/>
        <v>0</v>
      </c>
    </row>
    <row r="135" spans="1:15" ht="16.8" x14ac:dyDescent="0.3">
      <c r="A135" s="70">
        <f>'BASE MAESTRA'!B141</f>
        <v>133</v>
      </c>
      <c r="B135" s="63"/>
      <c r="D135" s="61">
        <f t="shared" si="7"/>
        <v>0</v>
      </c>
      <c r="E135" s="61">
        <f t="shared" si="7"/>
        <v>0</v>
      </c>
      <c r="F135" s="61">
        <f t="shared" si="7"/>
        <v>0</v>
      </c>
      <c r="J135" s="61">
        <f t="shared" si="7"/>
        <v>133</v>
      </c>
      <c r="K135" s="61">
        <f t="shared" si="7"/>
        <v>0</v>
      </c>
      <c r="L135" s="61">
        <f t="shared" si="7"/>
        <v>0</v>
      </c>
      <c r="M135" s="61">
        <f t="shared" si="7"/>
        <v>0</v>
      </c>
      <c r="N135" s="61">
        <f t="shared" si="7"/>
        <v>0</v>
      </c>
      <c r="O135" s="61">
        <f t="shared" si="7"/>
        <v>0</v>
      </c>
    </row>
    <row r="136" spans="1:15" ht="16.8" x14ac:dyDescent="0.3">
      <c r="A136" s="70">
        <f>'BASE MAESTRA'!B142</f>
        <v>134</v>
      </c>
      <c r="B136" s="63"/>
      <c r="D136" s="61">
        <f t="shared" si="7"/>
        <v>0</v>
      </c>
      <c r="E136" s="61">
        <f t="shared" si="7"/>
        <v>0</v>
      </c>
      <c r="F136" s="61">
        <f t="shared" si="7"/>
        <v>0</v>
      </c>
      <c r="J136" s="61">
        <f t="shared" si="7"/>
        <v>134</v>
      </c>
      <c r="K136" s="61">
        <f t="shared" si="7"/>
        <v>0</v>
      </c>
      <c r="L136" s="61">
        <f t="shared" si="7"/>
        <v>0</v>
      </c>
      <c r="M136" s="61">
        <f t="shared" si="7"/>
        <v>0</v>
      </c>
      <c r="N136" s="61">
        <f t="shared" si="7"/>
        <v>0</v>
      </c>
      <c r="O136" s="61">
        <f t="shared" si="7"/>
        <v>0</v>
      </c>
    </row>
    <row r="137" spans="1:15" ht="16.8" x14ac:dyDescent="0.3">
      <c r="A137" s="70">
        <f>'BASE MAESTRA'!B143</f>
        <v>135</v>
      </c>
      <c r="B137" s="63"/>
      <c r="D137" s="61">
        <f t="shared" si="7"/>
        <v>0</v>
      </c>
      <c r="E137" s="61">
        <f t="shared" si="7"/>
        <v>0</v>
      </c>
      <c r="F137" s="61">
        <f t="shared" si="7"/>
        <v>0</v>
      </c>
      <c r="J137" s="61">
        <f t="shared" si="7"/>
        <v>135</v>
      </c>
      <c r="K137" s="61">
        <f t="shared" si="7"/>
        <v>0</v>
      </c>
      <c r="L137" s="61">
        <f t="shared" si="7"/>
        <v>0</v>
      </c>
      <c r="M137" s="61">
        <f t="shared" si="7"/>
        <v>0</v>
      </c>
      <c r="N137" s="61">
        <f t="shared" si="7"/>
        <v>0</v>
      </c>
      <c r="O137" s="61">
        <f t="shared" si="7"/>
        <v>0</v>
      </c>
    </row>
    <row r="138" spans="1:15" ht="16.8" x14ac:dyDescent="0.3">
      <c r="A138" s="70">
        <f>'BASE MAESTRA'!B144</f>
        <v>136</v>
      </c>
      <c r="B138" s="63"/>
      <c r="D138" s="61">
        <f t="shared" si="7"/>
        <v>0</v>
      </c>
      <c r="E138" s="61">
        <f t="shared" si="7"/>
        <v>0</v>
      </c>
      <c r="F138" s="61">
        <f t="shared" si="7"/>
        <v>0</v>
      </c>
      <c r="J138" s="61">
        <f t="shared" si="7"/>
        <v>136</v>
      </c>
      <c r="K138" s="61">
        <f t="shared" si="7"/>
        <v>0</v>
      </c>
      <c r="L138" s="61">
        <f t="shared" si="7"/>
        <v>0</v>
      </c>
      <c r="M138" s="61">
        <f t="shared" si="7"/>
        <v>0</v>
      </c>
      <c r="N138" s="61">
        <f t="shared" si="7"/>
        <v>0</v>
      </c>
      <c r="O138" s="61">
        <f t="shared" si="7"/>
        <v>0</v>
      </c>
    </row>
    <row r="139" spans="1:15" ht="16.8" x14ac:dyDescent="0.3">
      <c r="A139" s="70">
        <f>'BASE MAESTRA'!B145</f>
        <v>137</v>
      </c>
      <c r="B139" s="63"/>
      <c r="D139" s="61">
        <f t="shared" si="7"/>
        <v>0</v>
      </c>
      <c r="E139" s="61">
        <f t="shared" si="7"/>
        <v>0</v>
      </c>
      <c r="F139" s="61">
        <f t="shared" si="7"/>
        <v>0</v>
      </c>
      <c r="J139" s="61">
        <f t="shared" si="7"/>
        <v>137</v>
      </c>
      <c r="K139" s="61">
        <f t="shared" si="7"/>
        <v>0</v>
      </c>
      <c r="L139" s="61">
        <f t="shared" si="7"/>
        <v>0</v>
      </c>
      <c r="M139" s="61">
        <f t="shared" si="7"/>
        <v>0</v>
      </c>
      <c r="N139" s="61">
        <f t="shared" si="7"/>
        <v>0</v>
      </c>
      <c r="O139" s="61">
        <f t="shared" si="7"/>
        <v>0</v>
      </c>
    </row>
    <row r="140" spans="1:15" ht="16.8" x14ac:dyDescent="0.3">
      <c r="A140" s="70">
        <f>'BASE MAESTRA'!B146</f>
        <v>138</v>
      </c>
      <c r="B140" s="63"/>
      <c r="D140" s="61">
        <f t="shared" si="7"/>
        <v>0</v>
      </c>
      <c r="E140" s="61">
        <f t="shared" si="7"/>
        <v>0</v>
      </c>
      <c r="F140" s="61">
        <f t="shared" si="7"/>
        <v>0</v>
      </c>
      <c r="J140" s="61">
        <f t="shared" si="7"/>
        <v>138</v>
      </c>
      <c r="K140" s="61">
        <f t="shared" si="7"/>
        <v>0</v>
      </c>
      <c r="L140" s="61">
        <f t="shared" si="7"/>
        <v>0</v>
      </c>
      <c r="M140" s="61">
        <f t="shared" si="7"/>
        <v>0</v>
      </c>
      <c r="N140" s="61">
        <f t="shared" si="7"/>
        <v>0</v>
      </c>
      <c r="O140" s="61">
        <f t="shared" si="7"/>
        <v>0</v>
      </c>
    </row>
    <row r="141" spans="1:15" ht="16.8" x14ac:dyDescent="0.3">
      <c r="A141" s="70">
        <f>'BASE MAESTRA'!B147</f>
        <v>139</v>
      </c>
      <c r="B141" s="63"/>
      <c r="D141" s="61">
        <f t="shared" si="7"/>
        <v>0</v>
      </c>
      <c r="E141" s="61">
        <f t="shared" si="7"/>
        <v>0</v>
      </c>
      <c r="F141" s="61">
        <f t="shared" si="7"/>
        <v>0</v>
      </c>
      <c r="J141" s="61">
        <f t="shared" si="7"/>
        <v>139</v>
      </c>
      <c r="K141" s="61">
        <f t="shared" si="7"/>
        <v>0</v>
      </c>
      <c r="L141" s="61">
        <f t="shared" si="7"/>
        <v>0</v>
      </c>
      <c r="M141" s="61">
        <f t="shared" si="7"/>
        <v>0</v>
      </c>
      <c r="N141" s="61">
        <f t="shared" si="7"/>
        <v>0</v>
      </c>
      <c r="O141" s="61">
        <f t="shared" si="7"/>
        <v>0</v>
      </c>
    </row>
    <row r="142" spans="1:15" ht="16.8" x14ac:dyDescent="0.3">
      <c r="A142" s="70">
        <f>'BASE MAESTRA'!B148</f>
        <v>140</v>
      </c>
      <c r="B142" s="63"/>
      <c r="D142" s="61">
        <f t="shared" si="7"/>
        <v>0</v>
      </c>
      <c r="E142" s="61">
        <f t="shared" si="7"/>
        <v>0</v>
      </c>
      <c r="F142" s="61">
        <f t="shared" si="7"/>
        <v>0</v>
      </c>
      <c r="J142" s="61">
        <f t="shared" si="7"/>
        <v>140</v>
      </c>
      <c r="K142" s="61">
        <f t="shared" si="7"/>
        <v>0</v>
      </c>
      <c r="L142" s="61">
        <f t="shared" si="7"/>
        <v>0</v>
      </c>
      <c r="M142" s="61">
        <f t="shared" si="7"/>
        <v>0</v>
      </c>
      <c r="N142" s="61">
        <f t="shared" si="7"/>
        <v>0</v>
      </c>
      <c r="O142" s="61">
        <f t="shared" si="7"/>
        <v>0</v>
      </c>
    </row>
    <row r="143" spans="1:15" ht="16.8" x14ac:dyDescent="0.3">
      <c r="A143" s="70">
        <f>'BASE MAESTRA'!B149</f>
        <v>141</v>
      </c>
      <c r="B143" s="63"/>
      <c r="D143" s="61">
        <f t="shared" si="7"/>
        <v>0</v>
      </c>
      <c r="E143" s="61">
        <f t="shared" si="7"/>
        <v>0</v>
      </c>
      <c r="F143" s="61">
        <f t="shared" si="7"/>
        <v>0</v>
      </c>
      <c r="J143" s="61">
        <f t="shared" si="7"/>
        <v>141</v>
      </c>
      <c r="K143" s="61">
        <f t="shared" si="7"/>
        <v>0</v>
      </c>
      <c r="L143" s="61">
        <f t="shared" si="7"/>
        <v>0</v>
      </c>
      <c r="M143" s="61">
        <f t="shared" si="7"/>
        <v>0</v>
      </c>
      <c r="N143" s="61">
        <f t="shared" si="7"/>
        <v>0</v>
      </c>
      <c r="O143" s="61">
        <f t="shared" si="7"/>
        <v>0</v>
      </c>
    </row>
    <row r="144" spans="1:15" ht="16.8" x14ac:dyDescent="0.3">
      <c r="A144" s="70">
        <f>'BASE MAESTRA'!B150</f>
        <v>142</v>
      </c>
      <c r="B144" s="63"/>
      <c r="D144" s="61">
        <f t="shared" si="7"/>
        <v>0</v>
      </c>
      <c r="E144" s="61">
        <f t="shared" si="7"/>
        <v>0</v>
      </c>
      <c r="F144" s="61">
        <f t="shared" si="7"/>
        <v>0</v>
      </c>
      <c r="J144" s="61">
        <f t="shared" si="7"/>
        <v>142</v>
      </c>
      <c r="K144" s="61">
        <f t="shared" si="7"/>
        <v>0</v>
      </c>
      <c r="L144" s="61">
        <f t="shared" si="7"/>
        <v>0</v>
      </c>
      <c r="M144" s="61">
        <f t="shared" si="7"/>
        <v>0</v>
      </c>
      <c r="N144" s="61">
        <f t="shared" si="7"/>
        <v>0</v>
      </c>
      <c r="O144" s="61">
        <f t="shared" si="7"/>
        <v>0</v>
      </c>
    </row>
    <row r="145" spans="1:15" ht="16.8" x14ac:dyDescent="0.3">
      <c r="A145" s="70">
        <f>'BASE MAESTRA'!B151</f>
        <v>143</v>
      </c>
      <c r="B145" s="63"/>
      <c r="D145" s="61">
        <f t="shared" si="7"/>
        <v>0</v>
      </c>
      <c r="E145" s="61">
        <f t="shared" si="7"/>
        <v>0</v>
      </c>
      <c r="F145" s="61">
        <f t="shared" si="7"/>
        <v>0</v>
      </c>
      <c r="J145" s="61">
        <f t="shared" si="7"/>
        <v>143</v>
      </c>
      <c r="K145" s="61">
        <f t="shared" si="7"/>
        <v>0</v>
      </c>
      <c r="L145" s="61">
        <f t="shared" si="7"/>
        <v>0</v>
      </c>
      <c r="M145" s="61">
        <f t="shared" si="7"/>
        <v>0</v>
      </c>
      <c r="N145" s="61">
        <f t="shared" si="7"/>
        <v>0</v>
      </c>
      <c r="O145" s="61">
        <f t="shared" si="7"/>
        <v>0</v>
      </c>
    </row>
    <row r="146" spans="1:15" ht="16.8" x14ac:dyDescent="0.3">
      <c r="A146" s="70">
        <f>'BASE MAESTRA'!B152</f>
        <v>144</v>
      </c>
      <c r="B146" s="63"/>
      <c r="D146" s="61">
        <f t="shared" si="7"/>
        <v>0</v>
      </c>
      <c r="E146" s="61">
        <f t="shared" si="7"/>
        <v>0</v>
      </c>
      <c r="F146" s="61">
        <f t="shared" si="7"/>
        <v>0</v>
      </c>
      <c r="J146" s="61">
        <f t="shared" si="7"/>
        <v>144</v>
      </c>
      <c r="K146" s="61">
        <f t="shared" si="7"/>
        <v>0</v>
      </c>
      <c r="L146" s="61">
        <f t="shared" si="7"/>
        <v>0</v>
      </c>
      <c r="M146" s="61">
        <f t="shared" si="7"/>
        <v>0</v>
      </c>
      <c r="N146" s="61">
        <f t="shared" ref="D146:O168" si="8">VLOOKUP($A146,DatosEspecies,N$2,FALSE)</f>
        <v>0</v>
      </c>
      <c r="O146" s="61">
        <f t="shared" si="8"/>
        <v>0</v>
      </c>
    </row>
    <row r="147" spans="1:15" ht="16.8" x14ac:dyDescent="0.3">
      <c r="A147" s="70">
        <f>'BASE MAESTRA'!B153</f>
        <v>145</v>
      </c>
      <c r="B147" s="63"/>
      <c r="D147" s="61">
        <f t="shared" si="8"/>
        <v>0</v>
      </c>
      <c r="E147" s="61">
        <f t="shared" si="8"/>
        <v>0</v>
      </c>
      <c r="F147" s="61">
        <f t="shared" si="8"/>
        <v>0</v>
      </c>
      <c r="J147" s="61">
        <f t="shared" si="8"/>
        <v>145</v>
      </c>
      <c r="K147" s="61">
        <f t="shared" si="8"/>
        <v>0</v>
      </c>
      <c r="L147" s="61">
        <f t="shared" si="8"/>
        <v>0</v>
      </c>
      <c r="M147" s="61">
        <f t="shared" si="8"/>
        <v>0</v>
      </c>
      <c r="N147" s="61">
        <f t="shared" si="8"/>
        <v>0</v>
      </c>
      <c r="O147" s="61">
        <f t="shared" si="8"/>
        <v>0</v>
      </c>
    </row>
    <row r="148" spans="1:15" ht="16.8" x14ac:dyDescent="0.3">
      <c r="A148" s="70">
        <f>'BASE MAESTRA'!B154</f>
        <v>146</v>
      </c>
      <c r="B148" s="63"/>
      <c r="D148" s="61">
        <f t="shared" si="8"/>
        <v>0</v>
      </c>
      <c r="E148" s="61">
        <f t="shared" si="8"/>
        <v>0</v>
      </c>
      <c r="F148" s="61">
        <f t="shared" si="8"/>
        <v>0</v>
      </c>
      <c r="J148" s="61">
        <f t="shared" si="8"/>
        <v>146</v>
      </c>
      <c r="K148" s="61">
        <f t="shared" si="8"/>
        <v>0</v>
      </c>
      <c r="L148" s="61">
        <f t="shared" si="8"/>
        <v>0</v>
      </c>
      <c r="M148" s="61">
        <f t="shared" si="8"/>
        <v>0</v>
      </c>
      <c r="N148" s="61">
        <f t="shared" si="8"/>
        <v>0</v>
      </c>
      <c r="O148" s="61">
        <f t="shared" si="8"/>
        <v>0</v>
      </c>
    </row>
    <row r="149" spans="1:15" ht="16.8" x14ac:dyDescent="0.3">
      <c r="A149" s="70">
        <f>'BASE MAESTRA'!B155</f>
        <v>147</v>
      </c>
      <c r="B149" s="63"/>
      <c r="D149" s="61">
        <f t="shared" si="8"/>
        <v>0</v>
      </c>
      <c r="E149" s="61">
        <f t="shared" si="8"/>
        <v>0</v>
      </c>
      <c r="F149" s="61">
        <f t="shared" si="8"/>
        <v>0</v>
      </c>
      <c r="J149" s="61">
        <f t="shared" si="8"/>
        <v>147</v>
      </c>
      <c r="K149" s="61">
        <f t="shared" si="8"/>
        <v>0</v>
      </c>
      <c r="L149" s="61">
        <f t="shared" si="8"/>
        <v>0</v>
      </c>
      <c r="M149" s="61">
        <f t="shared" si="8"/>
        <v>0</v>
      </c>
      <c r="N149" s="61">
        <f t="shared" si="8"/>
        <v>0</v>
      </c>
      <c r="O149" s="61">
        <f t="shared" si="8"/>
        <v>0</v>
      </c>
    </row>
    <row r="150" spans="1:15" ht="16.8" x14ac:dyDescent="0.3">
      <c r="A150" s="70">
        <f>'BASE MAESTRA'!B156</f>
        <v>148</v>
      </c>
      <c r="B150" s="63"/>
      <c r="D150" s="61">
        <f t="shared" si="8"/>
        <v>0</v>
      </c>
      <c r="E150" s="61">
        <f t="shared" si="8"/>
        <v>0</v>
      </c>
      <c r="F150" s="61">
        <f t="shared" si="8"/>
        <v>0</v>
      </c>
      <c r="J150" s="61">
        <f t="shared" si="8"/>
        <v>148</v>
      </c>
      <c r="K150" s="61">
        <f t="shared" si="8"/>
        <v>0</v>
      </c>
      <c r="L150" s="61">
        <f t="shared" si="8"/>
        <v>0</v>
      </c>
      <c r="M150" s="61">
        <f t="shared" si="8"/>
        <v>0</v>
      </c>
      <c r="N150" s="61">
        <f t="shared" si="8"/>
        <v>0</v>
      </c>
      <c r="O150" s="61">
        <f t="shared" si="8"/>
        <v>0</v>
      </c>
    </row>
    <row r="151" spans="1:15" ht="16.8" x14ac:dyDescent="0.3">
      <c r="A151" s="70">
        <f>'BASE MAESTRA'!B157</f>
        <v>149</v>
      </c>
      <c r="B151" s="63"/>
      <c r="D151" s="61">
        <f t="shared" si="8"/>
        <v>0</v>
      </c>
      <c r="E151" s="61">
        <f t="shared" si="8"/>
        <v>0</v>
      </c>
      <c r="F151" s="61">
        <f t="shared" si="8"/>
        <v>0</v>
      </c>
      <c r="J151" s="61">
        <f t="shared" si="8"/>
        <v>149</v>
      </c>
      <c r="K151" s="61">
        <f t="shared" si="8"/>
        <v>0</v>
      </c>
      <c r="L151" s="61">
        <f t="shared" si="8"/>
        <v>0</v>
      </c>
      <c r="M151" s="61">
        <f t="shared" si="8"/>
        <v>0</v>
      </c>
      <c r="N151" s="61">
        <f t="shared" si="8"/>
        <v>0</v>
      </c>
      <c r="O151" s="61">
        <f t="shared" si="8"/>
        <v>0</v>
      </c>
    </row>
    <row r="152" spans="1:15" ht="16.8" x14ac:dyDescent="0.3">
      <c r="A152" s="70">
        <f>'BASE MAESTRA'!B158</f>
        <v>150</v>
      </c>
      <c r="B152" s="63"/>
      <c r="D152" s="61">
        <f t="shared" si="8"/>
        <v>0</v>
      </c>
      <c r="E152" s="61">
        <f t="shared" si="8"/>
        <v>0</v>
      </c>
      <c r="F152" s="61">
        <f t="shared" si="8"/>
        <v>0</v>
      </c>
      <c r="J152" s="61">
        <f t="shared" si="8"/>
        <v>150</v>
      </c>
      <c r="K152" s="61">
        <f t="shared" si="8"/>
        <v>0</v>
      </c>
      <c r="L152" s="61">
        <f t="shared" si="8"/>
        <v>0</v>
      </c>
      <c r="M152" s="61">
        <f t="shared" si="8"/>
        <v>0</v>
      </c>
      <c r="N152" s="61">
        <f t="shared" si="8"/>
        <v>0</v>
      </c>
      <c r="O152" s="61">
        <f t="shared" si="8"/>
        <v>0</v>
      </c>
    </row>
    <row r="153" spans="1:15" ht="16.8" x14ac:dyDescent="0.3">
      <c r="A153" s="70">
        <f>'BASE MAESTRA'!B159</f>
        <v>151</v>
      </c>
      <c r="B153" s="63"/>
      <c r="D153" s="61">
        <f t="shared" si="8"/>
        <v>0</v>
      </c>
      <c r="E153" s="61">
        <f t="shared" si="8"/>
        <v>0</v>
      </c>
      <c r="F153" s="61">
        <f t="shared" si="8"/>
        <v>0</v>
      </c>
      <c r="J153" s="61">
        <f t="shared" si="8"/>
        <v>151</v>
      </c>
      <c r="K153" s="61">
        <f t="shared" si="8"/>
        <v>0</v>
      </c>
      <c r="L153" s="61">
        <f t="shared" si="8"/>
        <v>0</v>
      </c>
      <c r="M153" s="61">
        <f t="shared" si="8"/>
        <v>0</v>
      </c>
      <c r="N153" s="61">
        <f t="shared" si="8"/>
        <v>0</v>
      </c>
      <c r="O153" s="61">
        <f t="shared" si="8"/>
        <v>0</v>
      </c>
    </row>
    <row r="154" spans="1:15" ht="16.8" x14ac:dyDescent="0.3">
      <c r="A154" s="70">
        <f>'BASE MAESTRA'!B160</f>
        <v>152</v>
      </c>
      <c r="B154" s="63"/>
      <c r="D154" s="61">
        <f t="shared" si="8"/>
        <v>0</v>
      </c>
      <c r="E154" s="61">
        <f t="shared" si="8"/>
        <v>0</v>
      </c>
      <c r="F154" s="61">
        <f t="shared" si="8"/>
        <v>0</v>
      </c>
      <c r="J154" s="61">
        <f t="shared" si="8"/>
        <v>152</v>
      </c>
      <c r="K154" s="61">
        <f t="shared" si="8"/>
        <v>0</v>
      </c>
      <c r="L154" s="61">
        <f t="shared" si="8"/>
        <v>0</v>
      </c>
      <c r="M154" s="61">
        <f t="shared" si="8"/>
        <v>0</v>
      </c>
      <c r="N154" s="61">
        <f t="shared" si="8"/>
        <v>0</v>
      </c>
      <c r="O154" s="61">
        <f t="shared" si="8"/>
        <v>0</v>
      </c>
    </row>
    <row r="155" spans="1:15" ht="16.8" x14ac:dyDescent="0.3">
      <c r="A155" s="70">
        <f>'BASE MAESTRA'!B161</f>
        <v>153</v>
      </c>
      <c r="B155" s="63"/>
      <c r="D155" s="61">
        <f t="shared" si="8"/>
        <v>0</v>
      </c>
      <c r="E155" s="61">
        <f t="shared" si="8"/>
        <v>0</v>
      </c>
      <c r="F155" s="61">
        <f t="shared" si="8"/>
        <v>0</v>
      </c>
      <c r="J155" s="61">
        <f t="shared" si="8"/>
        <v>153</v>
      </c>
      <c r="K155" s="61">
        <f t="shared" si="8"/>
        <v>0</v>
      </c>
      <c r="L155" s="61">
        <f t="shared" si="8"/>
        <v>0</v>
      </c>
      <c r="M155" s="61">
        <f t="shared" si="8"/>
        <v>0</v>
      </c>
      <c r="N155" s="61">
        <f t="shared" si="8"/>
        <v>0</v>
      </c>
      <c r="O155" s="61">
        <f t="shared" si="8"/>
        <v>0</v>
      </c>
    </row>
    <row r="156" spans="1:15" ht="16.8" x14ac:dyDescent="0.3">
      <c r="A156" s="70">
        <f>'BASE MAESTRA'!B162</f>
        <v>154</v>
      </c>
      <c r="B156" s="63"/>
      <c r="D156" s="61">
        <f t="shared" si="8"/>
        <v>0</v>
      </c>
      <c r="E156" s="61">
        <f t="shared" si="8"/>
        <v>0</v>
      </c>
      <c r="F156" s="61">
        <f t="shared" si="8"/>
        <v>0</v>
      </c>
      <c r="J156" s="61">
        <f t="shared" si="8"/>
        <v>154</v>
      </c>
      <c r="K156" s="61">
        <f t="shared" si="8"/>
        <v>0</v>
      </c>
      <c r="L156" s="61">
        <f t="shared" si="8"/>
        <v>0</v>
      </c>
      <c r="M156" s="61">
        <f t="shared" si="8"/>
        <v>0</v>
      </c>
      <c r="N156" s="61">
        <f t="shared" si="8"/>
        <v>0</v>
      </c>
      <c r="O156" s="61">
        <f t="shared" si="8"/>
        <v>0</v>
      </c>
    </row>
    <row r="157" spans="1:15" ht="16.8" x14ac:dyDescent="0.3">
      <c r="A157" s="70">
        <f>'BASE MAESTRA'!B163</f>
        <v>155</v>
      </c>
      <c r="B157" s="63"/>
      <c r="D157" s="61">
        <f t="shared" si="8"/>
        <v>0</v>
      </c>
      <c r="E157" s="61">
        <f t="shared" si="8"/>
        <v>0</v>
      </c>
      <c r="F157" s="61">
        <f t="shared" si="8"/>
        <v>0</v>
      </c>
      <c r="J157" s="61">
        <f t="shared" si="8"/>
        <v>155</v>
      </c>
      <c r="K157" s="61">
        <f t="shared" si="8"/>
        <v>0</v>
      </c>
      <c r="L157" s="61">
        <f t="shared" si="8"/>
        <v>0</v>
      </c>
      <c r="M157" s="61">
        <f t="shared" si="8"/>
        <v>0</v>
      </c>
      <c r="N157" s="61">
        <f t="shared" si="8"/>
        <v>0</v>
      </c>
      <c r="O157" s="61">
        <f t="shared" si="8"/>
        <v>0</v>
      </c>
    </row>
    <row r="158" spans="1:15" ht="16.8" x14ac:dyDescent="0.3">
      <c r="A158" s="70">
        <f>'BASE MAESTRA'!B164</f>
        <v>156</v>
      </c>
      <c r="B158" s="63"/>
      <c r="D158" s="61">
        <f t="shared" si="8"/>
        <v>0</v>
      </c>
      <c r="E158" s="61">
        <f t="shared" si="8"/>
        <v>0</v>
      </c>
      <c r="F158" s="61">
        <f t="shared" si="8"/>
        <v>0</v>
      </c>
      <c r="J158" s="61">
        <f t="shared" si="8"/>
        <v>156</v>
      </c>
      <c r="K158" s="61">
        <f t="shared" si="8"/>
        <v>0</v>
      </c>
      <c r="L158" s="61">
        <f t="shared" si="8"/>
        <v>0</v>
      </c>
      <c r="M158" s="61">
        <f t="shared" si="8"/>
        <v>0</v>
      </c>
      <c r="N158" s="61">
        <f t="shared" si="8"/>
        <v>0</v>
      </c>
      <c r="O158" s="61">
        <f t="shared" si="8"/>
        <v>0</v>
      </c>
    </row>
    <row r="159" spans="1:15" ht="16.8" x14ac:dyDescent="0.3">
      <c r="A159" s="70">
        <f>'BASE MAESTRA'!B165</f>
        <v>157</v>
      </c>
      <c r="B159" s="63"/>
      <c r="D159" s="61">
        <f t="shared" si="8"/>
        <v>0</v>
      </c>
      <c r="E159" s="61">
        <f t="shared" si="8"/>
        <v>0</v>
      </c>
      <c r="F159" s="61">
        <f t="shared" si="8"/>
        <v>0</v>
      </c>
      <c r="J159" s="61">
        <f t="shared" si="8"/>
        <v>157</v>
      </c>
      <c r="K159" s="61">
        <f t="shared" si="8"/>
        <v>0</v>
      </c>
      <c r="L159" s="61">
        <f t="shared" si="8"/>
        <v>0</v>
      </c>
      <c r="M159" s="61">
        <f t="shared" si="8"/>
        <v>0</v>
      </c>
      <c r="N159" s="61">
        <f t="shared" si="8"/>
        <v>0</v>
      </c>
      <c r="O159" s="61">
        <f t="shared" si="8"/>
        <v>0</v>
      </c>
    </row>
    <row r="160" spans="1:15" ht="16.8" x14ac:dyDescent="0.3">
      <c r="A160" s="70">
        <f>'BASE MAESTRA'!B166</f>
        <v>158</v>
      </c>
      <c r="B160" s="63"/>
      <c r="D160" s="61">
        <f t="shared" si="8"/>
        <v>0</v>
      </c>
      <c r="E160" s="61">
        <f t="shared" si="8"/>
        <v>0</v>
      </c>
      <c r="F160" s="61">
        <f t="shared" si="8"/>
        <v>0</v>
      </c>
      <c r="J160" s="61">
        <f t="shared" si="8"/>
        <v>158</v>
      </c>
      <c r="K160" s="61">
        <f t="shared" si="8"/>
        <v>0</v>
      </c>
      <c r="L160" s="61">
        <f t="shared" si="8"/>
        <v>0</v>
      </c>
      <c r="M160" s="61">
        <f t="shared" si="8"/>
        <v>0</v>
      </c>
      <c r="N160" s="61">
        <f t="shared" si="8"/>
        <v>0</v>
      </c>
      <c r="O160" s="61">
        <f t="shared" si="8"/>
        <v>0</v>
      </c>
    </row>
    <row r="161" spans="1:15" ht="16.8" x14ac:dyDescent="0.3">
      <c r="A161" s="70">
        <f>'BASE MAESTRA'!B167</f>
        <v>159</v>
      </c>
      <c r="B161" s="63"/>
      <c r="D161" s="61">
        <f t="shared" si="8"/>
        <v>0</v>
      </c>
      <c r="E161" s="61">
        <f t="shared" si="8"/>
        <v>0</v>
      </c>
      <c r="F161" s="61">
        <f t="shared" si="8"/>
        <v>0</v>
      </c>
      <c r="J161" s="61">
        <f t="shared" si="8"/>
        <v>159</v>
      </c>
      <c r="K161" s="61">
        <f t="shared" si="8"/>
        <v>0</v>
      </c>
      <c r="L161" s="61">
        <f t="shared" si="8"/>
        <v>0</v>
      </c>
      <c r="M161" s="61">
        <f t="shared" si="8"/>
        <v>0</v>
      </c>
      <c r="N161" s="61">
        <f t="shared" si="8"/>
        <v>0</v>
      </c>
      <c r="O161" s="61">
        <f t="shared" si="8"/>
        <v>0</v>
      </c>
    </row>
    <row r="162" spans="1:15" ht="16.8" x14ac:dyDescent="0.3">
      <c r="A162" s="70">
        <f>'BASE MAESTRA'!B168</f>
        <v>160</v>
      </c>
      <c r="B162" s="63"/>
      <c r="D162" s="61">
        <f t="shared" si="8"/>
        <v>0</v>
      </c>
      <c r="E162" s="61">
        <f t="shared" si="8"/>
        <v>0</v>
      </c>
      <c r="F162" s="61">
        <f t="shared" si="8"/>
        <v>0</v>
      </c>
      <c r="J162" s="61">
        <f t="shared" si="8"/>
        <v>160</v>
      </c>
      <c r="K162" s="61">
        <f t="shared" si="8"/>
        <v>0</v>
      </c>
      <c r="L162" s="61">
        <f t="shared" si="8"/>
        <v>0</v>
      </c>
      <c r="M162" s="61">
        <f t="shared" si="8"/>
        <v>0</v>
      </c>
      <c r="N162" s="61">
        <f t="shared" si="8"/>
        <v>0</v>
      </c>
      <c r="O162" s="61">
        <f t="shared" si="8"/>
        <v>0</v>
      </c>
    </row>
    <row r="163" spans="1:15" ht="16.8" x14ac:dyDescent="0.3">
      <c r="A163" s="70">
        <f>'BASE MAESTRA'!B169</f>
        <v>161</v>
      </c>
      <c r="B163" s="63"/>
      <c r="D163" s="61">
        <f t="shared" si="8"/>
        <v>0</v>
      </c>
      <c r="E163" s="61">
        <f t="shared" si="8"/>
        <v>0</v>
      </c>
      <c r="F163" s="61">
        <f t="shared" si="8"/>
        <v>0</v>
      </c>
      <c r="J163" s="61">
        <f t="shared" si="8"/>
        <v>161</v>
      </c>
      <c r="K163" s="61">
        <f t="shared" si="8"/>
        <v>0</v>
      </c>
      <c r="L163" s="61">
        <f t="shared" si="8"/>
        <v>0</v>
      </c>
      <c r="M163" s="61">
        <f t="shared" si="8"/>
        <v>0</v>
      </c>
      <c r="N163" s="61">
        <f t="shared" si="8"/>
        <v>0</v>
      </c>
      <c r="O163" s="61">
        <f t="shared" si="8"/>
        <v>0</v>
      </c>
    </row>
    <row r="164" spans="1:15" ht="16.8" x14ac:dyDescent="0.3">
      <c r="A164" s="70">
        <f>'BASE MAESTRA'!B170</f>
        <v>162</v>
      </c>
      <c r="B164" s="63"/>
      <c r="D164" s="61">
        <f t="shared" si="8"/>
        <v>0</v>
      </c>
      <c r="E164" s="61">
        <f t="shared" si="8"/>
        <v>0</v>
      </c>
      <c r="F164" s="61">
        <f t="shared" si="8"/>
        <v>0</v>
      </c>
      <c r="J164" s="61">
        <f t="shared" si="8"/>
        <v>162</v>
      </c>
      <c r="K164" s="61">
        <f t="shared" si="8"/>
        <v>0</v>
      </c>
      <c r="L164" s="61">
        <f t="shared" si="8"/>
        <v>0</v>
      </c>
      <c r="M164" s="61">
        <f t="shared" si="8"/>
        <v>0</v>
      </c>
      <c r="N164" s="61">
        <f t="shared" si="8"/>
        <v>0</v>
      </c>
      <c r="O164" s="61">
        <f t="shared" si="8"/>
        <v>0</v>
      </c>
    </row>
    <row r="165" spans="1:15" ht="16.8" x14ac:dyDescent="0.3">
      <c r="A165" s="70">
        <f>'BASE MAESTRA'!B171</f>
        <v>163</v>
      </c>
      <c r="B165" s="63"/>
      <c r="D165" s="61">
        <f t="shared" si="8"/>
        <v>0</v>
      </c>
      <c r="E165" s="61">
        <f t="shared" si="8"/>
        <v>0</v>
      </c>
      <c r="F165" s="61">
        <f t="shared" si="8"/>
        <v>0</v>
      </c>
      <c r="J165" s="61">
        <f t="shared" si="8"/>
        <v>163</v>
      </c>
      <c r="K165" s="61">
        <f t="shared" si="8"/>
        <v>0</v>
      </c>
      <c r="L165" s="61">
        <f t="shared" si="8"/>
        <v>0</v>
      </c>
      <c r="M165" s="61">
        <f t="shared" si="8"/>
        <v>0</v>
      </c>
      <c r="N165" s="61">
        <f t="shared" si="8"/>
        <v>0</v>
      </c>
      <c r="O165" s="61">
        <f t="shared" si="8"/>
        <v>0</v>
      </c>
    </row>
    <row r="166" spans="1:15" ht="16.8" x14ac:dyDescent="0.3">
      <c r="A166" s="70">
        <f>'BASE MAESTRA'!B172</f>
        <v>164</v>
      </c>
      <c r="B166" s="63"/>
      <c r="D166" s="61">
        <f t="shared" si="8"/>
        <v>0</v>
      </c>
      <c r="E166" s="61">
        <f t="shared" si="8"/>
        <v>0</v>
      </c>
      <c r="F166" s="61">
        <f t="shared" si="8"/>
        <v>0</v>
      </c>
      <c r="J166" s="61">
        <f t="shared" si="8"/>
        <v>164</v>
      </c>
      <c r="K166" s="61">
        <f t="shared" si="8"/>
        <v>0</v>
      </c>
      <c r="L166" s="61">
        <f t="shared" si="8"/>
        <v>0</v>
      </c>
      <c r="M166" s="61">
        <f t="shared" si="8"/>
        <v>0</v>
      </c>
      <c r="N166" s="61">
        <f t="shared" si="8"/>
        <v>0</v>
      </c>
      <c r="O166" s="61">
        <f t="shared" si="8"/>
        <v>0</v>
      </c>
    </row>
    <row r="167" spans="1:15" ht="16.8" x14ac:dyDescent="0.3">
      <c r="A167" s="70">
        <f>'BASE MAESTRA'!B173</f>
        <v>165</v>
      </c>
      <c r="B167" s="63"/>
      <c r="D167" s="61">
        <f t="shared" si="8"/>
        <v>0</v>
      </c>
      <c r="E167" s="61">
        <f t="shared" si="8"/>
        <v>0</v>
      </c>
      <c r="F167" s="61">
        <f t="shared" si="8"/>
        <v>0</v>
      </c>
      <c r="J167" s="61">
        <f t="shared" si="8"/>
        <v>165</v>
      </c>
      <c r="K167" s="61">
        <f t="shared" si="8"/>
        <v>0</v>
      </c>
      <c r="L167" s="61">
        <f t="shared" si="8"/>
        <v>0</v>
      </c>
      <c r="M167" s="61">
        <f t="shared" si="8"/>
        <v>0</v>
      </c>
      <c r="N167" s="61">
        <f t="shared" si="8"/>
        <v>0</v>
      </c>
      <c r="O167" s="61">
        <f t="shared" si="8"/>
        <v>0</v>
      </c>
    </row>
    <row r="168" spans="1:15" ht="16.8" x14ac:dyDescent="0.3">
      <c r="A168" s="70">
        <f>'BASE MAESTRA'!B174</f>
        <v>166</v>
      </c>
      <c r="B168" s="63"/>
      <c r="D168" s="61">
        <f t="shared" si="8"/>
        <v>0</v>
      </c>
      <c r="E168" s="61">
        <f t="shared" ref="D168:O189" si="9">VLOOKUP($A168,DatosEspecies,E$2,FALSE)</f>
        <v>0</v>
      </c>
      <c r="F168" s="61">
        <f t="shared" si="9"/>
        <v>0</v>
      </c>
      <c r="J168" s="61">
        <f t="shared" si="9"/>
        <v>166</v>
      </c>
      <c r="K168" s="61">
        <f t="shared" si="9"/>
        <v>0</v>
      </c>
      <c r="L168" s="61">
        <f t="shared" si="9"/>
        <v>0</v>
      </c>
      <c r="M168" s="61">
        <f t="shared" si="9"/>
        <v>0</v>
      </c>
      <c r="N168" s="61">
        <f t="shared" si="9"/>
        <v>0</v>
      </c>
      <c r="O168" s="61">
        <f t="shared" si="9"/>
        <v>0</v>
      </c>
    </row>
    <row r="169" spans="1:15" ht="16.8" x14ac:dyDescent="0.3">
      <c r="A169" s="70">
        <f>'BASE MAESTRA'!B175</f>
        <v>167</v>
      </c>
      <c r="B169" s="63"/>
      <c r="D169" s="61">
        <f t="shared" si="9"/>
        <v>0</v>
      </c>
      <c r="E169" s="61">
        <f t="shared" si="9"/>
        <v>0</v>
      </c>
      <c r="F169" s="61">
        <f t="shared" si="9"/>
        <v>0</v>
      </c>
      <c r="J169" s="61">
        <f t="shared" si="9"/>
        <v>167</v>
      </c>
      <c r="K169" s="61">
        <f t="shared" si="9"/>
        <v>0</v>
      </c>
      <c r="L169" s="61">
        <f t="shared" si="9"/>
        <v>0</v>
      </c>
      <c r="M169" s="61">
        <f t="shared" si="9"/>
        <v>0</v>
      </c>
      <c r="N169" s="61">
        <f t="shared" si="9"/>
        <v>0</v>
      </c>
      <c r="O169" s="61">
        <f t="shared" si="9"/>
        <v>0</v>
      </c>
    </row>
    <row r="170" spans="1:15" ht="16.8" x14ac:dyDescent="0.3">
      <c r="A170" s="70">
        <f>'BASE MAESTRA'!B176</f>
        <v>168</v>
      </c>
      <c r="B170" s="63"/>
      <c r="D170" s="61">
        <f t="shared" si="9"/>
        <v>0</v>
      </c>
      <c r="E170" s="61">
        <f t="shared" si="9"/>
        <v>0</v>
      </c>
      <c r="F170" s="61">
        <f t="shared" si="9"/>
        <v>0</v>
      </c>
      <c r="J170" s="61">
        <f t="shared" si="9"/>
        <v>168</v>
      </c>
      <c r="K170" s="61">
        <f t="shared" si="9"/>
        <v>0</v>
      </c>
      <c r="L170" s="61">
        <f t="shared" si="9"/>
        <v>0</v>
      </c>
      <c r="M170" s="61">
        <f t="shared" si="9"/>
        <v>0</v>
      </c>
      <c r="N170" s="61">
        <f t="shared" si="9"/>
        <v>0</v>
      </c>
      <c r="O170" s="61">
        <f t="shared" si="9"/>
        <v>0</v>
      </c>
    </row>
    <row r="171" spans="1:15" ht="16.8" x14ac:dyDescent="0.3">
      <c r="A171" s="70">
        <f>'BASE MAESTRA'!B177</f>
        <v>169</v>
      </c>
      <c r="B171" s="63"/>
      <c r="D171" s="61">
        <f t="shared" si="9"/>
        <v>0</v>
      </c>
      <c r="E171" s="61">
        <f t="shared" si="9"/>
        <v>0</v>
      </c>
      <c r="F171" s="61">
        <f t="shared" si="9"/>
        <v>0</v>
      </c>
      <c r="J171" s="61">
        <f t="shared" si="9"/>
        <v>169</v>
      </c>
      <c r="K171" s="61">
        <f t="shared" si="9"/>
        <v>0</v>
      </c>
      <c r="L171" s="61">
        <f t="shared" si="9"/>
        <v>0</v>
      </c>
      <c r="M171" s="61">
        <f t="shared" si="9"/>
        <v>0</v>
      </c>
      <c r="N171" s="61">
        <f t="shared" si="9"/>
        <v>0</v>
      </c>
      <c r="O171" s="61">
        <f t="shared" si="9"/>
        <v>0</v>
      </c>
    </row>
    <row r="172" spans="1:15" ht="16.8" x14ac:dyDescent="0.3">
      <c r="A172" s="70">
        <f>'BASE MAESTRA'!B178</f>
        <v>170</v>
      </c>
      <c r="B172" s="63"/>
      <c r="D172" s="61">
        <f t="shared" si="9"/>
        <v>0</v>
      </c>
      <c r="E172" s="61">
        <f t="shared" si="9"/>
        <v>0</v>
      </c>
      <c r="F172" s="61">
        <f t="shared" si="9"/>
        <v>0</v>
      </c>
      <c r="J172" s="61">
        <f t="shared" si="9"/>
        <v>170</v>
      </c>
      <c r="K172" s="61">
        <f t="shared" si="9"/>
        <v>0</v>
      </c>
      <c r="L172" s="61">
        <f t="shared" si="9"/>
        <v>0</v>
      </c>
      <c r="M172" s="61">
        <f t="shared" si="9"/>
        <v>0</v>
      </c>
      <c r="N172" s="61">
        <f t="shared" si="9"/>
        <v>0</v>
      </c>
      <c r="O172" s="61">
        <f t="shared" si="9"/>
        <v>0</v>
      </c>
    </row>
    <row r="173" spans="1:15" ht="16.8" x14ac:dyDescent="0.3">
      <c r="A173" s="70">
        <f>'BASE MAESTRA'!B179</f>
        <v>171</v>
      </c>
      <c r="B173" s="63"/>
      <c r="D173" s="61">
        <f t="shared" si="9"/>
        <v>0</v>
      </c>
      <c r="E173" s="61">
        <f t="shared" si="9"/>
        <v>0</v>
      </c>
      <c r="F173" s="61">
        <f t="shared" si="9"/>
        <v>0</v>
      </c>
      <c r="J173" s="61">
        <f t="shared" si="9"/>
        <v>171</v>
      </c>
      <c r="K173" s="61">
        <f t="shared" si="9"/>
        <v>0</v>
      </c>
      <c r="L173" s="61">
        <f t="shared" si="9"/>
        <v>0</v>
      </c>
      <c r="M173" s="61">
        <f t="shared" si="9"/>
        <v>0</v>
      </c>
      <c r="N173" s="61">
        <f t="shared" si="9"/>
        <v>0</v>
      </c>
      <c r="O173" s="61">
        <f t="shared" si="9"/>
        <v>0</v>
      </c>
    </row>
    <row r="174" spans="1:15" ht="16.8" x14ac:dyDescent="0.3">
      <c r="A174" s="70">
        <f>'BASE MAESTRA'!B180</f>
        <v>172</v>
      </c>
      <c r="B174" s="63"/>
      <c r="D174" s="61">
        <f t="shared" si="9"/>
        <v>0</v>
      </c>
      <c r="E174" s="61">
        <f t="shared" si="9"/>
        <v>0</v>
      </c>
      <c r="F174" s="61">
        <f t="shared" si="9"/>
        <v>0</v>
      </c>
      <c r="J174" s="61">
        <f t="shared" si="9"/>
        <v>172</v>
      </c>
      <c r="K174" s="61">
        <f t="shared" si="9"/>
        <v>0</v>
      </c>
      <c r="L174" s="61">
        <f t="shared" si="9"/>
        <v>0</v>
      </c>
      <c r="M174" s="61">
        <f t="shared" si="9"/>
        <v>0</v>
      </c>
      <c r="N174" s="61">
        <f t="shared" si="9"/>
        <v>0</v>
      </c>
      <c r="O174" s="61">
        <f t="shared" si="9"/>
        <v>0</v>
      </c>
    </row>
    <row r="175" spans="1:15" ht="16.8" x14ac:dyDescent="0.3">
      <c r="A175" s="70">
        <f>'BASE MAESTRA'!B181</f>
        <v>173</v>
      </c>
      <c r="B175" s="63"/>
      <c r="D175" s="61">
        <f t="shared" si="9"/>
        <v>0</v>
      </c>
      <c r="E175" s="61">
        <f t="shared" si="9"/>
        <v>0</v>
      </c>
      <c r="F175" s="61">
        <f t="shared" si="9"/>
        <v>0</v>
      </c>
      <c r="J175" s="61">
        <f t="shared" si="9"/>
        <v>173</v>
      </c>
      <c r="K175" s="61">
        <f t="shared" si="9"/>
        <v>0</v>
      </c>
      <c r="L175" s="61">
        <f t="shared" si="9"/>
        <v>0</v>
      </c>
      <c r="M175" s="61">
        <f t="shared" si="9"/>
        <v>0</v>
      </c>
      <c r="N175" s="61">
        <f t="shared" si="9"/>
        <v>0</v>
      </c>
      <c r="O175" s="61">
        <f t="shared" si="9"/>
        <v>0</v>
      </c>
    </row>
    <row r="176" spans="1:15" ht="16.8" x14ac:dyDescent="0.3">
      <c r="A176" s="70">
        <f>'BASE MAESTRA'!B182</f>
        <v>174</v>
      </c>
      <c r="B176" s="63"/>
      <c r="D176" s="61">
        <f t="shared" si="9"/>
        <v>0</v>
      </c>
      <c r="E176" s="61">
        <f t="shared" si="9"/>
        <v>0</v>
      </c>
      <c r="F176" s="61">
        <f t="shared" si="9"/>
        <v>0</v>
      </c>
      <c r="J176" s="61">
        <f t="shared" si="9"/>
        <v>174</v>
      </c>
      <c r="K176" s="61">
        <f t="shared" si="9"/>
        <v>0</v>
      </c>
      <c r="L176" s="61">
        <f t="shared" si="9"/>
        <v>0</v>
      </c>
      <c r="M176" s="61">
        <f t="shared" si="9"/>
        <v>0</v>
      </c>
      <c r="N176" s="61">
        <f t="shared" si="9"/>
        <v>0</v>
      </c>
      <c r="O176" s="61">
        <f t="shared" si="9"/>
        <v>0</v>
      </c>
    </row>
    <row r="177" spans="1:15" ht="16.8" x14ac:dyDescent="0.3">
      <c r="A177" s="70">
        <f>'BASE MAESTRA'!B183</f>
        <v>175</v>
      </c>
      <c r="B177" s="63"/>
      <c r="D177" s="61">
        <f t="shared" si="9"/>
        <v>0</v>
      </c>
      <c r="E177" s="61">
        <f t="shared" si="9"/>
        <v>0</v>
      </c>
      <c r="F177" s="61">
        <f t="shared" si="9"/>
        <v>0</v>
      </c>
      <c r="J177" s="61">
        <f t="shared" si="9"/>
        <v>175</v>
      </c>
      <c r="K177" s="61">
        <f t="shared" si="9"/>
        <v>0</v>
      </c>
      <c r="L177" s="61">
        <f t="shared" si="9"/>
        <v>0</v>
      </c>
      <c r="M177" s="61">
        <f t="shared" si="9"/>
        <v>0</v>
      </c>
      <c r="N177" s="61">
        <f t="shared" si="9"/>
        <v>0</v>
      </c>
      <c r="O177" s="61">
        <f t="shared" si="9"/>
        <v>0</v>
      </c>
    </row>
    <row r="178" spans="1:15" ht="16.8" x14ac:dyDescent="0.3">
      <c r="A178" s="70">
        <f>'BASE MAESTRA'!B184</f>
        <v>176</v>
      </c>
      <c r="B178" s="63"/>
      <c r="D178" s="61">
        <f t="shared" si="9"/>
        <v>0</v>
      </c>
      <c r="E178" s="61">
        <f t="shared" si="9"/>
        <v>0</v>
      </c>
      <c r="F178" s="61">
        <f t="shared" si="9"/>
        <v>0</v>
      </c>
      <c r="J178" s="61">
        <f t="shared" si="9"/>
        <v>176</v>
      </c>
      <c r="K178" s="61">
        <f t="shared" si="9"/>
        <v>0</v>
      </c>
      <c r="L178" s="61">
        <f t="shared" si="9"/>
        <v>0</v>
      </c>
      <c r="M178" s="61">
        <f t="shared" si="9"/>
        <v>0</v>
      </c>
      <c r="N178" s="61">
        <f t="shared" si="9"/>
        <v>0</v>
      </c>
      <c r="O178" s="61">
        <f t="shared" si="9"/>
        <v>0</v>
      </c>
    </row>
    <row r="179" spans="1:15" ht="16.8" x14ac:dyDescent="0.3">
      <c r="A179" s="70">
        <f>'BASE MAESTRA'!B185</f>
        <v>177</v>
      </c>
      <c r="B179" s="63"/>
      <c r="D179" s="61">
        <f t="shared" si="9"/>
        <v>0</v>
      </c>
      <c r="E179" s="61">
        <f t="shared" si="9"/>
        <v>0</v>
      </c>
      <c r="F179" s="61">
        <f t="shared" si="9"/>
        <v>0</v>
      </c>
      <c r="J179" s="61">
        <f t="shared" si="9"/>
        <v>177</v>
      </c>
      <c r="K179" s="61">
        <f t="shared" si="9"/>
        <v>0</v>
      </c>
      <c r="L179" s="61">
        <f t="shared" si="9"/>
        <v>0</v>
      </c>
      <c r="M179" s="61">
        <f t="shared" si="9"/>
        <v>0</v>
      </c>
      <c r="N179" s="61">
        <f t="shared" si="9"/>
        <v>0</v>
      </c>
      <c r="O179" s="61">
        <f t="shared" si="9"/>
        <v>0</v>
      </c>
    </row>
    <row r="180" spans="1:15" ht="16.8" x14ac:dyDescent="0.3">
      <c r="A180" s="70">
        <f>'BASE MAESTRA'!B186</f>
        <v>178</v>
      </c>
      <c r="B180" s="63"/>
      <c r="D180" s="61">
        <f t="shared" si="9"/>
        <v>0</v>
      </c>
      <c r="E180" s="61">
        <f t="shared" si="9"/>
        <v>0</v>
      </c>
      <c r="F180" s="61">
        <f t="shared" si="9"/>
        <v>0</v>
      </c>
      <c r="J180" s="61">
        <f t="shared" si="9"/>
        <v>178</v>
      </c>
      <c r="K180" s="61">
        <f t="shared" si="9"/>
        <v>0</v>
      </c>
      <c r="L180" s="61">
        <f t="shared" si="9"/>
        <v>0</v>
      </c>
      <c r="M180" s="61">
        <f t="shared" si="9"/>
        <v>0</v>
      </c>
      <c r="N180" s="61">
        <f t="shared" si="9"/>
        <v>0</v>
      </c>
      <c r="O180" s="61">
        <f t="shared" si="9"/>
        <v>0</v>
      </c>
    </row>
    <row r="181" spans="1:15" ht="16.8" x14ac:dyDescent="0.3">
      <c r="A181" s="70">
        <f>'BASE MAESTRA'!B187</f>
        <v>179</v>
      </c>
      <c r="B181" s="63"/>
      <c r="D181" s="61">
        <f t="shared" si="9"/>
        <v>0</v>
      </c>
      <c r="E181" s="61">
        <f t="shared" si="9"/>
        <v>0</v>
      </c>
      <c r="F181" s="61">
        <f t="shared" si="9"/>
        <v>0</v>
      </c>
      <c r="J181" s="61">
        <f t="shared" si="9"/>
        <v>179</v>
      </c>
      <c r="K181" s="61">
        <f t="shared" si="9"/>
        <v>0</v>
      </c>
      <c r="L181" s="61">
        <f t="shared" si="9"/>
        <v>0</v>
      </c>
      <c r="M181" s="61">
        <f t="shared" si="9"/>
        <v>0</v>
      </c>
      <c r="N181" s="61">
        <f t="shared" si="9"/>
        <v>0</v>
      </c>
      <c r="O181" s="61">
        <f t="shared" si="9"/>
        <v>0</v>
      </c>
    </row>
    <row r="182" spans="1:15" ht="16.8" x14ac:dyDescent="0.3">
      <c r="A182" s="70">
        <f>'BASE MAESTRA'!B188</f>
        <v>180</v>
      </c>
      <c r="B182" s="63"/>
      <c r="D182" s="61">
        <f t="shared" si="9"/>
        <v>0</v>
      </c>
      <c r="E182" s="61">
        <f t="shared" si="9"/>
        <v>0</v>
      </c>
      <c r="F182" s="61">
        <f t="shared" si="9"/>
        <v>0</v>
      </c>
      <c r="J182" s="61">
        <f t="shared" si="9"/>
        <v>180</v>
      </c>
      <c r="K182" s="61">
        <f t="shared" si="9"/>
        <v>0</v>
      </c>
      <c r="L182" s="61">
        <f t="shared" si="9"/>
        <v>0</v>
      </c>
      <c r="M182" s="61">
        <f t="shared" si="9"/>
        <v>0</v>
      </c>
      <c r="N182" s="61">
        <f t="shared" si="9"/>
        <v>0</v>
      </c>
      <c r="O182" s="61">
        <f t="shared" si="9"/>
        <v>0</v>
      </c>
    </row>
    <row r="183" spans="1:15" ht="16.8" x14ac:dyDescent="0.3">
      <c r="A183" s="70">
        <f>'BASE MAESTRA'!B189</f>
        <v>181</v>
      </c>
      <c r="B183" s="63"/>
      <c r="D183" s="61">
        <f t="shared" si="9"/>
        <v>0</v>
      </c>
      <c r="E183" s="61">
        <f t="shared" si="9"/>
        <v>0</v>
      </c>
      <c r="F183" s="61">
        <f t="shared" si="9"/>
        <v>0</v>
      </c>
      <c r="J183" s="61">
        <f t="shared" si="9"/>
        <v>181</v>
      </c>
      <c r="K183" s="61">
        <f t="shared" si="9"/>
        <v>0</v>
      </c>
      <c r="L183" s="61">
        <f t="shared" si="9"/>
        <v>0</v>
      </c>
      <c r="M183" s="61">
        <f t="shared" si="9"/>
        <v>0</v>
      </c>
      <c r="N183" s="61">
        <f t="shared" si="9"/>
        <v>0</v>
      </c>
      <c r="O183" s="61">
        <f t="shared" si="9"/>
        <v>0</v>
      </c>
    </row>
    <row r="184" spans="1:15" ht="16.8" x14ac:dyDescent="0.3">
      <c r="A184" s="70">
        <f>'BASE MAESTRA'!B190</f>
        <v>182</v>
      </c>
      <c r="B184" s="63"/>
      <c r="D184" s="61">
        <f t="shared" si="9"/>
        <v>0</v>
      </c>
      <c r="E184" s="61">
        <f t="shared" si="9"/>
        <v>0</v>
      </c>
      <c r="F184" s="61">
        <f t="shared" si="9"/>
        <v>0</v>
      </c>
      <c r="J184" s="61">
        <f t="shared" si="9"/>
        <v>182</v>
      </c>
      <c r="K184" s="61">
        <f t="shared" si="9"/>
        <v>0</v>
      </c>
      <c r="L184" s="61">
        <f t="shared" si="9"/>
        <v>0</v>
      </c>
      <c r="M184" s="61">
        <f t="shared" si="9"/>
        <v>0</v>
      </c>
      <c r="N184" s="61">
        <f t="shared" si="9"/>
        <v>0</v>
      </c>
      <c r="O184" s="61">
        <f t="shared" si="9"/>
        <v>0</v>
      </c>
    </row>
    <row r="185" spans="1:15" ht="16.8" x14ac:dyDescent="0.3">
      <c r="A185" s="70">
        <f>'BASE MAESTRA'!B191</f>
        <v>183</v>
      </c>
      <c r="B185" s="63"/>
      <c r="D185" s="61">
        <f t="shared" si="9"/>
        <v>0</v>
      </c>
      <c r="E185" s="61">
        <f t="shared" si="9"/>
        <v>0</v>
      </c>
      <c r="F185" s="61">
        <f t="shared" si="9"/>
        <v>0</v>
      </c>
      <c r="J185" s="61">
        <f t="shared" si="9"/>
        <v>183</v>
      </c>
      <c r="K185" s="61">
        <f t="shared" si="9"/>
        <v>0</v>
      </c>
      <c r="L185" s="61">
        <f t="shared" si="9"/>
        <v>0</v>
      </c>
      <c r="M185" s="61">
        <f t="shared" si="9"/>
        <v>0</v>
      </c>
      <c r="N185" s="61">
        <f t="shared" si="9"/>
        <v>0</v>
      </c>
      <c r="O185" s="61">
        <f t="shared" si="9"/>
        <v>0</v>
      </c>
    </row>
    <row r="186" spans="1:15" ht="16.8" x14ac:dyDescent="0.3">
      <c r="A186" s="70">
        <f>'BASE MAESTRA'!B192</f>
        <v>184</v>
      </c>
      <c r="B186" s="63"/>
      <c r="D186" s="61">
        <f t="shared" si="9"/>
        <v>0</v>
      </c>
      <c r="E186" s="61">
        <f t="shared" si="9"/>
        <v>0</v>
      </c>
      <c r="F186" s="61">
        <f t="shared" si="9"/>
        <v>0</v>
      </c>
      <c r="J186" s="61">
        <f t="shared" si="9"/>
        <v>184</v>
      </c>
      <c r="K186" s="61">
        <f t="shared" si="9"/>
        <v>0</v>
      </c>
      <c r="L186" s="61">
        <f t="shared" si="9"/>
        <v>0</v>
      </c>
      <c r="M186" s="61">
        <f t="shared" si="9"/>
        <v>0</v>
      </c>
      <c r="N186" s="61">
        <f t="shared" si="9"/>
        <v>0</v>
      </c>
      <c r="O186" s="61">
        <f t="shared" si="9"/>
        <v>0</v>
      </c>
    </row>
    <row r="187" spans="1:15" ht="16.8" x14ac:dyDescent="0.3">
      <c r="A187" s="70">
        <f>'BASE MAESTRA'!B193</f>
        <v>185</v>
      </c>
      <c r="B187" s="63"/>
      <c r="D187" s="61">
        <f t="shared" si="9"/>
        <v>0</v>
      </c>
      <c r="E187" s="61">
        <f t="shared" si="9"/>
        <v>0</v>
      </c>
      <c r="F187" s="61">
        <f t="shared" si="9"/>
        <v>0</v>
      </c>
      <c r="J187" s="61">
        <f t="shared" si="9"/>
        <v>185</v>
      </c>
      <c r="K187" s="61">
        <f t="shared" si="9"/>
        <v>0</v>
      </c>
      <c r="L187" s="61">
        <f t="shared" si="9"/>
        <v>0</v>
      </c>
      <c r="M187" s="61">
        <f t="shared" si="9"/>
        <v>0</v>
      </c>
      <c r="N187" s="61">
        <f t="shared" si="9"/>
        <v>0</v>
      </c>
      <c r="O187" s="61">
        <f t="shared" si="9"/>
        <v>0</v>
      </c>
    </row>
    <row r="188" spans="1:15" ht="16.8" x14ac:dyDescent="0.3">
      <c r="A188" s="70">
        <f>'BASE MAESTRA'!B194</f>
        <v>186</v>
      </c>
      <c r="B188" s="63"/>
      <c r="D188" s="61">
        <f t="shared" si="9"/>
        <v>0</v>
      </c>
      <c r="E188" s="61">
        <f t="shared" si="9"/>
        <v>0</v>
      </c>
      <c r="F188" s="61">
        <f t="shared" si="9"/>
        <v>0</v>
      </c>
      <c r="J188" s="61">
        <f t="shared" si="9"/>
        <v>186</v>
      </c>
      <c r="K188" s="61">
        <f t="shared" si="9"/>
        <v>0</v>
      </c>
      <c r="L188" s="61">
        <f t="shared" si="9"/>
        <v>0</v>
      </c>
      <c r="M188" s="61">
        <f t="shared" si="9"/>
        <v>0</v>
      </c>
      <c r="N188" s="61">
        <f t="shared" si="9"/>
        <v>0</v>
      </c>
      <c r="O188" s="61">
        <f t="shared" si="9"/>
        <v>0</v>
      </c>
    </row>
    <row r="189" spans="1:15" ht="16.8" x14ac:dyDescent="0.3">
      <c r="A189" s="70">
        <f>'BASE MAESTRA'!B195</f>
        <v>187</v>
      </c>
      <c r="B189" s="63"/>
      <c r="D189" s="61">
        <f t="shared" si="9"/>
        <v>0</v>
      </c>
      <c r="E189" s="61">
        <f t="shared" si="9"/>
        <v>0</v>
      </c>
      <c r="F189" s="61">
        <f t="shared" si="9"/>
        <v>0</v>
      </c>
      <c r="J189" s="61">
        <f t="shared" ref="D189:O202" si="10">VLOOKUP($A189,DatosEspecies,J$2,FALSE)</f>
        <v>187</v>
      </c>
      <c r="K189" s="61">
        <f t="shared" si="10"/>
        <v>0</v>
      </c>
      <c r="L189" s="61">
        <f t="shared" si="10"/>
        <v>0</v>
      </c>
      <c r="M189" s="61">
        <f t="shared" si="10"/>
        <v>0</v>
      </c>
      <c r="N189" s="61">
        <f t="shared" si="10"/>
        <v>0</v>
      </c>
      <c r="O189" s="61">
        <f t="shared" si="10"/>
        <v>0</v>
      </c>
    </row>
    <row r="190" spans="1:15" ht="16.8" x14ac:dyDescent="0.3">
      <c r="A190" s="70">
        <f>'BASE MAESTRA'!B196</f>
        <v>188</v>
      </c>
      <c r="B190" s="63"/>
      <c r="D190" s="61">
        <f t="shared" si="10"/>
        <v>0</v>
      </c>
      <c r="E190" s="61">
        <f t="shared" si="10"/>
        <v>0</v>
      </c>
      <c r="F190" s="61">
        <f t="shared" si="10"/>
        <v>0</v>
      </c>
      <c r="J190" s="61">
        <f t="shared" si="10"/>
        <v>188</v>
      </c>
      <c r="K190" s="61">
        <f t="shared" si="10"/>
        <v>0</v>
      </c>
      <c r="L190" s="61">
        <f t="shared" si="10"/>
        <v>0</v>
      </c>
      <c r="M190" s="61">
        <f t="shared" si="10"/>
        <v>0</v>
      </c>
      <c r="N190" s="61">
        <f t="shared" si="10"/>
        <v>0</v>
      </c>
      <c r="O190" s="61">
        <f t="shared" si="10"/>
        <v>0</v>
      </c>
    </row>
    <row r="191" spans="1:15" ht="16.8" x14ac:dyDescent="0.3">
      <c r="A191" s="70">
        <f>'BASE MAESTRA'!B197</f>
        <v>189</v>
      </c>
      <c r="B191" s="63"/>
      <c r="D191" s="61">
        <f t="shared" si="10"/>
        <v>0</v>
      </c>
      <c r="E191" s="61">
        <f t="shared" si="10"/>
        <v>0</v>
      </c>
      <c r="F191" s="61">
        <f t="shared" si="10"/>
        <v>0</v>
      </c>
      <c r="J191" s="61">
        <f t="shared" si="10"/>
        <v>189</v>
      </c>
      <c r="K191" s="61">
        <f t="shared" si="10"/>
        <v>0</v>
      </c>
      <c r="L191" s="61">
        <f t="shared" si="10"/>
        <v>0</v>
      </c>
      <c r="M191" s="61">
        <f t="shared" si="10"/>
        <v>0</v>
      </c>
      <c r="N191" s="61">
        <f t="shared" si="10"/>
        <v>0</v>
      </c>
      <c r="O191" s="61">
        <f t="shared" si="10"/>
        <v>0</v>
      </c>
    </row>
    <row r="192" spans="1:15" ht="16.8" x14ac:dyDescent="0.3">
      <c r="A192" s="70">
        <f>'BASE MAESTRA'!B198</f>
        <v>190</v>
      </c>
      <c r="B192" s="63"/>
      <c r="D192" s="61">
        <f t="shared" si="10"/>
        <v>0</v>
      </c>
      <c r="E192" s="61">
        <f t="shared" si="10"/>
        <v>0</v>
      </c>
      <c r="F192" s="61">
        <f t="shared" si="10"/>
        <v>0</v>
      </c>
      <c r="J192" s="61">
        <f t="shared" si="10"/>
        <v>190</v>
      </c>
      <c r="K192" s="61">
        <f t="shared" si="10"/>
        <v>0</v>
      </c>
      <c r="L192" s="61">
        <f t="shared" si="10"/>
        <v>0</v>
      </c>
      <c r="M192" s="61">
        <f t="shared" si="10"/>
        <v>0</v>
      </c>
      <c r="N192" s="61">
        <f t="shared" si="10"/>
        <v>0</v>
      </c>
      <c r="O192" s="61">
        <f t="shared" si="10"/>
        <v>0</v>
      </c>
    </row>
    <row r="193" spans="1:15" ht="16.8" x14ac:dyDescent="0.3">
      <c r="A193" s="70">
        <f>'BASE MAESTRA'!B199</f>
        <v>191</v>
      </c>
      <c r="B193" s="63"/>
      <c r="D193" s="61">
        <f t="shared" si="10"/>
        <v>0</v>
      </c>
      <c r="E193" s="61">
        <f t="shared" si="10"/>
        <v>0</v>
      </c>
      <c r="F193" s="61">
        <f t="shared" si="10"/>
        <v>0</v>
      </c>
      <c r="J193" s="61">
        <f t="shared" si="10"/>
        <v>191</v>
      </c>
      <c r="K193" s="61">
        <f t="shared" si="10"/>
        <v>0</v>
      </c>
      <c r="L193" s="61">
        <f t="shared" si="10"/>
        <v>0</v>
      </c>
      <c r="M193" s="61">
        <f t="shared" si="10"/>
        <v>0</v>
      </c>
      <c r="N193" s="61">
        <f t="shared" si="10"/>
        <v>0</v>
      </c>
      <c r="O193" s="61">
        <f t="shared" si="10"/>
        <v>0</v>
      </c>
    </row>
    <row r="194" spans="1:15" ht="16.8" x14ac:dyDescent="0.3">
      <c r="A194" s="70">
        <f>'BASE MAESTRA'!B200</f>
        <v>192</v>
      </c>
      <c r="B194" s="63"/>
      <c r="D194" s="61">
        <f t="shared" si="10"/>
        <v>0</v>
      </c>
      <c r="E194" s="61">
        <f t="shared" si="10"/>
        <v>0</v>
      </c>
      <c r="F194" s="61">
        <f t="shared" si="10"/>
        <v>0</v>
      </c>
      <c r="J194" s="61">
        <f t="shared" si="10"/>
        <v>192</v>
      </c>
      <c r="K194" s="61">
        <f t="shared" si="10"/>
        <v>0</v>
      </c>
      <c r="L194" s="61">
        <f t="shared" si="10"/>
        <v>0</v>
      </c>
      <c r="M194" s="61">
        <f t="shared" si="10"/>
        <v>0</v>
      </c>
      <c r="N194" s="61">
        <f t="shared" si="10"/>
        <v>0</v>
      </c>
      <c r="O194" s="61">
        <f t="shared" si="10"/>
        <v>0</v>
      </c>
    </row>
    <row r="195" spans="1:15" ht="16.8" x14ac:dyDescent="0.3">
      <c r="A195" s="70">
        <f>'BASE MAESTRA'!B201</f>
        <v>193</v>
      </c>
      <c r="B195" s="63"/>
      <c r="D195" s="61">
        <f t="shared" si="10"/>
        <v>0</v>
      </c>
      <c r="E195" s="61">
        <f t="shared" si="10"/>
        <v>0</v>
      </c>
      <c r="F195" s="61">
        <f t="shared" si="10"/>
        <v>0</v>
      </c>
      <c r="J195" s="61">
        <f t="shared" si="10"/>
        <v>193</v>
      </c>
      <c r="K195" s="61">
        <f t="shared" si="10"/>
        <v>0</v>
      </c>
      <c r="L195" s="61">
        <f t="shared" si="10"/>
        <v>0</v>
      </c>
      <c r="M195" s="61">
        <f t="shared" si="10"/>
        <v>0</v>
      </c>
      <c r="N195" s="61">
        <f t="shared" si="10"/>
        <v>0</v>
      </c>
      <c r="O195" s="61">
        <f t="shared" si="10"/>
        <v>0</v>
      </c>
    </row>
    <row r="196" spans="1:15" ht="16.8" x14ac:dyDescent="0.3">
      <c r="A196" s="70">
        <f>'BASE MAESTRA'!B202</f>
        <v>194</v>
      </c>
      <c r="B196" s="63"/>
      <c r="D196" s="61">
        <f t="shared" si="10"/>
        <v>0</v>
      </c>
      <c r="E196" s="61">
        <f t="shared" si="10"/>
        <v>0</v>
      </c>
      <c r="F196" s="61">
        <f t="shared" si="10"/>
        <v>0</v>
      </c>
      <c r="J196" s="61">
        <f t="shared" si="10"/>
        <v>194</v>
      </c>
      <c r="K196" s="61">
        <f t="shared" si="10"/>
        <v>0</v>
      </c>
      <c r="L196" s="61">
        <f t="shared" si="10"/>
        <v>0</v>
      </c>
      <c r="M196" s="61">
        <f t="shared" si="10"/>
        <v>0</v>
      </c>
      <c r="N196" s="61">
        <f t="shared" si="10"/>
        <v>0</v>
      </c>
      <c r="O196" s="61">
        <f t="shared" si="10"/>
        <v>0</v>
      </c>
    </row>
    <row r="197" spans="1:15" ht="16.8" x14ac:dyDescent="0.3">
      <c r="A197" s="70">
        <f>'BASE MAESTRA'!B203</f>
        <v>195</v>
      </c>
      <c r="B197" s="63"/>
      <c r="D197" s="61">
        <f t="shared" si="10"/>
        <v>0</v>
      </c>
      <c r="E197" s="61">
        <f t="shared" si="10"/>
        <v>0</v>
      </c>
      <c r="F197" s="61">
        <f t="shared" si="10"/>
        <v>0</v>
      </c>
      <c r="J197" s="61">
        <f t="shared" si="10"/>
        <v>195</v>
      </c>
      <c r="K197" s="61">
        <f t="shared" si="10"/>
        <v>0</v>
      </c>
      <c r="L197" s="61">
        <f t="shared" si="10"/>
        <v>0</v>
      </c>
      <c r="M197" s="61">
        <f t="shared" si="10"/>
        <v>0</v>
      </c>
      <c r="N197" s="61">
        <f t="shared" si="10"/>
        <v>0</v>
      </c>
      <c r="O197" s="61">
        <f t="shared" si="10"/>
        <v>0</v>
      </c>
    </row>
    <row r="198" spans="1:15" ht="16.8" x14ac:dyDescent="0.3">
      <c r="A198" s="70">
        <f>'BASE MAESTRA'!B204</f>
        <v>196</v>
      </c>
      <c r="B198" s="63"/>
      <c r="D198" s="61">
        <f t="shared" si="10"/>
        <v>0</v>
      </c>
      <c r="E198" s="61">
        <f t="shared" si="10"/>
        <v>0</v>
      </c>
      <c r="F198" s="61">
        <f t="shared" si="10"/>
        <v>0</v>
      </c>
      <c r="J198" s="61">
        <f t="shared" si="10"/>
        <v>196</v>
      </c>
      <c r="K198" s="61">
        <f t="shared" si="10"/>
        <v>0</v>
      </c>
      <c r="L198" s="61">
        <f t="shared" si="10"/>
        <v>0</v>
      </c>
      <c r="M198" s="61">
        <f t="shared" si="10"/>
        <v>0</v>
      </c>
      <c r="N198" s="61">
        <f t="shared" si="10"/>
        <v>0</v>
      </c>
      <c r="O198" s="61">
        <f t="shared" si="10"/>
        <v>0</v>
      </c>
    </row>
    <row r="199" spans="1:15" ht="16.8" x14ac:dyDescent="0.3">
      <c r="A199" s="70">
        <f>'BASE MAESTRA'!B205</f>
        <v>197</v>
      </c>
      <c r="B199" s="63"/>
      <c r="D199" s="61">
        <f t="shared" si="10"/>
        <v>0</v>
      </c>
      <c r="E199" s="61">
        <f t="shared" si="10"/>
        <v>0</v>
      </c>
      <c r="F199" s="61">
        <f t="shared" si="10"/>
        <v>0</v>
      </c>
      <c r="J199" s="61">
        <f t="shared" si="10"/>
        <v>197</v>
      </c>
      <c r="K199" s="61">
        <f t="shared" si="10"/>
        <v>0</v>
      </c>
      <c r="L199" s="61">
        <f t="shared" si="10"/>
        <v>0</v>
      </c>
      <c r="M199" s="61">
        <f t="shared" si="10"/>
        <v>0</v>
      </c>
      <c r="N199" s="61">
        <f t="shared" si="10"/>
        <v>0</v>
      </c>
      <c r="O199" s="61">
        <f t="shared" si="10"/>
        <v>0</v>
      </c>
    </row>
    <row r="200" spans="1:15" ht="16.8" x14ac:dyDescent="0.3">
      <c r="A200" s="70">
        <f>'BASE MAESTRA'!B206</f>
        <v>198</v>
      </c>
      <c r="B200" s="63"/>
      <c r="D200" s="61">
        <f t="shared" si="10"/>
        <v>0</v>
      </c>
      <c r="E200" s="61">
        <f t="shared" si="10"/>
        <v>0</v>
      </c>
      <c r="F200" s="61">
        <f t="shared" si="10"/>
        <v>0</v>
      </c>
      <c r="J200" s="61">
        <f t="shared" si="10"/>
        <v>198</v>
      </c>
      <c r="K200" s="61">
        <f t="shared" si="10"/>
        <v>0</v>
      </c>
      <c r="L200" s="61">
        <f t="shared" si="10"/>
        <v>0</v>
      </c>
      <c r="M200" s="61">
        <f t="shared" si="10"/>
        <v>0</v>
      </c>
      <c r="N200" s="61">
        <f t="shared" si="10"/>
        <v>0</v>
      </c>
      <c r="O200" s="61">
        <f t="shared" si="10"/>
        <v>0</v>
      </c>
    </row>
    <row r="201" spans="1:15" ht="16.8" x14ac:dyDescent="0.3">
      <c r="A201" s="70">
        <f>'BASE MAESTRA'!B207</f>
        <v>199</v>
      </c>
      <c r="B201" s="63"/>
      <c r="D201" s="61">
        <f t="shared" si="10"/>
        <v>0</v>
      </c>
      <c r="E201" s="61">
        <f t="shared" si="10"/>
        <v>0</v>
      </c>
      <c r="F201" s="61">
        <f t="shared" si="10"/>
        <v>0</v>
      </c>
      <c r="J201" s="61">
        <f t="shared" si="10"/>
        <v>199</v>
      </c>
      <c r="K201" s="61">
        <f t="shared" si="10"/>
        <v>0</v>
      </c>
      <c r="L201" s="61">
        <f t="shared" si="10"/>
        <v>0</v>
      </c>
      <c r="M201" s="61">
        <f t="shared" si="10"/>
        <v>0</v>
      </c>
      <c r="N201" s="61">
        <f t="shared" si="10"/>
        <v>0</v>
      </c>
      <c r="O201" s="61">
        <f t="shared" si="10"/>
        <v>0</v>
      </c>
    </row>
    <row r="202" spans="1:15" ht="16.8" x14ac:dyDescent="0.3">
      <c r="A202" s="70">
        <f>'BASE MAESTRA'!B208</f>
        <v>200</v>
      </c>
      <c r="B202" s="63"/>
      <c r="D202" s="61">
        <f t="shared" si="10"/>
        <v>0</v>
      </c>
      <c r="E202" s="61">
        <f t="shared" si="10"/>
        <v>0</v>
      </c>
      <c r="F202" s="61">
        <f t="shared" si="10"/>
        <v>0</v>
      </c>
      <c r="J202" s="61">
        <f t="shared" si="10"/>
        <v>200</v>
      </c>
      <c r="K202" s="61">
        <f t="shared" si="10"/>
        <v>0</v>
      </c>
      <c r="L202" s="61">
        <f t="shared" si="10"/>
        <v>0</v>
      </c>
      <c r="M202" s="61">
        <f t="shared" si="10"/>
        <v>0</v>
      </c>
      <c r="N202" s="61">
        <f t="shared" si="10"/>
        <v>0</v>
      </c>
      <c r="O202" s="61">
        <f t="shared" si="10"/>
        <v>0</v>
      </c>
    </row>
  </sheetData>
  <customSheetViews>
    <customSheetView guid="{03A28D0E-D221-430C-9036-787CFB666EE7}">
      <selection activeCell="A3" sqref="A3:A138"/>
      <pageMargins left="0.7" right="0.7" top="0.75" bottom="0.75" header="0.3" footer="0.3"/>
    </customSheetView>
  </customSheetView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202"/>
  <sheetViews>
    <sheetView zoomScaleNormal="100" workbookViewId="0"/>
  </sheetViews>
  <sheetFormatPr defaultColWidth="10.6640625" defaultRowHeight="13.8" x14ac:dyDescent="0.3"/>
  <cols>
    <col min="1" max="1" width="10.6640625" style="56"/>
    <col min="2" max="16384" width="10.6640625" style="20"/>
  </cols>
  <sheetData>
    <row r="1" spans="1:14" ht="69" x14ac:dyDescent="0.3">
      <c r="A1" s="55" t="s">
        <v>310</v>
      </c>
      <c r="B1" s="64" t="s">
        <v>269</v>
      </c>
      <c r="C1" s="64" t="s">
        <v>270</v>
      </c>
      <c r="D1" s="64" t="s">
        <v>264</v>
      </c>
      <c r="E1" s="64" t="s">
        <v>265</v>
      </c>
      <c r="F1" s="64" t="s">
        <v>271</v>
      </c>
      <c r="G1" s="64" t="s">
        <v>272</v>
      </c>
      <c r="H1" s="64" t="s">
        <v>273</v>
      </c>
      <c r="I1" s="64" t="s">
        <v>267</v>
      </c>
      <c r="J1" s="64" t="s">
        <v>268</v>
      </c>
      <c r="K1" s="64" t="s">
        <v>274</v>
      </c>
      <c r="L1" s="64" t="s">
        <v>266</v>
      </c>
      <c r="M1" s="64" t="s">
        <v>275</v>
      </c>
      <c r="N1" s="64" t="s">
        <v>8</v>
      </c>
    </row>
    <row r="2" spans="1:14" s="56" customFormat="1" ht="27.6" x14ac:dyDescent="0.3">
      <c r="A2" s="55" t="s">
        <v>323</v>
      </c>
      <c r="B2" s="55">
        <f>VLOOKUP(B1,CamposSIS,2,FALSE)</f>
        <v>68</v>
      </c>
      <c r="C2" s="55"/>
      <c r="D2" s="55">
        <f>VLOOKUP(D1,CamposSIS,2,FALSE)</f>
        <v>64</v>
      </c>
      <c r="E2" s="55"/>
      <c r="F2" s="55"/>
      <c r="G2" s="55"/>
      <c r="H2" s="55"/>
      <c r="I2" s="55">
        <f>VLOOKUP(I1,CamposSIS,2,FALSE)</f>
        <v>66</v>
      </c>
      <c r="J2" s="55">
        <f>VLOOKUP(J1,CamposSIS,2,FALSE)</f>
        <v>67</v>
      </c>
      <c r="K2" s="55"/>
      <c r="L2" s="55">
        <f>VLOOKUP(L1,CamposSIS,2,FALSE)</f>
        <v>65</v>
      </c>
      <c r="M2" s="55"/>
      <c r="N2" s="55">
        <f>VLOOKUP(N1,CamposSIS,2,FALSE)</f>
        <v>1</v>
      </c>
    </row>
    <row r="3" spans="1:14" s="61" customFormat="1" ht="16.8" x14ac:dyDescent="0.3">
      <c r="A3" s="70" t="str">
        <f>'BASE MAESTRA'!B7</f>
        <v>3</v>
      </c>
      <c r="B3" s="61">
        <f t="shared" ref="B3:B18" si="0">VLOOKUP($A3,DatosEspecies,B$2,FALSE)</f>
        <v>0</v>
      </c>
      <c r="D3" s="61" t="str">
        <f>VLOOKUP($A3,DatosEspecies,D$2,FALSE)</f>
        <v>La especie tiene registradas hasta el momento 14 subpoblaciones. No se conoce nada sobre la abundancia o tendencia poblacional de la especie.</v>
      </c>
      <c r="I3" s="61">
        <f t="shared" ref="I3:J18" si="1">VLOOKUP($A3,DatosEspecies,I$2,FALSE)</f>
        <v>0</v>
      </c>
      <c r="J3" s="61">
        <f t="shared" si="1"/>
        <v>0</v>
      </c>
      <c r="L3" s="61">
        <f t="shared" ref="L3:N66" si="2">VLOOKUP($A3,DatosEspecies,L$2,FALSE)</f>
        <v>0</v>
      </c>
      <c r="N3" s="61" t="str">
        <f t="shared" si="2"/>
        <v>3</v>
      </c>
    </row>
    <row r="4" spans="1:14" s="61" customFormat="1" ht="16.8" x14ac:dyDescent="0.3">
      <c r="A4" s="70" t="str">
        <f>'BASE MAESTRA'!B8</f>
        <v>4</v>
      </c>
      <c r="B4" s="61">
        <f t="shared" si="0"/>
        <v>0</v>
      </c>
      <c r="D4" s="61" t="str">
        <f t="shared" ref="D4:D66" si="3">VLOOKUP($A4,DatosEspecies,D$2,FALSE)</f>
        <v>La especie tiene registradas hasta el momento 3 subpoblaciones. No se conoce nada sobre la abundancia o tendencia poblacional de la especie.</v>
      </c>
      <c r="I4" s="61">
        <f t="shared" si="1"/>
        <v>0</v>
      </c>
      <c r="J4" s="61">
        <f t="shared" si="1"/>
        <v>0</v>
      </c>
      <c r="L4" s="61" t="str">
        <f t="shared" si="2"/>
        <v>Las tres subpoblaciones conocidas de la especie se encuentran en sitios con destrucción y degradación de su hábitat. Las alteraciones del hábitat se deben principalmente a la ampliación de la frontera agropecuaria (para ganaderia y para cultivos), la mineria (de metales) y la construcción de infraestructura (vias, centros poblados]. Además, las subpoblaciones conocidas de la especie están amenazadas por la extracción no sostenible de individuos por su uso como ornamentales.</v>
      </c>
      <c r="N4" s="61" t="str">
        <f t="shared" si="2"/>
        <v>4</v>
      </c>
    </row>
    <row r="5" spans="1:14" s="61" customFormat="1" ht="16.8" x14ac:dyDescent="0.3">
      <c r="A5" s="70" t="str">
        <f>'BASE MAESTRA'!B10</f>
        <v>6</v>
      </c>
      <c r="B5" s="61">
        <f t="shared" si="0"/>
        <v>0</v>
      </c>
      <c r="D5" s="61">
        <f t="shared" si="3"/>
        <v>0</v>
      </c>
      <c r="I5" s="61">
        <f t="shared" si="1"/>
        <v>0</v>
      </c>
      <c r="J5" s="61">
        <f t="shared" si="1"/>
        <v>0</v>
      </c>
      <c r="L5" s="61">
        <f t="shared" si="2"/>
        <v>0</v>
      </c>
      <c r="N5" s="61" t="str">
        <f t="shared" si="2"/>
        <v>6</v>
      </c>
    </row>
    <row r="6" spans="1:14" s="61" customFormat="1" ht="16.8" x14ac:dyDescent="0.3">
      <c r="A6" s="70" t="str">
        <f>'BASE MAESTRA'!B11</f>
        <v>7</v>
      </c>
      <c r="B6" s="61">
        <f t="shared" si="0"/>
        <v>0</v>
      </c>
      <c r="D6" s="61">
        <f t="shared" si="3"/>
        <v>0</v>
      </c>
      <c r="I6" s="61">
        <f t="shared" si="1"/>
        <v>0</v>
      </c>
      <c r="J6" s="61">
        <f t="shared" si="1"/>
        <v>0</v>
      </c>
      <c r="L6" s="61">
        <f t="shared" si="2"/>
        <v>0</v>
      </c>
      <c r="N6" s="61" t="str">
        <f t="shared" si="2"/>
        <v>7</v>
      </c>
    </row>
    <row r="7" spans="1:14" s="61" customFormat="1" ht="16.8" x14ac:dyDescent="0.3">
      <c r="A7" s="70" t="str">
        <f>'BASE MAESTRA'!B12</f>
        <v>8</v>
      </c>
      <c r="B7" s="61">
        <f t="shared" si="0"/>
        <v>0</v>
      </c>
      <c r="D7" s="61">
        <f t="shared" si="3"/>
        <v>0</v>
      </c>
      <c r="I7" s="61">
        <f t="shared" si="1"/>
        <v>0</v>
      </c>
      <c r="J7" s="61">
        <f t="shared" si="1"/>
        <v>0</v>
      </c>
      <c r="L7" s="61">
        <f t="shared" si="2"/>
        <v>0</v>
      </c>
      <c r="N7" s="61" t="str">
        <f t="shared" si="2"/>
        <v>8</v>
      </c>
    </row>
    <row r="8" spans="1:14" s="61" customFormat="1" ht="16.8" x14ac:dyDescent="0.3">
      <c r="A8" s="70" t="str">
        <f>'BASE MAESTRA'!B13</f>
        <v>9</v>
      </c>
      <c r="B8" s="61">
        <f t="shared" si="0"/>
        <v>0</v>
      </c>
      <c r="D8" s="61">
        <f t="shared" si="3"/>
        <v>0</v>
      </c>
      <c r="I8" s="61">
        <f t="shared" si="1"/>
        <v>0</v>
      </c>
      <c r="J8" s="61">
        <f t="shared" si="1"/>
        <v>0</v>
      </c>
      <c r="L8" s="61">
        <f t="shared" si="2"/>
        <v>0</v>
      </c>
      <c r="N8" s="61" t="str">
        <f t="shared" si="2"/>
        <v>9</v>
      </c>
    </row>
    <row r="9" spans="1:14" s="61" customFormat="1" ht="16.8" x14ac:dyDescent="0.3">
      <c r="A9" s="70" t="str">
        <f>'BASE MAESTRA'!B14</f>
        <v>10</v>
      </c>
      <c r="B9" s="61">
        <f t="shared" si="0"/>
        <v>0</v>
      </c>
      <c r="D9" s="61">
        <f t="shared" si="3"/>
        <v>0</v>
      </c>
      <c r="I9" s="61">
        <f t="shared" si="1"/>
        <v>0</v>
      </c>
      <c r="J9" s="61">
        <f t="shared" si="1"/>
        <v>0</v>
      </c>
      <c r="L9" s="61">
        <f t="shared" si="2"/>
        <v>0</v>
      </c>
      <c r="N9" s="61" t="str">
        <f t="shared" si="2"/>
        <v>10</v>
      </c>
    </row>
    <row r="10" spans="1:14" s="61" customFormat="1" ht="16.8" x14ac:dyDescent="0.3">
      <c r="A10" s="70" t="str">
        <f>'BASE MAESTRA'!B15</f>
        <v>11</v>
      </c>
      <c r="B10" s="61">
        <f t="shared" si="0"/>
        <v>0</v>
      </c>
      <c r="D10" s="61">
        <f t="shared" si="3"/>
        <v>0</v>
      </c>
      <c r="I10" s="61">
        <f t="shared" si="1"/>
        <v>0</v>
      </c>
      <c r="J10" s="61">
        <f t="shared" si="1"/>
        <v>0</v>
      </c>
      <c r="L10" s="61">
        <f t="shared" si="2"/>
        <v>0</v>
      </c>
      <c r="N10" s="61" t="str">
        <f t="shared" si="2"/>
        <v>11</v>
      </c>
    </row>
    <row r="11" spans="1:14" s="61" customFormat="1" ht="16.8" x14ac:dyDescent="0.3">
      <c r="A11" s="70" t="str">
        <f>'BASE MAESTRA'!B16</f>
        <v>12</v>
      </c>
      <c r="B11" s="61">
        <f t="shared" si="0"/>
        <v>0</v>
      </c>
      <c r="D11" s="61">
        <f t="shared" si="3"/>
        <v>0</v>
      </c>
      <c r="I11" s="61">
        <f t="shared" si="1"/>
        <v>0</v>
      </c>
      <c r="J11" s="61">
        <f t="shared" si="1"/>
        <v>0</v>
      </c>
      <c r="L11" s="61">
        <f t="shared" si="2"/>
        <v>0</v>
      </c>
      <c r="N11" s="61" t="str">
        <f t="shared" si="2"/>
        <v>12</v>
      </c>
    </row>
    <row r="12" spans="1:14" s="61" customFormat="1" ht="16.8" x14ac:dyDescent="0.3">
      <c r="A12" s="70" t="str">
        <f>'BASE MAESTRA'!B17</f>
        <v>13</v>
      </c>
      <c r="B12" s="61">
        <f t="shared" si="0"/>
        <v>0</v>
      </c>
      <c r="D12" s="61">
        <f t="shared" si="3"/>
        <v>0</v>
      </c>
      <c r="I12" s="61">
        <f t="shared" si="1"/>
        <v>0</v>
      </c>
      <c r="J12" s="61">
        <f t="shared" si="1"/>
        <v>0</v>
      </c>
      <c r="L12" s="61">
        <f t="shared" si="2"/>
        <v>0</v>
      </c>
      <c r="N12" s="61" t="str">
        <f t="shared" si="2"/>
        <v>13</v>
      </c>
    </row>
    <row r="13" spans="1:14" s="61" customFormat="1" ht="16.8" x14ac:dyDescent="0.3">
      <c r="A13" s="70" t="str">
        <f>'BASE MAESTRA'!B18</f>
        <v>14</v>
      </c>
      <c r="B13" s="61">
        <f t="shared" si="0"/>
        <v>0</v>
      </c>
      <c r="D13" s="61">
        <f t="shared" si="3"/>
        <v>0</v>
      </c>
      <c r="I13" s="61">
        <f t="shared" si="1"/>
        <v>0</v>
      </c>
      <c r="J13" s="61">
        <f t="shared" si="1"/>
        <v>0</v>
      </c>
      <c r="L13" s="61">
        <f t="shared" si="2"/>
        <v>0</v>
      </c>
      <c r="N13" s="61" t="str">
        <f t="shared" si="2"/>
        <v>14</v>
      </c>
    </row>
    <row r="14" spans="1:14" s="61" customFormat="1" ht="16.8" x14ac:dyDescent="0.3">
      <c r="A14" s="70" t="str">
        <f>'BASE MAESTRA'!B19</f>
        <v>15</v>
      </c>
      <c r="B14" s="61">
        <f t="shared" si="0"/>
        <v>0</v>
      </c>
      <c r="D14" s="61">
        <f t="shared" si="3"/>
        <v>0</v>
      </c>
      <c r="I14" s="61">
        <f t="shared" si="1"/>
        <v>0</v>
      </c>
      <c r="J14" s="61">
        <f t="shared" si="1"/>
        <v>0</v>
      </c>
      <c r="L14" s="61">
        <f t="shared" si="2"/>
        <v>0</v>
      </c>
      <c r="N14" s="61" t="str">
        <f t="shared" si="2"/>
        <v>15</v>
      </c>
    </row>
    <row r="15" spans="1:14" s="61" customFormat="1" ht="16.8" x14ac:dyDescent="0.3">
      <c r="A15" s="70" t="str">
        <f>'BASE MAESTRA'!B20</f>
        <v>16</v>
      </c>
      <c r="B15" s="61">
        <f t="shared" si="0"/>
        <v>0</v>
      </c>
      <c r="D15" s="61">
        <f t="shared" si="3"/>
        <v>0</v>
      </c>
      <c r="I15" s="61">
        <f t="shared" si="1"/>
        <v>0</v>
      </c>
      <c r="J15" s="61">
        <f t="shared" si="1"/>
        <v>0</v>
      </c>
      <c r="L15" s="61">
        <f t="shared" si="2"/>
        <v>0</v>
      </c>
      <c r="N15" s="61" t="str">
        <f t="shared" si="2"/>
        <v>16</v>
      </c>
    </row>
    <row r="16" spans="1:14" s="61" customFormat="1" ht="16.8" x14ac:dyDescent="0.3">
      <c r="A16" s="70" t="str">
        <f>'BASE MAESTRA'!B21</f>
        <v>17</v>
      </c>
      <c r="B16" s="61">
        <f t="shared" si="0"/>
        <v>0</v>
      </c>
      <c r="D16" s="61">
        <f t="shared" si="3"/>
        <v>0</v>
      </c>
      <c r="I16" s="61">
        <f t="shared" si="1"/>
        <v>0</v>
      </c>
      <c r="J16" s="61">
        <f t="shared" si="1"/>
        <v>0</v>
      </c>
      <c r="L16" s="61">
        <f t="shared" si="2"/>
        <v>0</v>
      </c>
      <c r="N16" s="61" t="str">
        <f t="shared" si="2"/>
        <v>17</v>
      </c>
    </row>
    <row r="17" spans="1:14" s="61" customFormat="1" ht="16.8" x14ac:dyDescent="0.3">
      <c r="A17" s="70" t="str">
        <f>'BASE MAESTRA'!B22</f>
        <v>18</v>
      </c>
      <c r="B17" s="61">
        <f t="shared" si="0"/>
        <v>0</v>
      </c>
      <c r="D17" s="61">
        <f t="shared" si="3"/>
        <v>0</v>
      </c>
      <c r="I17" s="61">
        <f t="shared" si="1"/>
        <v>0</v>
      </c>
      <c r="J17" s="61">
        <f t="shared" si="1"/>
        <v>0</v>
      </c>
      <c r="L17" s="61">
        <f t="shared" si="2"/>
        <v>0</v>
      </c>
      <c r="N17" s="61" t="str">
        <f t="shared" si="2"/>
        <v>18</v>
      </c>
    </row>
    <row r="18" spans="1:14" s="61" customFormat="1" ht="16.8" x14ac:dyDescent="0.3">
      <c r="A18" s="70" t="str">
        <f>'BASE MAESTRA'!B23</f>
        <v>19</v>
      </c>
      <c r="B18" s="61">
        <f t="shared" si="0"/>
        <v>0</v>
      </c>
      <c r="D18" s="61">
        <f t="shared" si="3"/>
        <v>0</v>
      </c>
      <c r="I18" s="61">
        <f t="shared" si="1"/>
        <v>0</v>
      </c>
      <c r="J18" s="61">
        <f t="shared" si="1"/>
        <v>0</v>
      </c>
      <c r="L18" s="61">
        <f t="shared" si="2"/>
        <v>0</v>
      </c>
      <c r="N18" s="61" t="str">
        <f t="shared" si="2"/>
        <v>19</v>
      </c>
    </row>
    <row r="19" spans="1:14" s="61" customFormat="1" ht="16.8" x14ac:dyDescent="0.3">
      <c r="A19" s="70" t="str">
        <f>'BASE MAESTRA'!B25</f>
        <v>20</v>
      </c>
      <c r="B19" s="61">
        <f t="shared" ref="B19:B82" si="4">VLOOKUP($A19,DatosEspecies,B$2,FALSE)</f>
        <v>0</v>
      </c>
      <c r="D19" s="61">
        <f t="shared" si="3"/>
        <v>0</v>
      </c>
      <c r="I19" s="61">
        <f t="shared" ref="I19:J82" si="5">VLOOKUP($A19,DatosEspecies,I$2,FALSE)</f>
        <v>0</v>
      </c>
      <c r="J19" s="61">
        <f t="shared" si="5"/>
        <v>0</v>
      </c>
      <c r="L19" s="61">
        <f t="shared" si="2"/>
        <v>0</v>
      </c>
      <c r="N19" s="61" t="str">
        <f t="shared" si="2"/>
        <v>20</v>
      </c>
    </row>
    <row r="20" spans="1:14" s="61" customFormat="1" ht="16.8" x14ac:dyDescent="0.3">
      <c r="A20" s="70" t="str">
        <f>'BASE MAESTRA'!B26</f>
        <v>21</v>
      </c>
      <c r="B20" s="61">
        <f t="shared" si="4"/>
        <v>0</v>
      </c>
      <c r="D20" s="61">
        <f t="shared" si="3"/>
        <v>0</v>
      </c>
      <c r="I20" s="61">
        <f t="shared" si="5"/>
        <v>0</v>
      </c>
      <c r="J20" s="61">
        <f t="shared" si="5"/>
        <v>0</v>
      </c>
      <c r="L20" s="61">
        <f t="shared" si="2"/>
        <v>0</v>
      </c>
      <c r="N20" s="61" t="str">
        <f t="shared" si="2"/>
        <v>21</v>
      </c>
    </row>
    <row r="21" spans="1:14" s="61" customFormat="1" ht="16.8" x14ac:dyDescent="0.3">
      <c r="A21" s="70" t="str">
        <f>'BASE MAESTRA'!B27</f>
        <v>22</v>
      </c>
      <c r="B21" s="61">
        <f t="shared" si="4"/>
        <v>0</v>
      </c>
      <c r="D21" s="61">
        <f t="shared" si="3"/>
        <v>0</v>
      </c>
      <c r="I21" s="61">
        <f t="shared" si="5"/>
        <v>0</v>
      </c>
      <c r="J21" s="61">
        <f t="shared" si="5"/>
        <v>0</v>
      </c>
      <c r="L21" s="61">
        <f t="shared" si="2"/>
        <v>0</v>
      </c>
      <c r="N21" s="61" t="str">
        <f t="shared" si="2"/>
        <v>22</v>
      </c>
    </row>
    <row r="22" spans="1:14" s="61" customFormat="1" ht="16.8" x14ac:dyDescent="0.3">
      <c r="A22" s="70" t="str">
        <f>'BASE MAESTRA'!B28</f>
        <v>23</v>
      </c>
      <c r="B22" s="61">
        <f t="shared" si="4"/>
        <v>0</v>
      </c>
      <c r="D22" s="61">
        <f t="shared" si="3"/>
        <v>0</v>
      </c>
      <c r="I22" s="61">
        <f t="shared" si="5"/>
        <v>0</v>
      </c>
      <c r="J22" s="61">
        <f t="shared" si="5"/>
        <v>0</v>
      </c>
      <c r="L22" s="61">
        <f t="shared" si="2"/>
        <v>0</v>
      </c>
      <c r="N22" s="61" t="str">
        <f t="shared" si="2"/>
        <v>23</v>
      </c>
    </row>
    <row r="23" spans="1:14" s="61" customFormat="1" ht="16.8" x14ac:dyDescent="0.3">
      <c r="A23" s="70" t="str">
        <f>'BASE MAESTRA'!B29</f>
        <v>24</v>
      </c>
      <c r="B23" s="61">
        <f t="shared" si="4"/>
        <v>0</v>
      </c>
      <c r="D23" s="61">
        <f t="shared" si="3"/>
        <v>0</v>
      </c>
      <c r="I23" s="61">
        <f t="shared" si="5"/>
        <v>0</v>
      </c>
      <c r="J23" s="61">
        <f t="shared" si="5"/>
        <v>0</v>
      </c>
      <c r="L23" s="61">
        <f t="shared" si="2"/>
        <v>0</v>
      </c>
      <c r="N23" s="61" t="str">
        <f t="shared" si="2"/>
        <v>24</v>
      </c>
    </row>
    <row r="24" spans="1:14" s="61" customFormat="1" ht="16.8" x14ac:dyDescent="0.3">
      <c r="A24" s="70" t="str">
        <f>'BASE MAESTRA'!B30</f>
        <v>25</v>
      </c>
      <c r="B24" s="61">
        <f t="shared" si="4"/>
        <v>0</v>
      </c>
      <c r="D24" s="61">
        <f t="shared" si="3"/>
        <v>0</v>
      </c>
      <c r="I24" s="61">
        <f t="shared" si="5"/>
        <v>0</v>
      </c>
      <c r="J24" s="61">
        <f t="shared" si="5"/>
        <v>0</v>
      </c>
      <c r="L24" s="61">
        <f t="shared" si="2"/>
        <v>0</v>
      </c>
      <c r="N24" s="61" t="str">
        <f t="shared" si="2"/>
        <v>25</v>
      </c>
    </row>
    <row r="25" spans="1:14" s="61" customFormat="1" ht="16.8" x14ac:dyDescent="0.3">
      <c r="A25" s="70" t="str">
        <f>'BASE MAESTRA'!B31</f>
        <v>26</v>
      </c>
      <c r="B25" s="61">
        <f t="shared" si="4"/>
        <v>0</v>
      </c>
      <c r="D25" s="61">
        <f t="shared" si="3"/>
        <v>0</v>
      </c>
      <c r="I25" s="61">
        <f t="shared" si="5"/>
        <v>0</v>
      </c>
      <c r="J25" s="61">
        <f t="shared" si="5"/>
        <v>0</v>
      </c>
      <c r="L25" s="61">
        <f t="shared" si="2"/>
        <v>0</v>
      </c>
      <c r="N25" s="61" t="str">
        <f t="shared" si="2"/>
        <v>26</v>
      </c>
    </row>
    <row r="26" spans="1:14" s="61" customFormat="1" ht="16.8" x14ac:dyDescent="0.3">
      <c r="A26" s="70" t="str">
        <f>'BASE MAESTRA'!B32</f>
        <v>27</v>
      </c>
      <c r="B26" s="61">
        <f t="shared" si="4"/>
        <v>0</v>
      </c>
      <c r="D26" s="61">
        <f t="shared" si="3"/>
        <v>0</v>
      </c>
      <c r="I26" s="61">
        <f t="shared" si="5"/>
        <v>0</v>
      </c>
      <c r="J26" s="61">
        <f t="shared" si="5"/>
        <v>0</v>
      </c>
      <c r="L26" s="61">
        <f t="shared" si="2"/>
        <v>0</v>
      </c>
      <c r="N26" s="61" t="str">
        <f t="shared" si="2"/>
        <v>27</v>
      </c>
    </row>
    <row r="27" spans="1:14" s="61" customFormat="1" ht="16.8" x14ac:dyDescent="0.3">
      <c r="A27" s="70" t="str">
        <f>'BASE MAESTRA'!B33</f>
        <v>28</v>
      </c>
      <c r="B27" s="61">
        <f t="shared" si="4"/>
        <v>0</v>
      </c>
      <c r="D27" s="61">
        <f t="shared" si="3"/>
        <v>0</v>
      </c>
      <c r="I27" s="61">
        <f t="shared" si="5"/>
        <v>0</v>
      </c>
      <c r="J27" s="61">
        <f t="shared" si="5"/>
        <v>0</v>
      </c>
      <c r="L27" s="61">
        <f t="shared" si="2"/>
        <v>0</v>
      </c>
      <c r="N27" s="61" t="str">
        <f t="shared" si="2"/>
        <v>28</v>
      </c>
    </row>
    <row r="28" spans="1:14" s="61" customFormat="1" ht="16.8" x14ac:dyDescent="0.3">
      <c r="A28" s="70" t="str">
        <f>'BASE MAESTRA'!B34</f>
        <v>29</v>
      </c>
      <c r="B28" s="61">
        <f t="shared" si="4"/>
        <v>0</v>
      </c>
      <c r="D28" s="61">
        <f t="shared" si="3"/>
        <v>0</v>
      </c>
      <c r="I28" s="61">
        <f t="shared" si="5"/>
        <v>0</v>
      </c>
      <c r="J28" s="61">
        <f t="shared" si="5"/>
        <v>0</v>
      </c>
      <c r="L28" s="61">
        <f t="shared" si="2"/>
        <v>0</v>
      </c>
      <c r="N28" s="61" t="str">
        <f t="shared" si="2"/>
        <v>29</v>
      </c>
    </row>
    <row r="29" spans="1:14" s="61" customFormat="1" ht="16.8" x14ac:dyDescent="0.3">
      <c r="A29" s="70" t="str">
        <f>'BASE MAESTRA'!B35</f>
        <v>30</v>
      </c>
      <c r="B29" s="61">
        <f t="shared" si="4"/>
        <v>0</v>
      </c>
      <c r="D29" s="61">
        <f t="shared" si="3"/>
        <v>0</v>
      </c>
      <c r="I29" s="61">
        <f t="shared" si="5"/>
        <v>0</v>
      </c>
      <c r="J29" s="61">
        <f t="shared" si="5"/>
        <v>0</v>
      </c>
      <c r="L29" s="61">
        <f t="shared" si="2"/>
        <v>0</v>
      </c>
      <c r="N29" s="61" t="str">
        <f t="shared" si="2"/>
        <v>30</v>
      </c>
    </row>
    <row r="30" spans="1:14" s="61" customFormat="1" ht="16.8" x14ac:dyDescent="0.3">
      <c r="A30" s="70" t="str">
        <f>'BASE MAESTRA'!B36</f>
        <v>31</v>
      </c>
      <c r="B30" s="61">
        <f t="shared" si="4"/>
        <v>0</v>
      </c>
      <c r="D30" s="61">
        <f t="shared" si="3"/>
        <v>0</v>
      </c>
      <c r="I30" s="61">
        <f t="shared" si="5"/>
        <v>0</v>
      </c>
      <c r="J30" s="61">
        <f t="shared" si="5"/>
        <v>0</v>
      </c>
      <c r="L30" s="61">
        <f t="shared" si="2"/>
        <v>0</v>
      </c>
      <c r="N30" s="61" t="str">
        <f t="shared" si="2"/>
        <v>31</v>
      </c>
    </row>
    <row r="31" spans="1:14" s="61" customFormat="1" ht="16.8" x14ac:dyDescent="0.3">
      <c r="A31" s="70" t="str">
        <f>'BASE MAESTRA'!B37</f>
        <v>32</v>
      </c>
      <c r="B31" s="61">
        <f t="shared" si="4"/>
        <v>0</v>
      </c>
      <c r="D31" s="61">
        <f t="shared" si="3"/>
        <v>0</v>
      </c>
      <c r="I31" s="61">
        <f t="shared" si="5"/>
        <v>0</v>
      </c>
      <c r="J31" s="61">
        <f t="shared" si="5"/>
        <v>0</v>
      </c>
      <c r="L31" s="61">
        <f t="shared" si="2"/>
        <v>0</v>
      </c>
      <c r="N31" s="61" t="str">
        <f t="shared" si="2"/>
        <v>32</v>
      </c>
    </row>
    <row r="32" spans="1:14" s="61" customFormat="1" ht="16.8" x14ac:dyDescent="0.3">
      <c r="A32" s="70" t="str">
        <f>'BASE MAESTRA'!B38</f>
        <v>33</v>
      </c>
      <c r="B32" s="61">
        <f t="shared" si="4"/>
        <v>0</v>
      </c>
      <c r="D32" s="61">
        <f t="shared" si="3"/>
        <v>0</v>
      </c>
      <c r="I32" s="61">
        <f t="shared" si="5"/>
        <v>0</v>
      </c>
      <c r="J32" s="61">
        <f t="shared" si="5"/>
        <v>0</v>
      </c>
      <c r="L32" s="61">
        <f t="shared" si="2"/>
        <v>0</v>
      </c>
      <c r="N32" s="61" t="str">
        <f t="shared" si="2"/>
        <v>33</v>
      </c>
    </row>
    <row r="33" spans="1:14" s="61" customFormat="1" ht="16.8" x14ac:dyDescent="0.3">
      <c r="A33" s="70" t="str">
        <f>'BASE MAESTRA'!B39</f>
        <v>34</v>
      </c>
      <c r="B33" s="61">
        <f t="shared" si="4"/>
        <v>0</v>
      </c>
      <c r="D33" s="61">
        <f t="shared" si="3"/>
        <v>0</v>
      </c>
      <c r="I33" s="61">
        <f t="shared" si="5"/>
        <v>0</v>
      </c>
      <c r="J33" s="61">
        <f t="shared" si="5"/>
        <v>0</v>
      </c>
      <c r="L33" s="61">
        <f t="shared" si="2"/>
        <v>0</v>
      </c>
      <c r="N33" s="61" t="str">
        <f t="shared" si="2"/>
        <v>34</v>
      </c>
    </row>
    <row r="34" spans="1:14" s="61" customFormat="1" ht="16.8" x14ac:dyDescent="0.3">
      <c r="A34" s="70" t="str">
        <f>'BASE MAESTRA'!B40</f>
        <v>35</v>
      </c>
      <c r="B34" s="61">
        <f t="shared" si="4"/>
        <v>0</v>
      </c>
      <c r="D34" s="61">
        <f t="shared" si="3"/>
        <v>0</v>
      </c>
      <c r="I34" s="61">
        <f t="shared" si="5"/>
        <v>0</v>
      </c>
      <c r="J34" s="61">
        <f t="shared" si="5"/>
        <v>0</v>
      </c>
      <c r="L34" s="61">
        <f t="shared" si="2"/>
        <v>0</v>
      </c>
      <c r="N34" s="61" t="str">
        <f t="shared" si="2"/>
        <v>35</v>
      </c>
    </row>
    <row r="35" spans="1:14" s="61" customFormat="1" ht="16.8" x14ac:dyDescent="0.3">
      <c r="A35" s="70" t="str">
        <f>'BASE MAESTRA'!B41</f>
        <v>36</v>
      </c>
      <c r="B35" s="61">
        <f t="shared" si="4"/>
        <v>0</v>
      </c>
      <c r="D35" s="61">
        <f t="shared" si="3"/>
        <v>0</v>
      </c>
      <c r="I35" s="61">
        <f t="shared" si="5"/>
        <v>0</v>
      </c>
      <c r="J35" s="61">
        <f t="shared" si="5"/>
        <v>0</v>
      </c>
      <c r="L35" s="61">
        <f t="shared" si="2"/>
        <v>0</v>
      </c>
      <c r="N35" s="61" t="str">
        <f t="shared" si="2"/>
        <v>36</v>
      </c>
    </row>
    <row r="36" spans="1:14" s="61" customFormat="1" ht="16.8" x14ac:dyDescent="0.3">
      <c r="A36" s="70" t="str">
        <f>'BASE MAESTRA'!B42</f>
        <v>37</v>
      </c>
      <c r="B36" s="61">
        <f t="shared" si="4"/>
        <v>0</v>
      </c>
      <c r="D36" s="61">
        <f t="shared" si="3"/>
        <v>0</v>
      </c>
      <c r="I36" s="61">
        <f t="shared" si="5"/>
        <v>0</v>
      </c>
      <c r="J36" s="61">
        <f t="shared" si="5"/>
        <v>0</v>
      </c>
      <c r="L36" s="61">
        <f t="shared" si="2"/>
        <v>0</v>
      </c>
      <c r="N36" s="61" t="str">
        <f t="shared" si="2"/>
        <v>37</v>
      </c>
    </row>
    <row r="37" spans="1:14" s="61" customFormat="1" ht="16.8" x14ac:dyDescent="0.3">
      <c r="A37" s="70" t="str">
        <f>'BASE MAESTRA'!B43</f>
        <v>38</v>
      </c>
      <c r="B37" s="61">
        <f t="shared" si="4"/>
        <v>0</v>
      </c>
      <c r="D37" s="61">
        <f t="shared" si="3"/>
        <v>0</v>
      </c>
      <c r="I37" s="61">
        <f t="shared" si="5"/>
        <v>0</v>
      </c>
      <c r="J37" s="61">
        <f t="shared" si="5"/>
        <v>0</v>
      </c>
      <c r="L37" s="61">
        <f t="shared" si="2"/>
        <v>0</v>
      </c>
      <c r="N37" s="61" t="str">
        <f t="shared" si="2"/>
        <v>38</v>
      </c>
    </row>
    <row r="38" spans="1:14" s="61" customFormat="1" ht="16.8" x14ac:dyDescent="0.3">
      <c r="A38" s="70" t="str">
        <f>'BASE MAESTRA'!B44</f>
        <v>39</v>
      </c>
      <c r="B38" s="61">
        <f t="shared" si="4"/>
        <v>0</v>
      </c>
      <c r="D38" s="61">
        <f t="shared" si="3"/>
        <v>0</v>
      </c>
      <c r="I38" s="61">
        <f t="shared" si="5"/>
        <v>0</v>
      </c>
      <c r="J38" s="61">
        <f t="shared" si="5"/>
        <v>0</v>
      </c>
      <c r="L38" s="61">
        <f t="shared" si="2"/>
        <v>0</v>
      </c>
      <c r="N38" s="61" t="str">
        <f t="shared" si="2"/>
        <v>39</v>
      </c>
    </row>
    <row r="39" spans="1:14" s="61" customFormat="1" ht="16.8" x14ac:dyDescent="0.3">
      <c r="A39" s="70">
        <f>'BASE MAESTRA'!B45</f>
        <v>37</v>
      </c>
      <c r="B39" s="61">
        <f t="shared" si="4"/>
        <v>0</v>
      </c>
      <c r="D39" s="61">
        <f t="shared" si="3"/>
        <v>0</v>
      </c>
      <c r="I39" s="61">
        <f t="shared" si="5"/>
        <v>0</v>
      </c>
      <c r="J39" s="61">
        <f t="shared" si="5"/>
        <v>0</v>
      </c>
      <c r="L39" s="61">
        <f t="shared" si="2"/>
        <v>0</v>
      </c>
      <c r="N39" s="61">
        <f t="shared" si="2"/>
        <v>37</v>
      </c>
    </row>
    <row r="40" spans="1:14" s="61" customFormat="1" ht="16.8" x14ac:dyDescent="0.3">
      <c r="A40" s="70">
        <f>'BASE MAESTRA'!B46</f>
        <v>38</v>
      </c>
      <c r="B40" s="61">
        <f t="shared" si="4"/>
        <v>0</v>
      </c>
      <c r="D40" s="61">
        <f t="shared" si="3"/>
        <v>0</v>
      </c>
      <c r="I40" s="61">
        <f t="shared" si="5"/>
        <v>0</v>
      </c>
      <c r="J40" s="61">
        <f t="shared" si="5"/>
        <v>0</v>
      </c>
      <c r="L40" s="61">
        <f t="shared" si="2"/>
        <v>0</v>
      </c>
      <c r="N40" s="61">
        <f t="shared" si="2"/>
        <v>38</v>
      </c>
    </row>
    <row r="41" spans="1:14" s="61" customFormat="1" ht="16.8" x14ac:dyDescent="0.3">
      <c r="A41" s="70">
        <f>'BASE MAESTRA'!B47</f>
        <v>39</v>
      </c>
      <c r="B41" s="61">
        <f t="shared" si="4"/>
        <v>0</v>
      </c>
      <c r="D41" s="61">
        <f t="shared" si="3"/>
        <v>0</v>
      </c>
      <c r="I41" s="61">
        <f t="shared" si="5"/>
        <v>0</v>
      </c>
      <c r="J41" s="61">
        <f t="shared" si="5"/>
        <v>0</v>
      </c>
      <c r="L41" s="61">
        <f t="shared" si="2"/>
        <v>0</v>
      </c>
      <c r="N41" s="61">
        <f t="shared" si="2"/>
        <v>39</v>
      </c>
    </row>
    <row r="42" spans="1:14" s="61" customFormat="1" ht="16.8" x14ac:dyDescent="0.3">
      <c r="A42" s="70">
        <f>'BASE MAESTRA'!B48</f>
        <v>40</v>
      </c>
      <c r="B42" s="61">
        <f t="shared" si="4"/>
        <v>0</v>
      </c>
      <c r="D42" s="61">
        <f t="shared" si="3"/>
        <v>0</v>
      </c>
      <c r="I42" s="61">
        <f t="shared" si="5"/>
        <v>0</v>
      </c>
      <c r="J42" s="61">
        <f t="shared" si="5"/>
        <v>0</v>
      </c>
      <c r="L42" s="61">
        <f t="shared" si="2"/>
        <v>0</v>
      </c>
      <c r="N42" s="61">
        <f t="shared" si="2"/>
        <v>40</v>
      </c>
    </row>
    <row r="43" spans="1:14" s="61" customFormat="1" ht="16.8" x14ac:dyDescent="0.3">
      <c r="A43" s="70">
        <f>'BASE MAESTRA'!B49</f>
        <v>41</v>
      </c>
      <c r="B43" s="61">
        <f t="shared" si="4"/>
        <v>0</v>
      </c>
      <c r="D43" s="61">
        <f t="shared" si="3"/>
        <v>0</v>
      </c>
      <c r="I43" s="61">
        <f t="shared" si="5"/>
        <v>0</v>
      </c>
      <c r="J43" s="61">
        <f t="shared" si="5"/>
        <v>0</v>
      </c>
      <c r="L43" s="61">
        <f t="shared" si="2"/>
        <v>0</v>
      </c>
      <c r="N43" s="61">
        <f t="shared" si="2"/>
        <v>41</v>
      </c>
    </row>
    <row r="44" spans="1:14" s="61" customFormat="1" ht="16.8" x14ac:dyDescent="0.3">
      <c r="A44" s="70">
        <f>'BASE MAESTRA'!B50</f>
        <v>42</v>
      </c>
      <c r="B44" s="61">
        <f t="shared" si="4"/>
        <v>0</v>
      </c>
      <c r="D44" s="61">
        <f t="shared" si="3"/>
        <v>0</v>
      </c>
      <c r="I44" s="61">
        <f t="shared" si="5"/>
        <v>0</v>
      </c>
      <c r="J44" s="61">
        <f t="shared" si="5"/>
        <v>0</v>
      </c>
      <c r="L44" s="61">
        <f t="shared" si="2"/>
        <v>0</v>
      </c>
      <c r="N44" s="61">
        <f t="shared" si="2"/>
        <v>42</v>
      </c>
    </row>
    <row r="45" spans="1:14" s="61" customFormat="1" ht="16.8" x14ac:dyDescent="0.3">
      <c r="A45" s="70">
        <f>'BASE MAESTRA'!B51</f>
        <v>43</v>
      </c>
      <c r="B45" s="61">
        <f t="shared" si="4"/>
        <v>0</v>
      </c>
      <c r="D45" s="61">
        <f t="shared" si="3"/>
        <v>0</v>
      </c>
      <c r="I45" s="61">
        <f t="shared" si="5"/>
        <v>0</v>
      </c>
      <c r="J45" s="61">
        <f t="shared" si="5"/>
        <v>0</v>
      </c>
      <c r="L45" s="61">
        <f t="shared" si="2"/>
        <v>0</v>
      </c>
      <c r="N45" s="61">
        <f t="shared" si="2"/>
        <v>43</v>
      </c>
    </row>
    <row r="46" spans="1:14" s="61" customFormat="1" ht="16.8" x14ac:dyDescent="0.3">
      <c r="A46" s="70">
        <f>'BASE MAESTRA'!B52</f>
        <v>44</v>
      </c>
      <c r="B46" s="61">
        <f t="shared" si="4"/>
        <v>0</v>
      </c>
      <c r="D46" s="61">
        <f t="shared" si="3"/>
        <v>0</v>
      </c>
      <c r="I46" s="61">
        <f t="shared" si="5"/>
        <v>0</v>
      </c>
      <c r="J46" s="61">
        <f t="shared" si="5"/>
        <v>0</v>
      </c>
      <c r="L46" s="61">
        <f t="shared" si="2"/>
        <v>0</v>
      </c>
      <c r="N46" s="61">
        <f t="shared" si="2"/>
        <v>44</v>
      </c>
    </row>
    <row r="47" spans="1:14" s="61" customFormat="1" ht="16.8" x14ac:dyDescent="0.3">
      <c r="A47" s="70">
        <f>'BASE MAESTRA'!B53</f>
        <v>45</v>
      </c>
      <c r="B47" s="61">
        <f t="shared" si="4"/>
        <v>0</v>
      </c>
      <c r="D47" s="61">
        <f t="shared" si="3"/>
        <v>0</v>
      </c>
      <c r="I47" s="61">
        <f t="shared" si="5"/>
        <v>0</v>
      </c>
      <c r="J47" s="61">
        <f t="shared" si="5"/>
        <v>0</v>
      </c>
      <c r="L47" s="61">
        <f t="shared" si="2"/>
        <v>0</v>
      </c>
      <c r="N47" s="61">
        <f t="shared" si="2"/>
        <v>45</v>
      </c>
    </row>
    <row r="48" spans="1:14" s="61" customFormat="1" ht="16.8" x14ac:dyDescent="0.3">
      <c r="A48" s="70">
        <f>'BASE MAESTRA'!B54</f>
        <v>46</v>
      </c>
      <c r="B48" s="61">
        <f t="shared" si="4"/>
        <v>0</v>
      </c>
      <c r="D48" s="61">
        <f t="shared" si="3"/>
        <v>0</v>
      </c>
      <c r="I48" s="61">
        <f t="shared" si="5"/>
        <v>0</v>
      </c>
      <c r="J48" s="61">
        <f t="shared" si="5"/>
        <v>0</v>
      </c>
      <c r="L48" s="61">
        <f t="shared" si="2"/>
        <v>0</v>
      </c>
      <c r="N48" s="61">
        <f t="shared" si="2"/>
        <v>46</v>
      </c>
    </row>
    <row r="49" spans="1:14" s="61" customFormat="1" ht="16.8" x14ac:dyDescent="0.3">
      <c r="A49" s="70">
        <f>'BASE MAESTRA'!B55</f>
        <v>47</v>
      </c>
      <c r="B49" s="61">
        <f t="shared" si="4"/>
        <v>0</v>
      </c>
      <c r="D49" s="61">
        <f t="shared" si="3"/>
        <v>0</v>
      </c>
      <c r="I49" s="61">
        <f t="shared" si="5"/>
        <v>0</v>
      </c>
      <c r="J49" s="61">
        <f t="shared" si="5"/>
        <v>0</v>
      </c>
      <c r="L49" s="61">
        <f t="shared" si="2"/>
        <v>0</v>
      </c>
      <c r="N49" s="61">
        <f t="shared" si="2"/>
        <v>47</v>
      </c>
    </row>
    <row r="50" spans="1:14" s="61" customFormat="1" ht="16.8" x14ac:dyDescent="0.3">
      <c r="A50" s="70">
        <f>'BASE MAESTRA'!B56</f>
        <v>48</v>
      </c>
      <c r="B50" s="61">
        <f t="shared" si="4"/>
        <v>0</v>
      </c>
      <c r="D50" s="61">
        <f t="shared" si="3"/>
        <v>0</v>
      </c>
      <c r="I50" s="61">
        <f t="shared" si="5"/>
        <v>0</v>
      </c>
      <c r="J50" s="61">
        <f t="shared" si="5"/>
        <v>0</v>
      </c>
      <c r="L50" s="61">
        <f t="shared" si="2"/>
        <v>0</v>
      </c>
      <c r="N50" s="61">
        <f t="shared" si="2"/>
        <v>48</v>
      </c>
    </row>
    <row r="51" spans="1:14" s="61" customFormat="1" ht="16.8" x14ac:dyDescent="0.3">
      <c r="A51" s="70">
        <f>'BASE MAESTRA'!B57</f>
        <v>49</v>
      </c>
      <c r="B51" s="61">
        <f t="shared" si="4"/>
        <v>0</v>
      </c>
      <c r="D51" s="61">
        <f t="shared" si="3"/>
        <v>0</v>
      </c>
      <c r="I51" s="61">
        <f t="shared" si="5"/>
        <v>0</v>
      </c>
      <c r="J51" s="61">
        <f t="shared" si="5"/>
        <v>0</v>
      </c>
      <c r="L51" s="61">
        <f t="shared" si="2"/>
        <v>0</v>
      </c>
      <c r="N51" s="61">
        <f t="shared" si="2"/>
        <v>49</v>
      </c>
    </row>
    <row r="52" spans="1:14" s="61" customFormat="1" ht="16.8" x14ac:dyDescent="0.3">
      <c r="A52" s="70">
        <f>'BASE MAESTRA'!B58</f>
        <v>50</v>
      </c>
      <c r="B52" s="61">
        <f t="shared" si="4"/>
        <v>0</v>
      </c>
      <c r="D52" s="61">
        <f t="shared" si="3"/>
        <v>0</v>
      </c>
      <c r="I52" s="61">
        <f t="shared" si="5"/>
        <v>0</v>
      </c>
      <c r="J52" s="61">
        <f t="shared" si="5"/>
        <v>0</v>
      </c>
      <c r="L52" s="61">
        <f t="shared" si="2"/>
        <v>0</v>
      </c>
      <c r="N52" s="61">
        <f t="shared" si="2"/>
        <v>50</v>
      </c>
    </row>
    <row r="53" spans="1:14" s="61" customFormat="1" ht="16.8" x14ac:dyDescent="0.3">
      <c r="A53" s="70">
        <f>'BASE MAESTRA'!B59</f>
        <v>51</v>
      </c>
      <c r="B53" s="61">
        <f t="shared" si="4"/>
        <v>0</v>
      </c>
      <c r="D53" s="61">
        <f t="shared" si="3"/>
        <v>0</v>
      </c>
      <c r="I53" s="61">
        <f t="shared" si="5"/>
        <v>0</v>
      </c>
      <c r="J53" s="61">
        <f t="shared" si="5"/>
        <v>0</v>
      </c>
      <c r="L53" s="61">
        <f t="shared" si="2"/>
        <v>0</v>
      </c>
      <c r="N53" s="61">
        <f t="shared" si="2"/>
        <v>51</v>
      </c>
    </row>
    <row r="54" spans="1:14" s="61" customFormat="1" ht="16.8" x14ac:dyDescent="0.3">
      <c r="A54" s="70">
        <f>'BASE MAESTRA'!B60</f>
        <v>52</v>
      </c>
      <c r="B54" s="61">
        <f t="shared" si="4"/>
        <v>0</v>
      </c>
      <c r="D54" s="61">
        <f t="shared" si="3"/>
        <v>0</v>
      </c>
      <c r="I54" s="61">
        <f t="shared" si="5"/>
        <v>0</v>
      </c>
      <c r="J54" s="61">
        <f t="shared" si="5"/>
        <v>0</v>
      </c>
      <c r="L54" s="61">
        <f t="shared" si="2"/>
        <v>0</v>
      </c>
      <c r="N54" s="61">
        <f t="shared" si="2"/>
        <v>52</v>
      </c>
    </row>
    <row r="55" spans="1:14" s="61" customFormat="1" ht="16.8" x14ac:dyDescent="0.3">
      <c r="A55" s="70">
        <f>'BASE MAESTRA'!B61</f>
        <v>53</v>
      </c>
      <c r="B55" s="61">
        <f t="shared" si="4"/>
        <v>0</v>
      </c>
      <c r="D55" s="61">
        <f t="shared" si="3"/>
        <v>0</v>
      </c>
      <c r="I55" s="61">
        <f t="shared" si="5"/>
        <v>0</v>
      </c>
      <c r="J55" s="61">
        <f t="shared" si="5"/>
        <v>0</v>
      </c>
      <c r="L55" s="61">
        <f t="shared" si="2"/>
        <v>0</v>
      </c>
      <c r="N55" s="61">
        <f t="shared" si="2"/>
        <v>53</v>
      </c>
    </row>
    <row r="56" spans="1:14" s="61" customFormat="1" ht="16.8" x14ac:dyDescent="0.3">
      <c r="A56" s="70">
        <f>'BASE MAESTRA'!B62</f>
        <v>54</v>
      </c>
      <c r="B56" s="61">
        <f t="shared" si="4"/>
        <v>0</v>
      </c>
      <c r="D56" s="61">
        <f t="shared" si="3"/>
        <v>0</v>
      </c>
      <c r="I56" s="61">
        <f t="shared" si="5"/>
        <v>0</v>
      </c>
      <c r="J56" s="61">
        <f t="shared" si="5"/>
        <v>0</v>
      </c>
      <c r="L56" s="61">
        <f t="shared" si="2"/>
        <v>0</v>
      </c>
      <c r="N56" s="61">
        <f t="shared" si="2"/>
        <v>54</v>
      </c>
    </row>
    <row r="57" spans="1:14" s="61" customFormat="1" ht="16.8" x14ac:dyDescent="0.3">
      <c r="A57" s="70">
        <f>'BASE MAESTRA'!B63</f>
        <v>55</v>
      </c>
      <c r="B57" s="61">
        <f t="shared" si="4"/>
        <v>0</v>
      </c>
      <c r="D57" s="61">
        <f t="shared" si="3"/>
        <v>0</v>
      </c>
      <c r="I57" s="61">
        <f t="shared" si="5"/>
        <v>0</v>
      </c>
      <c r="J57" s="61">
        <f t="shared" si="5"/>
        <v>0</v>
      </c>
      <c r="L57" s="61">
        <f t="shared" si="2"/>
        <v>0</v>
      </c>
      <c r="N57" s="61">
        <f t="shared" si="2"/>
        <v>55</v>
      </c>
    </row>
    <row r="58" spans="1:14" s="61" customFormat="1" ht="16.8" x14ac:dyDescent="0.3">
      <c r="A58" s="70">
        <f>'BASE MAESTRA'!B64</f>
        <v>56</v>
      </c>
      <c r="B58" s="61">
        <f t="shared" si="4"/>
        <v>0</v>
      </c>
      <c r="D58" s="61">
        <f t="shared" si="3"/>
        <v>0</v>
      </c>
      <c r="I58" s="61">
        <f t="shared" si="5"/>
        <v>0</v>
      </c>
      <c r="J58" s="61">
        <f t="shared" si="5"/>
        <v>0</v>
      </c>
      <c r="L58" s="61">
        <f t="shared" si="2"/>
        <v>0</v>
      </c>
      <c r="N58" s="61">
        <f t="shared" si="2"/>
        <v>56</v>
      </c>
    </row>
    <row r="59" spans="1:14" s="61" customFormat="1" ht="16.8" x14ac:dyDescent="0.3">
      <c r="A59" s="70">
        <f>'BASE MAESTRA'!B65</f>
        <v>57</v>
      </c>
      <c r="B59" s="61">
        <f t="shared" si="4"/>
        <v>0</v>
      </c>
      <c r="D59" s="61">
        <f t="shared" si="3"/>
        <v>0</v>
      </c>
      <c r="I59" s="61">
        <f t="shared" si="5"/>
        <v>0</v>
      </c>
      <c r="J59" s="61">
        <f t="shared" si="5"/>
        <v>0</v>
      </c>
      <c r="L59" s="61">
        <f t="shared" si="2"/>
        <v>0</v>
      </c>
      <c r="N59" s="61">
        <f t="shared" si="2"/>
        <v>57</v>
      </c>
    </row>
    <row r="60" spans="1:14" s="61" customFormat="1" ht="16.8" x14ac:dyDescent="0.3">
      <c r="A60" s="70">
        <f>'BASE MAESTRA'!B66</f>
        <v>58</v>
      </c>
      <c r="B60" s="61">
        <f t="shared" si="4"/>
        <v>0</v>
      </c>
      <c r="D60" s="61">
        <f t="shared" si="3"/>
        <v>0</v>
      </c>
      <c r="I60" s="61">
        <f t="shared" si="5"/>
        <v>0</v>
      </c>
      <c r="J60" s="61">
        <f t="shared" si="5"/>
        <v>0</v>
      </c>
      <c r="L60" s="61">
        <f t="shared" si="2"/>
        <v>0</v>
      </c>
      <c r="N60" s="61">
        <f t="shared" si="2"/>
        <v>58</v>
      </c>
    </row>
    <row r="61" spans="1:14" s="61" customFormat="1" ht="16.8" x14ac:dyDescent="0.3">
      <c r="A61" s="70">
        <f>'BASE MAESTRA'!B67</f>
        <v>59</v>
      </c>
      <c r="B61" s="61">
        <f t="shared" si="4"/>
        <v>0</v>
      </c>
      <c r="D61" s="61">
        <f t="shared" si="3"/>
        <v>0</v>
      </c>
      <c r="I61" s="61">
        <f t="shared" si="5"/>
        <v>0</v>
      </c>
      <c r="J61" s="61">
        <f t="shared" si="5"/>
        <v>0</v>
      </c>
      <c r="L61" s="61">
        <f t="shared" si="2"/>
        <v>0</v>
      </c>
      <c r="N61" s="61">
        <f t="shared" si="2"/>
        <v>59</v>
      </c>
    </row>
    <row r="62" spans="1:14" s="61" customFormat="1" ht="16.8" x14ac:dyDescent="0.3">
      <c r="A62" s="70">
        <f>'BASE MAESTRA'!B68</f>
        <v>60</v>
      </c>
      <c r="B62" s="61">
        <f t="shared" si="4"/>
        <v>0</v>
      </c>
      <c r="D62" s="61">
        <f t="shared" si="3"/>
        <v>0</v>
      </c>
      <c r="I62" s="61">
        <f t="shared" si="5"/>
        <v>0</v>
      </c>
      <c r="J62" s="61">
        <f t="shared" si="5"/>
        <v>0</v>
      </c>
      <c r="L62" s="61">
        <f t="shared" si="2"/>
        <v>0</v>
      </c>
      <c r="N62" s="61">
        <f t="shared" si="2"/>
        <v>60</v>
      </c>
    </row>
    <row r="63" spans="1:14" s="61" customFormat="1" ht="16.8" x14ac:dyDescent="0.3">
      <c r="A63" s="70">
        <f>'BASE MAESTRA'!B69</f>
        <v>61</v>
      </c>
      <c r="B63" s="61">
        <f t="shared" si="4"/>
        <v>0</v>
      </c>
      <c r="D63" s="61">
        <f t="shared" si="3"/>
        <v>0</v>
      </c>
      <c r="I63" s="61">
        <f t="shared" si="5"/>
        <v>0</v>
      </c>
      <c r="J63" s="61">
        <f t="shared" si="5"/>
        <v>0</v>
      </c>
      <c r="L63" s="61">
        <f t="shared" si="2"/>
        <v>0</v>
      </c>
      <c r="N63" s="61">
        <f t="shared" si="2"/>
        <v>61</v>
      </c>
    </row>
    <row r="64" spans="1:14" s="61" customFormat="1" ht="16.8" x14ac:dyDescent="0.3">
      <c r="A64" s="70">
        <f>'BASE MAESTRA'!B70</f>
        <v>62</v>
      </c>
      <c r="B64" s="61">
        <f t="shared" si="4"/>
        <v>0</v>
      </c>
      <c r="D64" s="61">
        <f t="shared" si="3"/>
        <v>0</v>
      </c>
      <c r="I64" s="61">
        <f t="shared" si="5"/>
        <v>0</v>
      </c>
      <c r="J64" s="61">
        <f t="shared" si="5"/>
        <v>0</v>
      </c>
      <c r="L64" s="61">
        <f t="shared" si="2"/>
        <v>0</v>
      </c>
      <c r="N64" s="61">
        <f t="shared" si="2"/>
        <v>62</v>
      </c>
    </row>
    <row r="65" spans="1:14" s="61" customFormat="1" ht="16.8" x14ac:dyDescent="0.3">
      <c r="A65" s="70">
        <f>'BASE MAESTRA'!B71</f>
        <v>63</v>
      </c>
      <c r="B65" s="61">
        <f t="shared" si="4"/>
        <v>0</v>
      </c>
      <c r="D65" s="61">
        <f t="shared" si="3"/>
        <v>0</v>
      </c>
      <c r="I65" s="61">
        <f t="shared" si="5"/>
        <v>0</v>
      </c>
      <c r="J65" s="61">
        <f t="shared" si="5"/>
        <v>0</v>
      </c>
      <c r="L65" s="61">
        <f t="shared" si="2"/>
        <v>0</v>
      </c>
      <c r="N65" s="61">
        <f t="shared" si="2"/>
        <v>63</v>
      </c>
    </row>
    <row r="66" spans="1:14" ht="16.8" x14ac:dyDescent="0.3">
      <c r="A66" s="70">
        <f>'BASE MAESTRA'!B72</f>
        <v>64</v>
      </c>
      <c r="B66" s="61">
        <f t="shared" si="4"/>
        <v>0</v>
      </c>
      <c r="D66" s="61">
        <f t="shared" si="3"/>
        <v>0</v>
      </c>
      <c r="E66" s="61"/>
      <c r="F66" s="61"/>
      <c r="G66" s="61"/>
      <c r="H66" s="61"/>
      <c r="I66" s="61">
        <f t="shared" si="5"/>
        <v>0</v>
      </c>
      <c r="J66" s="61">
        <f t="shared" si="5"/>
        <v>0</v>
      </c>
      <c r="K66" s="61"/>
      <c r="L66" s="61">
        <f t="shared" si="2"/>
        <v>0</v>
      </c>
      <c r="M66" s="61"/>
      <c r="N66" s="61">
        <f t="shared" si="2"/>
        <v>64</v>
      </c>
    </row>
    <row r="67" spans="1:14" ht="16.8" x14ac:dyDescent="0.3">
      <c r="A67" s="70">
        <f>'BASE MAESTRA'!B73</f>
        <v>65</v>
      </c>
      <c r="B67" s="61">
        <f t="shared" si="4"/>
        <v>0</v>
      </c>
      <c r="D67" s="61">
        <f t="shared" ref="D67:D130" si="6">VLOOKUP($A67,DatosEspecies,D$2,FALSE)</f>
        <v>0</v>
      </c>
      <c r="E67" s="61"/>
      <c r="F67" s="61"/>
      <c r="G67" s="61"/>
      <c r="H67" s="61"/>
      <c r="I67" s="61">
        <f t="shared" si="5"/>
        <v>0</v>
      </c>
      <c r="J67" s="61">
        <f t="shared" si="5"/>
        <v>0</v>
      </c>
      <c r="K67" s="61"/>
      <c r="L67" s="61">
        <f t="shared" ref="L67:L130" si="7">VLOOKUP($A67,DatosEspecies,L$2,FALSE)</f>
        <v>0</v>
      </c>
      <c r="M67" s="61"/>
      <c r="N67" s="61">
        <f t="shared" ref="N67:N130" si="8">VLOOKUP($A67,DatosEspecies,N$2,FALSE)</f>
        <v>65</v>
      </c>
    </row>
    <row r="68" spans="1:14" ht="16.8" x14ac:dyDescent="0.3">
      <c r="A68" s="70">
        <f>'BASE MAESTRA'!B74</f>
        <v>66</v>
      </c>
      <c r="B68" s="61">
        <f t="shared" si="4"/>
        <v>0</v>
      </c>
      <c r="D68" s="61">
        <f t="shared" si="6"/>
        <v>0</v>
      </c>
      <c r="E68" s="61"/>
      <c r="F68" s="61"/>
      <c r="G68" s="61"/>
      <c r="H68" s="61"/>
      <c r="I68" s="61">
        <f t="shared" si="5"/>
        <v>0</v>
      </c>
      <c r="J68" s="61">
        <f t="shared" si="5"/>
        <v>0</v>
      </c>
      <c r="K68" s="61"/>
      <c r="L68" s="61">
        <f t="shared" si="7"/>
        <v>0</v>
      </c>
      <c r="M68" s="61"/>
      <c r="N68" s="61">
        <f t="shared" si="8"/>
        <v>66</v>
      </c>
    </row>
    <row r="69" spans="1:14" ht="16.8" x14ac:dyDescent="0.3">
      <c r="A69" s="70">
        <f>'BASE MAESTRA'!B75</f>
        <v>67</v>
      </c>
      <c r="B69" s="61">
        <f t="shared" si="4"/>
        <v>0</v>
      </c>
      <c r="D69" s="61">
        <f t="shared" si="6"/>
        <v>0</v>
      </c>
      <c r="E69" s="61"/>
      <c r="F69" s="61"/>
      <c r="G69" s="61"/>
      <c r="H69" s="61"/>
      <c r="I69" s="61">
        <f t="shared" si="5"/>
        <v>0</v>
      </c>
      <c r="J69" s="61">
        <f t="shared" si="5"/>
        <v>0</v>
      </c>
      <c r="K69" s="61"/>
      <c r="L69" s="61">
        <f t="shared" si="7"/>
        <v>0</v>
      </c>
      <c r="M69" s="61"/>
      <c r="N69" s="61">
        <f t="shared" si="8"/>
        <v>67</v>
      </c>
    </row>
    <row r="70" spans="1:14" ht="16.8" x14ac:dyDescent="0.3">
      <c r="A70" s="70">
        <f>'BASE MAESTRA'!B76</f>
        <v>68</v>
      </c>
      <c r="B70" s="61">
        <f t="shared" si="4"/>
        <v>0</v>
      </c>
      <c r="D70" s="61">
        <f t="shared" si="6"/>
        <v>0</v>
      </c>
      <c r="E70" s="61"/>
      <c r="F70" s="61"/>
      <c r="G70" s="61"/>
      <c r="H70" s="61"/>
      <c r="I70" s="61">
        <f t="shared" si="5"/>
        <v>0</v>
      </c>
      <c r="J70" s="61">
        <f t="shared" si="5"/>
        <v>0</v>
      </c>
      <c r="K70" s="61"/>
      <c r="L70" s="61">
        <f t="shared" si="7"/>
        <v>0</v>
      </c>
      <c r="M70" s="61"/>
      <c r="N70" s="61">
        <f t="shared" si="8"/>
        <v>68</v>
      </c>
    </row>
    <row r="71" spans="1:14" ht="16.8" x14ac:dyDescent="0.3">
      <c r="A71" s="70">
        <f>'BASE MAESTRA'!B77</f>
        <v>69</v>
      </c>
      <c r="B71" s="61">
        <f t="shared" si="4"/>
        <v>0</v>
      </c>
      <c r="D71" s="61">
        <f t="shared" si="6"/>
        <v>0</v>
      </c>
      <c r="E71" s="61"/>
      <c r="F71" s="61"/>
      <c r="G71" s="61"/>
      <c r="H71" s="61"/>
      <c r="I71" s="61">
        <f t="shared" si="5"/>
        <v>0</v>
      </c>
      <c r="J71" s="61">
        <f t="shared" si="5"/>
        <v>0</v>
      </c>
      <c r="K71" s="61"/>
      <c r="L71" s="61">
        <f t="shared" si="7"/>
        <v>0</v>
      </c>
      <c r="M71" s="61"/>
      <c r="N71" s="61">
        <f t="shared" si="8"/>
        <v>69</v>
      </c>
    </row>
    <row r="72" spans="1:14" ht="16.8" x14ac:dyDescent="0.3">
      <c r="A72" s="70">
        <f>'BASE MAESTRA'!B78</f>
        <v>70</v>
      </c>
      <c r="B72" s="61">
        <f t="shared" si="4"/>
        <v>0</v>
      </c>
      <c r="D72" s="61">
        <f t="shared" si="6"/>
        <v>0</v>
      </c>
      <c r="E72" s="61"/>
      <c r="F72" s="61"/>
      <c r="G72" s="61"/>
      <c r="H72" s="61"/>
      <c r="I72" s="61">
        <f t="shared" si="5"/>
        <v>0</v>
      </c>
      <c r="J72" s="61">
        <f t="shared" si="5"/>
        <v>0</v>
      </c>
      <c r="K72" s="61"/>
      <c r="L72" s="61">
        <f t="shared" si="7"/>
        <v>0</v>
      </c>
      <c r="M72" s="61"/>
      <c r="N72" s="61">
        <f t="shared" si="8"/>
        <v>70</v>
      </c>
    </row>
    <row r="73" spans="1:14" ht="16.8" x14ac:dyDescent="0.3">
      <c r="A73" s="70">
        <f>'BASE MAESTRA'!B79</f>
        <v>71</v>
      </c>
      <c r="B73" s="61">
        <f t="shared" si="4"/>
        <v>0</v>
      </c>
      <c r="D73" s="61">
        <f t="shared" si="6"/>
        <v>0</v>
      </c>
      <c r="E73" s="61"/>
      <c r="F73" s="61"/>
      <c r="G73" s="61"/>
      <c r="H73" s="61"/>
      <c r="I73" s="61">
        <f t="shared" si="5"/>
        <v>0</v>
      </c>
      <c r="J73" s="61">
        <f t="shared" si="5"/>
        <v>0</v>
      </c>
      <c r="K73" s="61"/>
      <c r="L73" s="61">
        <f t="shared" si="7"/>
        <v>0</v>
      </c>
      <c r="M73" s="61"/>
      <c r="N73" s="61">
        <f t="shared" si="8"/>
        <v>71</v>
      </c>
    </row>
    <row r="74" spans="1:14" ht="16.8" x14ac:dyDescent="0.3">
      <c r="A74" s="70">
        <f>'BASE MAESTRA'!B80</f>
        <v>72</v>
      </c>
      <c r="B74" s="61">
        <f t="shared" si="4"/>
        <v>0</v>
      </c>
      <c r="D74" s="61">
        <f t="shared" si="6"/>
        <v>0</v>
      </c>
      <c r="E74" s="61"/>
      <c r="F74" s="61"/>
      <c r="G74" s="61"/>
      <c r="H74" s="61"/>
      <c r="I74" s="61">
        <f t="shared" si="5"/>
        <v>0</v>
      </c>
      <c r="J74" s="61">
        <f t="shared" si="5"/>
        <v>0</v>
      </c>
      <c r="K74" s="61"/>
      <c r="L74" s="61">
        <f t="shared" si="7"/>
        <v>0</v>
      </c>
      <c r="M74" s="61"/>
      <c r="N74" s="61">
        <f t="shared" si="8"/>
        <v>72</v>
      </c>
    </row>
    <row r="75" spans="1:14" ht="16.8" x14ac:dyDescent="0.3">
      <c r="A75" s="70">
        <f>'BASE MAESTRA'!B81</f>
        <v>73</v>
      </c>
      <c r="B75" s="61">
        <f t="shared" si="4"/>
        <v>0</v>
      </c>
      <c r="D75" s="61">
        <f t="shared" si="6"/>
        <v>0</v>
      </c>
      <c r="E75" s="61"/>
      <c r="F75" s="61"/>
      <c r="G75" s="61"/>
      <c r="H75" s="61"/>
      <c r="I75" s="61">
        <f t="shared" si="5"/>
        <v>0</v>
      </c>
      <c r="J75" s="61">
        <f t="shared" si="5"/>
        <v>0</v>
      </c>
      <c r="K75" s="61"/>
      <c r="L75" s="61">
        <f t="shared" si="7"/>
        <v>0</v>
      </c>
      <c r="M75" s="61"/>
      <c r="N75" s="61">
        <f t="shared" si="8"/>
        <v>73</v>
      </c>
    </row>
    <row r="76" spans="1:14" ht="16.8" x14ac:dyDescent="0.3">
      <c r="A76" s="70">
        <f>'BASE MAESTRA'!B82</f>
        <v>74</v>
      </c>
      <c r="B76" s="61">
        <f t="shared" si="4"/>
        <v>0</v>
      </c>
      <c r="D76" s="61">
        <f t="shared" si="6"/>
        <v>0</v>
      </c>
      <c r="E76" s="61"/>
      <c r="F76" s="61"/>
      <c r="G76" s="61"/>
      <c r="H76" s="61"/>
      <c r="I76" s="61">
        <f t="shared" si="5"/>
        <v>0</v>
      </c>
      <c r="J76" s="61">
        <f t="shared" si="5"/>
        <v>0</v>
      </c>
      <c r="K76" s="61"/>
      <c r="L76" s="61">
        <f t="shared" si="7"/>
        <v>0</v>
      </c>
      <c r="M76" s="61"/>
      <c r="N76" s="61">
        <f t="shared" si="8"/>
        <v>74</v>
      </c>
    </row>
    <row r="77" spans="1:14" ht="16.8" x14ac:dyDescent="0.3">
      <c r="A77" s="70">
        <f>'BASE MAESTRA'!B83</f>
        <v>75</v>
      </c>
      <c r="B77" s="61">
        <f t="shared" si="4"/>
        <v>0</v>
      </c>
      <c r="D77" s="61">
        <f t="shared" si="6"/>
        <v>0</v>
      </c>
      <c r="E77" s="61"/>
      <c r="F77" s="61"/>
      <c r="G77" s="61"/>
      <c r="H77" s="61"/>
      <c r="I77" s="61">
        <f t="shared" si="5"/>
        <v>0</v>
      </c>
      <c r="J77" s="61">
        <f t="shared" si="5"/>
        <v>0</v>
      </c>
      <c r="K77" s="61"/>
      <c r="L77" s="61">
        <f t="shared" si="7"/>
        <v>0</v>
      </c>
      <c r="M77" s="61"/>
      <c r="N77" s="61">
        <f t="shared" si="8"/>
        <v>75</v>
      </c>
    </row>
    <row r="78" spans="1:14" ht="16.8" x14ac:dyDescent="0.3">
      <c r="A78" s="70">
        <f>'BASE MAESTRA'!B84</f>
        <v>76</v>
      </c>
      <c r="B78" s="61">
        <f t="shared" si="4"/>
        <v>0</v>
      </c>
      <c r="D78" s="61">
        <f t="shared" si="6"/>
        <v>0</v>
      </c>
      <c r="E78" s="61"/>
      <c r="F78" s="61"/>
      <c r="G78" s="61"/>
      <c r="H78" s="61"/>
      <c r="I78" s="61">
        <f t="shared" si="5"/>
        <v>0</v>
      </c>
      <c r="J78" s="61">
        <f t="shared" si="5"/>
        <v>0</v>
      </c>
      <c r="K78" s="61"/>
      <c r="L78" s="61">
        <f t="shared" si="7"/>
        <v>0</v>
      </c>
      <c r="M78" s="61"/>
      <c r="N78" s="61">
        <f t="shared" si="8"/>
        <v>76</v>
      </c>
    </row>
    <row r="79" spans="1:14" ht="16.8" x14ac:dyDescent="0.3">
      <c r="A79" s="70">
        <f>'BASE MAESTRA'!B85</f>
        <v>77</v>
      </c>
      <c r="B79" s="61">
        <f t="shared" si="4"/>
        <v>0</v>
      </c>
      <c r="D79" s="61">
        <f t="shared" si="6"/>
        <v>0</v>
      </c>
      <c r="E79" s="61"/>
      <c r="F79" s="61"/>
      <c r="G79" s="61"/>
      <c r="H79" s="61"/>
      <c r="I79" s="61">
        <f t="shared" si="5"/>
        <v>0</v>
      </c>
      <c r="J79" s="61">
        <f t="shared" si="5"/>
        <v>0</v>
      </c>
      <c r="K79" s="61"/>
      <c r="L79" s="61">
        <f t="shared" si="7"/>
        <v>0</v>
      </c>
      <c r="M79" s="61"/>
      <c r="N79" s="61">
        <f t="shared" si="8"/>
        <v>77</v>
      </c>
    </row>
    <row r="80" spans="1:14" ht="16.8" x14ac:dyDescent="0.3">
      <c r="A80" s="70">
        <f>'BASE MAESTRA'!B86</f>
        <v>78</v>
      </c>
      <c r="B80" s="61">
        <f t="shared" si="4"/>
        <v>0</v>
      </c>
      <c r="D80" s="61">
        <f t="shared" si="6"/>
        <v>0</v>
      </c>
      <c r="E80" s="61"/>
      <c r="F80" s="61"/>
      <c r="G80" s="61"/>
      <c r="H80" s="61"/>
      <c r="I80" s="61">
        <f t="shared" si="5"/>
        <v>0</v>
      </c>
      <c r="J80" s="61">
        <f t="shared" si="5"/>
        <v>0</v>
      </c>
      <c r="K80" s="61"/>
      <c r="L80" s="61">
        <f t="shared" si="7"/>
        <v>0</v>
      </c>
      <c r="M80" s="61"/>
      <c r="N80" s="61">
        <f t="shared" si="8"/>
        <v>78</v>
      </c>
    </row>
    <row r="81" spans="1:14" ht="16.8" x14ac:dyDescent="0.3">
      <c r="A81" s="70">
        <f>'BASE MAESTRA'!B87</f>
        <v>79</v>
      </c>
      <c r="B81" s="61">
        <f t="shared" si="4"/>
        <v>0</v>
      </c>
      <c r="D81" s="61">
        <f t="shared" si="6"/>
        <v>0</v>
      </c>
      <c r="E81" s="61"/>
      <c r="F81" s="61"/>
      <c r="G81" s="61"/>
      <c r="H81" s="61"/>
      <c r="I81" s="61">
        <f t="shared" si="5"/>
        <v>0</v>
      </c>
      <c r="J81" s="61">
        <f t="shared" si="5"/>
        <v>0</v>
      </c>
      <c r="K81" s="61"/>
      <c r="L81" s="61">
        <f t="shared" si="7"/>
        <v>0</v>
      </c>
      <c r="M81" s="61"/>
      <c r="N81" s="61">
        <f t="shared" si="8"/>
        <v>79</v>
      </c>
    </row>
    <row r="82" spans="1:14" ht="16.8" x14ac:dyDescent="0.3">
      <c r="A82" s="70">
        <f>'BASE MAESTRA'!B88</f>
        <v>80</v>
      </c>
      <c r="B82" s="61">
        <f t="shared" si="4"/>
        <v>0</v>
      </c>
      <c r="D82" s="61">
        <f t="shared" si="6"/>
        <v>0</v>
      </c>
      <c r="E82" s="61"/>
      <c r="F82" s="61"/>
      <c r="G82" s="61"/>
      <c r="H82" s="61"/>
      <c r="I82" s="61">
        <f t="shared" si="5"/>
        <v>0</v>
      </c>
      <c r="J82" s="61">
        <f t="shared" si="5"/>
        <v>0</v>
      </c>
      <c r="K82" s="61"/>
      <c r="L82" s="61">
        <f t="shared" si="7"/>
        <v>0</v>
      </c>
      <c r="M82" s="61"/>
      <c r="N82" s="61">
        <f t="shared" si="8"/>
        <v>80</v>
      </c>
    </row>
    <row r="83" spans="1:14" ht="16.8" x14ac:dyDescent="0.3">
      <c r="A83" s="70">
        <f>'BASE MAESTRA'!B89</f>
        <v>81</v>
      </c>
      <c r="B83" s="61">
        <f t="shared" ref="B83:B146" si="9">VLOOKUP($A83,DatosEspecies,B$2,FALSE)</f>
        <v>0</v>
      </c>
      <c r="D83" s="61">
        <f t="shared" si="6"/>
        <v>0</v>
      </c>
      <c r="E83" s="61"/>
      <c r="F83" s="61"/>
      <c r="G83" s="61"/>
      <c r="H83" s="61"/>
      <c r="I83" s="61">
        <f t="shared" ref="I83:J146" si="10">VLOOKUP($A83,DatosEspecies,I$2,FALSE)</f>
        <v>0</v>
      </c>
      <c r="J83" s="61">
        <f t="shared" si="10"/>
        <v>0</v>
      </c>
      <c r="K83" s="61"/>
      <c r="L83" s="61">
        <f t="shared" si="7"/>
        <v>0</v>
      </c>
      <c r="M83" s="61"/>
      <c r="N83" s="61">
        <f t="shared" si="8"/>
        <v>81</v>
      </c>
    </row>
    <row r="84" spans="1:14" ht="16.8" x14ac:dyDescent="0.3">
      <c r="A84" s="70">
        <f>'BASE MAESTRA'!B90</f>
        <v>82</v>
      </c>
      <c r="B84" s="61">
        <f t="shared" si="9"/>
        <v>0</v>
      </c>
      <c r="D84" s="61">
        <f t="shared" si="6"/>
        <v>0</v>
      </c>
      <c r="E84" s="61"/>
      <c r="F84" s="61"/>
      <c r="G84" s="61"/>
      <c r="H84" s="61"/>
      <c r="I84" s="61">
        <f t="shared" si="10"/>
        <v>0</v>
      </c>
      <c r="J84" s="61">
        <f t="shared" si="10"/>
        <v>0</v>
      </c>
      <c r="K84" s="61"/>
      <c r="L84" s="61">
        <f t="shared" si="7"/>
        <v>0</v>
      </c>
      <c r="M84" s="61"/>
      <c r="N84" s="61">
        <f t="shared" si="8"/>
        <v>82</v>
      </c>
    </row>
    <row r="85" spans="1:14" ht="16.8" x14ac:dyDescent="0.3">
      <c r="A85" s="70">
        <f>'BASE MAESTRA'!B91</f>
        <v>83</v>
      </c>
      <c r="B85" s="61">
        <f t="shared" si="9"/>
        <v>0</v>
      </c>
      <c r="D85" s="61">
        <f t="shared" si="6"/>
        <v>0</v>
      </c>
      <c r="E85" s="61"/>
      <c r="F85" s="61"/>
      <c r="G85" s="61"/>
      <c r="H85" s="61"/>
      <c r="I85" s="61">
        <f t="shared" si="10"/>
        <v>0</v>
      </c>
      <c r="J85" s="61">
        <f t="shared" si="10"/>
        <v>0</v>
      </c>
      <c r="K85" s="61"/>
      <c r="L85" s="61">
        <f t="shared" si="7"/>
        <v>0</v>
      </c>
      <c r="M85" s="61"/>
      <c r="N85" s="61">
        <f t="shared" si="8"/>
        <v>83</v>
      </c>
    </row>
    <row r="86" spans="1:14" ht="16.8" x14ac:dyDescent="0.3">
      <c r="A86" s="70">
        <f>'BASE MAESTRA'!B92</f>
        <v>84</v>
      </c>
      <c r="B86" s="61">
        <f t="shared" si="9"/>
        <v>0</v>
      </c>
      <c r="D86" s="61">
        <f t="shared" si="6"/>
        <v>0</v>
      </c>
      <c r="E86" s="61"/>
      <c r="F86" s="61"/>
      <c r="G86" s="61"/>
      <c r="H86" s="61"/>
      <c r="I86" s="61">
        <f t="shared" si="10"/>
        <v>0</v>
      </c>
      <c r="J86" s="61">
        <f t="shared" si="10"/>
        <v>0</v>
      </c>
      <c r="K86" s="61"/>
      <c r="L86" s="61">
        <f t="shared" si="7"/>
        <v>0</v>
      </c>
      <c r="M86" s="61"/>
      <c r="N86" s="61">
        <f t="shared" si="8"/>
        <v>84</v>
      </c>
    </row>
    <row r="87" spans="1:14" ht="16.8" x14ac:dyDescent="0.3">
      <c r="A87" s="70">
        <f>'BASE MAESTRA'!B93</f>
        <v>85</v>
      </c>
      <c r="B87" s="61">
        <f t="shared" si="9"/>
        <v>0</v>
      </c>
      <c r="D87" s="61">
        <f t="shared" si="6"/>
        <v>0</v>
      </c>
      <c r="E87" s="61"/>
      <c r="F87" s="61"/>
      <c r="G87" s="61"/>
      <c r="H87" s="61"/>
      <c r="I87" s="61">
        <f t="shared" si="10"/>
        <v>0</v>
      </c>
      <c r="J87" s="61">
        <f t="shared" si="10"/>
        <v>0</v>
      </c>
      <c r="K87" s="61"/>
      <c r="L87" s="61">
        <f t="shared" si="7"/>
        <v>0</v>
      </c>
      <c r="M87" s="61"/>
      <c r="N87" s="61">
        <f t="shared" si="8"/>
        <v>85</v>
      </c>
    </row>
    <row r="88" spans="1:14" ht="16.8" x14ac:dyDescent="0.3">
      <c r="A88" s="70">
        <f>'BASE MAESTRA'!B94</f>
        <v>86</v>
      </c>
      <c r="B88" s="61">
        <f t="shared" si="9"/>
        <v>0</v>
      </c>
      <c r="D88" s="61">
        <f t="shared" si="6"/>
        <v>0</v>
      </c>
      <c r="E88" s="61"/>
      <c r="F88" s="61"/>
      <c r="G88" s="61"/>
      <c r="H88" s="61"/>
      <c r="I88" s="61">
        <f t="shared" si="10"/>
        <v>0</v>
      </c>
      <c r="J88" s="61">
        <f t="shared" si="10"/>
        <v>0</v>
      </c>
      <c r="K88" s="61"/>
      <c r="L88" s="61">
        <f t="shared" si="7"/>
        <v>0</v>
      </c>
      <c r="M88" s="61"/>
      <c r="N88" s="61">
        <f t="shared" si="8"/>
        <v>86</v>
      </c>
    </row>
    <row r="89" spans="1:14" ht="16.8" x14ac:dyDescent="0.3">
      <c r="A89" s="70">
        <f>'BASE MAESTRA'!B95</f>
        <v>87</v>
      </c>
      <c r="B89" s="61">
        <f t="shared" si="9"/>
        <v>0</v>
      </c>
      <c r="D89" s="61">
        <f t="shared" si="6"/>
        <v>0</v>
      </c>
      <c r="E89" s="61"/>
      <c r="F89" s="61"/>
      <c r="G89" s="61"/>
      <c r="H89" s="61"/>
      <c r="I89" s="61">
        <f t="shared" si="10"/>
        <v>0</v>
      </c>
      <c r="J89" s="61">
        <f t="shared" si="10"/>
        <v>0</v>
      </c>
      <c r="K89" s="61"/>
      <c r="L89" s="61">
        <f t="shared" si="7"/>
        <v>0</v>
      </c>
      <c r="M89" s="61"/>
      <c r="N89" s="61">
        <f t="shared" si="8"/>
        <v>87</v>
      </c>
    </row>
    <row r="90" spans="1:14" ht="16.8" x14ac:dyDescent="0.3">
      <c r="A90" s="70">
        <f>'BASE MAESTRA'!B96</f>
        <v>88</v>
      </c>
      <c r="B90" s="61">
        <f t="shared" si="9"/>
        <v>0</v>
      </c>
      <c r="D90" s="61">
        <f t="shared" si="6"/>
        <v>0</v>
      </c>
      <c r="E90" s="61"/>
      <c r="F90" s="61"/>
      <c r="G90" s="61"/>
      <c r="H90" s="61"/>
      <c r="I90" s="61">
        <f t="shared" si="10"/>
        <v>0</v>
      </c>
      <c r="J90" s="61">
        <f t="shared" si="10"/>
        <v>0</v>
      </c>
      <c r="K90" s="61"/>
      <c r="L90" s="61">
        <f t="shared" si="7"/>
        <v>0</v>
      </c>
      <c r="M90" s="61"/>
      <c r="N90" s="61">
        <f t="shared" si="8"/>
        <v>88</v>
      </c>
    </row>
    <row r="91" spans="1:14" ht="16.8" x14ac:dyDescent="0.3">
      <c r="A91" s="70">
        <f>'BASE MAESTRA'!B97</f>
        <v>89</v>
      </c>
      <c r="B91" s="61">
        <f t="shared" si="9"/>
        <v>0</v>
      </c>
      <c r="D91" s="61">
        <f t="shared" si="6"/>
        <v>0</v>
      </c>
      <c r="E91" s="61"/>
      <c r="F91" s="61"/>
      <c r="G91" s="61"/>
      <c r="H91" s="61"/>
      <c r="I91" s="61">
        <f t="shared" si="10"/>
        <v>0</v>
      </c>
      <c r="J91" s="61">
        <f t="shared" si="10"/>
        <v>0</v>
      </c>
      <c r="K91" s="61"/>
      <c r="L91" s="61">
        <f t="shared" si="7"/>
        <v>0</v>
      </c>
      <c r="M91" s="61"/>
      <c r="N91" s="61">
        <f t="shared" si="8"/>
        <v>89</v>
      </c>
    </row>
    <row r="92" spans="1:14" ht="16.8" x14ac:dyDescent="0.3">
      <c r="A92" s="70">
        <f>'BASE MAESTRA'!B98</f>
        <v>90</v>
      </c>
      <c r="B92" s="61">
        <f t="shared" si="9"/>
        <v>0</v>
      </c>
      <c r="D92" s="61">
        <f t="shared" si="6"/>
        <v>0</v>
      </c>
      <c r="E92" s="61"/>
      <c r="F92" s="61"/>
      <c r="G92" s="61"/>
      <c r="H92" s="61"/>
      <c r="I92" s="61">
        <f t="shared" si="10"/>
        <v>0</v>
      </c>
      <c r="J92" s="61">
        <f t="shared" si="10"/>
        <v>0</v>
      </c>
      <c r="K92" s="61"/>
      <c r="L92" s="61">
        <f t="shared" si="7"/>
        <v>0</v>
      </c>
      <c r="M92" s="61"/>
      <c r="N92" s="61">
        <f t="shared" si="8"/>
        <v>90</v>
      </c>
    </row>
    <row r="93" spans="1:14" ht="16.8" x14ac:dyDescent="0.3">
      <c r="A93" s="70">
        <f>'BASE MAESTRA'!B99</f>
        <v>91</v>
      </c>
      <c r="B93" s="61">
        <f t="shared" si="9"/>
        <v>0</v>
      </c>
      <c r="D93" s="61">
        <f t="shared" si="6"/>
        <v>0</v>
      </c>
      <c r="E93" s="61"/>
      <c r="F93" s="61"/>
      <c r="G93" s="61"/>
      <c r="H93" s="61"/>
      <c r="I93" s="61">
        <f t="shared" si="10"/>
        <v>0</v>
      </c>
      <c r="J93" s="61">
        <f t="shared" si="10"/>
        <v>0</v>
      </c>
      <c r="K93" s="61"/>
      <c r="L93" s="61">
        <f t="shared" si="7"/>
        <v>0</v>
      </c>
      <c r="M93" s="61"/>
      <c r="N93" s="61">
        <f t="shared" si="8"/>
        <v>91</v>
      </c>
    </row>
    <row r="94" spans="1:14" ht="16.8" x14ac:dyDescent="0.3">
      <c r="A94" s="70">
        <f>'BASE MAESTRA'!B100</f>
        <v>92</v>
      </c>
      <c r="B94" s="61">
        <f t="shared" si="9"/>
        <v>0</v>
      </c>
      <c r="D94" s="61">
        <f t="shared" si="6"/>
        <v>0</v>
      </c>
      <c r="E94" s="61"/>
      <c r="F94" s="61"/>
      <c r="G94" s="61"/>
      <c r="H94" s="61"/>
      <c r="I94" s="61">
        <f t="shared" si="10"/>
        <v>0</v>
      </c>
      <c r="J94" s="61">
        <f t="shared" si="10"/>
        <v>0</v>
      </c>
      <c r="K94" s="61"/>
      <c r="L94" s="61">
        <f t="shared" si="7"/>
        <v>0</v>
      </c>
      <c r="M94" s="61"/>
      <c r="N94" s="61">
        <f t="shared" si="8"/>
        <v>92</v>
      </c>
    </row>
    <row r="95" spans="1:14" ht="16.8" x14ac:dyDescent="0.3">
      <c r="A95" s="70">
        <f>'BASE MAESTRA'!B101</f>
        <v>93</v>
      </c>
      <c r="B95" s="61">
        <f t="shared" si="9"/>
        <v>0</v>
      </c>
      <c r="D95" s="61">
        <f t="shared" si="6"/>
        <v>0</v>
      </c>
      <c r="E95" s="61"/>
      <c r="F95" s="61"/>
      <c r="G95" s="61"/>
      <c r="H95" s="61"/>
      <c r="I95" s="61">
        <f t="shared" si="10"/>
        <v>0</v>
      </c>
      <c r="J95" s="61">
        <f t="shared" si="10"/>
        <v>0</v>
      </c>
      <c r="K95" s="61"/>
      <c r="L95" s="61">
        <f t="shared" si="7"/>
        <v>0</v>
      </c>
      <c r="M95" s="61"/>
      <c r="N95" s="61">
        <f t="shared" si="8"/>
        <v>93</v>
      </c>
    </row>
    <row r="96" spans="1:14" ht="16.8" x14ac:dyDescent="0.3">
      <c r="A96" s="70">
        <f>'BASE MAESTRA'!B102</f>
        <v>94</v>
      </c>
      <c r="B96" s="61">
        <f t="shared" si="9"/>
        <v>0</v>
      </c>
      <c r="D96" s="61">
        <f t="shared" si="6"/>
        <v>0</v>
      </c>
      <c r="E96" s="61"/>
      <c r="F96" s="61"/>
      <c r="G96" s="61"/>
      <c r="H96" s="61"/>
      <c r="I96" s="61">
        <f t="shared" si="10"/>
        <v>0</v>
      </c>
      <c r="J96" s="61">
        <f t="shared" si="10"/>
        <v>0</v>
      </c>
      <c r="K96" s="61"/>
      <c r="L96" s="61">
        <f t="shared" si="7"/>
        <v>0</v>
      </c>
      <c r="M96" s="61"/>
      <c r="N96" s="61">
        <f t="shared" si="8"/>
        <v>94</v>
      </c>
    </row>
    <row r="97" spans="1:14" ht="16.8" x14ac:dyDescent="0.3">
      <c r="A97" s="70">
        <f>'BASE MAESTRA'!B103</f>
        <v>95</v>
      </c>
      <c r="B97" s="61">
        <f t="shared" si="9"/>
        <v>0</v>
      </c>
      <c r="D97" s="61">
        <f t="shared" si="6"/>
        <v>0</v>
      </c>
      <c r="E97" s="61"/>
      <c r="F97" s="61"/>
      <c r="G97" s="61"/>
      <c r="H97" s="61"/>
      <c r="I97" s="61">
        <f t="shared" si="10"/>
        <v>0</v>
      </c>
      <c r="J97" s="61">
        <f t="shared" si="10"/>
        <v>0</v>
      </c>
      <c r="K97" s="61"/>
      <c r="L97" s="61">
        <f t="shared" si="7"/>
        <v>0</v>
      </c>
      <c r="M97" s="61"/>
      <c r="N97" s="61">
        <f t="shared" si="8"/>
        <v>95</v>
      </c>
    </row>
    <row r="98" spans="1:14" ht="16.8" x14ac:dyDescent="0.3">
      <c r="A98" s="70">
        <f>'BASE MAESTRA'!B104</f>
        <v>96</v>
      </c>
      <c r="B98" s="61">
        <f t="shared" si="9"/>
        <v>0</v>
      </c>
      <c r="D98" s="61">
        <f t="shared" si="6"/>
        <v>0</v>
      </c>
      <c r="E98" s="61"/>
      <c r="F98" s="61"/>
      <c r="G98" s="61"/>
      <c r="H98" s="61"/>
      <c r="I98" s="61">
        <f t="shared" si="10"/>
        <v>0</v>
      </c>
      <c r="J98" s="61">
        <f t="shared" si="10"/>
        <v>0</v>
      </c>
      <c r="K98" s="61"/>
      <c r="L98" s="61">
        <f t="shared" si="7"/>
        <v>0</v>
      </c>
      <c r="M98" s="61"/>
      <c r="N98" s="61">
        <f t="shared" si="8"/>
        <v>96</v>
      </c>
    </row>
    <row r="99" spans="1:14" ht="16.8" x14ac:dyDescent="0.3">
      <c r="A99" s="70">
        <f>'BASE MAESTRA'!B105</f>
        <v>97</v>
      </c>
      <c r="B99" s="61">
        <f t="shared" si="9"/>
        <v>0</v>
      </c>
      <c r="D99" s="61">
        <f t="shared" si="6"/>
        <v>0</v>
      </c>
      <c r="E99" s="61"/>
      <c r="F99" s="61"/>
      <c r="G99" s="61"/>
      <c r="H99" s="61"/>
      <c r="I99" s="61">
        <f t="shared" si="10"/>
        <v>0</v>
      </c>
      <c r="J99" s="61">
        <f t="shared" si="10"/>
        <v>0</v>
      </c>
      <c r="K99" s="61"/>
      <c r="L99" s="61">
        <f t="shared" si="7"/>
        <v>0</v>
      </c>
      <c r="M99" s="61"/>
      <c r="N99" s="61">
        <f t="shared" si="8"/>
        <v>97</v>
      </c>
    </row>
    <row r="100" spans="1:14" ht="16.8" x14ac:dyDescent="0.3">
      <c r="A100" s="70">
        <f>'BASE MAESTRA'!B106</f>
        <v>98</v>
      </c>
      <c r="B100" s="61">
        <f t="shared" si="9"/>
        <v>0</v>
      </c>
      <c r="D100" s="61">
        <f t="shared" si="6"/>
        <v>0</v>
      </c>
      <c r="E100" s="61"/>
      <c r="F100" s="61"/>
      <c r="G100" s="61"/>
      <c r="H100" s="61"/>
      <c r="I100" s="61">
        <f t="shared" si="10"/>
        <v>0</v>
      </c>
      <c r="J100" s="61">
        <f t="shared" si="10"/>
        <v>0</v>
      </c>
      <c r="K100" s="61"/>
      <c r="L100" s="61">
        <f t="shared" si="7"/>
        <v>0</v>
      </c>
      <c r="M100" s="61"/>
      <c r="N100" s="61">
        <f t="shared" si="8"/>
        <v>98</v>
      </c>
    </row>
    <row r="101" spans="1:14" ht="16.8" x14ac:dyDescent="0.3">
      <c r="A101" s="70">
        <f>'BASE MAESTRA'!B107</f>
        <v>99</v>
      </c>
      <c r="B101" s="61">
        <f t="shared" si="9"/>
        <v>0</v>
      </c>
      <c r="D101" s="61">
        <f t="shared" si="6"/>
        <v>0</v>
      </c>
      <c r="E101" s="61"/>
      <c r="F101" s="61"/>
      <c r="G101" s="61"/>
      <c r="H101" s="61"/>
      <c r="I101" s="61">
        <f t="shared" si="10"/>
        <v>0</v>
      </c>
      <c r="J101" s="61">
        <f t="shared" si="10"/>
        <v>0</v>
      </c>
      <c r="K101" s="61"/>
      <c r="L101" s="61">
        <f t="shared" si="7"/>
        <v>0</v>
      </c>
      <c r="M101" s="61"/>
      <c r="N101" s="61">
        <f t="shared" si="8"/>
        <v>99</v>
      </c>
    </row>
    <row r="102" spans="1:14" ht="16.8" x14ac:dyDescent="0.3">
      <c r="A102" s="70">
        <f>'BASE MAESTRA'!B108</f>
        <v>100</v>
      </c>
      <c r="B102" s="61">
        <f t="shared" si="9"/>
        <v>0</v>
      </c>
      <c r="D102" s="61">
        <f t="shared" si="6"/>
        <v>0</v>
      </c>
      <c r="E102" s="61"/>
      <c r="F102" s="61"/>
      <c r="G102" s="61"/>
      <c r="H102" s="61"/>
      <c r="I102" s="61">
        <f t="shared" si="10"/>
        <v>0</v>
      </c>
      <c r="J102" s="61">
        <f t="shared" si="10"/>
        <v>0</v>
      </c>
      <c r="K102" s="61"/>
      <c r="L102" s="61">
        <f t="shared" si="7"/>
        <v>0</v>
      </c>
      <c r="M102" s="61"/>
      <c r="N102" s="61">
        <f t="shared" si="8"/>
        <v>100</v>
      </c>
    </row>
    <row r="103" spans="1:14" ht="16.8" x14ac:dyDescent="0.3">
      <c r="A103" s="70">
        <f>'BASE MAESTRA'!B109</f>
        <v>101</v>
      </c>
      <c r="B103" s="61">
        <f t="shared" si="9"/>
        <v>0</v>
      </c>
      <c r="D103" s="61">
        <f t="shared" si="6"/>
        <v>0</v>
      </c>
      <c r="E103" s="61"/>
      <c r="F103" s="61"/>
      <c r="G103" s="61"/>
      <c r="H103" s="61"/>
      <c r="I103" s="61">
        <f t="shared" si="10"/>
        <v>0</v>
      </c>
      <c r="J103" s="61">
        <f t="shared" si="10"/>
        <v>0</v>
      </c>
      <c r="K103" s="61"/>
      <c r="L103" s="61">
        <f t="shared" si="7"/>
        <v>0</v>
      </c>
      <c r="M103" s="61"/>
      <c r="N103" s="61">
        <f t="shared" si="8"/>
        <v>101</v>
      </c>
    </row>
    <row r="104" spans="1:14" ht="16.8" x14ac:dyDescent="0.3">
      <c r="A104" s="70">
        <f>'BASE MAESTRA'!B110</f>
        <v>102</v>
      </c>
      <c r="B104" s="61">
        <f t="shared" si="9"/>
        <v>0</v>
      </c>
      <c r="D104" s="61">
        <f t="shared" si="6"/>
        <v>0</v>
      </c>
      <c r="E104" s="61"/>
      <c r="F104" s="61"/>
      <c r="G104" s="61"/>
      <c r="H104" s="61"/>
      <c r="I104" s="61">
        <f t="shared" si="10"/>
        <v>0</v>
      </c>
      <c r="J104" s="61">
        <f t="shared" si="10"/>
        <v>0</v>
      </c>
      <c r="K104" s="61"/>
      <c r="L104" s="61">
        <f t="shared" si="7"/>
        <v>0</v>
      </c>
      <c r="M104" s="61"/>
      <c r="N104" s="61">
        <f t="shared" si="8"/>
        <v>102</v>
      </c>
    </row>
    <row r="105" spans="1:14" ht="16.8" x14ac:dyDescent="0.3">
      <c r="A105" s="70">
        <f>'BASE MAESTRA'!B111</f>
        <v>103</v>
      </c>
      <c r="B105" s="61">
        <f t="shared" si="9"/>
        <v>0</v>
      </c>
      <c r="D105" s="61">
        <f t="shared" si="6"/>
        <v>0</v>
      </c>
      <c r="E105" s="61"/>
      <c r="F105" s="61"/>
      <c r="G105" s="61"/>
      <c r="H105" s="61"/>
      <c r="I105" s="61">
        <f t="shared" si="10"/>
        <v>0</v>
      </c>
      <c r="J105" s="61">
        <f t="shared" si="10"/>
        <v>0</v>
      </c>
      <c r="K105" s="61"/>
      <c r="L105" s="61">
        <f t="shared" si="7"/>
        <v>0</v>
      </c>
      <c r="M105" s="61"/>
      <c r="N105" s="61">
        <f t="shared" si="8"/>
        <v>103</v>
      </c>
    </row>
    <row r="106" spans="1:14" ht="16.8" x14ac:dyDescent="0.3">
      <c r="A106" s="70">
        <f>'BASE MAESTRA'!B112</f>
        <v>104</v>
      </c>
      <c r="B106" s="61">
        <f t="shared" si="9"/>
        <v>0</v>
      </c>
      <c r="D106" s="61">
        <f t="shared" si="6"/>
        <v>0</v>
      </c>
      <c r="E106" s="61"/>
      <c r="F106" s="61"/>
      <c r="G106" s="61"/>
      <c r="H106" s="61"/>
      <c r="I106" s="61">
        <f t="shared" si="10"/>
        <v>0</v>
      </c>
      <c r="J106" s="61">
        <f t="shared" si="10"/>
        <v>0</v>
      </c>
      <c r="K106" s="61"/>
      <c r="L106" s="61">
        <f t="shared" si="7"/>
        <v>0</v>
      </c>
      <c r="M106" s="61"/>
      <c r="N106" s="61">
        <f t="shared" si="8"/>
        <v>104</v>
      </c>
    </row>
    <row r="107" spans="1:14" ht="16.8" x14ac:dyDescent="0.3">
      <c r="A107" s="70">
        <f>'BASE MAESTRA'!B113</f>
        <v>105</v>
      </c>
      <c r="B107" s="61">
        <f t="shared" si="9"/>
        <v>0</v>
      </c>
      <c r="D107" s="61">
        <f t="shared" si="6"/>
        <v>0</v>
      </c>
      <c r="E107" s="61"/>
      <c r="F107" s="61"/>
      <c r="G107" s="61"/>
      <c r="H107" s="61"/>
      <c r="I107" s="61">
        <f t="shared" si="10"/>
        <v>0</v>
      </c>
      <c r="J107" s="61">
        <f t="shared" si="10"/>
        <v>0</v>
      </c>
      <c r="K107" s="61"/>
      <c r="L107" s="61">
        <f t="shared" si="7"/>
        <v>0</v>
      </c>
      <c r="M107" s="61"/>
      <c r="N107" s="61">
        <f t="shared" si="8"/>
        <v>105</v>
      </c>
    </row>
    <row r="108" spans="1:14" ht="16.8" x14ac:dyDescent="0.3">
      <c r="A108" s="70">
        <f>'BASE MAESTRA'!B114</f>
        <v>106</v>
      </c>
      <c r="B108" s="61">
        <f t="shared" si="9"/>
        <v>0</v>
      </c>
      <c r="D108" s="61">
        <f t="shared" si="6"/>
        <v>0</v>
      </c>
      <c r="E108" s="61"/>
      <c r="F108" s="61"/>
      <c r="G108" s="61"/>
      <c r="H108" s="61"/>
      <c r="I108" s="61">
        <f t="shared" si="10"/>
        <v>0</v>
      </c>
      <c r="J108" s="61">
        <f t="shared" si="10"/>
        <v>0</v>
      </c>
      <c r="K108" s="61"/>
      <c r="L108" s="61">
        <f t="shared" si="7"/>
        <v>0</v>
      </c>
      <c r="M108" s="61"/>
      <c r="N108" s="61">
        <f t="shared" si="8"/>
        <v>106</v>
      </c>
    </row>
    <row r="109" spans="1:14" ht="16.8" x14ac:dyDescent="0.3">
      <c r="A109" s="70">
        <f>'BASE MAESTRA'!B115</f>
        <v>107</v>
      </c>
      <c r="B109" s="61">
        <f t="shared" si="9"/>
        <v>0</v>
      </c>
      <c r="D109" s="61">
        <f t="shared" si="6"/>
        <v>0</v>
      </c>
      <c r="E109" s="61"/>
      <c r="F109" s="61"/>
      <c r="G109" s="61"/>
      <c r="H109" s="61"/>
      <c r="I109" s="61">
        <f t="shared" si="10"/>
        <v>0</v>
      </c>
      <c r="J109" s="61">
        <f t="shared" si="10"/>
        <v>0</v>
      </c>
      <c r="K109" s="61"/>
      <c r="L109" s="61">
        <f t="shared" si="7"/>
        <v>0</v>
      </c>
      <c r="M109" s="61"/>
      <c r="N109" s="61">
        <f t="shared" si="8"/>
        <v>107</v>
      </c>
    </row>
    <row r="110" spans="1:14" ht="16.8" x14ac:dyDescent="0.3">
      <c r="A110" s="70">
        <f>'BASE MAESTRA'!B116</f>
        <v>108</v>
      </c>
      <c r="B110" s="61">
        <f t="shared" si="9"/>
        <v>0</v>
      </c>
      <c r="D110" s="61">
        <f t="shared" si="6"/>
        <v>0</v>
      </c>
      <c r="E110" s="61"/>
      <c r="F110" s="61"/>
      <c r="G110" s="61"/>
      <c r="H110" s="61"/>
      <c r="I110" s="61">
        <f t="shared" si="10"/>
        <v>0</v>
      </c>
      <c r="J110" s="61">
        <f t="shared" si="10"/>
        <v>0</v>
      </c>
      <c r="K110" s="61"/>
      <c r="L110" s="61">
        <f t="shared" si="7"/>
        <v>0</v>
      </c>
      <c r="M110" s="61"/>
      <c r="N110" s="61">
        <f t="shared" si="8"/>
        <v>108</v>
      </c>
    </row>
    <row r="111" spans="1:14" ht="16.8" x14ac:dyDescent="0.3">
      <c r="A111" s="70">
        <f>'BASE MAESTRA'!B117</f>
        <v>109</v>
      </c>
      <c r="B111" s="61">
        <f t="shared" si="9"/>
        <v>0</v>
      </c>
      <c r="D111" s="61">
        <f t="shared" si="6"/>
        <v>0</v>
      </c>
      <c r="E111" s="61"/>
      <c r="F111" s="61"/>
      <c r="G111" s="61"/>
      <c r="H111" s="61"/>
      <c r="I111" s="61">
        <f t="shared" si="10"/>
        <v>0</v>
      </c>
      <c r="J111" s="61">
        <f t="shared" si="10"/>
        <v>0</v>
      </c>
      <c r="K111" s="61"/>
      <c r="L111" s="61">
        <f t="shared" si="7"/>
        <v>0</v>
      </c>
      <c r="M111" s="61"/>
      <c r="N111" s="61">
        <f t="shared" si="8"/>
        <v>109</v>
      </c>
    </row>
    <row r="112" spans="1:14" ht="16.8" x14ac:dyDescent="0.3">
      <c r="A112" s="70">
        <f>'BASE MAESTRA'!B118</f>
        <v>110</v>
      </c>
      <c r="B112" s="61">
        <f t="shared" si="9"/>
        <v>0</v>
      </c>
      <c r="D112" s="61">
        <f t="shared" si="6"/>
        <v>0</v>
      </c>
      <c r="E112" s="61"/>
      <c r="F112" s="61"/>
      <c r="G112" s="61"/>
      <c r="H112" s="61"/>
      <c r="I112" s="61">
        <f t="shared" si="10"/>
        <v>0</v>
      </c>
      <c r="J112" s="61">
        <f t="shared" si="10"/>
        <v>0</v>
      </c>
      <c r="K112" s="61"/>
      <c r="L112" s="61">
        <f t="shared" si="7"/>
        <v>0</v>
      </c>
      <c r="M112" s="61"/>
      <c r="N112" s="61">
        <f t="shared" si="8"/>
        <v>110</v>
      </c>
    </row>
    <row r="113" spans="1:14" ht="16.8" x14ac:dyDescent="0.3">
      <c r="A113" s="70">
        <f>'BASE MAESTRA'!B119</f>
        <v>111</v>
      </c>
      <c r="B113" s="61">
        <f t="shared" si="9"/>
        <v>0</v>
      </c>
      <c r="D113" s="61">
        <f t="shared" si="6"/>
        <v>0</v>
      </c>
      <c r="E113" s="61"/>
      <c r="F113" s="61"/>
      <c r="G113" s="61"/>
      <c r="H113" s="61"/>
      <c r="I113" s="61">
        <f t="shared" si="10"/>
        <v>0</v>
      </c>
      <c r="J113" s="61">
        <f t="shared" si="10"/>
        <v>0</v>
      </c>
      <c r="K113" s="61"/>
      <c r="L113" s="61">
        <f t="shared" si="7"/>
        <v>0</v>
      </c>
      <c r="M113" s="61"/>
      <c r="N113" s="61">
        <f t="shared" si="8"/>
        <v>111</v>
      </c>
    </row>
    <row r="114" spans="1:14" ht="16.8" x14ac:dyDescent="0.3">
      <c r="A114" s="70">
        <f>'BASE MAESTRA'!B120</f>
        <v>112</v>
      </c>
      <c r="B114" s="61">
        <f t="shared" si="9"/>
        <v>0</v>
      </c>
      <c r="D114" s="61">
        <f t="shared" si="6"/>
        <v>0</v>
      </c>
      <c r="E114" s="61"/>
      <c r="F114" s="61"/>
      <c r="G114" s="61"/>
      <c r="H114" s="61"/>
      <c r="I114" s="61">
        <f t="shared" si="10"/>
        <v>0</v>
      </c>
      <c r="J114" s="61">
        <f t="shared" si="10"/>
        <v>0</v>
      </c>
      <c r="K114" s="61"/>
      <c r="L114" s="61">
        <f t="shared" si="7"/>
        <v>0</v>
      </c>
      <c r="M114" s="61"/>
      <c r="N114" s="61">
        <f t="shared" si="8"/>
        <v>112</v>
      </c>
    </row>
    <row r="115" spans="1:14" ht="16.8" x14ac:dyDescent="0.3">
      <c r="A115" s="70">
        <f>'BASE MAESTRA'!B121</f>
        <v>113</v>
      </c>
      <c r="B115" s="61">
        <f t="shared" si="9"/>
        <v>0</v>
      </c>
      <c r="D115" s="61">
        <f t="shared" si="6"/>
        <v>0</v>
      </c>
      <c r="E115" s="61"/>
      <c r="F115" s="61"/>
      <c r="G115" s="61"/>
      <c r="H115" s="61"/>
      <c r="I115" s="61">
        <f t="shared" si="10"/>
        <v>0</v>
      </c>
      <c r="J115" s="61">
        <f t="shared" si="10"/>
        <v>0</v>
      </c>
      <c r="K115" s="61"/>
      <c r="L115" s="61">
        <f t="shared" si="7"/>
        <v>0</v>
      </c>
      <c r="M115" s="61"/>
      <c r="N115" s="61">
        <f t="shared" si="8"/>
        <v>113</v>
      </c>
    </row>
    <row r="116" spans="1:14" ht="16.8" x14ac:dyDescent="0.3">
      <c r="A116" s="70">
        <f>'BASE MAESTRA'!B122</f>
        <v>114</v>
      </c>
      <c r="B116" s="61">
        <f t="shared" si="9"/>
        <v>0</v>
      </c>
      <c r="D116" s="61">
        <f t="shared" si="6"/>
        <v>0</v>
      </c>
      <c r="E116" s="61"/>
      <c r="F116" s="61"/>
      <c r="G116" s="61"/>
      <c r="H116" s="61"/>
      <c r="I116" s="61">
        <f t="shared" si="10"/>
        <v>0</v>
      </c>
      <c r="J116" s="61">
        <f t="shared" si="10"/>
        <v>0</v>
      </c>
      <c r="K116" s="61"/>
      <c r="L116" s="61">
        <f t="shared" si="7"/>
        <v>0</v>
      </c>
      <c r="M116" s="61"/>
      <c r="N116" s="61">
        <f t="shared" si="8"/>
        <v>114</v>
      </c>
    </row>
    <row r="117" spans="1:14" ht="16.8" x14ac:dyDescent="0.3">
      <c r="A117" s="70">
        <f>'BASE MAESTRA'!B123</f>
        <v>115</v>
      </c>
      <c r="B117" s="61">
        <f t="shared" si="9"/>
        <v>0</v>
      </c>
      <c r="D117" s="61">
        <f t="shared" si="6"/>
        <v>0</v>
      </c>
      <c r="E117" s="61"/>
      <c r="F117" s="61"/>
      <c r="G117" s="61"/>
      <c r="H117" s="61"/>
      <c r="I117" s="61">
        <f t="shared" si="10"/>
        <v>0</v>
      </c>
      <c r="J117" s="61">
        <f t="shared" si="10"/>
        <v>0</v>
      </c>
      <c r="K117" s="61"/>
      <c r="L117" s="61">
        <f t="shared" si="7"/>
        <v>0</v>
      </c>
      <c r="M117" s="61"/>
      <c r="N117" s="61">
        <f t="shared" si="8"/>
        <v>115</v>
      </c>
    </row>
    <row r="118" spans="1:14" ht="16.8" x14ac:dyDescent="0.3">
      <c r="A118" s="70">
        <f>'BASE MAESTRA'!B124</f>
        <v>116</v>
      </c>
      <c r="B118" s="61">
        <f t="shared" si="9"/>
        <v>0</v>
      </c>
      <c r="D118" s="61">
        <f t="shared" si="6"/>
        <v>0</v>
      </c>
      <c r="E118" s="61"/>
      <c r="F118" s="61"/>
      <c r="G118" s="61"/>
      <c r="H118" s="61"/>
      <c r="I118" s="61">
        <f t="shared" si="10"/>
        <v>0</v>
      </c>
      <c r="J118" s="61">
        <f t="shared" si="10"/>
        <v>0</v>
      </c>
      <c r="K118" s="61"/>
      <c r="L118" s="61">
        <f t="shared" si="7"/>
        <v>0</v>
      </c>
      <c r="M118" s="61"/>
      <c r="N118" s="61">
        <f t="shared" si="8"/>
        <v>116</v>
      </c>
    </row>
    <row r="119" spans="1:14" ht="16.8" x14ac:dyDescent="0.3">
      <c r="A119" s="70">
        <f>'BASE MAESTRA'!B125</f>
        <v>117</v>
      </c>
      <c r="B119" s="61">
        <f t="shared" si="9"/>
        <v>0</v>
      </c>
      <c r="D119" s="61">
        <f t="shared" si="6"/>
        <v>0</v>
      </c>
      <c r="E119" s="61"/>
      <c r="F119" s="61"/>
      <c r="G119" s="61"/>
      <c r="H119" s="61"/>
      <c r="I119" s="61">
        <f t="shared" si="10"/>
        <v>0</v>
      </c>
      <c r="J119" s="61">
        <f t="shared" si="10"/>
        <v>0</v>
      </c>
      <c r="K119" s="61"/>
      <c r="L119" s="61">
        <f t="shared" si="7"/>
        <v>0</v>
      </c>
      <c r="M119" s="61"/>
      <c r="N119" s="61">
        <f t="shared" si="8"/>
        <v>117</v>
      </c>
    </row>
    <row r="120" spans="1:14" ht="16.8" x14ac:dyDescent="0.3">
      <c r="A120" s="70">
        <f>'BASE MAESTRA'!B126</f>
        <v>118</v>
      </c>
      <c r="B120" s="61">
        <f t="shared" si="9"/>
        <v>0</v>
      </c>
      <c r="D120" s="61">
        <f t="shared" si="6"/>
        <v>0</v>
      </c>
      <c r="E120" s="61"/>
      <c r="F120" s="61"/>
      <c r="G120" s="61"/>
      <c r="H120" s="61"/>
      <c r="I120" s="61">
        <f t="shared" si="10"/>
        <v>0</v>
      </c>
      <c r="J120" s="61">
        <f t="shared" si="10"/>
        <v>0</v>
      </c>
      <c r="K120" s="61"/>
      <c r="L120" s="61">
        <f t="shared" si="7"/>
        <v>0</v>
      </c>
      <c r="M120" s="61"/>
      <c r="N120" s="61">
        <f t="shared" si="8"/>
        <v>118</v>
      </c>
    </row>
    <row r="121" spans="1:14" ht="16.8" x14ac:dyDescent="0.3">
      <c r="A121" s="70">
        <f>'BASE MAESTRA'!B127</f>
        <v>119</v>
      </c>
      <c r="B121" s="61">
        <f t="shared" si="9"/>
        <v>0</v>
      </c>
      <c r="D121" s="61">
        <f t="shared" si="6"/>
        <v>0</v>
      </c>
      <c r="E121" s="61"/>
      <c r="F121" s="61"/>
      <c r="G121" s="61"/>
      <c r="H121" s="61"/>
      <c r="I121" s="61">
        <f t="shared" si="10"/>
        <v>0</v>
      </c>
      <c r="J121" s="61">
        <f t="shared" si="10"/>
        <v>0</v>
      </c>
      <c r="K121" s="61"/>
      <c r="L121" s="61">
        <f t="shared" si="7"/>
        <v>0</v>
      </c>
      <c r="M121" s="61"/>
      <c r="N121" s="61">
        <f t="shared" si="8"/>
        <v>119</v>
      </c>
    </row>
    <row r="122" spans="1:14" ht="16.8" x14ac:dyDescent="0.3">
      <c r="A122" s="70">
        <f>'BASE MAESTRA'!B128</f>
        <v>120</v>
      </c>
      <c r="B122" s="61">
        <f t="shared" si="9"/>
        <v>0</v>
      </c>
      <c r="D122" s="61">
        <f t="shared" si="6"/>
        <v>0</v>
      </c>
      <c r="E122" s="61"/>
      <c r="F122" s="61"/>
      <c r="G122" s="61"/>
      <c r="H122" s="61"/>
      <c r="I122" s="61">
        <f t="shared" si="10"/>
        <v>0</v>
      </c>
      <c r="J122" s="61">
        <f t="shared" si="10"/>
        <v>0</v>
      </c>
      <c r="K122" s="61"/>
      <c r="L122" s="61">
        <f t="shared" si="7"/>
        <v>0</v>
      </c>
      <c r="M122" s="61"/>
      <c r="N122" s="61">
        <f t="shared" si="8"/>
        <v>120</v>
      </c>
    </row>
    <row r="123" spans="1:14" ht="16.8" x14ac:dyDescent="0.3">
      <c r="A123" s="70">
        <f>'BASE MAESTRA'!B129</f>
        <v>121</v>
      </c>
      <c r="B123" s="61">
        <f t="shared" si="9"/>
        <v>0</v>
      </c>
      <c r="D123" s="61">
        <f t="shared" si="6"/>
        <v>0</v>
      </c>
      <c r="E123" s="61"/>
      <c r="F123" s="61"/>
      <c r="G123" s="61"/>
      <c r="H123" s="61"/>
      <c r="I123" s="61">
        <f t="shared" si="10"/>
        <v>0</v>
      </c>
      <c r="J123" s="61">
        <f t="shared" si="10"/>
        <v>0</v>
      </c>
      <c r="K123" s="61"/>
      <c r="L123" s="61">
        <f t="shared" si="7"/>
        <v>0</v>
      </c>
      <c r="M123" s="61"/>
      <c r="N123" s="61">
        <f t="shared" si="8"/>
        <v>121</v>
      </c>
    </row>
    <row r="124" spans="1:14" ht="16.8" x14ac:dyDescent="0.3">
      <c r="A124" s="70">
        <f>'BASE MAESTRA'!B130</f>
        <v>122</v>
      </c>
      <c r="B124" s="61">
        <f t="shared" si="9"/>
        <v>0</v>
      </c>
      <c r="D124" s="61">
        <f t="shared" si="6"/>
        <v>0</v>
      </c>
      <c r="E124" s="61"/>
      <c r="F124" s="61"/>
      <c r="G124" s="61"/>
      <c r="H124" s="61"/>
      <c r="I124" s="61">
        <f t="shared" si="10"/>
        <v>0</v>
      </c>
      <c r="J124" s="61">
        <f t="shared" si="10"/>
        <v>0</v>
      </c>
      <c r="K124" s="61"/>
      <c r="L124" s="61">
        <f t="shared" si="7"/>
        <v>0</v>
      </c>
      <c r="M124" s="61"/>
      <c r="N124" s="61">
        <f t="shared" si="8"/>
        <v>122</v>
      </c>
    </row>
    <row r="125" spans="1:14" ht="16.8" x14ac:dyDescent="0.3">
      <c r="A125" s="70">
        <f>'BASE MAESTRA'!B131</f>
        <v>123</v>
      </c>
      <c r="B125" s="61">
        <f t="shared" si="9"/>
        <v>0</v>
      </c>
      <c r="D125" s="61">
        <f t="shared" si="6"/>
        <v>0</v>
      </c>
      <c r="E125" s="61"/>
      <c r="F125" s="61"/>
      <c r="G125" s="61"/>
      <c r="H125" s="61"/>
      <c r="I125" s="61">
        <f t="shared" si="10"/>
        <v>0</v>
      </c>
      <c r="J125" s="61">
        <f t="shared" si="10"/>
        <v>0</v>
      </c>
      <c r="K125" s="61"/>
      <c r="L125" s="61">
        <f t="shared" si="7"/>
        <v>0</v>
      </c>
      <c r="M125" s="61"/>
      <c r="N125" s="61">
        <f t="shared" si="8"/>
        <v>123</v>
      </c>
    </row>
    <row r="126" spans="1:14" ht="16.8" x14ac:dyDescent="0.3">
      <c r="A126" s="70">
        <f>'BASE MAESTRA'!B132</f>
        <v>124</v>
      </c>
      <c r="B126" s="61">
        <f t="shared" si="9"/>
        <v>0</v>
      </c>
      <c r="D126" s="61">
        <f t="shared" si="6"/>
        <v>0</v>
      </c>
      <c r="E126" s="61"/>
      <c r="F126" s="61"/>
      <c r="G126" s="61"/>
      <c r="H126" s="61"/>
      <c r="I126" s="61">
        <f t="shared" si="10"/>
        <v>0</v>
      </c>
      <c r="J126" s="61">
        <f t="shared" si="10"/>
        <v>0</v>
      </c>
      <c r="K126" s="61"/>
      <c r="L126" s="61">
        <f t="shared" si="7"/>
        <v>0</v>
      </c>
      <c r="M126" s="61"/>
      <c r="N126" s="61">
        <f t="shared" si="8"/>
        <v>124</v>
      </c>
    </row>
    <row r="127" spans="1:14" ht="16.8" x14ac:dyDescent="0.3">
      <c r="A127" s="70">
        <f>'BASE MAESTRA'!B133</f>
        <v>125</v>
      </c>
      <c r="B127" s="61">
        <f t="shared" si="9"/>
        <v>0</v>
      </c>
      <c r="D127" s="61">
        <f t="shared" si="6"/>
        <v>0</v>
      </c>
      <c r="E127" s="61"/>
      <c r="F127" s="61"/>
      <c r="G127" s="61"/>
      <c r="H127" s="61"/>
      <c r="I127" s="61">
        <f t="shared" si="10"/>
        <v>0</v>
      </c>
      <c r="J127" s="61">
        <f t="shared" si="10"/>
        <v>0</v>
      </c>
      <c r="K127" s="61"/>
      <c r="L127" s="61">
        <f t="shared" si="7"/>
        <v>0</v>
      </c>
      <c r="M127" s="61"/>
      <c r="N127" s="61">
        <f t="shared" si="8"/>
        <v>125</v>
      </c>
    </row>
    <row r="128" spans="1:14" ht="16.8" x14ac:dyDescent="0.3">
      <c r="A128" s="70">
        <f>'BASE MAESTRA'!B134</f>
        <v>126</v>
      </c>
      <c r="B128" s="61">
        <f t="shared" si="9"/>
        <v>0</v>
      </c>
      <c r="D128" s="61">
        <f t="shared" si="6"/>
        <v>0</v>
      </c>
      <c r="E128" s="61"/>
      <c r="F128" s="61"/>
      <c r="G128" s="61"/>
      <c r="H128" s="61"/>
      <c r="I128" s="61">
        <f t="shared" si="10"/>
        <v>0</v>
      </c>
      <c r="J128" s="61">
        <f t="shared" si="10"/>
        <v>0</v>
      </c>
      <c r="K128" s="61"/>
      <c r="L128" s="61">
        <f t="shared" si="7"/>
        <v>0</v>
      </c>
      <c r="M128" s="61"/>
      <c r="N128" s="61">
        <f t="shared" si="8"/>
        <v>126</v>
      </c>
    </row>
    <row r="129" spans="1:14" ht="16.8" x14ac:dyDescent="0.3">
      <c r="A129" s="70">
        <f>'BASE MAESTRA'!B135</f>
        <v>127</v>
      </c>
      <c r="B129" s="61">
        <f t="shared" si="9"/>
        <v>0</v>
      </c>
      <c r="D129" s="61">
        <f t="shared" si="6"/>
        <v>0</v>
      </c>
      <c r="E129" s="61"/>
      <c r="F129" s="61"/>
      <c r="G129" s="61"/>
      <c r="H129" s="61"/>
      <c r="I129" s="61">
        <f t="shared" si="10"/>
        <v>0</v>
      </c>
      <c r="J129" s="61">
        <f t="shared" si="10"/>
        <v>0</v>
      </c>
      <c r="K129" s="61"/>
      <c r="L129" s="61">
        <f t="shared" si="7"/>
        <v>0</v>
      </c>
      <c r="M129" s="61"/>
      <c r="N129" s="61">
        <f t="shared" si="8"/>
        <v>127</v>
      </c>
    </row>
    <row r="130" spans="1:14" ht="16.8" x14ac:dyDescent="0.3">
      <c r="A130" s="70">
        <f>'BASE MAESTRA'!B136</f>
        <v>128</v>
      </c>
      <c r="B130" s="61">
        <f t="shared" si="9"/>
        <v>0</v>
      </c>
      <c r="D130" s="61">
        <f t="shared" si="6"/>
        <v>0</v>
      </c>
      <c r="E130" s="61"/>
      <c r="F130" s="61"/>
      <c r="G130" s="61"/>
      <c r="H130" s="61"/>
      <c r="I130" s="61">
        <f t="shared" si="10"/>
        <v>0</v>
      </c>
      <c r="J130" s="61">
        <f t="shared" si="10"/>
        <v>0</v>
      </c>
      <c r="K130" s="61"/>
      <c r="L130" s="61">
        <f t="shared" si="7"/>
        <v>0</v>
      </c>
      <c r="M130" s="61"/>
      <c r="N130" s="61">
        <f t="shared" si="8"/>
        <v>128</v>
      </c>
    </row>
    <row r="131" spans="1:14" ht="16.8" x14ac:dyDescent="0.3">
      <c r="A131" s="70">
        <f>'BASE MAESTRA'!B137</f>
        <v>129</v>
      </c>
      <c r="B131" s="61">
        <f t="shared" si="9"/>
        <v>0</v>
      </c>
      <c r="D131" s="61">
        <f t="shared" ref="D131:D194" si="11">VLOOKUP($A131,DatosEspecies,D$2,FALSE)</f>
        <v>0</v>
      </c>
      <c r="E131" s="61"/>
      <c r="F131" s="61"/>
      <c r="G131" s="61"/>
      <c r="H131" s="61"/>
      <c r="I131" s="61">
        <f t="shared" si="10"/>
        <v>0</v>
      </c>
      <c r="J131" s="61">
        <f t="shared" si="10"/>
        <v>0</v>
      </c>
      <c r="K131" s="61"/>
      <c r="L131" s="61">
        <f t="shared" ref="L131:L194" si="12">VLOOKUP($A131,DatosEspecies,L$2,FALSE)</f>
        <v>0</v>
      </c>
      <c r="M131" s="61"/>
      <c r="N131" s="61">
        <f t="shared" ref="N131:N194" si="13">VLOOKUP($A131,DatosEspecies,N$2,FALSE)</f>
        <v>129</v>
      </c>
    </row>
    <row r="132" spans="1:14" ht="16.8" x14ac:dyDescent="0.3">
      <c r="A132" s="70">
        <f>'BASE MAESTRA'!B138</f>
        <v>130</v>
      </c>
      <c r="B132" s="61">
        <f t="shared" si="9"/>
        <v>0</v>
      </c>
      <c r="D132" s="61">
        <f t="shared" si="11"/>
        <v>0</v>
      </c>
      <c r="E132" s="61"/>
      <c r="F132" s="61"/>
      <c r="G132" s="61"/>
      <c r="H132" s="61"/>
      <c r="I132" s="61">
        <f t="shared" si="10"/>
        <v>0</v>
      </c>
      <c r="J132" s="61">
        <f t="shared" si="10"/>
        <v>0</v>
      </c>
      <c r="K132" s="61"/>
      <c r="L132" s="61">
        <f t="shared" si="12"/>
        <v>0</v>
      </c>
      <c r="M132" s="61"/>
      <c r="N132" s="61">
        <f t="shared" si="13"/>
        <v>130</v>
      </c>
    </row>
    <row r="133" spans="1:14" ht="16.8" x14ac:dyDescent="0.3">
      <c r="A133" s="70">
        <f>'BASE MAESTRA'!B139</f>
        <v>131</v>
      </c>
      <c r="B133" s="61">
        <f t="shared" si="9"/>
        <v>0</v>
      </c>
      <c r="D133" s="61">
        <f t="shared" si="11"/>
        <v>0</v>
      </c>
      <c r="E133" s="61"/>
      <c r="F133" s="61"/>
      <c r="G133" s="61"/>
      <c r="H133" s="61"/>
      <c r="I133" s="61">
        <f t="shared" si="10"/>
        <v>0</v>
      </c>
      <c r="J133" s="61">
        <f t="shared" si="10"/>
        <v>0</v>
      </c>
      <c r="K133" s="61"/>
      <c r="L133" s="61">
        <f t="shared" si="12"/>
        <v>0</v>
      </c>
      <c r="M133" s="61"/>
      <c r="N133" s="61">
        <f t="shared" si="13"/>
        <v>131</v>
      </c>
    </row>
    <row r="134" spans="1:14" ht="16.8" x14ac:dyDescent="0.3">
      <c r="A134" s="70">
        <f>'BASE MAESTRA'!B140</f>
        <v>132</v>
      </c>
      <c r="B134" s="61">
        <f t="shared" si="9"/>
        <v>0</v>
      </c>
      <c r="D134" s="61">
        <f t="shared" si="11"/>
        <v>0</v>
      </c>
      <c r="E134" s="61"/>
      <c r="F134" s="61"/>
      <c r="G134" s="61"/>
      <c r="H134" s="61"/>
      <c r="I134" s="61">
        <f t="shared" si="10"/>
        <v>0</v>
      </c>
      <c r="J134" s="61">
        <f t="shared" si="10"/>
        <v>0</v>
      </c>
      <c r="K134" s="61"/>
      <c r="L134" s="61">
        <f t="shared" si="12"/>
        <v>0</v>
      </c>
      <c r="M134" s="61"/>
      <c r="N134" s="61">
        <f t="shared" si="13"/>
        <v>132</v>
      </c>
    </row>
    <row r="135" spans="1:14" ht="16.8" x14ac:dyDescent="0.3">
      <c r="A135" s="70">
        <f>'BASE MAESTRA'!B141</f>
        <v>133</v>
      </c>
      <c r="B135" s="61">
        <f t="shared" si="9"/>
        <v>0</v>
      </c>
      <c r="D135" s="61">
        <f t="shared" si="11"/>
        <v>0</v>
      </c>
      <c r="E135" s="61"/>
      <c r="F135" s="61"/>
      <c r="G135" s="61"/>
      <c r="H135" s="61"/>
      <c r="I135" s="61">
        <f t="shared" si="10"/>
        <v>0</v>
      </c>
      <c r="J135" s="61">
        <f t="shared" si="10"/>
        <v>0</v>
      </c>
      <c r="K135" s="61"/>
      <c r="L135" s="61">
        <f t="shared" si="12"/>
        <v>0</v>
      </c>
      <c r="M135" s="61"/>
      <c r="N135" s="61">
        <f t="shared" si="13"/>
        <v>133</v>
      </c>
    </row>
    <row r="136" spans="1:14" ht="16.8" x14ac:dyDescent="0.3">
      <c r="A136" s="70">
        <f>'BASE MAESTRA'!B142</f>
        <v>134</v>
      </c>
      <c r="B136" s="61">
        <f t="shared" si="9"/>
        <v>0</v>
      </c>
      <c r="D136" s="61">
        <f t="shared" si="11"/>
        <v>0</v>
      </c>
      <c r="E136" s="61"/>
      <c r="F136" s="61"/>
      <c r="G136" s="61"/>
      <c r="H136" s="61"/>
      <c r="I136" s="61">
        <f t="shared" si="10"/>
        <v>0</v>
      </c>
      <c r="J136" s="61">
        <f t="shared" si="10"/>
        <v>0</v>
      </c>
      <c r="K136" s="61"/>
      <c r="L136" s="61">
        <f t="shared" si="12"/>
        <v>0</v>
      </c>
      <c r="M136" s="61"/>
      <c r="N136" s="61">
        <f t="shared" si="13"/>
        <v>134</v>
      </c>
    </row>
    <row r="137" spans="1:14" ht="16.8" x14ac:dyDescent="0.3">
      <c r="A137" s="70">
        <f>'BASE MAESTRA'!B143</f>
        <v>135</v>
      </c>
      <c r="B137" s="61">
        <f t="shared" si="9"/>
        <v>0</v>
      </c>
      <c r="D137" s="61">
        <f t="shared" si="11"/>
        <v>0</v>
      </c>
      <c r="E137" s="61"/>
      <c r="F137" s="61"/>
      <c r="G137" s="61"/>
      <c r="H137" s="61"/>
      <c r="I137" s="61">
        <f t="shared" si="10"/>
        <v>0</v>
      </c>
      <c r="J137" s="61">
        <f t="shared" si="10"/>
        <v>0</v>
      </c>
      <c r="K137" s="61"/>
      <c r="L137" s="61">
        <f t="shared" si="12"/>
        <v>0</v>
      </c>
      <c r="M137" s="61"/>
      <c r="N137" s="61">
        <f t="shared" si="13"/>
        <v>135</v>
      </c>
    </row>
    <row r="138" spans="1:14" ht="16.8" x14ac:dyDescent="0.3">
      <c r="A138" s="70">
        <f>'BASE MAESTRA'!B144</f>
        <v>136</v>
      </c>
      <c r="B138" s="61">
        <f t="shared" si="9"/>
        <v>0</v>
      </c>
      <c r="D138" s="61">
        <f t="shared" si="11"/>
        <v>0</v>
      </c>
      <c r="E138" s="61"/>
      <c r="F138" s="61"/>
      <c r="G138" s="61"/>
      <c r="H138" s="61"/>
      <c r="I138" s="61">
        <f t="shared" si="10"/>
        <v>0</v>
      </c>
      <c r="J138" s="61">
        <f t="shared" si="10"/>
        <v>0</v>
      </c>
      <c r="K138" s="61"/>
      <c r="L138" s="61">
        <f t="shared" si="12"/>
        <v>0</v>
      </c>
      <c r="M138" s="61"/>
      <c r="N138" s="61">
        <f t="shared" si="13"/>
        <v>136</v>
      </c>
    </row>
    <row r="139" spans="1:14" ht="16.8" x14ac:dyDescent="0.3">
      <c r="A139" s="70">
        <f>'BASE MAESTRA'!B145</f>
        <v>137</v>
      </c>
      <c r="B139" s="61">
        <f t="shared" si="9"/>
        <v>0</v>
      </c>
      <c r="D139" s="61">
        <f t="shared" si="11"/>
        <v>0</v>
      </c>
      <c r="E139" s="61"/>
      <c r="F139" s="61"/>
      <c r="G139" s="61"/>
      <c r="H139" s="61"/>
      <c r="I139" s="61">
        <f t="shared" si="10"/>
        <v>0</v>
      </c>
      <c r="J139" s="61">
        <f t="shared" si="10"/>
        <v>0</v>
      </c>
      <c r="K139" s="61"/>
      <c r="L139" s="61">
        <f t="shared" si="12"/>
        <v>0</v>
      </c>
      <c r="M139" s="61"/>
      <c r="N139" s="61">
        <f t="shared" si="13"/>
        <v>137</v>
      </c>
    </row>
    <row r="140" spans="1:14" ht="16.8" x14ac:dyDescent="0.3">
      <c r="A140" s="70">
        <f>'BASE MAESTRA'!B146</f>
        <v>138</v>
      </c>
      <c r="B140" s="61">
        <f t="shared" si="9"/>
        <v>0</v>
      </c>
      <c r="D140" s="61">
        <f t="shared" si="11"/>
        <v>0</v>
      </c>
      <c r="E140" s="61"/>
      <c r="F140" s="61"/>
      <c r="G140" s="61"/>
      <c r="H140" s="61"/>
      <c r="I140" s="61">
        <f t="shared" si="10"/>
        <v>0</v>
      </c>
      <c r="J140" s="61">
        <f t="shared" si="10"/>
        <v>0</v>
      </c>
      <c r="K140" s="61"/>
      <c r="L140" s="61">
        <f t="shared" si="12"/>
        <v>0</v>
      </c>
      <c r="M140" s="61"/>
      <c r="N140" s="61">
        <f t="shared" si="13"/>
        <v>138</v>
      </c>
    </row>
    <row r="141" spans="1:14" ht="16.8" x14ac:dyDescent="0.3">
      <c r="A141" s="70">
        <f>'BASE MAESTRA'!B147</f>
        <v>139</v>
      </c>
      <c r="B141" s="61">
        <f t="shared" si="9"/>
        <v>0</v>
      </c>
      <c r="D141" s="61">
        <f t="shared" si="11"/>
        <v>0</v>
      </c>
      <c r="E141" s="61"/>
      <c r="F141" s="61"/>
      <c r="G141" s="61"/>
      <c r="H141" s="61"/>
      <c r="I141" s="61">
        <f t="shared" si="10"/>
        <v>0</v>
      </c>
      <c r="J141" s="61">
        <f t="shared" si="10"/>
        <v>0</v>
      </c>
      <c r="K141" s="61"/>
      <c r="L141" s="61">
        <f t="shared" si="12"/>
        <v>0</v>
      </c>
      <c r="M141" s="61"/>
      <c r="N141" s="61">
        <f t="shared" si="13"/>
        <v>139</v>
      </c>
    </row>
    <row r="142" spans="1:14" ht="16.8" x14ac:dyDescent="0.3">
      <c r="A142" s="70">
        <f>'BASE MAESTRA'!B148</f>
        <v>140</v>
      </c>
      <c r="B142" s="61">
        <f t="shared" si="9"/>
        <v>0</v>
      </c>
      <c r="D142" s="61">
        <f t="shared" si="11"/>
        <v>0</v>
      </c>
      <c r="E142" s="61"/>
      <c r="F142" s="61"/>
      <c r="G142" s="61"/>
      <c r="H142" s="61"/>
      <c r="I142" s="61">
        <f t="shared" si="10"/>
        <v>0</v>
      </c>
      <c r="J142" s="61">
        <f t="shared" si="10"/>
        <v>0</v>
      </c>
      <c r="K142" s="61"/>
      <c r="L142" s="61">
        <f t="shared" si="12"/>
        <v>0</v>
      </c>
      <c r="M142" s="61"/>
      <c r="N142" s="61">
        <f t="shared" si="13"/>
        <v>140</v>
      </c>
    </row>
    <row r="143" spans="1:14" ht="16.8" x14ac:dyDescent="0.3">
      <c r="A143" s="70">
        <f>'BASE MAESTRA'!B149</f>
        <v>141</v>
      </c>
      <c r="B143" s="61">
        <f t="shared" si="9"/>
        <v>0</v>
      </c>
      <c r="D143" s="61">
        <f t="shared" si="11"/>
        <v>0</v>
      </c>
      <c r="E143" s="61"/>
      <c r="F143" s="61"/>
      <c r="G143" s="61"/>
      <c r="H143" s="61"/>
      <c r="I143" s="61">
        <f t="shared" si="10"/>
        <v>0</v>
      </c>
      <c r="J143" s="61">
        <f t="shared" si="10"/>
        <v>0</v>
      </c>
      <c r="K143" s="61"/>
      <c r="L143" s="61">
        <f t="shared" si="12"/>
        <v>0</v>
      </c>
      <c r="M143" s="61"/>
      <c r="N143" s="61">
        <f t="shared" si="13"/>
        <v>141</v>
      </c>
    </row>
    <row r="144" spans="1:14" ht="16.8" x14ac:dyDescent="0.3">
      <c r="A144" s="70">
        <f>'BASE MAESTRA'!B150</f>
        <v>142</v>
      </c>
      <c r="B144" s="61">
        <f t="shared" si="9"/>
        <v>0</v>
      </c>
      <c r="D144" s="61">
        <f t="shared" si="11"/>
        <v>0</v>
      </c>
      <c r="E144" s="61"/>
      <c r="F144" s="61"/>
      <c r="G144" s="61"/>
      <c r="H144" s="61"/>
      <c r="I144" s="61">
        <f t="shared" si="10"/>
        <v>0</v>
      </c>
      <c r="J144" s="61">
        <f t="shared" si="10"/>
        <v>0</v>
      </c>
      <c r="K144" s="61"/>
      <c r="L144" s="61">
        <f t="shared" si="12"/>
        <v>0</v>
      </c>
      <c r="M144" s="61"/>
      <c r="N144" s="61">
        <f t="shared" si="13"/>
        <v>142</v>
      </c>
    </row>
    <row r="145" spans="1:14" ht="16.8" x14ac:dyDescent="0.3">
      <c r="A145" s="70">
        <f>'BASE MAESTRA'!B151</f>
        <v>143</v>
      </c>
      <c r="B145" s="61">
        <f t="shared" si="9"/>
        <v>0</v>
      </c>
      <c r="D145" s="61">
        <f t="shared" si="11"/>
        <v>0</v>
      </c>
      <c r="E145" s="61"/>
      <c r="F145" s="61"/>
      <c r="G145" s="61"/>
      <c r="H145" s="61"/>
      <c r="I145" s="61">
        <f t="shared" si="10"/>
        <v>0</v>
      </c>
      <c r="J145" s="61">
        <f t="shared" si="10"/>
        <v>0</v>
      </c>
      <c r="K145" s="61"/>
      <c r="L145" s="61">
        <f t="shared" si="12"/>
        <v>0</v>
      </c>
      <c r="M145" s="61"/>
      <c r="N145" s="61">
        <f t="shared" si="13"/>
        <v>143</v>
      </c>
    </row>
    <row r="146" spans="1:14" ht="16.8" x14ac:dyDescent="0.3">
      <c r="A146" s="70">
        <f>'BASE MAESTRA'!B152</f>
        <v>144</v>
      </c>
      <c r="B146" s="61">
        <f t="shared" si="9"/>
        <v>0</v>
      </c>
      <c r="D146" s="61">
        <f t="shared" si="11"/>
        <v>0</v>
      </c>
      <c r="E146" s="61"/>
      <c r="F146" s="61"/>
      <c r="G146" s="61"/>
      <c r="H146" s="61"/>
      <c r="I146" s="61">
        <f t="shared" si="10"/>
        <v>0</v>
      </c>
      <c r="J146" s="61">
        <f t="shared" si="10"/>
        <v>0</v>
      </c>
      <c r="K146" s="61"/>
      <c r="L146" s="61">
        <f t="shared" si="12"/>
        <v>0</v>
      </c>
      <c r="M146" s="61"/>
      <c r="N146" s="61">
        <f t="shared" si="13"/>
        <v>144</v>
      </c>
    </row>
    <row r="147" spans="1:14" ht="16.8" x14ac:dyDescent="0.3">
      <c r="A147" s="70">
        <f>'BASE MAESTRA'!B153</f>
        <v>145</v>
      </c>
      <c r="B147" s="61">
        <f t="shared" ref="B147:B202" si="14">VLOOKUP($A147,DatosEspecies,B$2,FALSE)</f>
        <v>0</v>
      </c>
      <c r="D147" s="61">
        <f t="shared" si="11"/>
        <v>0</v>
      </c>
      <c r="E147" s="61"/>
      <c r="F147" s="61"/>
      <c r="G147" s="61"/>
      <c r="H147" s="61"/>
      <c r="I147" s="61">
        <f t="shared" ref="I147:J202" si="15">VLOOKUP($A147,DatosEspecies,I$2,FALSE)</f>
        <v>0</v>
      </c>
      <c r="J147" s="61">
        <f t="shared" si="15"/>
        <v>0</v>
      </c>
      <c r="K147" s="61"/>
      <c r="L147" s="61">
        <f t="shared" si="12"/>
        <v>0</v>
      </c>
      <c r="M147" s="61"/>
      <c r="N147" s="61">
        <f t="shared" si="13"/>
        <v>145</v>
      </c>
    </row>
    <row r="148" spans="1:14" ht="16.8" x14ac:dyDescent="0.3">
      <c r="A148" s="70">
        <f>'BASE MAESTRA'!B154</f>
        <v>146</v>
      </c>
      <c r="B148" s="61">
        <f t="shared" si="14"/>
        <v>0</v>
      </c>
      <c r="D148" s="61">
        <f t="shared" si="11"/>
        <v>0</v>
      </c>
      <c r="E148" s="61"/>
      <c r="F148" s="61"/>
      <c r="G148" s="61"/>
      <c r="H148" s="61"/>
      <c r="I148" s="61">
        <f t="shared" si="15"/>
        <v>0</v>
      </c>
      <c r="J148" s="61">
        <f t="shared" si="15"/>
        <v>0</v>
      </c>
      <c r="K148" s="61"/>
      <c r="L148" s="61">
        <f t="shared" si="12"/>
        <v>0</v>
      </c>
      <c r="M148" s="61"/>
      <c r="N148" s="61">
        <f t="shared" si="13"/>
        <v>146</v>
      </c>
    </row>
    <row r="149" spans="1:14" ht="16.8" x14ac:dyDescent="0.3">
      <c r="A149" s="70">
        <f>'BASE MAESTRA'!B155</f>
        <v>147</v>
      </c>
      <c r="B149" s="61">
        <f t="shared" si="14"/>
        <v>0</v>
      </c>
      <c r="D149" s="61">
        <f t="shared" si="11"/>
        <v>0</v>
      </c>
      <c r="E149" s="61"/>
      <c r="F149" s="61"/>
      <c r="G149" s="61"/>
      <c r="H149" s="61"/>
      <c r="I149" s="61">
        <f t="shared" si="15"/>
        <v>0</v>
      </c>
      <c r="J149" s="61">
        <f t="shared" si="15"/>
        <v>0</v>
      </c>
      <c r="K149" s="61"/>
      <c r="L149" s="61">
        <f t="shared" si="12"/>
        <v>0</v>
      </c>
      <c r="M149" s="61"/>
      <c r="N149" s="61">
        <f t="shared" si="13"/>
        <v>147</v>
      </c>
    </row>
    <row r="150" spans="1:14" ht="16.8" x14ac:dyDescent="0.3">
      <c r="A150" s="70">
        <f>'BASE MAESTRA'!B156</f>
        <v>148</v>
      </c>
      <c r="B150" s="61">
        <f t="shared" si="14"/>
        <v>0</v>
      </c>
      <c r="D150" s="61">
        <f t="shared" si="11"/>
        <v>0</v>
      </c>
      <c r="E150" s="61"/>
      <c r="F150" s="61"/>
      <c r="G150" s="61"/>
      <c r="H150" s="61"/>
      <c r="I150" s="61">
        <f t="shared" si="15"/>
        <v>0</v>
      </c>
      <c r="J150" s="61">
        <f t="shared" si="15"/>
        <v>0</v>
      </c>
      <c r="K150" s="61"/>
      <c r="L150" s="61">
        <f t="shared" si="12"/>
        <v>0</v>
      </c>
      <c r="M150" s="61"/>
      <c r="N150" s="61">
        <f t="shared" si="13"/>
        <v>148</v>
      </c>
    </row>
    <row r="151" spans="1:14" ht="16.8" x14ac:dyDescent="0.3">
      <c r="A151" s="70">
        <f>'BASE MAESTRA'!B157</f>
        <v>149</v>
      </c>
      <c r="B151" s="61">
        <f t="shared" si="14"/>
        <v>0</v>
      </c>
      <c r="D151" s="61">
        <f t="shared" si="11"/>
        <v>0</v>
      </c>
      <c r="E151" s="61"/>
      <c r="F151" s="61"/>
      <c r="G151" s="61"/>
      <c r="H151" s="61"/>
      <c r="I151" s="61">
        <f t="shared" si="15"/>
        <v>0</v>
      </c>
      <c r="J151" s="61">
        <f t="shared" si="15"/>
        <v>0</v>
      </c>
      <c r="K151" s="61"/>
      <c r="L151" s="61">
        <f t="shared" si="12"/>
        <v>0</v>
      </c>
      <c r="M151" s="61"/>
      <c r="N151" s="61">
        <f t="shared" si="13"/>
        <v>149</v>
      </c>
    </row>
    <row r="152" spans="1:14" ht="16.8" x14ac:dyDescent="0.3">
      <c r="A152" s="70">
        <f>'BASE MAESTRA'!B158</f>
        <v>150</v>
      </c>
      <c r="B152" s="61">
        <f t="shared" si="14"/>
        <v>0</v>
      </c>
      <c r="D152" s="61">
        <f t="shared" si="11"/>
        <v>0</v>
      </c>
      <c r="E152" s="61"/>
      <c r="F152" s="61"/>
      <c r="G152" s="61"/>
      <c r="H152" s="61"/>
      <c r="I152" s="61">
        <f t="shared" si="15"/>
        <v>0</v>
      </c>
      <c r="J152" s="61">
        <f t="shared" si="15"/>
        <v>0</v>
      </c>
      <c r="K152" s="61"/>
      <c r="L152" s="61">
        <f t="shared" si="12"/>
        <v>0</v>
      </c>
      <c r="M152" s="61"/>
      <c r="N152" s="61">
        <f t="shared" si="13"/>
        <v>150</v>
      </c>
    </row>
    <row r="153" spans="1:14" ht="16.8" x14ac:dyDescent="0.3">
      <c r="A153" s="70">
        <f>'BASE MAESTRA'!B159</f>
        <v>151</v>
      </c>
      <c r="B153" s="61">
        <f t="shared" si="14"/>
        <v>0</v>
      </c>
      <c r="D153" s="61">
        <f t="shared" si="11"/>
        <v>0</v>
      </c>
      <c r="E153" s="61"/>
      <c r="F153" s="61"/>
      <c r="G153" s="61"/>
      <c r="H153" s="61"/>
      <c r="I153" s="61">
        <f t="shared" si="15"/>
        <v>0</v>
      </c>
      <c r="J153" s="61">
        <f t="shared" si="15"/>
        <v>0</v>
      </c>
      <c r="K153" s="61"/>
      <c r="L153" s="61">
        <f t="shared" si="12"/>
        <v>0</v>
      </c>
      <c r="M153" s="61"/>
      <c r="N153" s="61">
        <f t="shared" si="13"/>
        <v>151</v>
      </c>
    </row>
    <row r="154" spans="1:14" ht="16.8" x14ac:dyDescent="0.3">
      <c r="A154" s="70">
        <f>'BASE MAESTRA'!B160</f>
        <v>152</v>
      </c>
      <c r="B154" s="61">
        <f t="shared" si="14"/>
        <v>0</v>
      </c>
      <c r="D154" s="61">
        <f t="shared" si="11"/>
        <v>0</v>
      </c>
      <c r="E154" s="61"/>
      <c r="F154" s="61"/>
      <c r="G154" s="61"/>
      <c r="H154" s="61"/>
      <c r="I154" s="61">
        <f t="shared" si="15"/>
        <v>0</v>
      </c>
      <c r="J154" s="61">
        <f t="shared" si="15"/>
        <v>0</v>
      </c>
      <c r="K154" s="61"/>
      <c r="L154" s="61">
        <f t="shared" si="12"/>
        <v>0</v>
      </c>
      <c r="M154" s="61"/>
      <c r="N154" s="61">
        <f t="shared" si="13"/>
        <v>152</v>
      </c>
    </row>
    <row r="155" spans="1:14" ht="16.8" x14ac:dyDescent="0.3">
      <c r="A155" s="70">
        <f>'BASE MAESTRA'!B161</f>
        <v>153</v>
      </c>
      <c r="B155" s="61">
        <f t="shared" si="14"/>
        <v>0</v>
      </c>
      <c r="D155" s="61">
        <f t="shared" si="11"/>
        <v>0</v>
      </c>
      <c r="E155" s="61"/>
      <c r="F155" s="61"/>
      <c r="G155" s="61"/>
      <c r="H155" s="61"/>
      <c r="I155" s="61">
        <f t="shared" si="15"/>
        <v>0</v>
      </c>
      <c r="J155" s="61">
        <f t="shared" si="15"/>
        <v>0</v>
      </c>
      <c r="K155" s="61"/>
      <c r="L155" s="61">
        <f t="shared" si="12"/>
        <v>0</v>
      </c>
      <c r="M155" s="61"/>
      <c r="N155" s="61">
        <f t="shared" si="13"/>
        <v>153</v>
      </c>
    </row>
    <row r="156" spans="1:14" ht="16.8" x14ac:dyDescent="0.3">
      <c r="A156" s="70">
        <f>'BASE MAESTRA'!B162</f>
        <v>154</v>
      </c>
      <c r="B156" s="61">
        <f t="shared" si="14"/>
        <v>0</v>
      </c>
      <c r="D156" s="61">
        <f t="shared" si="11"/>
        <v>0</v>
      </c>
      <c r="E156" s="61"/>
      <c r="F156" s="61"/>
      <c r="G156" s="61"/>
      <c r="H156" s="61"/>
      <c r="I156" s="61">
        <f t="shared" si="15"/>
        <v>0</v>
      </c>
      <c r="J156" s="61">
        <f t="shared" si="15"/>
        <v>0</v>
      </c>
      <c r="K156" s="61"/>
      <c r="L156" s="61">
        <f t="shared" si="12"/>
        <v>0</v>
      </c>
      <c r="M156" s="61"/>
      <c r="N156" s="61">
        <f t="shared" si="13"/>
        <v>154</v>
      </c>
    </row>
    <row r="157" spans="1:14" ht="16.8" x14ac:dyDescent="0.3">
      <c r="A157" s="70">
        <f>'BASE MAESTRA'!B163</f>
        <v>155</v>
      </c>
      <c r="B157" s="61">
        <f t="shared" si="14"/>
        <v>0</v>
      </c>
      <c r="D157" s="61">
        <f t="shared" si="11"/>
        <v>0</v>
      </c>
      <c r="E157" s="61"/>
      <c r="F157" s="61"/>
      <c r="G157" s="61"/>
      <c r="H157" s="61"/>
      <c r="I157" s="61">
        <f t="shared" si="15"/>
        <v>0</v>
      </c>
      <c r="J157" s="61">
        <f t="shared" si="15"/>
        <v>0</v>
      </c>
      <c r="K157" s="61"/>
      <c r="L157" s="61">
        <f t="shared" si="12"/>
        <v>0</v>
      </c>
      <c r="M157" s="61"/>
      <c r="N157" s="61">
        <f t="shared" si="13"/>
        <v>155</v>
      </c>
    </row>
    <row r="158" spans="1:14" ht="16.8" x14ac:dyDescent="0.3">
      <c r="A158" s="70">
        <f>'BASE MAESTRA'!B164</f>
        <v>156</v>
      </c>
      <c r="B158" s="61">
        <f t="shared" si="14"/>
        <v>0</v>
      </c>
      <c r="D158" s="61">
        <f t="shared" si="11"/>
        <v>0</v>
      </c>
      <c r="E158" s="61"/>
      <c r="F158" s="61"/>
      <c r="G158" s="61"/>
      <c r="H158" s="61"/>
      <c r="I158" s="61">
        <f t="shared" si="15"/>
        <v>0</v>
      </c>
      <c r="J158" s="61">
        <f t="shared" si="15"/>
        <v>0</v>
      </c>
      <c r="K158" s="61"/>
      <c r="L158" s="61">
        <f t="shared" si="12"/>
        <v>0</v>
      </c>
      <c r="M158" s="61"/>
      <c r="N158" s="61">
        <f t="shared" si="13"/>
        <v>156</v>
      </c>
    </row>
    <row r="159" spans="1:14" ht="16.8" x14ac:dyDescent="0.3">
      <c r="A159" s="70">
        <f>'BASE MAESTRA'!B165</f>
        <v>157</v>
      </c>
      <c r="B159" s="61">
        <f t="shared" si="14"/>
        <v>0</v>
      </c>
      <c r="D159" s="61">
        <f t="shared" si="11"/>
        <v>0</v>
      </c>
      <c r="E159" s="61"/>
      <c r="F159" s="61"/>
      <c r="G159" s="61"/>
      <c r="H159" s="61"/>
      <c r="I159" s="61">
        <f t="shared" si="15"/>
        <v>0</v>
      </c>
      <c r="J159" s="61">
        <f t="shared" si="15"/>
        <v>0</v>
      </c>
      <c r="K159" s="61"/>
      <c r="L159" s="61">
        <f t="shared" si="12"/>
        <v>0</v>
      </c>
      <c r="M159" s="61"/>
      <c r="N159" s="61">
        <f t="shared" si="13"/>
        <v>157</v>
      </c>
    </row>
    <row r="160" spans="1:14" ht="16.8" x14ac:dyDescent="0.3">
      <c r="A160" s="70">
        <f>'BASE MAESTRA'!B166</f>
        <v>158</v>
      </c>
      <c r="B160" s="61">
        <f t="shared" si="14"/>
        <v>0</v>
      </c>
      <c r="D160" s="61">
        <f t="shared" si="11"/>
        <v>0</v>
      </c>
      <c r="E160" s="61"/>
      <c r="F160" s="61"/>
      <c r="G160" s="61"/>
      <c r="H160" s="61"/>
      <c r="I160" s="61">
        <f t="shared" si="15"/>
        <v>0</v>
      </c>
      <c r="J160" s="61">
        <f t="shared" si="15"/>
        <v>0</v>
      </c>
      <c r="K160" s="61"/>
      <c r="L160" s="61">
        <f t="shared" si="12"/>
        <v>0</v>
      </c>
      <c r="M160" s="61"/>
      <c r="N160" s="61">
        <f t="shared" si="13"/>
        <v>158</v>
      </c>
    </row>
    <row r="161" spans="1:14" ht="16.8" x14ac:dyDescent="0.3">
      <c r="A161" s="70">
        <f>'BASE MAESTRA'!B167</f>
        <v>159</v>
      </c>
      <c r="B161" s="61">
        <f t="shared" si="14"/>
        <v>0</v>
      </c>
      <c r="D161" s="61">
        <f t="shared" si="11"/>
        <v>0</v>
      </c>
      <c r="E161" s="61"/>
      <c r="F161" s="61"/>
      <c r="G161" s="61"/>
      <c r="H161" s="61"/>
      <c r="I161" s="61">
        <f t="shared" si="15"/>
        <v>0</v>
      </c>
      <c r="J161" s="61">
        <f t="shared" si="15"/>
        <v>0</v>
      </c>
      <c r="K161" s="61"/>
      <c r="L161" s="61">
        <f t="shared" si="12"/>
        <v>0</v>
      </c>
      <c r="M161" s="61"/>
      <c r="N161" s="61">
        <f t="shared" si="13"/>
        <v>159</v>
      </c>
    </row>
    <row r="162" spans="1:14" ht="16.8" x14ac:dyDescent="0.3">
      <c r="A162" s="70">
        <f>'BASE MAESTRA'!B168</f>
        <v>160</v>
      </c>
      <c r="B162" s="61">
        <f t="shared" si="14"/>
        <v>0</v>
      </c>
      <c r="D162" s="61">
        <f t="shared" si="11"/>
        <v>0</v>
      </c>
      <c r="E162" s="61"/>
      <c r="F162" s="61"/>
      <c r="G162" s="61"/>
      <c r="H162" s="61"/>
      <c r="I162" s="61">
        <f t="shared" si="15"/>
        <v>0</v>
      </c>
      <c r="J162" s="61">
        <f t="shared" si="15"/>
        <v>0</v>
      </c>
      <c r="K162" s="61"/>
      <c r="L162" s="61">
        <f t="shared" si="12"/>
        <v>0</v>
      </c>
      <c r="M162" s="61"/>
      <c r="N162" s="61">
        <f t="shared" si="13"/>
        <v>160</v>
      </c>
    </row>
    <row r="163" spans="1:14" ht="16.8" x14ac:dyDescent="0.3">
      <c r="A163" s="70">
        <f>'BASE MAESTRA'!B169</f>
        <v>161</v>
      </c>
      <c r="B163" s="61">
        <f t="shared" si="14"/>
        <v>0</v>
      </c>
      <c r="D163" s="61">
        <f t="shared" si="11"/>
        <v>0</v>
      </c>
      <c r="E163" s="61"/>
      <c r="F163" s="61"/>
      <c r="G163" s="61"/>
      <c r="H163" s="61"/>
      <c r="I163" s="61">
        <f t="shared" si="15"/>
        <v>0</v>
      </c>
      <c r="J163" s="61">
        <f t="shared" si="15"/>
        <v>0</v>
      </c>
      <c r="K163" s="61"/>
      <c r="L163" s="61">
        <f t="shared" si="12"/>
        <v>0</v>
      </c>
      <c r="M163" s="61"/>
      <c r="N163" s="61">
        <f t="shared" si="13"/>
        <v>161</v>
      </c>
    </row>
    <row r="164" spans="1:14" ht="16.8" x14ac:dyDescent="0.3">
      <c r="A164" s="70">
        <f>'BASE MAESTRA'!B170</f>
        <v>162</v>
      </c>
      <c r="B164" s="61">
        <f t="shared" si="14"/>
        <v>0</v>
      </c>
      <c r="D164" s="61">
        <f t="shared" si="11"/>
        <v>0</v>
      </c>
      <c r="E164" s="61"/>
      <c r="F164" s="61"/>
      <c r="G164" s="61"/>
      <c r="H164" s="61"/>
      <c r="I164" s="61">
        <f t="shared" si="15"/>
        <v>0</v>
      </c>
      <c r="J164" s="61">
        <f t="shared" si="15"/>
        <v>0</v>
      </c>
      <c r="K164" s="61"/>
      <c r="L164" s="61">
        <f t="shared" si="12"/>
        <v>0</v>
      </c>
      <c r="M164" s="61"/>
      <c r="N164" s="61">
        <f t="shared" si="13"/>
        <v>162</v>
      </c>
    </row>
    <row r="165" spans="1:14" ht="16.8" x14ac:dyDescent="0.3">
      <c r="A165" s="70">
        <f>'BASE MAESTRA'!B171</f>
        <v>163</v>
      </c>
      <c r="B165" s="61">
        <f t="shared" si="14"/>
        <v>0</v>
      </c>
      <c r="D165" s="61">
        <f t="shared" si="11"/>
        <v>0</v>
      </c>
      <c r="E165" s="61"/>
      <c r="F165" s="61"/>
      <c r="G165" s="61"/>
      <c r="H165" s="61"/>
      <c r="I165" s="61">
        <f t="shared" si="15"/>
        <v>0</v>
      </c>
      <c r="J165" s="61">
        <f t="shared" si="15"/>
        <v>0</v>
      </c>
      <c r="K165" s="61"/>
      <c r="L165" s="61">
        <f t="shared" si="12"/>
        <v>0</v>
      </c>
      <c r="M165" s="61"/>
      <c r="N165" s="61">
        <f t="shared" si="13"/>
        <v>163</v>
      </c>
    </row>
    <row r="166" spans="1:14" ht="16.8" x14ac:dyDescent="0.3">
      <c r="A166" s="70">
        <f>'BASE MAESTRA'!B172</f>
        <v>164</v>
      </c>
      <c r="B166" s="61">
        <f t="shared" si="14"/>
        <v>0</v>
      </c>
      <c r="D166" s="61">
        <f t="shared" si="11"/>
        <v>0</v>
      </c>
      <c r="E166" s="61"/>
      <c r="F166" s="61"/>
      <c r="G166" s="61"/>
      <c r="H166" s="61"/>
      <c r="I166" s="61">
        <f t="shared" si="15"/>
        <v>0</v>
      </c>
      <c r="J166" s="61">
        <f t="shared" si="15"/>
        <v>0</v>
      </c>
      <c r="K166" s="61"/>
      <c r="L166" s="61">
        <f t="shared" si="12"/>
        <v>0</v>
      </c>
      <c r="M166" s="61"/>
      <c r="N166" s="61">
        <f t="shared" si="13"/>
        <v>164</v>
      </c>
    </row>
    <row r="167" spans="1:14" ht="16.8" x14ac:dyDescent="0.3">
      <c r="A167" s="70">
        <f>'BASE MAESTRA'!B173</f>
        <v>165</v>
      </c>
      <c r="B167" s="61">
        <f t="shared" si="14"/>
        <v>0</v>
      </c>
      <c r="D167" s="61">
        <f t="shared" si="11"/>
        <v>0</v>
      </c>
      <c r="E167" s="61"/>
      <c r="F167" s="61"/>
      <c r="G167" s="61"/>
      <c r="H167" s="61"/>
      <c r="I167" s="61">
        <f t="shared" si="15"/>
        <v>0</v>
      </c>
      <c r="J167" s="61">
        <f t="shared" si="15"/>
        <v>0</v>
      </c>
      <c r="K167" s="61"/>
      <c r="L167" s="61">
        <f t="shared" si="12"/>
        <v>0</v>
      </c>
      <c r="M167" s="61"/>
      <c r="N167" s="61">
        <f t="shared" si="13"/>
        <v>165</v>
      </c>
    </row>
    <row r="168" spans="1:14" ht="16.8" x14ac:dyDescent="0.3">
      <c r="A168" s="70">
        <f>'BASE MAESTRA'!B174</f>
        <v>166</v>
      </c>
      <c r="B168" s="61">
        <f t="shared" si="14"/>
        <v>0</v>
      </c>
      <c r="D168" s="61">
        <f t="shared" si="11"/>
        <v>0</v>
      </c>
      <c r="E168" s="61"/>
      <c r="F168" s="61"/>
      <c r="G168" s="61"/>
      <c r="H168" s="61"/>
      <c r="I168" s="61">
        <f t="shared" si="15"/>
        <v>0</v>
      </c>
      <c r="J168" s="61">
        <f t="shared" si="15"/>
        <v>0</v>
      </c>
      <c r="K168" s="61"/>
      <c r="L168" s="61">
        <f t="shared" si="12"/>
        <v>0</v>
      </c>
      <c r="M168" s="61"/>
      <c r="N168" s="61">
        <f t="shared" si="13"/>
        <v>166</v>
      </c>
    </row>
    <row r="169" spans="1:14" ht="16.8" x14ac:dyDescent="0.3">
      <c r="A169" s="70">
        <f>'BASE MAESTRA'!B175</f>
        <v>167</v>
      </c>
      <c r="B169" s="61">
        <f t="shared" si="14"/>
        <v>0</v>
      </c>
      <c r="D169" s="61">
        <f t="shared" si="11"/>
        <v>0</v>
      </c>
      <c r="E169" s="61"/>
      <c r="F169" s="61"/>
      <c r="G169" s="61"/>
      <c r="H169" s="61"/>
      <c r="I169" s="61">
        <f t="shared" si="15"/>
        <v>0</v>
      </c>
      <c r="J169" s="61">
        <f t="shared" si="15"/>
        <v>0</v>
      </c>
      <c r="K169" s="61"/>
      <c r="L169" s="61">
        <f t="shared" si="12"/>
        <v>0</v>
      </c>
      <c r="M169" s="61"/>
      <c r="N169" s="61">
        <f t="shared" si="13"/>
        <v>167</v>
      </c>
    </row>
    <row r="170" spans="1:14" ht="16.8" x14ac:dyDescent="0.3">
      <c r="A170" s="70">
        <f>'BASE MAESTRA'!B176</f>
        <v>168</v>
      </c>
      <c r="B170" s="61">
        <f t="shared" si="14"/>
        <v>0</v>
      </c>
      <c r="D170" s="61">
        <f t="shared" si="11"/>
        <v>0</v>
      </c>
      <c r="E170" s="61"/>
      <c r="F170" s="61"/>
      <c r="G170" s="61"/>
      <c r="H170" s="61"/>
      <c r="I170" s="61">
        <f t="shared" si="15"/>
        <v>0</v>
      </c>
      <c r="J170" s="61">
        <f t="shared" si="15"/>
        <v>0</v>
      </c>
      <c r="K170" s="61"/>
      <c r="L170" s="61">
        <f t="shared" si="12"/>
        <v>0</v>
      </c>
      <c r="M170" s="61"/>
      <c r="N170" s="61">
        <f t="shared" si="13"/>
        <v>168</v>
      </c>
    </row>
    <row r="171" spans="1:14" ht="16.8" x14ac:dyDescent="0.3">
      <c r="A171" s="70">
        <f>'BASE MAESTRA'!B177</f>
        <v>169</v>
      </c>
      <c r="B171" s="61">
        <f t="shared" si="14"/>
        <v>0</v>
      </c>
      <c r="D171" s="61">
        <f t="shared" si="11"/>
        <v>0</v>
      </c>
      <c r="E171" s="61"/>
      <c r="F171" s="61"/>
      <c r="G171" s="61"/>
      <c r="H171" s="61"/>
      <c r="I171" s="61">
        <f t="shared" si="15"/>
        <v>0</v>
      </c>
      <c r="J171" s="61">
        <f t="shared" si="15"/>
        <v>0</v>
      </c>
      <c r="K171" s="61"/>
      <c r="L171" s="61">
        <f t="shared" si="12"/>
        <v>0</v>
      </c>
      <c r="M171" s="61"/>
      <c r="N171" s="61">
        <f t="shared" si="13"/>
        <v>169</v>
      </c>
    </row>
    <row r="172" spans="1:14" ht="16.8" x14ac:dyDescent="0.3">
      <c r="A172" s="70">
        <f>'BASE MAESTRA'!B178</f>
        <v>170</v>
      </c>
      <c r="B172" s="61">
        <f t="shared" si="14"/>
        <v>0</v>
      </c>
      <c r="D172" s="61">
        <f t="shared" si="11"/>
        <v>0</v>
      </c>
      <c r="E172" s="61"/>
      <c r="F172" s="61"/>
      <c r="G172" s="61"/>
      <c r="H172" s="61"/>
      <c r="I172" s="61">
        <f t="shared" si="15"/>
        <v>0</v>
      </c>
      <c r="J172" s="61">
        <f t="shared" si="15"/>
        <v>0</v>
      </c>
      <c r="K172" s="61"/>
      <c r="L172" s="61">
        <f t="shared" si="12"/>
        <v>0</v>
      </c>
      <c r="M172" s="61"/>
      <c r="N172" s="61">
        <f t="shared" si="13"/>
        <v>170</v>
      </c>
    </row>
    <row r="173" spans="1:14" ht="16.8" x14ac:dyDescent="0.3">
      <c r="A173" s="70">
        <f>'BASE MAESTRA'!B179</f>
        <v>171</v>
      </c>
      <c r="B173" s="61">
        <f t="shared" si="14"/>
        <v>0</v>
      </c>
      <c r="D173" s="61">
        <f t="shared" si="11"/>
        <v>0</v>
      </c>
      <c r="E173" s="61"/>
      <c r="F173" s="61"/>
      <c r="G173" s="61"/>
      <c r="H173" s="61"/>
      <c r="I173" s="61">
        <f t="shared" si="15"/>
        <v>0</v>
      </c>
      <c r="J173" s="61">
        <f t="shared" si="15"/>
        <v>0</v>
      </c>
      <c r="K173" s="61"/>
      <c r="L173" s="61">
        <f t="shared" si="12"/>
        <v>0</v>
      </c>
      <c r="M173" s="61"/>
      <c r="N173" s="61">
        <f t="shared" si="13"/>
        <v>171</v>
      </c>
    </row>
    <row r="174" spans="1:14" ht="16.8" x14ac:dyDescent="0.3">
      <c r="A174" s="70">
        <f>'BASE MAESTRA'!B180</f>
        <v>172</v>
      </c>
      <c r="B174" s="61">
        <f t="shared" si="14"/>
        <v>0</v>
      </c>
      <c r="D174" s="61">
        <f t="shared" si="11"/>
        <v>0</v>
      </c>
      <c r="E174" s="61"/>
      <c r="F174" s="61"/>
      <c r="G174" s="61"/>
      <c r="H174" s="61"/>
      <c r="I174" s="61">
        <f t="shared" si="15"/>
        <v>0</v>
      </c>
      <c r="J174" s="61">
        <f t="shared" si="15"/>
        <v>0</v>
      </c>
      <c r="K174" s="61"/>
      <c r="L174" s="61">
        <f t="shared" si="12"/>
        <v>0</v>
      </c>
      <c r="M174" s="61"/>
      <c r="N174" s="61">
        <f t="shared" si="13"/>
        <v>172</v>
      </c>
    </row>
    <row r="175" spans="1:14" ht="16.8" x14ac:dyDescent="0.3">
      <c r="A175" s="70">
        <f>'BASE MAESTRA'!B181</f>
        <v>173</v>
      </c>
      <c r="B175" s="61">
        <f t="shared" si="14"/>
        <v>0</v>
      </c>
      <c r="D175" s="61">
        <f t="shared" si="11"/>
        <v>0</v>
      </c>
      <c r="E175" s="61"/>
      <c r="F175" s="61"/>
      <c r="G175" s="61"/>
      <c r="H175" s="61"/>
      <c r="I175" s="61">
        <f t="shared" si="15"/>
        <v>0</v>
      </c>
      <c r="J175" s="61">
        <f t="shared" si="15"/>
        <v>0</v>
      </c>
      <c r="K175" s="61"/>
      <c r="L175" s="61">
        <f t="shared" si="12"/>
        <v>0</v>
      </c>
      <c r="M175" s="61"/>
      <c r="N175" s="61">
        <f t="shared" si="13"/>
        <v>173</v>
      </c>
    </row>
    <row r="176" spans="1:14" ht="16.8" x14ac:dyDescent="0.3">
      <c r="A176" s="70">
        <f>'BASE MAESTRA'!B182</f>
        <v>174</v>
      </c>
      <c r="B176" s="61">
        <f t="shared" si="14"/>
        <v>0</v>
      </c>
      <c r="D176" s="61">
        <f t="shared" si="11"/>
        <v>0</v>
      </c>
      <c r="E176" s="61"/>
      <c r="F176" s="61"/>
      <c r="G176" s="61"/>
      <c r="H176" s="61"/>
      <c r="I176" s="61">
        <f t="shared" si="15"/>
        <v>0</v>
      </c>
      <c r="J176" s="61">
        <f t="shared" si="15"/>
        <v>0</v>
      </c>
      <c r="K176" s="61"/>
      <c r="L176" s="61">
        <f t="shared" si="12"/>
        <v>0</v>
      </c>
      <c r="M176" s="61"/>
      <c r="N176" s="61">
        <f t="shared" si="13"/>
        <v>174</v>
      </c>
    </row>
    <row r="177" spans="1:14" ht="16.8" x14ac:dyDescent="0.3">
      <c r="A177" s="70">
        <f>'BASE MAESTRA'!B183</f>
        <v>175</v>
      </c>
      <c r="B177" s="61">
        <f t="shared" si="14"/>
        <v>0</v>
      </c>
      <c r="D177" s="61">
        <f t="shared" si="11"/>
        <v>0</v>
      </c>
      <c r="E177" s="61"/>
      <c r="F177" s="61"/>
      <c r="G177" s="61"/>
      <c r="H177" s="61"/>
      <c r="I177" s="61">
        <f t="shared" si="15"/>
        <v>0</v>
      </c>
      <c r="J177" s="61">
        <f t="shared" si="15"/>
        <v>0</v>
      </c>
      <c r="K177" s="61"/>
      <c r="L177" s="61">
        <f t="shared" si="12"/>
        <v>0</v>
      </c>
      <c r="M177" s="61"/>
      <c r="N177" s="61">
        <f t="shared" si="13"/>
        <v>175</v>
      </c>
    </row>
    <row r="178" spans="1:14" ht="16.8" x14ac:dyDescent="0.3">
      <c r="A178" s="70">
        <f>'BASE MAESTRA'!B184</f>
        <v>176</v>
      </c>
      <c r="B178" s="61">
        <f t="shared" si="14"/>
        <v>0</v>
      </c>
      <c r="D178" s="61">
        <f t="shared" si="11"/>
        <v>0</v>
      </c>
      <c r="E178" s="61"/>
      <c r="F178" s="61"/>
      <c r="G178" s="61"/>
      <c r="H178" s="61"/>
      <c r="I178" s="61">
        <f t="shared" si="15"/>
        <v>0</v>
      </c>
      <c r="J178" s="61">
        <f t="shared" si="15"/>
        <v>0</v>
      </c>
      <c r="K178" s="61"/>
      <c r="L178" s="61">
        <f t="shared" si="12"/>
        <v>0</v>
      </c>
      <c r="M178" s="61"/>
      <c r="N178" s="61">
        <f t="shared" si="13"/>
        <v>176</v>
      </c>
    </row>
    <row r="179" spans="1:14" ht="16.8" x14ac:dyDescent="0.3">
      <c r="A179" s="70">
        <f>'BASE MAESTRA'!B185</f>
        <v>177</v>
      </c>
      <c r="B179" s="61">
        <f t="shared" si="14"/>
        <v>0</v>
      </c>
      <c r="D179" s="61">
        <f t="shared" si="11"/>
        <v>0</v>
      </c>
      <c r="E179" s="61"/>
      <c r="F179" s="61"/>
      <c r="G179" s="61"/>
      <c r="H179" s="61"/>
      <c r="I179" s="61">
        <f t="shared" si="15"/>
        <v>0</v>
      </c>
      <c r="J179" s="61">
        <f t="shared" si="15"/>
        <v>0</v>
      </c>
      <c r="K179" s="61"/>
      <c r="L179" s="61">
        <f t="shared" si="12"/>
        <v>0</v>
      </c>
      <c r="M179" s="61"/>
      <c r="N179" s="61">
        <f t="shared" si="13"/>
        <v>177</v>
      </c>
    </row>
    <row r="180" spans="1:14" ht="16.8" x14ac:dyDescent="0.3">
      <c r="A180" s="70">
        <f>'BASE MAESTRA'!B186</f>
        <v>178</v>
      </c>
      <c r="B180" s="61">
        <f t="shared" si="14"/>
        <v>0</v>
      </c>
      <c r="D180" s="61">
        <f t="shared" si="11"/>
        <v>0</v>
      </c>
      <c r="E180" s="61"/>
      <c r="F180" s="61"/>
      <c r="G180" s="61"/>
      <c r="H180" s="61"/>
      <c r="I180" s="61">
        <f t="shared" si="15"/>
        <v>0</v>
      </c>
      <c r="J180" s="61">
        <f t="shared" si="15"/>
        <v>0</v>
      </c>
      <c r="K180" s="61"/>
      <c r="L180" s="61">
        <f t="shared" si="12"/>
        <v>0</v>
      </c>
      <c r="M180" s="61"/>
      <c r="N180" s="61">
        <f t="shared" si="13"/>
        <v>178</v>
      </c>
    </row>
    <row r="181" spans="1:14" ht="16.8" x14ac:dyDescent="0.3">
      <c r="A181" s="70">
        <f>'BASE MAESTRA'!B187</f>
        <v>179</v>
      </c>
      <c r="B181" s="61">
        <f t="shared" si="14"/>
        <v>0</v>
      </c>
      <c r="D181" s="61">
        <f t="shared" si="11"/>
        <v>0</v>
      </c>
      <c r="E181" s="61"/>
      <c r="F181" s="61"/>
      <c r="G181" s="61"/>
      <c r="H181" s="61"/>
      <c r="I181" s="61">
        <f t="shared" si="15"/>
        <v>0</v>
      </c>
      <c r="J181" s="61">
        <f t="shared" si="15"/>
        <v>0</v>
      </c>
      <c r="K181" s="61"/>
      <c r="L181" s="61">
        <f t="shared" si="12"/>
        <v>0</v>
      </c>
      <c r="M181" s="61"/>
      <c r="N181" s="61">
        <f t="shared" si="13"/>
        <v>179</v>
      </c>
    </row>
    <row r="182" spans="1:14" ht="16.8" x14ac:dyDescent="0.3">
      <c r="A182" s="70">
        <f>'BASE MAESTRA'!B188</f>
        <v>180</v>
      </c>
      <c r="B182" s="61">
        <f t="shared" si="14"/>
        <v>0</v>
      </c>
      <c r="D182" s="61">
        <f t="shared" si="11"/>
        <v>0</v>
      </c>
      <c r="E182" s="61"/>
      <c r="F182" s="61"/>
      <c r="G182" s="61"/>
      <c r="H182" s="61"/>
      <c r="I182" s="61">
        <f t="shared" si="15"/>
        <v>0</v>
      </c>
      <c r="J182" s="61">
        <f t="shared" si="15"/>
        <v>0</v>
      </c>
      <c r="K182" s="61"/>
      <c r="L182" s="61">
        <f t="shared" si="12"/>
        <v>0</v>
      </c>
      <c r="M182" s="61"/>
      <c r="N182" s="61">
        <f t="shared" si="13"/>
        <v>180</v>
      </c>
    </row>
    <row r="183" spans="1:14" ht="16.8" x14ac:dyDescent="0.3">
      <c r="A183" s="70">
        <f>'BASE MAESTRA'!B189</f>
        <v>181</v>
      </c>
      <c r="B183" s="61">
        <f t="shared" si="14"/>
        <v>0</v>
      </c>
      <c r="D183" s="61">
        <f t="shared" si="11"/>
        <v>0</v>
      </c>
      <c r="E183" s="61"/>
      <c r="F183" s="61"/>
      <c r="G183" s="61"/>
      <c r="H183" s="61"/>
      <c r="I183" s="61">
        <f t="shared" si="15"/>
        <v>0</v>
      </c>
      <c r="J183" s="61">
        <f t="shared" si="15"/>
        <v>0</v>
      </c>
      <c r="K183" s="61"/>
      <c r="L183" s="61">
        <f t="shared" si="12"/>
        <v>0</v>
      </c>
      <c r="M183" s="61"/>
      <c r="N183" s="61">
        <f t="shared" si="13"/>
        <v>181</v>
      </c>
    </row>
    <row r="184" spans="1:14" ht="16.8" x14ac:dyDescent="0.3">
      <c r="A184" s="70">
        <f>'BASE MAESTRA'!B190</f>
        <v>182</v>
      </c>
      <c r="B184" s="61">
        <f t="shared" si="14"/>
        <v>0</v>
      </c>
      <c r="D184" s="61">
        <f t="shared" si="11"/>
        <v>0</v>
      </c>
      <c r="E184" s="61"/>
      <c r="F184" s="61"/>
      <c r="G184" s="61"/>
      <c r="H184" s="61"/>
      <c r="I184" s="61">
        <f t="shared" si="15"/>
        <v>0</v>
      </c>
      <c r="J184" s="61">
        <f t="shared" si="15"/>
        <v>0</v>
      </c>
      <c r="K184" s="61"/>
      <c r="L184" s="61">
        <f t="shared" si="12"/>
        <v>0</v>
      </c>
      <c r="M184" s="61"/>
      <c r="N184" s="61">
        <f t="shared" si="13"/>
        <v>182</v>
      </c>
    </row>
    <row r="185" spans="1:14" ht="16.8" x14ac:dyDescent="0.3">
      <c r="A185" s="70">
        <f>'BASE MAESTRA'!B191</f>
        <v>183</v>
      </c>
      <c r="B185" s="61">
        <f t="shared" si="14"/>
        <v>0</v>
      </c>
      <c r="D185" s="61">
        <f t="shared" si="11"/>
        <v>0</v>
      </c>
      <c r="E185" s="61"/>
      <c r="F185" s="61"/>
      <c r="G185" s="61"/>
      <c r="H185" s="61"/>
      <c r="I185" s="61">
        <f t="shared" si="15"/>
        <v>0</v>
      </c>
      <c r="J185" s="61">
        <f t="shared" si="15"/>
        <v>0</v>
      </c>
      <c r="K185" s="61"/>
      <c r="L185" s="61">
        <f t="shared" si="12"/>
        <v>0</v>
      </c>
      <c r="M185" s="61"/>
      <c r="N185" s="61">
        <f t="shared" si="13"/>
        <v>183</v>
      </c>
    </row>
    <row r="186" spans="1:14" ht="16.8" x14ac:dyDescent="0.3">
      <c r="A186" s="70">
        <f>'BASE MAESTRA'!B192</f>
        <v>184</v>
      </c>
      <c r="B186" s="61">
        <f t="shared" si="14"/>
        <v>0</v>
      </c>
      <c r="D186" s="61">
        <f t="shared" si="11"/>
        <v>0</v>
      </c>
      <c r="E186" s="61"/>
      <c r="F186" s="61"/>
      <c r="G186" s="61"/>
      <c r="H186" s="61"/>
      <c r="I186" s="61">
        <f t="shared" si="15"/>
        <v>0</v>
      </c>
      <c r="J186" s="61">
        <f t="shared" si="15"/>
        <v>0</v>
      </c>
      <c r="K186" s="61"/>
      <c r="L186" s="61">
        <f t="shared" si="12"/>
        <v>0</v>
      </c>
      <c r="M186" s="61"/>
      <c r="N186" s="61">
        <f t="shared" si="13"/>
        <v>184</v>
      </c>
    </row>
    <row r="187" spans="1:14" ht="16.8" x14ac:dyDescent="0.3">
      <c r="A187" s="70">
        <f>'BASE MAESTRA'!B193</f>
        <v>185</v>
      </c>
      <c r="B187" s="61">
        <f t="shared" si="14"/>
        <v>0</v>
      </c>
      <c r="D187" s="61">
        <f t="shared" si="11"/>
        <v>0</v>
      </c>
      <c r="E187" s="61"/>
      <c r="F187" s="61"/>
      <c r="G187" s="61"/>
      <c r="H187" s="61"/>
      <c r="I187" s="61">
        <f t="shared" si="15"/>
        <v>0</v>
      </c>
      <c r="J187" s="61">
        <f t="shared" si="15"/>
        <v>0</v>
      </c>
      <c r="K187" s="61"/>
      <c r="L187" s="61">
        <f t="shared" si="12"/>
        <v>0</v>
      </c>
      <c r="M187" s="61"/>
      <c r="N187" s="61">
        <f t="shared" si="13"/>
        <v>185</v>
      </c>
    </row>
    <row r="188" spans="1:14" ht="16.8" x14ac:dyDescent="0.3">
      <c r="A188" s="70">
        <f>'BASE MAESTRA'!B194</f>
        <v>186</v>
      </c>
      <c r="B188" s="61">
        <f t="shared" si="14"/>
        <v>0</v>
      </c>
      <c r="D188" s="61">
        <f t="shared" si="11"/>
        <v>0</v>
      </c>
      <c r="E188" s="61"/>
      <c r="F188" s="61"/>
      <c r="G188" s="61"/>
      <c r="H188" s="61"/>
      <c r="I188" s="61">
        <f t="shared" si="15"/>
        <v>0</v>
      </c>
      <c r="J188" s="61">
        <f t="shared" si="15"/>
        <v>0</v>
      </c>
      <c r="K188" s="61"/>
      <c r="L188" s="61">
        <f t="shared" si="12"/>
        <v>0</v>
      </c>
      <c r="M188" s="61"/>
      <c r="N188" s="61">
        <f t="shared" si="13"/>
        <v>186</v>
      </c>
    </row>
    <row r="189" spans="1:14" ht="16.8" x14ac:dyDescent="0.3">
      <c r="A189" s="70">
        <f>'BASE MAESTRA'!B195</f>
        <v>187</v>
      </c>
      <c r="B189" s="61">
        <f t="shared" si="14"/>
        <v>0</v>
      </c>
      <c r="D189" s="61">
        <f t="shared" si="11"/>
        <v>0</v>
      </c>
      <c r="E189" s="61"/>
      <c r="F189" s="61"/>
      <c r="G189" s="61"/>
      <c r="H189" s="61"/>
      <c r="I189" s="61">
        <f t="shared" si="15"/>
        <v>0</v>
      </c>
      <c r="J189" s="61">
        <f t="shared" si="15"/>
        <v>0</v>
      </c>
      <c r="K189" s="61"/>
      <c r="L189" s="61">
        <f t="shared" si="12"/>
        <v>0</v>
      </c>
      <c r="M189" s="61"/>
      <c r="N189" s="61">
        <f t="shared" si="13"/>
        <v>187</v>
      </c>
    </row>
    <row r="190" spans="1:14" ht="16.8" x14ac:dyDescent="0.3">
      <c r="A190" s="70">
        <f>'BASE MAESTRA'!B196</f>
        <v>188</v>
      </c>
      <c r="B190" s="61">
        <f t="shared" si="14"/>
        <v>0</v>
      </c>
      <c r="D190" s="61">
        <f t="shared" si="11"/>
        <v>0</v>
      </c>
      <c r="E190" s="61"/>
      <c r="F190" s="61"/>
      <c r="G190" s="61"/>
      <c r="H190" s="61"/>
      <c r="I190" s="61">
        <f t="shared" si="15"/>
        <v>0</v>
      </c>
      <c r="J190" s="61">
        <f t="shared" si="15"/>
        <v>0</v>
      </c>
      <c r="K190" s="61"/>
      <c r="L190" s="61">
        <f t="shared" si="12"/>
        <v>0</v>
      </c>
      <c r="M190" s="61"/>
      <c r="N190" s="61">
        <f t="shared" si="13"/>
        <v>188</v>
      </c>
    </row>
    <row r="191" spans="1:14" ht="16.8" x14ac:dyDescent="0.3">
      <c r="A191" s="70">
        <f>'BASE MAESTRA'!B197</f>
        <v>189</v>
      </c>
      <c r="B191" s="61">
        <f t="shared" si="14"/>
        <v>0</v>
      </c>
      <c r="D191" s="61">
        <f t="shared" si="11"/>
        <v>0</v>
      </c>
      <c r="E191" s="61"/>
      <c r="F191" s="61"/>
      <c r="G191" s="61"/>
      <c r="H191" s="61"/>
      <c r="I191" s="61">
        <f t="shared" si="15"/>
        <v>0</v>
      </c>
      <c r="J191" s="61">
        <f t="shared" si="15"/>
        <v>0</v>
      </c>
      <c r="K191" s="61"/>
      <c r="L191" s="61">
        <f t="shared" si="12"/>
        <v>0</v>
      </c>
      <c r="M191" s="61"/>
      <c r="N191" s="61">
        <f t="shared" si="13"/>
        <v>189</v>
      </c>
    </row>
    <row r="192" spans="1:14" ht="16.8" x14ac:dyDescent="0.3">
      <c r="A192" s="70">
        <f>'BASE MAESTRA'!B198</f>
        <v>190</v>
      </c>
      <c r="B192" s="61">
        <f t="shared" si="14"/>
        <v>0</v>
      </c>
      <c r="D192" s="61">
        <f t="shared" si="11"/>
        <v>0</v>
      </c>
      <c r="E192" s="61"/>
      <c r="F192" s="61"/>
      <c r="G192" s="61"/>
      <c r="H192" s="61"/>
      <c r="I192" s="61">
        <f t="shared" si="15"/>
        <v>0</v>
      </c>
      <c r="J192" s="61">
        <f t="shared" si="15"/>
        <v>0</v>
      </c>
      <c r="K192" s="61"/>
      <c r="L192" s="61">
        <f t="shared" si="12"/>
        <v>0</v>
      </c>
      <c r="M192" s="61"/>
      <c r="N192" s="61">
        <f t="shared" si="13"/>
        <v>190</v>
      </c>
    </row>
    <row r="193" spans="1:14" ht="16.8" x14ac:dyDescent="0.3">
      <c r="A193" s="70">
        <f>'BASE MAESTRA'!B199</f>
        <v>191</v>
      </c>
      <c r="B193" s="61">
        <f t="shared" si="14"/>
        <v>0</v>
      </c>
      <c r="D193" s="61">
        <f t="shared" si="11"/>
        <v>0</v>
      </c>
      <c r="E193" s="61"/>
      <c r="F193" s="61"/>
      <c r="G193" s="61"/>
      <c r="H193" s="61"/>
      <c r="I193" s="61">
        <f t="shared" si="15"/>
        <v>0</v>
      </c>
      <c r="J193" s="61">
        <f t="shared" si="15"/>
        <v>0</v>
      </c>
      <c r="K193" s="61"/>
      <c r="L193" s="61">
        <f t="shared" si="12"/>
        <v>0</v>
      </c>
      <c r="M193" s="61"/>
      <c r="N193" s="61">
        <f t="shared" si="13"/>
        <v>191</v>
      </c>
    </row>
    <row r="194" spans="1:14" ht="16.8" x14ac:dyDescent="0.3">
      <c r="A194" s="70">
        <f>'BASE MAESTRA'!B200</f>
        <v>192</v>
      </c>
      <c r="B194" s="61">
        <f t="shared" si="14"/>
        <v>0</v>
      </c>
      <c r="D194" s="61">
        <f t="shared" si="11"/>
        <v>0</v>
      </c>
      <c r="E194" s="61"/>
      <c r="F194" s="61"/>
      <c r="G194" s="61"/>
      <c r="H194" s="61"/>
      <c r="I194" s="61">
        <f t="shared" si="15"/>
        <v>0</v>
      </c>
      <c r="J194" s="61">
        <f t="shared" si="15"/>
        <v>0</v>
      </c>
      <c r="K194" s="61"/>
      <c r="L194" s="61">
        <f t="shared" si="12"/>
        <v>0</v>
      </c>
      <c r="M194" s="61"/>
      <c r="N194" s="61">
        <f t="shared" si="13"/>
        <v>192</v>
      </c>
    </row>
    <row r="195" spans="1:14" ht="16.8" x14ac:dyDescent="0.3">
      <c r="A195" s="70">
        <f>'BASE MAESTRA'!B201</f>
        <v>193</v>
      </c>
      <c r="B195" s="61">
        <f t="shared" si="14"/>
        <v>0</v>
      </c>
      <c r="D195" s="61">
        <f t="shared" ref="D195:D202" si="16">VLOOKUP($A195,DatosEspecies,D$2,FALSE)</f>
        <v>0</v>
      </c>
      <c r="E195" s="61"/>
      <c r="F195" s="61"/>
      <c r="G195" s="61"/>
      <c r="H195" s="61"/>
      <c r="I195" s="61">
        <f t="shared" si="15"/>
        <v>0</v>
      </c>
      <c r="J195" s="61">
        <f t="shared" si="15"/>
        <v>0</v>
      </c>
      <c r="K195" s="61"/>
      <c r="L195" s="61">
        <f t="shared" ref="L195:L202" si="17">VLOOKUP($A195,DatosEspecies,L$2,FALSE)</f>
        <v>0</v>
      </c>
      <c r="M195" s="61"/>
      <c r="N195" s="61">
        <f t="shared" ref="N195:N202" si="18">VLOOKUP($A195,DatosEspecies,N$2,FALSE)</f>
        <v>193</v>
      </c>
    </row>
    <row r="196" spans="1:14" ht="16.8" x14ac:dyDescent="0.3">
      <c r="A196" s="70">
        <f>'BASE MAESTRA'!B202</f>
        <v>194</v>
      </c>
      <c r="B196" s="61">
        <f t="shared" si="14"/>
        <v>0</v>
      </c>
      <c r="D196" s="61">
        <f t="shared" si="16"/>
        <v>0</v>
      </c>
      <c r="E196" s="61"/>
      <c r="F196" s="61"/>
      <c r="G196" s="61"/>
      <c r="H196" s="61"/>
      <c r="I196" s="61">
        <f t="shared" si="15"/>
        <v>0</v>
      </c>
      <c r="J196" s="61">
        <f t="shared" si="15"/>
        <v>0</v>
      </c>
      <c r="K196" s="61"/>
      <c r="L196" s="61">
        <f t="shared" si="17"/>
        <v>0</v>
      </c>
      <c r="M196" s="61"/>
      <c r="N196" s="61">
        <f t="shared" si="18"/>
        <v>194</v>
      </c>
    </row>
    <row r="197" spans="1:14" ht="16.8" x14ac:dyDescent="0.3">
      <c r="A197" s="70">
        <f>'BASE MAESTRA'!B203</f>
        <v>195</v>
      </c>
      <c r="B197" s="61">
        <f t="shared" si="14"/>
        <v>0</v>
      </c>
      <c r="D197" s="61">
        <f t="shared" si="16"/>
        <v>0</v>
      </c>
      <c r="E197" s="61"/>
      <c r="F197" s="61"/>
      <c r="G197" s="61"/>
      <c r="H197" s="61"/>
      <c r="I197" s="61">
        <f t="shared" si="15"/>
        <v>0</v>
      </c>
      <c r="J197" s="61">
        <f t="shared" si="15"/>
        <v>0</v>
      </c>
      <c r="K197" s="61"/>
      <c r="L197" s="61">
        <f t="shared" si="17"/>
        <v>0</v>
      </c>
      <c r="M197" s="61"/>
      <c r="N197" s="61">
        <f t="shared" si="18"/>
        <v>195</v>
      </c>
    </row>
    <row r="198" spans="1:14" ht="16.8" x14ac:dyDescent="0.3">
      <c r="A198" s="70">
        <f>'BASE MAESTRA'!B204</f>
        <v>196</v>
      </c>
      <c r="B198" s="61">
        <f t="shared" si="14"/>
        <v>0</v>
      </c>
      <c r="D198" s="61">
        <f t="shared" si="16"/>
        <v>0</v>
      </c>
      <c r="E198" s="61"/>
      <c r="F198" s="61"/>
      <c r="G198" s="61"/>
      <c r="H198" s="61"/>
      <c r="I198" s="61">
        <f t="shared" si="15"/>
        <v>0</v>
      </c>
      <c r="J198" s="61">
        <f t="shared" si="15"/>
        <v>0</v>
      </c>
      <c r="K198" s="61"/>
      <c r="L198" s="61">
        <f t="shared" si="17"/>
        <v>0</v>
      </c>
      <c r="M198" s="61"/>
      <c r="N198" s="61">
        <f t="shared" si="18"/>
        <v>196</v>
      </c>
    </row>
    <row r="199" spans="1:14" ht="16.8" x14ac:dyDescent="0.3">
      <c r="A199" s="70">
        <f>'BASE MAESTRA'!B205</f>
        <v>197</v>
      </c>
      <c r="B199" s="61">
        <f t="shared" si="14"/>
        <v>0</v>
      </c>
      <c r="D199" s="61">
        <f t="shared" si="16"/>
        <v>0</v>
      </c>
      <c r="E199" s="61"/>
      <c r="F199" s="61"/>
      <c r="G199" s="61"/>
      <c r="H199" s="61"/>
      <c r="I199" s="61">
        <f t="shared" si="15"/>
        <v>0</v>
      </c>
      <c r="J199" s="61">
        <f t="shared" si="15"/>
        <v>0</v>
      </c>
      <c r="K199" s="61"/>
      <c r="L199" s="61">
        <f t="shared" si="17"/>
        <v>0</v>
      </c>
      <c r="M199" s="61"/>
      <c r="N199" s="61">
        <f t="shared" si="18"/>
        <v>197</v>
      </c>
    </row>
    <row r="200" spans="1:14" ht="16.8" x14ac:dyDescent="0.3">
      <c r="A200" s="70">
        <f>'BASE MAESTRA'!B206</f>
        <v>198</v>
      </c>
      <c r="B200" s="61">
        <f t="shared" si="14"/>
        <v>0</v>
      </c>
      <c r="D200" s="61">
        <f t="shared" si="16"/>
        <v>0</v>
      </c>
      <c r="E200" s="61"/>
      <c r="F200" s="61"/>
      <c r="G200" s="61"/>
      <c r="H200" s="61"/>
      <c r="I200" s="61">
        <f t="shared" si="15"/>
        <v>0</v>
      </c>
      <c r="J200" s="61">
        <f t="shared" si="15"/>
        <v>0</v>
      </c>
      <c r="K200" s="61"/>
      <c r="L200" s="61">
        <f t="shared" si="17"/>
        <v>0</v>
      </c>
      <c r="M200" s="61"/>
      <c r="N200" s="61">
        <f t="shared" si="18"/>
        <v>198</v>
      </c>
    </row>
    <row r="201" spans="1:14" ht="16.8" x14ac:dyDescent="0.3">
      <c r="A201" s="70">
        <f>'BASE MAESTRA'!B207</f>
        <v>199</v>
      </c>
      <c r="B201" s="61">
        <f t="shared" si="14"/>
        <v>0</v>
      </c>
      <c r="D201" s="61">
        <f t="shared" si="16"/>
        <v>0</v>
      </c>
      <c r="E201" s="61"/>
      <c r="F201" s="61"/>
      <c r="G201" s="61"/>
      <c r="H201" s="61"/>
      <c r="I201" s="61">
        <f t="shared" si="15"/>
        <v>0</v>
      </c>
      <c r="J201" s="61">
        <f t="shared" si="15"/>
        <v>0</v>
      </c>
      <c r="K201" s="61"/>
      <c r="L201" s="61">
        <f t="shared" si="17"/>
        <v>0</v>
      </c>
      <c r="M201" s="61"/>
      <c r="N201" s="61">
        <f t="shared" si="18"/>
        <v>199</v>
      </c>
    </row>
    <row r="202" spans="1:14" ht="16.8" x14ac:dyDescent="0.3">
      <c r="A202" s="70">
        <f>'BASE MAESTRA'!B208</f>
        <v>200</v>
      </c>
      <c r="B202" s="61">
        <f t="shared" si="14"/>
        <v>0</v>
      </c>
      <c r="D202" s="61">
        <f t="shared" si="16"/>
        <v>0</v>
      </c>
      <c r="E202" s="61"/>
      <c r="F202" s="61"/>
      <c r="G202" s="61"/>
      <c r="H202" s="61"/>
      <c r="I202" s="61">
        <f t="shared" si="15"/>
        <v>0</v>
      </c>
      <c r="J202" s="61">
        <f t="shared" si="15"/>
        <v>0</v>
      </c>
      <c r="K202" s="61"/>
      <c r="L202" s="61">
        <f t="shared" si="17"/>
        <v>0</v>
      </c>
      <c r="M202" s="61"/>
      <c r="N202" s="61">
        <f t="shared" si="18"/>
        <v>200</v>
      </c>
    </row>
  </sheetData>
  <customSheetViews>
    <customSheetView guid="{03A28D0E-D221-430C-9036-787CFB666EE7}">
      <selection activeCell="A3" sqref="A3:A138"/>
      <pageMargins left="0.7" right="0.7" top="0.75" bottom="0.75" header="0.3" footer="0.3"/>
    </customSheetView>
  </customSheetView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202"/>
  <sheetViews>
    <sheetView workbookViewId="0"/>
  </sheetViews>
  <sheetFormatPr defaultColWidth="11" defaultRowHeight="13.2" x14ac:dyDescent="0.3"/>
  <cols>
    <col min="1" max="1" width="11" style="22"/>
    <col min="2" max="2" width="15.109375" style="19" customWidth="1"/>
    <col min="3" max="3" width="13.6640625" style="19" customWidth="1"/>
    <col min="4" max="7" width="11" style="19"/>
    <col min="8" max="8" width="12.33203125" style="19" customWidth="1"/>
    <col min="9" max="16384" width="11" style="19"/>
  </cols>
  <sheetData>
    <row r="1" spans="1:8" ht="39.6" x14ac:dyDescent="0.3">
      <c r="A1" s="21" t="s">
        <v>310</v>
      </c>
      <c r="B1" s="4" t="s">
        <v>252</v>
      </c>
      <c r="C1" s="4" t="s">
        <v>254</v>
      </c>
      <c r="D1" s="4" t="s">
        <v>256</v>
      </c>
      <c r="E1" s="4" t="s">
        <v>258</v>
      </c>
      <c r="F1" s="4" t="s">
        <v>260</v>
      </c>
      <c r="G1" s="4" t="s">
        <v>262</v>
      </c>
      <c r="H1" s="4" t="s">
        <v>8</v>
      </c>
    </row>
    <row r="2" spans="1:8" s="18" customFormat="1" ht="26.4" x14ac:dyDescent="0.3">
      <c r="A2" s="21" t="s">
        <v>323</v>
      </c>
      <c r="B2" s="21">
        <f>VLOOKUP(B1,CamposSIS,2,FALSE)</f>
        <v>19</v>
      </c>
      <c r="C2" s="21"/>
      <c r="D2" s="21"/>
      <c r="E2" s="21"/>
      <c r="F2" s="21"/>
      <c r="G2" s="21"/>
      <c r="H2" s="21">
        <f>VLOOKUP(H1,CamposSIS,2,FALSE)</f>
        <v>1</v>
      </c>
    </row>
    <row r="3" spans="1:8" ht="20.25" customHeight="1" x14ac:dyDescent="0.3">
      <c r="A3" s="70" t="str">
        <f>'BASE MAESTRA'!B7</f>
        <v>3</v>
      </c>
      <c r="B3" s="19" t="str">
        <f t="shared" ref="B3:B66" si="0">VLOOKUP($A3,DatosEspecies,B$2,FALSE)</f>
        <v>N/A</v>
      </c>
      <c r="H3" s="19" t="str">
        <f>VLOOKUP($A3,DatosEspecies,H$2,FALSE)</f>
        <v>3</v>
      </c>
    </row>
    <row r="4" spans="1:8" ht="16.8" x14ac:dyDescent="0.3">
      <c r="A4" s="70" t="str">
        <f>'BASE MAESTRA'!B8</f>
        <v>4</v>
      </c>
      <c r="B4" s="19" t="str">
        <f t="shared" si="0"/>
        <v>N/A</v>
      </c>
      <c r="H4" s="19" t="str">
        <f t="shared" ref="H4:H66" si="1">VLOOKUP($A4,DatosEspecies,H$2,FALSE)</f>
        <v>4</v>
      </c>
    </row>
    <row r="5" spans="1:8" ht="16.8" x14ac:dyDescent="0.3">
      <c r="A5" s="70" t="str">
        <f>'BASE MAESTRA'!B10</f>
        <v>6</v>
      </c>
      <c r="B5" s="19" t="str">
        <f t="shared" si="0"/>
        <v>N/A</v>
      </c>
      <c r="H5" s="19" t="str">
        <f t="shared" si="1"/>
        <v>6</v>
      </c>
    </row>
    <row r="6" spans="1:8" ht="16.8" x14ac:dyDescent="0.3">
      <c r="A6" s="70" t="str">
        <f>'BASE MAESTRA'!B11</f>
        <v>7</v>
      </c>
      <c r="B6" s="19" t="str">
        <f t="shared" si="0"/>
        <v>N/A</v>
      </c>
      <c r="H6" s="19" t="str">
        <f t="shared" si="1"/>
        <v>7</v>
      </c>
    </row>
    <row r="7" spans="1:8" ht="16.8" x14ac:dyDescent="0.3">
      <c r="A7" s="70" t="str">
        <f>'BASE MAESTRA'!B12</f>
        <v>8</v>
      </c>
      <c r="B7" s="19" t="str">
        <f t="shared" si="0"/>
        <v>N/A</v>
      </c>
      <c r="H7" s="19" t="str">
        <f t="shared" si="1"/>
        <v>8</v>
      </c>
    </row>
    <row r="8" spans="1:8" ht="16.8" x14ac:dyDescent="0.3">
      <c r="A8" s="70" t="str">
        <f>'BASE MAESTRA'!B13</f>
        <v>9</v>
      </c>
      <c r="B8" s="19" t="str">
        <f t="shared" si="0"/>
        <v>N/A</v>
      </c>
      <c r="H8" s="19" t="str">
        <f t="shared" si="1"/>
        <v>9</v>
      </c>
    </row>
    <row r="9" spans="1:8" ht="16.8" x14ac:dyDescent="0.3">
      <c r="A9" s="70" t="str">
        <f>'BASE MAESTRA'!B14</f>
        <v>10</v>
      </c>
      <c r="B9" s="19" t="str">
        <f t="shared" si="0"/>
        <v>N/A</v>
      </c>
      <c r="H9" s="19" t="str">
        <f t="shared" si="1"/>
        <v>10</v>
      </c>
    </row>
    <row r="10" spans="1:8" ht="16.8" x14ac:dyDescent="0.3">
      <c r="A10" s="70" t="str">
        <f>'BASE MAESTRA'!B15</f>
        <v>11</v>
      </c>
      <c r="B10" s="19" t="str">
        <f t="shared" si="0"/>
        <v>N/A</v>
      </c>
      <c r="H10" s="19" t="str">
        <f t="shared" si="1"/>
        <v>11</v>
      </c>
    </row>
    <row r="11" spans="1:8" ht="16.8" x14ac:dyDescent="0.3">
      <c r="A11" s="70" t="str">
        <f>'BASE MAESTRA'!B16</f>
        <v>12</v>
      </c>
      <c r="B11" s="19" t="str">
        <f t="shared" si="0"/>
        <v>N/A</v>
      </c>
      <c r="H11" s="19" t="str">
        <f t="shared" si="1"/>
        <v>12</v>
      </c>
    </row>
    <row r="12" spans="1:8" ht="16.8" x14ac:dyDescent="0.3">
      <c r="A12" s="70" t="str">
        <f>'BASE MAESTRA'!B17</f>
        <v>13</v>
      </c>
      <c r="B12" s="19" t="str">
        <f t="shared" si="0"/>
        <v>N/A</v>
      </c>
      <c r="H12" s="19" t="str">
        <f t="shared" si="1"/>
        <v>13</v>
      </c>
    </row>
    <row r="13" spans="1:8" ht="16.8" x14ac:dyDescent="0.3">
      <c r="A13" s="70" t="str">
        <f>'BASE MAESTRA'!B18</f>
        <v>14</v>
      </c>
      <c r="B13" s="19" t="str">
        <f t="shared" si="0"/>
        <v>N/A</v>
      </c>
      <c r="H13" s="19" t="str">
        <f t="shared" si="1"/>
        <v>14</v>
      </c>
    </row>
    <row r="14" spans="1:8" ht="16.8" x14ac:dyDescent="0.3">
      <c r="A14" s="70" t="str">
        <f>'BASE MAESTRA'!B19</f>
        <v>15</v>
      </c>
      <c r="B14" s="19" t="str">
        <f t="shared" si="0"/>
        <v>N/A</v>
      </c>
      <c r="H14" s="19" t="str">
        <f t="shared" si="1"/>
        <v>15</v>
      </c>
    </row>
    <row r="15" spans="1:8" ht="16.8" x14ac:dyDescent="0.3">
      <c r="A15" s="70" t="str">
        <f>'BASE MAESTRA'!B20</f>
        <v>16</v>
      </c>
      <c r="B15" s="19" t="str">
        <f t="shared" si="0"/>
        <v>N/A</v>
      </c>
      <c r="H15" s="19" t="str">
        <f t="shared" si="1"/>
        <v>16</v>
      </c>
    </row>
    <row r="16" spans="1:8" ht="16.8" x14ac:dyDescent="0.3">
      <c r="A16" s="70" t="str">
        <f>'BASE MAESTRA'!B21</f>
        <v>17</v>
      </c>
      <c r="B16" s="19" t="str">
        <f t="shared" si="0"/>
        <v>N/A</v>
      </c>
      <c r="H16" s="19" t="str">
        <f t="shared" si="1"/>
        <v>17</v>
      </c>
    </row>
    <row r="17" spans="1:8" ht="16.8" x14ac:dyDescent="0.3">
      <c r="A17" s="70" t="str">
        <f>'BASE MAESTRA'!B22</f>
        <v>18</v>
      </c>
      <c r="B17" s="19" t="str">
        <f t="shared" si="0"/>
        <v>N/A</v>
      </c>
      <c r="H17" s="19" t="str">
        <f t="shared" si="1"/>
        <v>18</v>
      </c>
    </row>
    <row r="18" spans="1:8" ht="16.8" x14ac:dyDescent="0.3">
      <c r="A18" s="70" t="str">
        <f>'BASE MAESTRA'!B23</f>
        <v>19</v>
      </c>
      <c r="B18" s="19" t="str">
        <f t="shared" si="0"/>
        <v>N/A</v>
      </c>
      <c r="H18" s="19" t="str">
        <f t="shared" si="1"/>
        <v>19</v>
      </c>
    </row>
    <row r="19" spans="1:8" ht="16.8" x14ac:dyDescent="0.3">
      <c r="A19" s="70" t="str">
        <f>'BASE MAESTRA'!B25</f>
        <v>20</v>
      </c>
      <c r="B19" s="19" t="str">
        <f t="shared" si="0"/>
        <v>N/A</v>
      </c>
      <c r="H19" s="19" t="str">
        <f t="shared" si="1"/>
        <v>20</v>
      </c>
    </row>
    <row r="20" spans="1:8" ht="16.8" x14ac:dyDescent="0.3">
      <c r="A20" s="70" t="str">
        <f>'BASE MAESTRA'!B26</f>
        <v>21</v>
      </c>
      <c r="B20" s="19" t="str">
        <f t="shared" si="0"/>
        <v>N/A</v>
      </c>
      <c r="H20" s="19" t="str">
        <f t="shared" si="1"/>
        <v>21</v>
      </c>
    </row>
    <row r="21" spans="1:8" ht="16.8" x14ac:dyDescent="0.3">
      <c r="A21" s="70" t="str">
        <f>'BASE MAESTRA'!B27</f>
        <v>22</v>
      </c>
      <c r="B21" s="19" t="str">
        <f t="shared" si="0"/>
        <v>N/A</v>
      </c>
      <c r="H21" s="19" t="str">
        <f t="shared" si="1"/>
        <v>22</v>
      </c>
    </row>
    <row r="22" spans="1:8" ht="16.8" x14ac:dyDescent="0.3">
      <c r="A22" s="70" t="str">
        <f>'BASE MAESTRA'!B28</f>
        <v>23</v>
      </c>
      <c r="B22" s="19" t="str">
        <f t="shared" si="0"/>
        <v>N/A</v>
      </c>
      <c r="H22" s="19" t="str">
        <f t="shared" si="1"/>
        <v>23</v>
      </c>
    </row>
    <row r="23" spans="1:8" ht="16.8" x14ac:dyDescent="0.3">
      <c r="A23" s="70" t="str">
        <f>'BASE MAESTRA'!B29</f>
        <v>24</v>
      </c>
      <c r="B23" s="19">
        <f t="shared" si="0"/>
        <v>0</v>
      </c>
      <c r="H23" s="19" t="str">
        <f t="shared" si="1"/>
        <v>24</v>
      </c>
    </row>
    <row r="24" spans="1:8" ht="16.8" x14ac:dyDescent="0.3">
      <c r="A24" s="70" t="str">
        <f>'BASE MAESTRA'!B30</f>
        <v>25</v>
      </c>
      <c r="B24" s="19">
        <f t="shared" si="0"/>
        <v>0</v>
      </c>
      <c r="H24" s="19" t="str">
        <f t="shared" si="1"/>
        <v>25</v>
      </c>
    </row>
    <row r="25" spans="1:8" ht="16.8" x14ac:dyDescent="0.3">
      <c r="A25" s="70" t="str">
        <f>'BASE MAESTRA'!B31</f>
        <v>26</v>
      </c>
      <c r="B25" s="19">
        <f t="shared" si="0"/>
        <v>0</v>
      </c>
      <c r="H25" s="19" t="str">
        <f t="shared" si="1"/>
        <v>26</v>
      </c>
    </row>
    <row r="26" spans="1:8" ht="16.8" x14ac:dyDescent="0.3">
      <c r="A26" s="70" t="str">
        <f>'BASE MAESTRA'!B32</f>
        <v>27</v>
      </c>
      <c r="B26" s="19">
        <f t="shared" si="0"/>
        <v>0</v>
      </c>
      <c r="H26" s="19" t="str">
        <f t="shared" si="1"/>
        <v>27</v>
      </c>
    </row>
    <row r="27" spans="1:8" ht="16.8" x14ac:dyDescent="0.3">
      <c r="A27" s="70" t="str">
        <f>'BASE MAESTRA'!B33</f>
        <v>28</v>
      </c>
      <c r="B27" s="19">
        <f t="shared" si="0"/>
        <v>0</v>
      </c>
      <c r="H27" s="19" t="str">
        <f t="shared" si="1"/>
        <v>28</v>
      </c>
    </row>
    <row r="28" spans="1:8" ht="16.8" x14ac:dyDescent="0.3">
      <c r="A28" s="70" t="str">
        <f>'BASE MAESTRA'!B34</f>
        <v>29</v>
      </c>
      <c r="B28" s="19">
        <f t="shared" si="0"/>
        <v>0</v>
      </c>
      <c r="H28" s="19" t="str">
        <f t="shared" si="1"/>
        <v>29</v>
      </c>
    </row>
    <row r="29" spans="1:8" ht="16.8" x14ac:dyDescent="0.3">
      <c r="A29" s="70" t="str">
        <f>'BASE MAESTRA'!B35</f>
        <v>30</v>
      </c>
      <c r="B29" s="19">
        <f t="shared" si="0"/>
        <v>0</v>
      </c>
      <c r="H29" s="19" t="str">
        <f t="shared" si="1"/>
        <v>30</v>
      </c>
    </row>
    <row r="30" spans="1:8" ht="16.8" x14ac:dyDescent="0.3">
      <c r="A30" s="70" t="str">
        <f>'BASE MAESTRA'!B36</f>
        <v>31</v>
      </c>
      <c r="B30" s="19">
        <f t="shared" si="0"/>
        <v>0</v>
      </c>
      <c r="H30" s="19" t="str">
        <f t="shared" si="1"/>
        <v>31</v>
      </c>
    </row>
    <row r="31" spans="1:8" ht="16.8" x14ac:dyDescent="0.3">
      <c r="A31" s="70" t="str">
        <f>'BASE MAESTRA'!B37</f>
        <v>32</v>
      </c>
      <c r="B31" s="19">
        <f t="shared" si="0"/>
        <v>0</v>
      </c>
      <c r="H31" s="19" t="str">
        <f t="shared" si="1"/>
        <v>32</v>
      </c>
    </row>
    <row r="32" spans="1:8" ht="16.8" x14ac:dyDescent="0.3">
      <c r="A32" s="70" t="str">
        <f>'BASE MAESTRA'!B38</f>
        <v>33</v>
      </c>
      <c r="B32" s="19">
        <f t="shared" si="0"/>
        <v>0</v>
      </c>
      <c r="H32" s="19" t="str">
        <f t="shared" si="1"/>
        <v>33</v>
      </c>
    </row>
    <row r="33" spans="1:8" ht="16.8" x14ac:dyDescent="0.3">
      <c r="A33" s="70" t="str">
        <f>'BASE MAESTRA'!B39</f>
        <v>34</v>
      </c>
      <c r="B33" s="19">
        <f t="shared" si="0"/>
        <v>0</v>
      </c>
      <c r="H33" s="19" t="str">
        <f t="shared" si="1"/>
        <v>34</v>
      </c>
    </row>
    <row r="34" spans="1:8" ht="16.8" x14ac:dyDescent="0.3">
      <c r="A34" s="70" t="str">
        <f>'BASE MAESTRA'!B40</f>
        <v>35</v>
      </c>
      <c r="B34" s="19">
        <f t="shared" si="0"/>
        <v>0</v>
      </c>
      <c r="H34" s="19" t="str">
        <f t="shared" si="1"/>
        <v>35</v>
      </c>
    </row>
    <row r="35" spans="1:8" ht="16.8" x14ac:dyDescent="0.3">
      <c r="A35" s="70" t="str">
        <f>'BASE MAESTRA'!B41</f>
        <v>36</v>
      </c>
      <c r="B35" s="19">
        <f t="shared" si="0"/>
        <v>0</v>
      </c>
      <c r="H35" s="19" t="str">
        <f t="shared" si="1"/>
        <v>36</v>
      </c>
    </row>
    <row r="36" spans="1:8" ht="16.8" x14ac:dyDescent="0.3">
      <c r="A36" s="70" t="str">
        <f>'BASE MAESTRA'!B42</f>
        <v>37</v>
      </c>
      <c r="B36" s="19">
        <f t="shared" si="0"/>
        <v>0</v>
      </c>
      <c r="H36" s="19" t="str">
        <f t="shared" si="1"/>
        <v>37</v>
      </c>
    </row>
    <row r="37" spans="1:8" ht="16.8" x14ac:dyDescent="0.3">
      <c r="A37" s="70" t="str">
        <f>'BASE MAESTRA'!B43</f>
        <v>38</v>
      </c>
      <c r="B37" s="19">
        <f t="shared" si="0"/>
        <v>0</v>
      </c>
      <c r="H37" s="19" t="str">
        <f t="shared" si="1"/>
        <v>38</v>
      </c>
    </row>
    <row r="38" spans="1:8" ht="16.8" x14ac:dyDescent="0.3">
      <c r="A38" s="70" t="str">
        <f>'BASE MAESTRA'!B44</f>
        <v>39</v>
      </c>
      <c r="B38" s="19">
        <f t="shared" si="0"/>
        <v>0</v>
      </c>
      <c r="H38" s="19" t="str">
        <f t="shared" si="1"/>
        <v>39</v>
      </c>
    </row>
    <row r="39" spans="1:8" ht="16.8" x14ac:dyDescent="0.3">
      <c r="A39" s="70">
        <f>'BASE MAESTRA'!B45</f>
        <v>37</v>
      </c>
      <c r="B39" s="19">
        <f t="shared" si="0"/>
        <v>0</v>
      </c>
      <c r="H39" s="19">
        <f t="shared" si="1"/>
        <v>37</v>
      </c>
    </row>
    <row r="40" spans="1:8" ht="16.8" x14ac:dyDescent="0.3">
      <c r="A40" s="70">
        <f>'BASE MAESTRA'!B46</f>
        <v>38</v>
      </c>
      <c r="B40" s="19">
        <f t="shared" si="0"/>
        <v>0</v>
      </c>
      <c r="H40" s="19">
        <f t="shared" si="1"/>
        <v>38</v>
      </c>
    </row>
    <row r="41" spans="1:8" ht="16.8" x14ac:dyDescent="0.3">
      <c r="A41" s="70">
        <f>'BASE MAESTRA'!B47</f>
        <v>39</v>
      </c>
      <c r="B41" s="19">
        <f t="shared" si="0"/>
        <v>0</v>
      </c>
      <c r="H41" s="19">
        <f t="shared" si="1"/>
        <v>39</v>
      </c>
    </row>
    <row r="42" spans="1:8" ht="16.8" x14ac:dyDescent="0.3">
      <c r="A42" s="70">
        <f>'BASE MAESTRA'!B48</f>
        <v>40</v>
      </c>
      <c r="B42" s="19">
        <f t="shared" si="0"/>
        <v>0</v>
      </c>
      <c r="H42" s="19">
        <f t="shared" si="1"/>
        <v>40</v>
      </c>
    </row>
    <row r="43" spans="1:8" ht="16.8" x14ac:dyDescent="0.3">
      <c r="A43" s="70">
        <f>'BASE MAESTRA'!B49</f>
        <v>41</v>
      </c>
      <c r="B43" s="19">
        <f t="shared" si="0"/>
        <v>0</v>
      </c>
      <c r="H43" s="19">
        <f t="shared" si="1"/>
        <v>41</v>
      </c>
    </row>
    <row r="44" spans="1:8" ht="16.8" x14ac:dyDescent="0.3">
      <c r="A44" s="70">
        <f>'BASE MAESTRA'!B50</f>
        <v>42</v>
      </c>
      <c r="B44" s="19">
        <f t="shared" si="0"/>
        <v>0</v>
      </c>
      <c r="H44" s="19">
        <f t="shared" si="1"/>
        <v>42</v>
      </c>
    </row>
    <row r="45" spans="1:8" ht="16.8" x14ac:dyDescent="0.3">
      <c r="A45" s="70">
        <f>'BASE MAESTRA'!B51</f>
        <v>43</v>
      </c>
      <c r="B45" s="19">
        <f t="shared" si="0"/>
        <v>0</v>
      </c>
      <c r="H45" s="19">
        <f t="shared" si="1"/>
        <v>43</v>
      </c>
    </row>
    <row r="46" spans="1:8" ht="16.8" x14ac:dyDescent="0.3">
      <c r="A46" s="70">
        <f>'BASE MAESTRA'!B52</f>
        <v>44</v>
      </c>
      <c r="B46" s="19">
        <f t="shared" si="0"/>
        <v>0</v>
      </c>
      <c r="H46" s="19">
        <f t="shared" si="1"/>
        <v>44</v>
      </c>
    </row>
    <row r="47" spans="1:8" ht="16.8" x14ac:dyDescent="0.3">
      <c r="A47" s="70">
        <f>'BASE MAESTRA'!B53</f>
        <v>45</v>
      </c>
      <c r="B47" s="19">
        <f t="shared" si="0"/>
        <v>0</v>
      </c>
      <c r="H47" s="19">
        <f t="shared" si="1"/>
        <v>45</v>
      </c>
    </row>
    <row r="48" spans="1:8" ht="16.8" x14ac:dyDescent="0.3">
      <c r="A48" s="70">
        <f>'BASE MAESTRA'!B54</f>
        <v>46</v>
      </c>
      <c r="B48" s="19">
        <f t="shared" si="0"/>
        <v>0</v>
      </c>
      <c r="H48" s="19">
        <f t="shared" si="1"/>
        <v>46</v>
      </c>
    </row>
    <row r="49" spans="1:8" ht="16.8" x14ac:dyDescent="0.3">
      <c r="A49" s="70">
        <f>'BASE MAESTRA'!B55</f>
        <v>47</v>
      </c>
      <c r="B49" s="19">
        <f t="shared" si="0"/>
        <v>0</v>
      </c>
      <c r="H49" s="19">
        <f t="shared" si="1"/>
        <v>47</v>
      </c>
    </row>
    <row r="50" spans="1:8" ht="16.8" x14ac:dyDescent="0.3">
      <c r="A50" s="70">
        <f>'BASE MAESTRA'!B56</f>
        <v>48</v>
      </c>
      <c r="B50" s="19">
        <f t="shared" si="0"/>
        <v>0</v>
      </c>
      <c r="H50" s="19">
        <f t="shared" si="1"/>
        <v>48</v>
      </c>
    </row>
    <row r="51" spans="1:8" ht="16.8" x14ac:dyDescent="0.3">
      <c r="A51" s="70">
        <f>'BASE MAESTRA'!B57</f>
        <v>49</v>
      </c>
      <c r="B51" s="19">
        <f t="shared" si="0"/>
        <v>0</v>
      </c>
      <c r="H51" s="19">
        <f t="shared" si="1"/>
        <v>49</v>
      </c>
    </row>
    <row r="52" spans="1:8" ht="16.8" x14ac:dyDescent="0.3">
      <c r="A52" s="70">
        <f>'BASE MAESTRA'!B58</f>
        <v>50</v>
      </c>
      <c r="B52" s="19">
        <f t="shared" si="0"/>
        <v>0</v>
      </c>
      <c r="H52" s="19">
        <f t="shared" si="1"/>
        <v>50</v>
      </c>
    </row>
    <row r="53" spans="1:8" ht="16.8" x14ac:dyDescent="0.3">
      <c r="A53" s="70">
        <f>'BASE MAESTRA'!B59</f>
        <v>51</v>
      </c>
      <c r="B53" s="19">
        <f t="shared" si="0"/>
        <v>0</v>
      </c>
      <c r="H53" s="19">
        <f t="shared" si="1"/>
        <v>51</v>
      </c>
    </row>
    <row r="54" spans="1:8" ht="16.8" x14ac:dyDescent="0.3">
      <c r="A54" s="70">
        <f>'BASE MAESTRA'!B60</f>
        <v>52</v>
      </c>
      <c r="B54" s="19">
        <f t="shared" si="0"/>
        <v>0</v>
      </c>
      <c r="H54" s="19">
        <f t="shared" si="1"/>
        <v>52</v>
      </c>
    </row>
    <row r="55" spans="1:8" ht="16.8" x14ac:dyDescent="0.3">
      <c r="A55" s="70">
        <f>'BASE MAESTRA'!B61</f>
        <v>53</v>
      </c>
      <c r="B55" s="19">
        <f t="shared" si="0"/>
        <v>0</v>
      </c>
      <c r="H55" s="19">
        <f t="shared" si="1"/>
        <v>53</v>
      </c>
    </row>
    <row r="56" spans="1:8" ht="16.8" x14ac:dyDescent="0.3">
      <c r="A56" s="70">
        <f>'BASE MAESTRA'!B62</f>
        <v>54</v>
      </c>
      <c r="B56" s="19">
        <f t="shared" si="0"/>
        <v>0</v>
      </c>
      <c r="H56" s="19">
        <f t="shared" si="1"/>
        <v>54</v>
      </c>
    </row>
    <row r="57" spans="1:8" ht="16.8" x14ac:dyDescent="0.3">
      <c r="A57" s="70">
        <f>'BASE MAESTRA'!B63</f>
        <v>55</v>
      </c>
      <c r="B57" s="19">
        <f t="shared" si="0"/>
        <v>0</v>
      </c>
      <c r="H57" s="19">
        <f t="shared" si="1"/>
        <v>55</v>
      </c>
    </row>
    <row r="58" spans="1:8" ht="16.8" x14ac:dyDescent="0.3">
      <c r="A58" s="70">
        <f>'BASE MAESTRA'!B64</f>
        <v>56</v>
      </c>
      <c r="B58" s="19">
        <f t="shared" si="0"/>
        <v>0</v>
      </c>
      <c r="H58" s="19">
        <f t="shared" si="1"/>
        <v>56</v>
      </c>
    </row>
    <row r="59" spans="1:8" ht="16.8" x14ac:dyDescent="0.3">
      <c r="A59" s="70">
        <f>'BASE MAESTRA'!B65</f>
        <v>57</v>
      </c>
      <c r="B59" s="19">
        <f t="shared" si="0"/>
        <v>0</v>
      </c>
      <c r="H59" s="19">
        <f t="shared" si="1"/>
        <v>57</v>
      </c>
    </row>
    <row r="60" spans="1:8" ht="16.8" x14ac:dyDescent="0.3">
      <c r="A60" s="70">
        <f>'BASE MAESTRA'!B66</f>
        <v>58</v>
      </c>
      <c r="B60" s="19">
        <f t="shared" si="0"/>
        <v>0</v>
      </c>
      <c r="H60" s="19">
        <f t="shared" si="1"/>
        <v>58</v>
      </c>
    </row>
    <row r="61" spans="1:8" ht="16.8" x14ac:dyDescent="0.3">
      <c r="A61" s="70">
        <f>'BASE MAESTRA'!B67</f>
        <v>59</v>
      </c>
      <c r="B61" s="19">
        <f t="shared" si="0"/>
        <v>0</v>
      </c>
      <c r="H61" s="19">
        <f t="shared" si="1"/>
        <v>59</v>
      </c>
    </row>
    <row r="62" spans="1:8" ht="16.8" x14ac:dyDescent="0.3">
      <c r="A62" s="70">
        <f>'BASE MAESTRA'!B68</f>
        <v>60</v>
      </c>
      <c r="B62" s="19">
        <f t="shared" si="0"/>
        <v>0</v>
      </c>
      <c r="H62" s="19">
        <f t="shared" si="1"/>
        <v>60</v>
      </c>
    </row>
    <row r="63" spans="1:8" ht="16.8" x14ac:dyDescent="0.3">
      <c r="A63" s="70">
        <f>'BASE MAESTRA'!B69</f>
        <v>61</v>
      </c>
      <c r="B63" s="19">
        <f t="shared" si="0"/>
        <v>0</v>
      </c>
      <c r="H63" s="19">
        <f t="shared" si="1"/>
        <v>61</v>
      </c>
    </row>
    <row r="64" spans="1:8" ht="16.8" x14ac:dyDescent="0.3">
      <c r="A64" s="70">
        <f>'BASE MAESTRA'!B70</f>
        <v>62</v>
      </c>
      <c r="B64" s="19">
        <f t="shared" si="0"/>
        <v>0</v>
      </c>
      <c r="H64" s="19">
        <f t="shared" si="1"/>
        <v>62</v>
      </c>
    </row>
    <row r="65" spans="1:8" ht="16.8" x14ac:dyDescent="0.3">
      <c r="A65" s="70">
        <f>'BASE MAESTRA'!B71</f>
        <v>63</v>
      </c>
      <c r="B65" s="19">
        <f t="shared" si="0"/>
        <v>0</v>
      </c>
      <c r="H65" s="19">
        <f t="shared" si="1"/>
        <v>63</v>
      </c>
    </row>
    <row r="66" spans="1:8" ht="16.8" x14ac:dyDescent="0.3">
      <c r="A66" s="70">
        <f>'BASE MAESTRA'!B72</f>
        <v>64</v>
      </c>
      <c r="B66" s="19">
        <f t="shared" si="0"/>
        <v>0</v>
      </c>
      <c r="H66" s="19">
        <f t="shared" si="1"/>
        <v>64</v>
      </c>
    </row>
    <row r="67" spans="1:8" ht="16.8" x14ac:dyDescent="0.3">
      <c r="A67" s="70">
        <f>'BASE MAESTRA'!B73</f>
        <v>65</v>
      </c>
      <c r="B67" s="19">
        <f t="shared" ref="B67:B130" si="2">VLOOKUP($A67,DatosEspecies,B$2,FALSE)</f>
        <v>0</v>
      </c>
      <c r="H67" s="19">
        <f t="shared" ref="H67:H130" si="3">VLOOKUP($A67,DatosEspecies,H$2,FALSE)</f>
        <v>65</v>
      </c>
    </row>
    <row r="68" spans="1:8" ht="16.8" x14ac:dyDescent="0.3">
      <c r="A68" s="70">
        <f>'BASE MAESTRA'!B74</f>
        <v>66</v>
      </c>
      <c r="B68" s="19">
        <f t="shared" si="2"/>
        <v>0</v>
      </c>
      <c r="H68" s="19">
        <f t="shared" si="3"/>
        <v>66</v>
      </c>
    </row>
    <row r="69" spans="1:8" ht="16.8" x14ac:dyDescent="0.3">
      <c r="A69" s="70">
        <f>'BASE MAESTRA'!B75</f>
        <v>67</v>
      </c>
      <c r="B69" s="19">
        <f t="shared" si="2"/>
        <v>0</v>
      </c>
      <c r="H69" s="19">
        <f t="shared" si="3"/>
        <v>67</v>
      </c>
    </row>
    <row r="70" spans="1:8" ht="16.8" x14ac:dyDescent="0.3">
      <c r="A70" s="70">
        <f>'BASE MAESTRA'!B76</f>
        <v>68</v>
      </c>
      <c r="B70" s="19">
        <f t="shared" si="2"/>
        <v>0</v>
      </c>
      <c r="H70" s="19">
        <f t="shared" si="3"/>
        <v>68</v>
      </c>
    </row>
    <row r="71" spans="1:8" ht="16.8" x14ac:dyDescent="0.3">
      <c r="A71" s="70">
        <f>'BASE MAESTRA'!B77</f>
        <v>69</v>
      </c>
      <c r="B71" s="19">
        <f t="shared" si="2"/>
        <v>0</v>
      </c>
      <c r="H71" s="19">
        <f t="shared" si="3"/>
        <v>69</v>
      </c>
    </row>
    <row r="72" spans="1:8" ht="16.8" x14ac:dyDescent="0.3">
      <c r="A72" s="70">
        <f>'BASE MAESTRA'!B78</f>
        <v>70</v>
      </c>
      <c r="B72" s="19">
        <f t="shared" si="2"/>
        <v>0</v>
      </c>
      <c r="H72" s="19">
        <f t="shared" si="3"/>
        <v>70</v>
      </c>
    </row>
    <row r="73" spans="1:8" ht="16.8" x14ac:dyDescent="0.3">
      <c r="A73" s="70">
        <f>'BASE MAESTRA'!B79</f>
        <v>71</v>
      </c>
      <c r="B73" s="19">
        <f t="shared" si="2"/>
        <v>0</v>
      </c>
      <c r="H73" s="19">
        <f t="shared" si="3"/>
        <v>71</v>
      </c>
    </row>
    <row r="74" spans="1:8" ht="16.8" x14ac:dyDescent="0.3">
      <c r="A74" s="70">
        <f>'BASE MAESTRA'!B80</f>
        <v>72</v>
      </c>
      <c r="B74" s="19">
        <f t="shared" si="2"/>
        <v>0</v>
      </c>
      <c r="H74" s="19">
        <f t="shared" si="3"/>
        <v>72</v>
      </c>
    </row>
    <row r="75" spans="1:8" ht="16.8" x14ac:dyDescent="0.3">
      <c r="A75" s="70">
        <f>'BASE MAESTRA'!B81</f>
        <v>73</v>
      </c>
      <c r="B75" s="19">
        <f t="shared" si="2"/>
        <v>0</v>
      </c>
      <c r="H75" s="19">
        <f t="shared" si="3"/>
        <v>73</v>
      </c>
    </row>
    <row r="76" spans="1:8" ht="16.8" x14ac:dyDescent="0.3">
      <c r="A76" s="70">
        <f>'BASE MAESTRA'!B82</f>
        <v>74</v>
      </c>
      <c r="B76" s="19">
        <f t="shared" si="2"/>
        <v>0</v>
      </c>
      <c r="H76" s="19">
        <f t="shared" si="3"/>
        <v>74</v>
      </c>
    </row>
    <row r="77" spans="1:8" ht="16.8" x14ac:dyDescent="0.3">
      <c r="A77" s="70">
        <f>'BASE MAESTRA'!B83</f>
        <v>75</v>
      </c>
      <c r="B77" s="19">
        <f t="shared" si="2"/>
        <v>0</v>
      </c>
      <c r="H77" s="19">
        <f t="shared" si="3"/>
        <v>75</v>
      </c>
    </row>
    <row r="78" spans="1:8" ht="16.8" x14ac:dyDescent="0.3">
      <c r="A78" s="70">
        <f>'BASE MAESTRA'!B84</f>
        <v>76</v>
      </c>
      <c r="B78" s="19">
        <f t="shared" si="2"/>
        <v>0</v>
      </c>
      <c r="H78" s="19">
        <f t="shared" si="3"/>
        <v>76</v>
      </c>
    </row>
    <row r="79" spans="1:8" ht="16.8" x14ac:dyDescent="0.3">
      <c r="A79" s="70">
        <f>'BASE MAESTRA'!B85</f>
        <v>77</v>
      </c>
      <c r="B79" s="19">
        <f t="shared" si="2"/>
        <v>0</v>
      </c>
      <c r="H79" s="19">
        <f t="shared" si="3"/>
        <v>77</v>
      </c>
    </row>
    <row r="80" spans="1:8" ht="16.8" x14ac:dyDescent="0.3">
      <c r="A80" s="70">
        <f>'BASE MAESTRA'!B86</f>
        <v>78</v>
      </c>
      <c r="B80" s="19">
        <f t="shared" si="2"/>
        <v>0</v>
      </c>
      <c r="H80" s="19">
        <f t="shared" si="3"/>
        <v>78</v>
      </c>
    </row>
    <row r="81" spans="1:8" ht="16.8" x14ac:dyDescent="0.3">
      <c r="A81" s="70">
        <f>'BASE MAESTRA'!B87</f>
        <v>79</v>
      </c>
      <c r="B81" s="19">
        <f t="shared" si="2"/>
        <v>0</v>
      </c>
      <c r="H81" s="19">
        <f t="shared" si="3"/>
        <v>79</v>
      </c>
    </row>
    <row r="82" spans="1:8" ht="16.8" x14ac:dyDescent="0.3">
      <c r="A82" s="70">
        <f>'BASE MAESTRA'!B88</f>
        <v>80</v>
      </c>
      <c r="B82" s="19">
        <f t="shared" si="2"/>
        <v>0</v>
      </c>
      <c r="H82" s="19">
        <f t="shared" si="3"/>
        <v>80</v>
      </c>
    </row>
    <row r="83" spans="1:8" ht="16.8" x14ac:dyDescent="0.3">
      <c r="A83" s="70">
        <f>'BASE MAESTRA'!B89</f>
        <v>81</v>
      </c>
      <c r="B83" s="19">
        <f t="shared" si="2"/>
        <v>0</v>
      </c>
      <c r="H83" s="19">
        <f t="shared" si="3"/>
        <v>81</v>
      </c>
    </row>
    <row r="84" spans="1:8" ht="16.8" x14ac:dyDescent="0.3">
      <c r="A84" s="70">
        <f>'BASE MAESTRA'!B90</f>
        <v>82</v>
      </c>
      <c r="B84" s="19">
        <f t="shared" si="2"/>
        <v>0</v>
      </c>
      <c r="H84" s="19">
        <f t="shared" si="3"/>
        <v>82</v>
      </c>
    </row>
    <row r="85" spans="1:8" ht="16.8" x14ac:dyDescent="0.3">
      <c r="A85" s="70">
        <f>'BASE MAESTRA'!B91</f>
        <v>83</v>
      </c>
      <c r="B85" s="19">
        <f t="shared" si="2"/>
        <v>0</v>
      </c>
      <c r="H85" s="19">
        <f t="shared" si="3"/>
        <v>83</v>
      </c>
    </row>
    <row r="86" spans="1:8" ht="16.8" x14ac:dyDescent="0.3">
      <c r="A86" s="70">
        <f>'BASE MAESTRA'!B92</f>
        <v>84</v>
      </c>
      <c r="B86" s="19">
        <f t="shared" si="2"/>
        <v>0</v>
      </c>
      <c r="H86" s="19">
        <f t="shared" si="3"/>
        <v>84</v>
      </c>
    </row>
    <row r="87" spans="1:8" ht="16.8" x14ac:dyDescent="0.3">
      <c r="A87" s="70">
        <f>'BASE MAESTRA'!B93</f>
        <v>85</v>
      </c>
      <c r="B87" s="19">
        <f t="shared" si="2"/>
        <v>0</v>
      </c>
      <c r="H87" s="19">
        <f t="shared" si="3"/>
        <v>85</v>
      </c>
    </row>
    <row r="88" spans="1:8" ht="16.8" x14ac:dyDescent="0.3">
      <c r="A88" s="70">
        <f>'BASE MAESTRA'!B94</f>
        <v>86</v>
      </c>
      <c r="B88" s="19">
        <f t="shared" si="2"/>
        <v>0</v>
      </c>
      <c r="H88" s="19">
        <f t="shared" si="3"/>
        <v>86</v>
      </c>
    </row>
    <row r="89" spans="1:8" ht="16.8" x14ac:dyDescent="0.3">
      <c r="A89" s="70">
        <f>'BASE MAESTRA'!B95</f>
        <v>87</v>
      </c>
      <c r="B89" s="19">
        <f t="shared" si="2"/>
        <v>0</v>
      </c>
      <c r="H89" s="19">
        <f t="shared" si="3"/>
        <v>87</v>
      </c>
    </row>
    <row r="90" spans="1:8" ht="16.8" x14ac:dyDescent="0.3">
      <c r="A90" s="70">
        <f>'BASE MAESTRA'!B96</f>
        <v>88</v>
      </c>
      <c r="B90" s="19">
        <f t="shared" si="2"/>
        <v>0</v>
      </c>
      <c r="H90" s="19">
        <f t="shared" si="3"/>
        <v>88</v>
      </c>
    </row>
    <row r="91" spans="1:8" ht="16.8" x14ac:dyDescent="0.3">
      <c r="A91" s="70">
        <f>'BASE MAESTRA'!B97</f>
        <v>89</v>
      </c>
      <c r="B91" s="19">
        <f t="shared" si="2"/>
        <v>0</v>
      </c>
      <c r="H91" s="19">
        <f t="shared" si="3"/>
        <v>89</v>
      </c>
    </row>
    <row r="92" spans="1:8" ht="16.8" x14ac:dyDescent="0.3">
      <c r="A92" s="70">
        <f>'BASE MAESTRA'!B98</f>
        <v>90</v>
      </c>
      <c r="B92" s="19">
        <f t="shared" si="2"/>
        <v>0</v>
      </c>
      <c r="H92" s="19">
        <f t="shared" si="3"/>
        <v>90</v>
      </c>
    </row>
    <row r="93" spans="1:8" ht="16.8" x14ac:dyDescent="0.3">
      <c r="A93" s="70">
        <f>'BASE MAESTRA'!B99</f>
        <v>91</v>
      </c>
      <c r="B93" s="19">
        <f t="shared" si="2"/>
        <v>0</v>
      </c>
      <c r="H93" s="19">
        <f t="shared" si="3"/>
        <v>91</v>
      </c>
    </row>
    <row r="94" spans="1:8" ht="16.8" x14ac:dyDescent="0.3">
      <c r="A94" s="70">
        <f>'BASE MAESTRA'!B100</f>
        <v>92</v>
      </c>
      <c r="B94" s="19">
        <f t="shared" si="2"/>
        <v>0</v>
      </c>
      <c r="H94" s="19">
        <f t="shared" si="3"/>
        <v>92</v>
      </c>
    </row>
    <row r="95" spans="1:8" ht="16.8" x14ac:dyDescent="0.3">
      <c r="A95" s="70">
        <f>'BASE MAESTRA'!B101</f>
        <v>93</v>
      </c>
      <c r="B95" s="19">
        <f t="shared" si="2"/>
        <v>0</v>
      </c>
      <c r="H95" s="19">
        <f t="shared" si="3"/>
        <v>93</v>
      </c>
    </row>
    <row r="96" spans="1:8" ht="16.8" x14ac:dyDescent="0.3">
      <c r="A96" s="70">
        <f>'BASE MAESTRA'!B102</f>
        <v>94</v>
      </c>
      <c r="B96" s="19">
        <f t="shared" si="2"/>
        <v>0</v>
      </c>
      <c r="H96" s="19">
        <f t="shared" si="3"/>
        <v>94</v>
      </c>
    </row>
    <row r="97" spans="1:8" ht="16.8" x14ac:dyDescent="0.3">
      <c r="A97" s="70">
        <f>'BASE MAESTRA'!B103</f>
        <v>95</v>
      </c>
      <c r="B97" s="19">
        <f t="shared" si="2"/>
        <v>0</v>
      </c>
      <c r="H97" s="19">
        <f t="shared" si="3"/>
        <v>95</v>
      </c>
    </row>
    <row r="98" spans="1:8" ht="16.8" x14ac:dyDescent="0.3">
      <c r="A98" s="70">
        <f>'BASE MAESTRA'!B104</f>
        <v>96</v>
      </c>
      <c r="B98" s="19">
        <f t="shared" si="2"/>
        <v>0</v>
      </c>
      <c r="H98" s="19">
        <f t="shared" si="3"/>
        <v>96</v>
      </c>
    </row>
    <row r="99" spans="1:8" ht="16.8" x14ac:dyDescent="0.3">
      <c r="A99" s="70">
        <f>'BASE MAESTRA'!B105</f>
        <v>97</v>
      </c>
      <c r="B99" s="19">
        <f t="shared" si="2"/>
        <v>0</v>
      </c>
      <c r="H99" s="19">
        <f t="shared" si="3"/>
        <v>97</v>
      </c>
    </row>
    <row r="100" spans="1:8" ht="16.8" x14ac:dyDescent="0.3">
      <c r="A100" s="70">
        <f>'BASE MAESTRA'!B106</f>
        <v>98</v>
      </c>
      <c r="B100" s="19">
        <f t="shared" si="2"/>
        <v>0</v>
      </c>
      <c r="H100" s="19">
        <f t="shared" si="3"/>
        <v>98</v>
      </c>
    </row>
    <row r="101" spans="1:8" ht="16.8" x14ac:dyDescent="0.3">
      <c r="A101" s="70">
        <f>'BASE MAESTRA'!B107</f>
        <v>99</v>
      </c>
      <c r="B101" s="19">
        <f t="shared" si="2"/>
        <v>0</v>
      </c>
      <c r="H101" s="19">
        <f t="shared" si="3"/>
        <v>99</v>
      </c>
    </row>
    <row r="102" spans="1:8" ht="16.8" x14ac:dyDescent="0.3">
      <c r="A102" s="70">
        <f>'BASE MAESTRA'!B108</f>
        <v>100</v>
      </c>
      <c r="B102" s="19">
        <f t="shared" si="2"/>
        <v>0</v>
      </c>
      <c r="H102" s="19">
        <f t="shared" si="3"/>
        <v>100</v>
      </c>
    </row>
    <row r="103" spans="1:8" ht="16.8" x14ac:dyDescent="0.3">
      <c r="A103" s="70">
        <f>'BASE MAESTRA'!B109</f>
        <v>101</v>
      </c>
      <c r="B103" s="19">
        <f t="shared" si="2"/>
        <v>0</v>
      </c>
      <c r="H103" s="19">
        <f t="shared" si="3"/>
        <v>101</v>
      </c>
    </row>
    <row r="104" spans="1:8" ht="16.8" x14ac:dyDescent="0.3">
      <c r="A104" s="70">
        <f>'BASE MAESTRA'!B110</f>
        <v>102</v>
      </c>
      <c r="B104" s="19">
        <f t="shared" si="2"/>
        <v>0</v>
      </c>
      <c r="H104" s="19">
        <f t="shared" si="3"/>
        <v>102</v>
      </c>
    </row>
    <row r="105" spans="1:8" ht="16.8" x14ac:dyDescent="0.3">
      <c r="A105" s="70">
        <f>'BASE MAESTRA'!B111</f>
        <v>103</v>
      </c>
      <c r="B105" s="19">
        <f t="shared" si="2"/>
        <v>0</v>
      </c>
      <c r="H105" s="19">
        <f t="shared" si="3"/>
        <v>103</v>
      </c>
    </row>
    <row r="106" spans="1:8" ht="16.8" x14ac:dyDescent="0.3">
      <c r="A106" s="70">
        <f>'BASE MAESTRA'!B112</f>
        <v>104</v>
      </c>
      <c r="B106" s="19">
        <f t="shared" si="2"/>
        <v>0</v>
      </c>
      <c r="H106" s="19">
        <f t="shared" si="3"/>
        <v>104</v>
      </c>
    </row>
    <row r="107" spans="1:8" ht="16.8" x14ac:dyDescent="0.3">
      <c r="A107" s="70">
        <f>'BASE MAESTRA'!B113</f>
        <v>105</v>
      </c>
      <c r="B107" s="19">
        <f t="shared" si="2"/>
        <v>0</v>
      </c>
      <c r="H107" s="19">
        <f t="shared" si="3"/>
        <v>105</v>
      </c>
    </row>
    <row r="108" spans="1:8" ht="16.8" x14ac:dyDescent="0.3">
      <c r="A108" s="70">
        <f>'BASE MAESTRA'!B114</f>
        <v>106</v>
      </c>
      <c r="B108" s="19">
        <f t="shared" si="2"/>
        <v>0</v>
      </c>
      <c r="H108" s="19">
        <f t="shared" si="3"/>
        <v>106</v>
      </c>
    </row>
    <row r="109" spans="1:8" ht="16.8" x14ac:dyDescent="0.3">
      <c r="A109" s="70">
        <f>'BASE MAESTRA'!B115</f>
        <v>107</v>
      </c>
      <c r="B109" s="19">
        <f t="shared" si="2"/>
        <v>0</v>
      </c>
      <c r="H109" s="19">
        <f t="shared" si="3"/>
        <v>107</v>
      </c>
    </row>
    <row r="110" spans="1:8" ht="16.8" x14ac:dyDescent="0.3">
      <c r="A110" s="70">
        <f>'BASE MAESTRA'!B116</f>
        <v>108</v>
      </c>
      <c r="B110" s="19">
        <f t="shared" si="2"/>
        <v>0</v>
      </c>
      <c r="H110" s="19">
        <f t="shared" si="3"/>
        <v>108</v>
      </c>
    </row>
    <row r="111" spans="1:8" ht="16.8" x14ac:dyDescent="0.3">
      <c r="A111" s="70">
        <f>'BASE MAESTRA'!B117</f>
        <v>109</v>
      </c>
      <c r="B111" s="19">
        <f t="shared" si="2"/>
        <v>0</v>
      </c>
      <c r="H111" s="19">
        <f t="shared" si="3"/>
        <v>109</v>
      </c>
    </row>
    <row r="112" spans="1:8" ht="16.8" x14ac:dyDescent="0.3">
      <c r="A112" s="70">
        <f>'BASE MAESTRA'!B118</f>
        <v>110</v>
      </c>
      <c r="B112" s="19">
        <f t="shared" si="2"/>
        <v>0</v>
      </c>
      <c r="H112" s="19">
        <f t="shared" si="3"/>
        <v>110</v>
      </c>
    </row>
    <row r="113" spans="1:8" ht="16.8" x14ac:dyDescent="0.3">
      <c r="A113" s="70">
        <f>'BASE MAESTRA'!B119</f>
        <v>111</v>
      </c>
      <c r="B113" s="19">
        <f t="shared" si="2"/>
        <v>0</v>
      </c>
      <c r="H113" s="19">
        <f t="shared" si="3"/>
        <v>111</v>
      </c>
    </row>
    <row r="114" spans="1:8" ht="16.8" x14ac:dyDescent="0.3">
      <c r="A114" s="70">
        <f>'BASE MAESTRA'!B120</f>
        <v>112</v>
      </c>
      <c r="B114" s="19">
        <f t="shared" si="2"/>
        <v>0</v>
      </c>
      <c r="H114" s="19">
        <f t="shared" si="3"/>
        <v>112</v>
      </c>
    </row>
    <row r="115" spans="1:8" ht="16.8" x14ac:dyDescent="0.3">
      <c r="A115" s="70">
        <f>'BASE MAESTRA'!B121</f>
        <v>113</v>
      </c>
      <c r="B115" s="19">
        <f t="shared" si="2"/>
        <v>0</v>
      </c>
      <c r="H115" s="19">
        <f t="shared" si="3"/>
        <v>113</v>
      </c>
    </row>
    <row r="116" spans="1:8" ht="16.8" x14ac:dyDescent="0.3">
      <c r="A116" s="70">
        <f>'BASE MAESTRA'!B122</f>
        <v>114</v>
      </c>
      <c r="B116" s="19">
        <f t="shared" si="2"/>
        <v>0</v>
      </c>
      <c r="H116" s="19">
        <f t="shared" si="3"/>
        <v>114</v>
      </c>
    </row>
    <row r="117" spans="1:8" ht="16.8" x14ac:dyDescent="0.3">
      <c r="A117" s="70">
        <f>'BASE MAESTRA'!B123</f>
        <v>115</v>
      </c>
      <c r="B117" s="19">
        <f t="shared" si="2"/>
        <v>0</v>
      </c>
      <c r="H117" s="19">
        <f t="shared" si="3"/>
        <v>115</v>
      </c>
    </row>
    <row r="118" spans="1:8" ht="16.8" x14ac:dyDescent="0.3">
      <c r="A118" s="70">
        <f>'BASE MAESTRA'!B124</f>
        <v>116</v>
      </c>
      <c r="B118" s="19">
        <f t="shared" si="2"/>
        <v>0</v>
      </c>
      <c r="H118" s="19">
        <f t="shared" si="3"/>
        <v>116</v>
      </c>
    </row>
    <row r="119" spans="1:8" ht="16.8" x14ac:dyDescent="0.3">
      <c r="A119" s="70">
        <f>'BASE MAESTRA'!B125</f>
        <v>117</v>
      </c>
      <c r="B119" s="19">
        <f t="shared" si="2"/>
        <v>0</v>
      </c>
      <c r="H119" s="19">
        <f t="shared" si="3"/>
        <v>117</v>
      </c>
    </row>
    <row r="120" spans="1:8" ht="16.8" x14ac:dyDescent="0.3">
      <c r="A120" s="70">
        <f>'BASE MAESTRA'!B126</f>
        <v>118</v>
      </c>
      <c r="B120" s="19">
        <f t="shared" si="2"/>
        <v>0</v>
      </c>
      <c r="H120" s="19">
        <f t="shared" si="3"/>
        <v>118</v>
      </c>
    </row>
    <row r="121" spans="1:8" ht="16.8" x14ac:dyDescent="0.3">
      <c r="A121" s="70">
        <f>'BASE MAESTRA'!B127</f>
        <v>119</v>
      </c>
      <c r="B121" s="19">
        <f t="shared" si="2"/>
        <v>0</v>
      </c>
      <c r="H121" s="19">
        <f t="shared" si="3"/>
        <v>119</v>
      </c>
    </row>
    <row r="122" spans="1:8" ht="16.8" x14ac:dyDescent="0.3">
      <c r="A122" s="70">
        <f>'BASE MAESTRA'!B128</f>
        <v>120</v>
      </c>
      <c r="B122" s="19">
        <f t="shared" si="2"/>
        <v>0</v>
      </c>
      <c r="H122" s="19">
        <f t="shared" si="3"/>
        <v>120</v>
      </c>
    </row>
    <row r="123" spans="1:8" ht="16.8" x14ac:dyDescent="0.3">
      <c r="A123" s="70">
        <f>'BASE MAESTRA'!B129</f>
        <v>121</v>
      </c>
      <c r="B123" s="19">
        <f t="shared" si="2"/>
        <v>0</v>
      </c>
      <c r="H123" s="19">
        <f t="shared" si="3"/>
        <v>121</v>
      </c>
    </row>
    <row r="124" spans="1:8" ht="16.8" x14ac:dyDescent="0.3">
      <c r="A124" s="70">
        <f>'BASE MAESTRA'!B130</f>
        <v>122</v>
      </c>
      <c r="B124" s="19">
        <f t="shared" si="2"/>
        <v>0</v>
      </c>
      <c r="H124" s="19">
        <f t="shared" si="3"/>
        <v>122</v>
      </c>
    </row>
    <row r="125" spans="1:8" ht="16.8" x14ac:dyDescent="0.3">
      <c r="A125" s="70">
        <f>'BASE MAESTRA'!B131</f>
        <v>123</v>
      </c>
      <c r="B125" s="19">
        <f t="shared" si="2"/>
        <v>0</v>
      </c>
      <c r="H125" s="19">
        <f t="shared" si="3"/>
        <v>123</v>
      </c>
    </row>
    <row r="126" spans="1:8" ht="16.8" x14ac:dyDescent="0.3">
      <c r="A126" s="70">
        <f>'BASE MAESTRA'!B132</f>
        <v>124</v>
      </c>
      <c r="B126" s="19">
        <f t="shared" si="2"/>
        <v>0</v>
      </c>
      <c r="H126" s="19">
        <f t="shared" si="3"/>
        <v>124</v>
      </c>
    </row>
    <row r="127" spans="1:8" ht="16.8" x14ac:dyDescent="0.3">
      <c r="A127" s="70">
        <f>'BASE MAESTRA'!B133</f>
        <v>125</v>
      </c>
      <c r="B127" s="19">
        <f t="shared" si="2"/>
        <v>0</v>
      </c>
      <c r="H127" s="19">
        <f t="shared" si="3"/>
        <v>125</v>
      </c>
    </row>
    <row r="128" spans="1:8" ht="16.8" x14ac:dyDescent="0.3">
      <c r="A128" s="70">
        <f>'BASE MAESTRA'!B134</f>
        <v>126</v>
      </c>
      <c r="B128" s="19">
        <f t="shared" si="2"/>
        <v>0</v>
      </c>
      <c r="H128" s="19">
        <f t="shared" si="3"/>
        <v>126</v>
      </c>
    </row>
    <row r="129" spans="1:8" ht="16.8" x14ac:dyDescent="0.3">
      <c r="A129" s="70">
        <f>'BASE MAESTRA'!B135</f>
        <v>127</v>
      </c>
      <c r="B129" s="19">
        <f t="shared" si="2"/>
        <v>0</v>
      </c>
      <c r="H129" s="19">
        <f t="shared" si="3"/>
        <v>127</v>
      </c>
    </row>
    <row r="130" spans="1:8" ht="16.8" x14ac:dyDescent="0.3">
      <c r="A130" s="70">
        <f>'BASE MAESTRA'!B136</f>
        <v>128</v>
      </c>
      <c r="B130" s="19">
        <f t="shared" si="2"/>
        <v>0</v>
      </c>
      <c r="H130" s="19">
        <f t="shared" si="3"/>
        <v>128</v>
      </c>
    </row>
    <row r="131" spans="1:8" ht="16.8" x14ac:dyDescent="0.3">
      <c r="A131" s="70">
        <f>'BASE MAESTRA'!B137</f>
        <v>129</v>
      </c>
      <c r="B131" s="19">
        <f t="shared" ref="B131:B194" si="4">VLOOKUP($A131,DatosEspecies,B$2,FALSE)</f>
        <v>0</v>
      </c>
      <c r="H131" s="19">
        <f t="shared" ref="H131:H194" si="5">VLOOKUP($A131,DatosEspecies,H$2,FALSE)</f>
        <v>129</v>
      </c>
    </row>
    <row r="132" spans="1:8" ht="16.8" x14ac:dyDescent="0.3">
      <c r="A132" s="70">
        <f>'BASE MAESTRA'!B138</f>
        <v>130</v>
      </c>
      <c r="B132" s="19">
        <f t="shared" si="4"/>
        <v>0</v>
      </c>
      <c r="H132" s="19">
        <f t="shared" si="5"/>
        <v>130</v>
      </c>
    </row>
    <row r="133" spans="1:8" ht="16.8" x14ac:dyDescent="0.3">
      <c r="A133" s="70">
        <f>'BASE MAESTRA'!B139</f>
        <v>131</v>
      </c>
      <c r="B133" s="19">
        <f t="shared" si="4"/>
        <v>0</v>
      </c>
      <c r="H133" s="19">
        <f t="shared" si="5"/>
        <v>131</v>
      </c>
    </row>
    <row r="134" spans="1:8" ht="16.8" x14ac:dyDescent="0.3">
      <c r="A134" s="70">
        <f>'BASE MAESTRA'!B140</f>
        <v>132</v>
      </c>
      <c r="B134" s="19">
        <f t="shared" si="4"/>
        <v>0</v>
      </c>
      <c r="H134" s="19">
        <f t="shared" si="5"/>
        <v>132</v>
      </c>
    </row>
    <row r="135" spans="1:8" ht="16.8" x14ac:dyDescent="0.3">
      <c r="A135" s="70">
        <f>'BASE MAESTRA'!B141</f>
        <v>133</v>
      </c>
      <c r="B135" s="19">
        <f t="shared" si="4"/>
        <v>0</v>
      </c>
      <c r="H135" s="19">
        <f t="shared" si="5"/>
        <v>133</v>
      </c>
    </row>
    <row r="136" spans="1:8" ht="16.8" x14ac:dyDescent="0.3">
      <c r="A136" s="70">
        <f>'BASE MAESTRA'!B142</f>
        <v>134</v>
      </c>
      <c r="B136" s="19">
        <f t="shared" si="4"/>
        <v>0</v>
      </c>
      <c r="H136" s="19">
        <f t="shared" si="5"/>
        <v>134</v>
      </c>
    </row>
    <row r="137" spans="1:8" ht="16.8" x14ac:dyDescent="0.3">
      <c r="A137" s="70">
        <f>'BASE MAESTRA'!B143</f>
        <v>135</v>
      </c>
      <c r="B137" s="19">
        <f t="shared" si="4"/>
        <v>0</v>
      </c>
      <c r="H137" s="19">
        <f t="shared" si="5"/>
        <v>135</v>
      </c>
    </row>
    <row r="138" spans="1:8" ht="16.8" x14ac:dyDescent="0.3">
      <c r="A138" s="70">
        <f>'BASE MAESTRA'!B144</f>
        <v>136</v>
      </c>
      <c r="B138" s="19">
        <f t="shared" si="4"/>
        <v>0</v>
      </c>
      <c r="H138" s="19">
        <f t="shared" si="5"/>
        <v>136</v>
      </c>
    </row>
    <row r="139" spans="1:8" ht="16.8" x14ac:dyDescent="0.3">
      <c r="A139" s="70">
        <f>'BASE MAESTRA'!B145</f>
        <v>137</v>
      </c>
      <c r="B139" s="19">
        <f t="shared" si="4"/>
        <v>0</v>
      </c>
      <c r="H139" s="19">
        <f t="shared" si="5"/>
        <v>137</v>
      </c>
    </row>
    <row r="140" spans="1:8" ht="16.8" x14ac:dyDescent="0.3">
      <c r="A140" s="70">
        <f>'BASE MAESTRA'!B146</f>
        <v>138</v>
      </c>
      <c r="B140" s="19">
        <f t="shared" si="4"/>
        <v>0</v>
      </c>
      <c r="H140" s="19">
        <f t="shared" si="5"/>
        <v>138</v>
      </c>
    </row>
    <row r="141" spans="1:8" ht="16.8" x14ac:dyDescent="0.3">
      <c r="A141" s="70">
        <f>'BASE MAESTRA'!B147</f>
        <v>139</v>
      </c>
      <c r="B141" s="19">
        <f t="shared" si="4"/>
        <v>0</v>
      </c>
      <c r="H141" s="19">
        <f t="shared" si="5"/>
        <v>139</v>
      </c>
    </row>
    <row r="142" spans="1:8" ht="16.8" x14ac:dyDescent="0.3">
      <c r="A142" s="70">
        <f>'BASE MAESTRA'!B148</f>
        <v>140</v>
      </c>
      <c r="B142" s="19">
        <f t="shared" si="4"/>
        <v>0</v>
      </c>
      <c r="H142" s="19">
        <f t="shared" si="5"/>
        <v>140</v>
      </c>
    </row>
    <row r="143" spans="1:8" ht="16.8" x14ac:dyDescent="0.3">
      <c r="A143" s="70">
        <f>'BASE MAESTRA'!B149</f>
        <v>141</v>
      </c>
      <c r="B143" s="19">
        <f t="shared" si="4"/>
        <v>0</v>
      </c>
      <c r="H143" s="19">
        <f t="shared" si="5"/>
        <v>141</v>
      </c>
    </row>
    <row r="144" spans="1:8" ht="16.8" x14ac:dyDescent="0.3">
      <c r="A144" s="70">
        <f>'BASE MAESTRA'!B150</f>
        <v>142</v>
      </c>
      <c r="B144" s="19">
        <f t="shared" si="4"/>
        <v>0</v>
      </c>
      <c r="H144" s="19">
        <f t="shared" si="5"/>
        <v>142</v>
      </c>
    </row>
    <row r="145" spans="1:8" ht="16.8" x14ac:dyDescent="0.3">
      <c r="A145" s="70">
        <f>'BASE MAESTRA'!B151</f>
        <v>143</v>
      </c>
      <c r="B145" s="19">
        <f t="shared" si="4"/>
        <v>0</v>
      </c>
      <c r="H145" s="19">
        <f t="shared" si="5"/>
        <v>143</v>
      </c>
    </row>
    <row r="146" spans="1:8" ht="16.8" x14ac:dyDescent="0.3">
      <c r="A146" s="70">
        <f>'BASE MAESTRA'!B152</f>
        <v>144</v>
      </c>
      <c r="B146" s="19">
        <f t="shared" si="4"/>
        <v>0</v>
      </c>
      <c r="H146" s="19">
        <f t="shared" si="5"/>
        <v>144</v>
      </c>
    </row>
    <row r="147" spans="1:8" ht="16.8" x14ac:dyDescent="0.3">
      <c r="A147" s="70">
        <f>'BASE MAESTRA'!B153</f>
        <v>145</v>
      </c>
      <c r="B147" s="19">
        <f t="shared" si="4"/>
        <v>0</v>
      </c>
      <c r="H147" s="19">
        <f t="shared" si="5"/>
        <v>145</v>
      </c>
    </row>
    <row r="148" spans="1:8" ht="16.8" x14ac:dyDescent="0.3">
      <c r="A148" s="70">
        <f>'BASE MAESTRA'!B154</f>
        <v>146</v>
      </c>
      <c r="B148" s="19">
        <f t="shared" si="4"/>
        <v>0</v>
      </c>
      <c r="H148" s="19">
        <f t="shared" si="5"/>
        <v>146</v>
      </c>
    </row>
    <row r="149" spans="1:8" ht="16.8" x14ac:dyDescent="0.3">
      <c r="A149" s="70">
        <f>'BASE MAESTRA'!B155</f>
        <v>147</v>
      </c>
      <c r="B149" s="19">
        <f t="shared" si="4"/>
        <v>0</v>
      </c>
      <c r="H149" s="19">
        <f t="shared" si="5"/>
        <v>147</v>
      </c>
    </row>
    <row r="150" spans="1:8" ht="16.8" x14ac:dyDescent="0.3">
      <c r="A150" s="70">
        <f>'BASE MAESTRA'!B156</f>
        <v>148</v>
      </c>
      <c r="B150" s="19">
        <f t="shared" si="4"/>
        <v>0</v>
      </c>
      <c r="H150" s="19">
        <f t="shared" si="5"/>
        <v>148</v>
      </c>
    </row>
    <row r="151" spans="1:8" ht="16.8" x14ac:dyDescent="0.3">
      <c r="A151" s="70">
        <f>'BASE MAESTRA'!B157</f>
        <v>149</v>
      </c>
      <c r="B151" s="19">
        <f t="shared" si="4"/>
        <v>0</v>
      </c>
      <c r="H151" s="19">
        <f t="shared" si="5"/>
        <v>149</v>
      </c>
    </row>
    <row r="152" spans="1:8" ht="16.8" x14ac:dyDescent="0.3">
      <c r="A152" s="70">
        <f>'BASE MAESTRA'!B158</f>
        <v>150</v>
      </c>
      <c r="B152" s="19">
        <f t="shared" si="4"/>
        <v>0</v>
      </c>
      <c r="H152" s="19">
        <f t="shared" si="5"/>
        <v>150</v>
      </c>
    </row>
    <row r="153" spans="1:8" ht="16.8" x14ac:dyDescent="0.3">
      <c r="A153" s="70">
        <f>'BASE MAESTRA'!B159</f>
        <v>151</v>
      </c>
      <c r="B153" s="19">
        <f t="shared" si="4"/>
        <v>0</v>
      </c>
      <c r="H153" s="19">
        <f t="shared" si="5"/>
        <v>151</v>
      </c>
    </row>
    <row r="154" spans="1:8" ht="16.8" x14ac:dyDescent="0.3">
      <c r="A154" s="70">
        <f>'BASE MAESTRA'!B160</f>
        <v>152</v>
      </c>
      <c r="B154" s="19">
        <f t="shared" si="4"/>
        <v>0</v>
      </c>
      <c r="H154" s="19">
        <f t="shared" si="5"/>
        <v>152</v>
      </c>
    </row>
    <row r="155" spans="1:8" ht="16.8" x14ac:dyDescent="0.3">
      <c r="A155" s="70">
        <f>'BASE MAESTRA'!B161</f>
        <v>153</v>
      </c>
      <c r="B155" s="19">
        <f t="shared" si="4"/>
        <v>0</v>
      </c>
      <c r="H155" s="19">
        <f t="shared" si="5"/>
        <v>153</v>
      </c>
    </row>
    <row r="156" spans="1:8" ht="16.8" x14ac:dyDescent="0.3">
      <c r="A156" s="70">
        <f>'BASE MAESTRA'!B162</f>
        <v>154</v>
      </c>
      <c r="B156" s="19">
        <f t="shared" si="4"/>
        <v>0</v>
      </c>
      <c r="H156" s="19">
        <f t="shared" si="5"/>
        <v>154</v>
      </c>
    </row>
    <row r="157" spans="1:8" ht="16.8" x14ac:dyDescent="0.3">
      <c r="A157" s="70">
        <f>'BASE MAESTRA'!B163</f>
        <v>155</v>
      </c>
      <c r="B157" s="19">
        <f t="shared" si="4"/>
        <v>0</v>
      </c>
      <c r="H157" s="19">
        <f t="shared" si="5"/>
        <v>155</v>
      </c>
    </row>
    <row r="158" spans="1:8" ht="16.8" x14ac:dyDescent="0.3">
      <c r="A158" s="70">
        <f>'BASE MAESTRA'!B164</f>
        <v>156</v>
      </c>
      <c r="B158" s="19">
        <f t="shared" si="4"/>
        <v>0</v>
      </c>
      <c r="H158" s="19">
        <f t="shared" si="5"/>
        <v>156</v>
      </c>
    </row>
    <row r="159" spans="1:8" ht="16.8" x14ac:dyDescent="0.3">
      <c r="A159" s="70">
        <f>'BASE MAESTRA'!B165</f>
        <v>157</v>
      </c>
      <c r="B159" s="19">
        <f t="shared" si="4"/>
        <v>0</v>
      </c>
      <c r="H159" s="19">
        <f t="shared" si="5"/>
        <v>157</v>
      </c>
    </row>
    <row r="160" spans="1:8" ht="16.8" x14ac:dyDescent="0.3">
      <c r="A160" s="70">
        <f>'BASE MAESTRA'!B166</f>
        <v>158</v>
      </c>
      <c r="B160" s="19">
        <f t="shared" si="4"/>
        <v>0</v>
      </c>
      <c r="H160" s="19">
        <f t="shared" si="5"/>
        <v>158</v>
      </c>
    </row>
    <row r="161" spans="1:8" ht="16.8" x14ac:dyDescent="0.3">
      <c r="A161" s="70">
        <f>'BASE MAESTRA'!B167</f>
        <v>159</v>
      </c>
      <c r="B161" s="19">
        <f t="shared" si="4"/>
        <v>0</v>
      </c>
      <c r="H161" s="19">
        <f t="shared" si="5"/>
        <v>159</v>
      </c>
    </row>
    <row r="162" spans="1:8" ht="16.8" x14ac:dyDescent="0.3">
      <c r="A162" s="70">
        <f>'BASE MAESTRA'!B168</f>
        <v>160</v>
      </c>
      <c r="B162" s="19">
        <f t="shared" si="4"/>
        <v>0</v>
      </c>
      <c r="H162" s="19">
        <f t="shared" si="5"/>
        <v>160</v>
      </c>
    </row>
    <row r="163" spans="1:8" ht="16.8" x14ac:dyDescent="0.3">
      <c r="A163" s="70">
        <f>'BASE MAESTRA'!B169</f>
        <v>161</v>
      </c>
      <c r="B163" s="19">
        <f t="shared" si="4"/>
        <v>0</v>
      </c>
      <c r="H163" s="19">
        <f t="shared" si="5"/>
        <v>161</v>
      </c>
    </row>
    <row r="164" spans="1:8" ht="16.8" x14ac:dyDescent="0.3">
      <c r="A164" s="70">
        <f>'BASE MAESTRA'!B170</f>
        <v>162</v>
      </c>
      <c r="B164" s="19">
        <f t="shared" si="4"/>
        <v>0</v>
      </c>
      <c r="H164" s="19">
        <f t="shared" si="5"/>
        <v>162</v>
      </c>
    </row>
    <row r="165" spans="1:8" ht="16.8" x14ac:dyDescent="0.3">
      <c r="A165" s="70">
        <f>'BASE MAESTRA'!B171</f>
        <v>163</v>
      </c>
      <c r="B165" s="19">
        <f t="shared" si="4"/>
        <v>0</v>
      </c>
      <c r="H165" s="19">
        <f t="shared" si="5"/>
        <v>163</v>
      </c>
    </row>
    <row r="166" spans="1:8" ht="16.8" x14ac:dyDescent="0.3">
      <c r="A166" s="70">
        <f>'BASE MAESTRA'!B172</f>
        <v>164</v>
      </c>
      <c r="B166" s="19">
        <f t="shared" si="4"/>
        <v>0</v>
      </c>
      <c r="H166" s="19">
        <f t="shared" si="5"/>
        <v>164</v>
      </c>
    </row>
    <row r="167" spans="1:8" ht="16.8" x14ac:dyDescent="0.3">
      <c r="A167" s="70">
        <f>'BASE MAESTRA'!B173</f>
        <v>165</v>
      </c>
      <c r="B167" s="19">
        <f t="shared" si="4"/>
        <v>0</v>
      </c>
      <c r="H167" s="19">
        <f t="shared" si="5"/>
        <v>165</v>
      </c>
    </row>
    <row r="168" spans="1:8" ht="16.8" x14ac:dyDescent="0.3">
      <c r="A168" s="70">
        <f>'BASE MAESTRA'!B174</f>
        <v>166</v>
      </c>
      <c r="B168" s="19">
        <f t="shared" si="4"/>
        <v>0</v>
      </c>
      <c r="H168" s="19">
        <f t="shared" si="5"/>
        <v>166</v>
      </c>
    </row>
    <row r="169" spans="1:8" ht="16.8" x14ac:dyDescent="0.3">
      <c r="A169" s="70">
        <f>'BASE MAESTRA'!B175</f>
        <v>167</v>
      </c>
      <c r="B169" s="19">
        <f t="shared" si="4"/>
        <v>0</v>
      </c>
      <c r="H169" s="19">
        <f t="shared" si="5"/>
        <v>167</v>
      </c>
    </row>
    <row r="170" spans="1:8" ht="16.8" x14ac:dyDescent="0.3">
      <c r="A170" s="70">
        <f>'BASE MAESTRA'!B176</f>
        <v>168</v>
      </c>
      <c r="B170" s="19">
        <f t="shared" si="4"/>
        <v>0</v>
      </c>
      <c r="H170" s="19">
        <f t="shared" si="5"/>
        <v>168</v>
      </c>
    </row>
    <row r="171" spans="1:8" ht="16.8" x14ac:dyDescent="0.3">
      <c r="A171" s="70">
        <f>'BASE MAESTRA'!B177</f>
        <v>169</v>
      </c>
      <c r="B171" s="19">
        <f t="shared" si="4"/>
        <v>0</v>
      </c>
      <c r="H171" s="19">
        <f t="shared" si="5"/>
        <v>169</v>
      </c>
    </row>
    <row r="172" spans="1:8" ht="16.8" x14ac:dyDescent="0.3">
      <c r="A172" s="70">
        <f>'BASE MAESTRA'!B178</f>
        <v>170</v>
      </c>
      <c r="B172" s="19">
        <f t="shared" si="4"/>
        <v>0</v>
      </c>
      <c r="H172" s="19">
        <f t="shared" si="5"/>
        <v>170</v>
      </c>
    </row>
    <row r="173" spans="1:8" ht="16.8" x14ac:dyDescent="0.3">
      <c r="A173" s="70">
        <f>'BASE MAESTRA'!B179</f>
        <v>171</v>
      </c>
      <c r="B173" s="19">
        <f t="shared" si="4"/>
        <v>0</v>
      </c>
      <c r="H173" s="19">
        <f t="shared" si="5"/>
        <v>171</v>
      </c>
    </row>
    <row r="174" spans="1:8" ht="16.8" x14ac:dyDescent="0.3">
      <c r="A174" s="70">
        <f>'BASE MAESTRA'!B180</f>
        <v>172</v>
      </c>
      <c r="B174" s="19">
        <f t="shared" si="4"/>
        <v>0</v>
      </c>
      <c r="H174" s="19">
        <f t="shared" si="5"/>
        <v>172</v>
      </c>
    </row>
    <row r="175" spans="1:8" ht="16.8" x14ac:dyDescent="0.3">
      <c r="A175" s="70">
        <f>'BASE MAESTRA'!B181</f>
        <v>173</v>
      </c>
      <c r="B175" s="19">
        <f t="shared" si="4"/>
        <v>0</v>
      </c>
      <c r="H175" s="19">
        <f t="shared" si="5"/>
        <v>173</v>
      </c>
    </row>
    <row r="176" spans="1:8" ht="16.8" x14ac:dyDescent="0.3">
      <c r="A176" s="70">
        <f>'BASE MAESTRA'!B182</f>
        <v>174</v>
      </c>
      <c r="B176" s="19">
        <f t="shared" si="4"/>
        <v>0</v>
      </c>
      <c r="H176" s="19">
        <f t="shared" si="5"/>
        <v>174</v>
      </c>
    </row>
    <row r="177" spans="1:8" ht="16.8" x14ac:dyDescent="0.3">
      <c r="A177" s="70">
        <f>'BASE MAESTRA'!B183</f>
        <v>175</v>
      </c>
      <c r="B177" s="19">
        <f t="shared" si="4"/>
        <v>0</v>
      </c>
      <c r="H177" s="19">
        <f t="shared" si="5"/>
        <v>175</v>
      </c>
    </row>
    <row r="178" spans="1:8" ht="16.8" x14ac:dyDescent="0.3">
      <c r="A178" s="70">
        <f>'BASE MAESTRA'!B184</f>
        <v>176</v>
      </c>
      <c r="B178" s="19">
        <f t="shared" si="4"/>
        <v>0</v>
      </c>
      <c r="H178" s="19">
        <f t="shared" si="5"/>
        <v>176</v>
      </c>
    </row>
    <row r="179" spans="1:8" ht="16.8" x14ac:dyDescent="0.3">
      <c r="A179" s="70">
        <f>'BASE MAESTRA'!B185</f>
        <v>177</v>
      </c>
      <c r="B179" s="19">
        <f t="shared" si="4"/>
        <v>0</v>
      </c>
      <c r="H179" s="19">
        <f t="shared" si="5"/>
        <v>177</v>
      </c>
    </row>
    <row r="180" spans="1:8" ht="16.8" x14ac:dyDescent="0.3">
      <c r="A180" s="70">
        <f>'BASE MAESTRA'!B186</f>
        <v>178</v>
      </c>
      <c r="B180" s="19">
        <f t="shared" si="4"/>
        <v>0</v>
      </c>
      <c r="H180" s="19">
        <f t="shared" si="5"/>
        <v>178</v>
      </c>
    </row>
    <row r="181" spans="1:8" ht="16.8" x14ac:dyDescent="0.3">
      <c r="A181" s="70">
        <f>'BASE MAESTRA'!B187</f>
        <v>179</v>
      </c>
      <c r="B181" s="19">
        <f t="shared" si="4"/>
        <v>0</v>
      </c>
      <c r="H181" s="19">
        <f t="shared" si="5"/>
        <v>179</v>
      </c>
    </row>
    <row r="182" spans="1:8" ht="16.8" x14ac:dyDescent="0.3">
      <c r="A182" s="70">
        <f>'BASE MAESTRA'!B188</f>
        <v>180</v>
      </c>
      <c r="B182" s="19">
        <f t="shared" si="4"/>
        <v>0</v>
      </c>
      <c r="H182" s="19">
        <f t="shared" si="5"/>
        <v>180</v>
      </c>
    </row>
    <row r="183" spans="1:8" ht="16.8" x14ac:dyDescent="0.3">
      <c r="A183" s="70">
        <f>'BASE MAESTRA'!B189</f>
        <v>181</v>
      </c>
      <c r="B183" s="19">
        <f t="shared" si="4"/>
        <v>0</v>
      </c>
      <c r="H183" s="19">
        <f t="shared" si="5"/>
        <v>181</v>
      </c>
    </row>
    <row r="184" spans="1:8" ht="16.8" x14ac:dyDescent="0.3">
      <c r="A184" s="70">
        <f>'BASE MAESTRA'!B190</f>
        <v>182</v>
      </c>
      <c r="B184" s="19">
        <f t="shared" si="4"/>
        <v>0</v>
      </c>
      <c r="H184" s="19">
        <f t="shared" si="5"/>
        <v>182</v>
      </c>
    </row>
    <row r="185" spans="1:8" ht="16.8" x14ac:dyDescent="0.3">
      <c r="A185" s="70">
        <f>'BASE MAESTRA'!B191</f>
        <v>183</v>
      </c>
      <c r="B185" s="19">
        <f t="shared" si="4"/>
        <v>0</v>
      </c>
      <c r="H185" s="19">
        <f t="shared" si="5"/>
        <v>183</v>
      </c>
    </row>
    <row r="186" spans="1:8" ht="16.8" x14ac:dyDescent="0.3">
      <c r="A186" s="70">
        <f>'BASE MAESTRA'!B192</f>
        <v>184</v>
      </c>
      <c r="B186" s="19">
        <f t="shared" si="4"/>
        <v>0</v>
      </c>
      <c r="H186" s="19">
        <f t="shared" si="5"/>
        <v>184</v>
      </c>
    </row>
    <row r="187" spans="1:8" ht="16.8" x14ac:dyDescent="0.3">
      <c r="A187" s="70">
        <f>'BASE MAESTRA'!B193</f>
        <v>185</v>
      </c>
      <c r="B187" s="19">
        <f t="shared" si="4"/>
        <v>0</v>
      </c>
      <c r="H187" s="19">
        <f t="shared" si="5"/>
        <v>185</v>
      </c>
    </row>
    <row r="188" spans="1:8" ht="16.8" x14ac:dyDescent="0.3">
      <c r="A188" s="70">
        <f>'BASE MAESTRA'!B194</f>
        <v>186</v>
      </c>
      <c r="B188" s="19">
        <f t="shared" si="4"/>
        <v>0</v>
      </c>
      <c r="H188" s="19">
        <f t="shared" si="5"/>
        <v>186</v>
      </c>
    </row>
    <row r="189" spans="1:8" ht="16.8" x14ac:dyDescent="0.3">
      <c r="A189" s="70">
        <f>'BASE MAESTRA'!B195</f>
        <v>187</v>
      </c>
      <c r="B189" s="19">
        <f t="shared" si="4"/>
        <v>0</v>
      </c>
      <c r="H189" s="19">
        <f t="shared" si="5"/>
        <v>187</v>
      </c>
    </row>
    <row r="190" spans="1:8" ht="16.8" x14ac:dyDescent="0.3">
      <c r="A190" s="70">
        <f>'BASE MAESTRA'!B196</f>
        <v>188</v>
      </c>
      <c r="B190" s="19">
        <f t="shared" si="4"/>
        <v>0</v>
      </c>
      <c r="H190" s="19">
        <f t="shared" si="5"/>
        <v>188</v>
      </c>
    </row>
    <row r="191" spans="1:8" ht="16.8" x14ac:dyDescent="0.3">
      <c r="A191" s="70">
        <f>'BASE MAESTRA'!B197</f>
        <v>189</v>
      </c>
      <c r="B191" s="19">
        <f t="shared" si="4"/>
        <v>0</v>
      </c>
      <c r="H191" s="19">
        <f t="shared" si="5"/>
        <v>189</v>
      </c>
    </row>
    <row r="192" spans="1:8" ht="16.8" x14ac:dyDescent="0.3">
      <c r="A192" s="70">
        <f>'BASE MAESTRA'!B198</f>
        <v>190</v>
      </c>
      <c r="B192" s="19">
        <f t="shared" si="4"/>
        <v>0</v>
      </c>
      <c r="H192" s="19">
        <f t="shared" si="5"/>
        <v>190</v>
      </c>
    </row>
    <row r="193" spans="1:8" ht="16.8" x14ac:dyDescent="0.3">
      <c r="A193" s="70">
        <f>'BASE MAESTRA'!B199</f>
        <v>191</v>
      </c>
      <c r="B193" s="19">
        <f t="shared" si="4"/>
        <v>0</v>
      </c>
      <c r="H193" s="19">
        <f t="shared" si="5"/>
        <v>191</v>
      </c>
    </row>
    <row r="194" spans="1:8" ht="16.8" x14ac:dyDescent="0.3">
      <c r="A194" s="70">
        <f>'BASE MAESTRA'!B200</f>
        <v>192</v>
      </c>
      <c r="B194" s="19">
        <f t="shared" si="4"/>
        <v>0</v>
      </c>
      <c r="H194" s="19">
        <f t="shared" si="5"/>
        <v>192</v>
      </c>
    </row>
    <row r="195" spans="1:8" ht="16.8" x14ac:dyDescent="0.3">
      <c r="A195" s="70">
        <f>'BASE MAESTRA'!B201</f>
        <v>193</v>
      </c>
      <c r="B195" s="19">
        <f t="shared" ref="B195:B202" si="6">VLOOKUP($A195,DatosEspecies,B$2,FALSE)</f>
        <v>0</v>
      </c>
      <c r="H195" s="19">
        <f t="shared" ref="H195:H202" si="7">VLOOKUP($A195,DatosEspecies,H$2,FALSE)</f>
        <v>193</v>
      </c>
    </row>
    <row r="196" spans="1:8" ht="16.8" x14ac:dyDescent="0.3">
      <c r="A196" s="70">
        <f>'BASE MAESTRA'!B202</f>
        <v>194</v>
      </c>
      <c r="B196" s="19">
        <f t="shared" si="6"/>
        <v>0</v>
      </c>
      <c r="H196" s="19">
        <f t="shared" si="7"/>
        <v>194</v>
      </c>
    </row>
    <row r="197" spans="1:8" ht="16.8" x14ac:dyDescent="0.3">
      <c r="A197" s="70">
        <f>'BASE MAESTRA'!B203</f>
        <v>195</v>
      </c>
      <c r="B197" s="19">
        <f t="shared" si="6"/>
        <v>0</v>
      </c>
      <c r="H197" s="19">
        <f t="shared" si="7"/>
        <v>195</v>
      </c>
    </row>
    <row r="198" spans="1:8" ht="16.8" x14ac:dyDescent="0.3">
      <c r="A198" s="70">
        <f>'BASE MAESTRA'!B204</f>
        <v>196</v>
      </c>
      <c r="B198" s="19">
        <f t="shared" si="6"/>
        <v>0</v>
      </c>
      <c r="H198" s="19">
        <f t="shared" si="7"/>
        <v>196</v>
      </c>
    </row>
    <row r="199" spans="1:8" ht="16.8" x14ac:dyDescent="0.3">
      <c r="A199" s="70">
        <f>'BASE MAESTRA'!B205</f>
        <v>197</v>
      </c>
      <c r="B199" s="19">
        <f t="shared" si="6"/>
        <v>0</v>
      </c>
      <c r="H199" s="19">
        <f t="shared" si="7"/>
        <v>197</v>
      </c>
    </row>
    <row r="200" spans="1:8" ht="16.8" x14ac:dyDescent="0.3">
      <c r="A200" s="70">
        <f>'BASE MAESTRA'!B206</f>
        <v>198</v>
      </c>
      <c r="B200" s="19">
        <f t="shared" si="6"/>
        <v>0</v>
      </c>
      <c r="H200" s="19">
        <f t="shared" si="7"/>
        <v>198</v>
      </c>
    </row>
    <row r="201" spans="1:8" ht="16.8" x14ac:dyDescent="0.3">
      <c r="A201" s="70">
        <f>'BASE MAESTRA'!B207</f>
        <v>199</v>
      </c>
      <c r="B201" s="19">
        <f t="shared" si="6"/>
        <v>0</v>
      </c>
      <c r="H201" s="19">
        <f t="shared" si="7"/>
        <v>199</v>
      </c>
    </row>
    <row r="202" spans="1:8" ht="16.8" x14ac:dyDescent="0.3">
      <c r="A202" s="70">
        <f>'BASE MAESTRA'!B208</f>
        <v>200</v>
      </c>
      <c r="B202" s="19">
        <f t="shared" si="6"/>
        <v>0</v>
      </c>
      <c r="H202" s="19">
        <f t="shared" si="7"/>
        <v>200</v>
      </c>
    </row>
  </sheetData>
  <customSheetViews>
    <customSheetView guid="{03A28D0E-D221-430C-9036-787CFB666EE7}" topLeftCell="B1">
      <selection activeCell="A3" sqref="A3:A138"/>
      <pageMargins left="0.7" right="0.7" top="0.75" bottom="0.75" header="0.3" footer="0.3"/>
    </customSheetView>
  </customSheetView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3</vt:i4>
      </vt:variant>
    </vt:vector>
  </HeadingPairs>
  <TitlesOfParts>
    <vt:vector size="20" baseType="lpstr">
      <vt:lpstr>README</vt:lpstr>
      <vt:lpstr>SIS DETAILS</vt:lpstr>
      <vt:lpstr>BASE MAESTRA</vt:lpstr>
      <vt:lpstr>references</vt:lpstr>
      <vt:lpstr>credits</vt:lpstr>
      <vt:lpstr>allfields</vt:lpstr>
      <vt:lpstr>assessments</vt:lpstr>
      <vt:lpstr>commonnames</vt:lpstr>
      <vt:lpstr>conservationneeded</vt:lpstr>
      <vt:lpstr>countries</vt:lpstr>
      <vt:lpstr>habitats</vt:lpstr>
      <vt:lpstr>plantspecific</vt:lpstr>
      <vt:lpstr>researchneeded</vt:lpstr>
      <vt:lpstr>synonyms</vt:lpstr>
      <vt:lpstr>taxonomy</vt:lpstr>
      <vt:lpstr>threats</vt:lpstr>
      <vt:lpstr>usetrade</vt:lpstr>
      <vt:lpstr>CamposSIS</vt:lpstr>
      <vt:lpstr>DatosEspecies</vt:lpstr>
      <vt:lpstr>SISdetails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Verónica B. Calle</cp:lastModifiedBy>
  <dcterms:created xsi:type="dcterms:W3CDTF">2015-06-05T18:19:34Z</dcterms:created>
  <dcterms:modified xsi:type="dcterms:W3CDTF">2026-07-15T02:46:41Z</dcterms:modified>
</cp:coreProperties>
</file>