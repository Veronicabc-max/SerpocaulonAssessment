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91a493888e4e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c0afcbdacf7414a"/>
    <x:sheet xmlns:r="http://schemas.openxmlformats.org/officeDocument/2006/relationships" name="LEEME_Fase1" sheetId="2" r:id="R6eb58ea75009447a"/>
    <x:sheet xmlns:r="http://schemas.openxmlformats.org/officeDocument/2006/relationships" name="QC_Coordenadas" sheetId="3" r:id="R0c82dc7af5ef4948"/>
  </x:sheets>
</x:workbook>
</file>

<file path=xl/sharedStrings.xml><?xml version="1.0" encoding="utf-8"?>
<x:sst xmlns:x="http://schemas.openxmlformats.org/spreadsheetml/2006/main">
  <x:si>
    <x:t xml:space="preserve">Species with author</x:t>
  </x:si>
  <x:si>
    <x:t xml:space="preserve">Species</x:t>
  </x:si>
  <x:si>
    <x:t xml:space="preserve">Collector</x:t>
  </x:si>
  <x:si>
    <x:t xml:space="preserve">Herbaria</x:t>
  </x:si>
  <x:si>
    <x:t xml:space="preserve">Locality</x:t>
  </x:si>
  <x:si>
    <x:t xml:space="preserve">Altitud</x:t>
  </x:si>
  <x:si>
    <x:t xml:space="preserve">altitud_min</x:t>
  </x:si>
  <x:si>
    <x:t xml:space="preserve">altitud_max</x:t>
  </x:si>
  <x:si>
    <x:t xml:space="preserve">N original</x:t>
  </x:si>
  <x:si>
    <x:t xml:space="preserve">N corregida</x:t>
  </x:si>
  <x:si>
    <x:t xml:space="preserve">W original</x:t>
  </x:si>
  <x:si>
    <x:t xml:space="preserve">W corregida</x:t>
  </x:si>
  <x:si>
    <x:t xml:space="preserve">N y W unificadas</x:t>
  </x:si>
  <x:si>
    <x:t xml:space="preserve">SRC EPSG: 4326</x:t>
  </x:si>
  <x:si>
    <x:t xml:space="preserve">Unnamed: 11</x:t>
  </x:si>
  <x:si>
    <x:t xml:space="preserve">Coord_unidas</x:t>
  </x:si>
  <x:si>
    <x:t xml:space="preserve">Proyección para Colombia</x:t>
  </x:si>
  <x:si>
    <x:t xml:space="preserve">Date</x:t>
  </x:si>
  <x:si>
    <x:t xml:space="preserve">Unnamed: 14</x:t>
  </x:si>
  <x:si>
    <x:t xml:space="preserve">Habit</x:t>
  </x:si>
  <x:si>
    <x:t xml:space="preserve">Unnamed: 16</x:t>
  </x:si>
  <x:si>
    <x:t xml:space="preserve">Unnamed: 17</x:t>
  </x:si>
  <x:si>
    <x:t xml:space="preserve">Latitud</x:t>
  </x:si>
  <x:si>
    <x:t xml:space="preserve">Longitud</x:t>
  </x:si>
  <x:si>
    <x:t xml:space="preserve">Error (m)</x:t>
  </x:si>
  <x:si>
    <x:t xml:space="preserve">Elevación (msnm)</x:t>
  </x:si>
  <x:si>
    <x:t xml:space="preserve">Notas</x:t>
  </x:si>
  <x:si>
    <x:t xml:space="preserve">Nombre en CapaPuntos</x:t>
  </x:si>
  <x:si>
    <x:t xml:space="preserve">Unnamed: 26</x:t>
  </x:si>
  <x:si>
    <x:t xml:space="preserve">PREGUNTAS</x:t>
  </x:si>
  <x:si>
    <x:t xml:space="preserve">Nivel de calidad de la localidad</x:t>
  </x:si>
  <x:si>
    <x:t xml:space="preserve">country</x:t>
  </x:si>
  <x:si>
    <x:t xml:space="preserve">department</x:t>
  </x:si>
  <x:si>
    <x:t xml:space="preserve">municipality</x:t>
  </x:si>
  <x:si>
    <x:t xml:space="preserve">vereda</x:t>
  </x:si>
  <x:si>
    <x:t xml:space="preserve">ID</x:t>
  </x:si>
  <x:si>
    <x:t xml:space="preserve">S. adnatum (Kunze ex Klotzsch) A. R. Sm.</x:t>
  </x:si>
  <x:si>
    <x:t xml:space="preserve">Serpocaulon adnatum</x:t>
  </x:si>
  <x:si>
    <x:t xml:space="preserve">J. M. Idrobo, P. Pinto &amp; Bischler 2909</x:t>
  </x:si>
  <x:si>
    <x:t xml:space="preserve">COL 65724</x:t>
  </x:si>
  <x:si>
    <x:t xml:space="preserve">Huila, San Agustin, Mesitas, vìa Magdalena, Hoya del Magdalena</x:t>
  </x:si>
  <x:si>
    <x:t xml:space="preserve">N 01°52'36.24"</x:t>
  </x:si>
  <x:si>
    <x:t xml:space="preserve">01°52'36.24" N</x:t>
  </x:si>
  <x:si>
    <x:t xml:space="preserve">W 76°16'05.47"</x:t>
  </x:si>
  <x:si>
    <x:t xml:space="preserve">76°16'05.47" W</x:t>
  </x:si>
  <x:si>
    <x:t xml:space="preserve">01°52'36.24" N, 76°16'05.47" W</x:t>
  </x:si>
  <x:si>
    <x:t xml:space="preserve">1.8767333</x:t>
  </x:si>
  <x:si>
    <x:t xml:space="preserve">-76.2681861</x:t>
  </x:si>
  <x:si>
    <x:t xml:space="preserve">1.8767333,-76.2681861</x:t>
  </x:si>
  <x:si>
    <x:t xml:space="preserve">Escandente</x:t>
  </x:si>
  <x:si>
    <x:t xml:space="preserve">Colombia</x:t>
  </x:si>
  <x:si>
    <x:t xml:space="preserve">Huila</x:t>
  </x:si>
  <x:si>
    <x:t xml:space="preserve">San Agustin</x:t>
  </x:si>
  <x:si>
    <x:t xml:space="preserve">Mesitas, vìa Magdalena, Hoya del Magdalena</x:t>
  </x:si>
  <x:si>
    <x:t xml:space="preserve">Hagemman W. &amp; N. Leist  1567</x:t>
  </x:si>
  <x:si>
    <x:t xml:space="preserve">COL 000335971</x:t>
  </x:si>
  <x:si>
    <x:t xml:space="preserve">Putumayo, 59 km. Al W de El Pepino, puente de Carretera encima del Valle principal. </x:t>
  </x:si>
  <x:si>
    <x:t xml:space="preserve">N 01°03'</x:t>
  </x:si>
  <x:si>
    <x:t xml:space="preserve">01°03' N</x:t>
  </x:si>
  <x:si>
    <x:t xml:space="preserve">W 76°38'</x:t>
  </x:si>
  <x:si>
    <x:t xml:space="preserve">76°38' W</x:t>
  </x:si>
  <x:si>
    <x:t xml:space="preserve">01°03' N, 76°38' W</x:t>
  </x:si>
  <x:si>
    <x:t xml:space="preserve">1.05</x:t>
  </x:si>
  <x:si>
    <x:t xml:space="preserve">-76.6333333</x:t>
  </x:si>
  <x:si>
    <x:t xml:space="preserve">1.05,-76.6333333</x:t>
  </x:si>
  <x:si>
    <x:t xml:space="preserve">Rup</x:t>
  </x:si>
  <x:si>
    <x:t xml:space="preserve">COL000336393</x:t>
  </x:si>
  <x:si>
    <x:t xml:space="preserve">Putumayo</x:t>
  </x:si>
  <x:si>
    <x:t xml:space="preserve">59 km. Al W de El Pepino</x:t>
  </x:si>
  <x:si>
    <x:t xml:space="preserve">puente de Carretera encima del Valle principal.</x:t>
  </x:si>
  <x:si>
    <x:t xml:space="preserve">Hagemman 1567</x:t>
  </x:si>
  <x:si>
    <x:t xml:space="preserve">PSO 4438</x:t>
  </x:si>
  <x:si>
    <x:t xml:space="preserve">Putumayo, El Pepino</x:t>
  </x:si>
  <x:si>
    <x:t xml:space="preserve">El Pepino</x:t>
  </x:si>
  <x:si>
    <x:t xml:space="preserve">S. adnatum (Kunze ex Klotzsch.) A. R. Sm.</x:t>
  </x:si>
  <x:si>
    <x:t xml:space="preserve">E. P. Killip &amp; H. Garcia 33919</x:t>
  </x:si>
  <x:si>
    <x:t xml:space="preserve">COL 18024</x:t>
  </x:si>
  <x:si>
    <x:t xml:space="preserve">Colombia, Valle del Cauca, San Antonio, west of Calí, near to summit of Cordillera Occidental.</x:t>
  </x:si>
  <x:si>
    <x:t xml:space="preserve">1900-2350</x:t>
  </x:si>
  <x:si>
    <x:t xml:space="preserve">sr</x:t>
  </x:si>
  <x:si>
    <x:t xml:space="preserve">7544</x:t>
  </x:si>
  <x:si>
    <x:t xml:space="preserve">He </x:t>
  </x:si>
  <x:si>
    <x:t xml:space="preserve">COL18024</x:t>
  </x:si>
  <x:si>
    <x:t xml:space="preserve">Valle del Cauca</x:t>
  </x:si>
  <x:si>
    <x:t xml:space="preserve">San Antonio</x:t>
  </x:si>
  <x:si>
    <x:t xml:space="preserve">west of Calí, near to summit of Cordillera Occidental.</x:t>
  </x:si>
  <x:si>
    <x:t xml:space="preserve">Grubb P.J. &amp; D.A. Guymer 91</x:t>
  </x:si>
  <x:si>
    <x:t xml:space="preserve">COL 000335787</x:t>
  </x:si>
  <x:si>
    <x:t xml:space="preserve">Colombia, Boyacá, Sierra Nevada del Cocuy, arround Bocota.</x:t>
  </x:si>
  <x:si>
    <x:t xml:space="preserve">COL000335787</x:t>
  </x:si>
  <x:si>
    <x:t xml:space="preserve">Boyacá</x:t>
  </x:si>
  <x:si>
    <x:t xml:space="preserve">Sierra Nevada del Cocuy</x:t>
  </x:si>
  <x:si>
    <x:t xml:space="preserve">arround Bocota.</x:t>
  </x:si>
  <x:si>
    <x:t xml:space="preserve">García-Barriga H 17344</x:t>
  </x:si>
  <x:si>
    <x:t xml:space="preserve">COL 000335999</x:t>
  </x:si>
  <x:si>
    <x:t xml:space="preserve">Colombia, Cundinamarca, San Francisco a La Vega.</x:t>
  </x:si>
  <x:si>
    <x:t xml:space="preserve">1500-1800</x:t>
  </x:si>
  <x:si>
    <x:t xml:space="preserve">COL000335999</x:t>
  </x:si>
  <x:si>
    <x:t xml:space="preserve">Cundinamarca</x:t>
  </x:si>
  <x:si>
    <x:t xml:space="preserve">San Francisco a La Vega.</x:t>
  </x:si>
  <x:si>
    <x:t xml:space="preserve">Jaramillo-Mejía et al., 3454</x:t>
  </x:si>
  <x:si>
    <x:t xml:space="preserve">COL 000335966</x:t>
  </x:si>
  <x:si>
    <x:t xml:space="preserve">Colombia, Cundinamarca, entre San Miguel y Fusagasugá, hacienda La Primavera.</x:t>
  </x:si>
  <x:si>
    <x:t xml:space="preserve">No encontré la hacienda. Ubiqué el punto cerca del alto San Miguel</x:t>
  </x:si>
  <x:si>
    <x:t xml:space="preserve">COL000335903</x:t>
  </x:si>
  <x:si>
    <x:t xml:space="preserve">entre San Miguel y Fusagasugá</x:t>
  </x:si>
  <x:si>
    <x:t xml:space="preserve">hacienda La Primavera.</x:t>
  </x:si>
  <x:si>
    <x:t xml:space="preserve">Murillo M.T. et al., 1517</x:t>
  </x:si>
  <x:si>
    <x:t xml:space="preserve">COL 000335789</x:t>
  </x:si>
  <x:si>
    <x:t xml:space="preserve">Colombia, Boyacá, entre Chiquinquirá y Pauna, en el sitio denominado Las Fuentes.</x:t>
  </x:si>
  <x:si>
    <x:t xml:space="preserve">2000-2300</x:t>
  </x:si>
  <x:si>
    <x:t xml:space="preserve">Hr</x:t>
  </x:si>
  <x:si>
    <x:t xml:space="preserve">COL000336597</x:t>
  </x:si>
  <x:si>
    <x:t xml:space="preserve">entre Chiquinquirá y Pauna</x:t>
  </x:si>
  <x:si>
    <x:t xml:space="preserve">en el sitio denominado Las Fuentes.</x:t>
  </x:si>
  <x:si>
    <x:t xml:space="preserve">Lellinger D.B. &amp; E. de la Sota 813</x:t>
  </x:si>
  <x:si>
    <x:t xml:space="preserve">COL 000335781</x:t>
  </x:si>
  <x:si>
    <x:t xml:space="preserve">Colombia, Valle del Cauca, Finca La Pradera ca 6 km SW of El Cairo on the trail to Río Blanco, between El Brillante and Boquerón.</x:t>
  </x:si>
  <x:si>
    <x:t xml:space="preserve">2150-2200</x:t>
  </x:si>
  <x:si>
    <x:t xml:space="preserve">He</x:t>
  </x:si>
  <x:si>
    <x:t xml:space="preserve">COL000335781</x:t>
  </x:si>
  <x:si>
    <x:t xml:space="preserve">Finca La Pradera ca 6 km SW of El Cairo on the trail to Río Blanco</x:t>
  </x:si>
  <x:si>
    <x:t xml:space="preserve">between El Brillante and Boquerón.</x:t>
  </x:si>
  <x:si>
    <x:t xml:space="preserve">Leist &amp; Mohle 2150</x:t>
  </x:si>
  <x:si>
    <x:t xml:space="preserve">COL 271499</x:t>
  </x:si>
  <x:si>
    <x:t xml:space="preserve">Colombia, Nariño, al W de el Diviso.</x:t>
  </x:si>
  <x:si>
    <x:t xml:space="preserve">PSO13147</x:t>
  </x:si>
  <x:si>
    <x:t xml:space="preserve">Nariño</x:t>
  </x:si>
  <x:si>
    <x:t xml:space="preserve">al W de el Diviso.</x:t>
  </x:si>
  <x:si>
    <x:t xml:space="preserve">Idrobo J.M. et al., 10521</x:t>
  </x:si>
  <x:si>
    <x:t xml:space="preserve">COL 217506</x:t>
  </x:si>
  <x:si>
    <x:t xml:space="preserve">Colombia, Tolima, Santa Isabel, Vereda La Pava, Finca La Pavita, Cordillera Central, vertiente oriental.</x:t>
  </x:si>
  <x:si>
    <x:t xml:space="preserve">COL217506</x:t>
  </x:si>
  <x:si>
    <x:t xml:space="preserve">Tolima</x:t>
  </x:si>
  <x:si>
    <x:t xml:space="preserve">Santa Isabel</x:t>
  </x:si>
  <x:si>
    <x:t xml:space="preserve">Vereda La Pava, Finca La Pavita, Cordillera Central, vertiente oriental.</x:t>
  </x:si>
  <x:si>
    <x:t xml:space="preserve">Osorio G. 78</x:t>
  </x:si>
  <x:si>
    <x:t xml:space="preserve">COL 248581</x:t>
  </x:si>
  <x:si>
    <x:t xml:space="preserve">Colombia, Huila, Pitalito, inspección policia La Laguna, alrededores.</x:t>
  </x:si>
  <x:si>
    <x:t xml:space="preserve">COL248581</x:t>
  </x:si>
  <x:si>
    <x:t xml:space="preserve">Pitalito</x:t>
  </x:si>
  <x:si>
    <x:t xml:space="preserve">inspección policia La Laguna, alrededores.</x:t>
  </x:si>
  <x:si>
    <x:t xml:space="preserve">P. Franco, O. Rangel, A. Cleef &amp; S. Salamanca 1654</x:t>
  </x:si>
  <x:si>
    <x:t xml:space="preserve">COL 415684</x:t>
  </x:si>
  <x:si>
    <x:t xml:space="preserve">Colombia, Valle del Cauca, Argelia, vereda Las Brisas.</x:t>
  </x:si>
  <x:si>
    <x:t xml:space="preserve">COL415684</x:t>
  </x:si>
  <x:si>
    <x:t xml:space="preserve">Argelia</x:t>
  </x:si>
  <x:si>
    <x:t xml:space="preserve">vereda Las Brisas.</x:t>
  </x:si>
  <x:si>
    <x:t xml:space="preserve">COL 278713</x:t>
  </x:si>
  <x:si>
    <x:t xml:space="preserve">Devia W. 742</x:t>
  </x:si>
  <x:si>
    <x:t xml:space="preserve">COL 307934</x:t>
  </x:si>
  <x:si>
    <x:t xml:space="preserve">Colombia, Valle del Cauca, Tuluá, corregimiento Monteloro, vereda La Diadema, Finca de don Rogelio.</x:t>
  </x:si>
  <x:si>
    <x:t xml:space="preserve">COL307934</x:t>
  </x:si>
  <x:si>
    <x:t xml:space="preserve">Tuluá</x:t>
  </x:si>
  <x:si>
    <x:t xml:space="preserve">corregimiento Monteloro, vereda La Diadema, Finca de don Rogelio.</x:t>
  </x:si>
  <x:si>
    <x:t xml:space="preserve">M. de Fraume et al., 343</x:t>
  </x:si>
  <x:si>
    <x:t xml:space="preserve">FAUC 222</x:t>
  </x:si>
  <x:si>
    <x:t xml:space="preserve">Caldas, Manizales, Monteleón</x:t>
  </x:si>
  <x:si>
    <x:t xml:space="preserve">N 05°03'28.00"</x:t>
  </x:si>
  <x:si>
    <x:t xml:space="preserve">05°03'28.00" N</x:t>
  </x:si>
  <x:si>
    <x:t xml:space="preserve">W75°29'58.00"</x:t>
  </x:si>
  <x:si>
    <x:t xml:space="preserve">5°29'58.00" W</x:t>
  </x:si>
  <x:si>
    <x:t xml:space="preserve">05°03'28.00" N, 5°29'58.00" W</x:t>
  </x:si>
  <x:si>
    <x:t xml:space="preserve">5.0577778</x:t>
  </x:si>
  <x:si>
    <x:t xml:space="preserve">-75.4994444</x:t>
  </x:si>
  <x:si>
    <x:t xml:space="preserve">5.0577778,-75.4994444</x:t>
  </x:si>
  <x:si>
    <x:t xml:space="preserve">ne</x:t>
  </x:si>
  <x:si>
    <x:t xml:space="preserve">Caldas</x:t>
  </x:si>
  <x:si>
    <x:t xml:space="preserve">Manizales</x:t>
  </x:si>
  <x:si>
    <x:t xml:space="preserve">Monteleón</x:t>
  </x:si>
  <x:si>
    <x:t xml:space="preserve">C. Vélez et al., 3675</x:t>
  </x:si>
  <x:si>
    <x:t xml:space="preserve">HUQ 12896</x:t>
  </x:si>
  <x:si>
    <x:t xml:space="preserve">Quindio, Cordoba, Vereda Las Auras, Finca la Palma Hermosa</x:t>
  </x:si>
  <x:si>
    <x:t xml:space="preserve">N 04°25'57.33"</x:t>
  </x:si>
  <x:si>
    <x:t xml:space="preserve">04°25'57.33" N</x:t>
  </x:si>
  <x:si>
    <x:t xml:space="preserve">W 75°40'04.19"</x:t>
  </x:si>
  <x:si>
    <x:t xml:space="preserve">75°40'04.19" W</x:t>
  </x:si>
  <x:si>
    <x:t xml:space="preserve">04°25'57.33" N, 75°40'04.19" W</x:t>
  </x:si>
  <x:si>
    <x:t xml:space="preserve">4.4325917</x:t>
  </x:si>
  <x:si>
    <x:t xml:space="preserve">-75.6678306</x:t>
  </x:si>
  <x:si>
    <x:t xml:space="preserve">4.4325917,-75.6678306</x:t>
  </x:si>
  <x:si>
    <x:t xml:space="preserve">HUQ12896</x:t>
  </x:si>
  <x:si>
    <x:t xml:space="preserve">Quindio</x:t>
  </x:si>
  <x:si>
    <x:t xml:space="preserve">Cordoba</x:t>
  </x:si>
  <x:si>
    <x:t xml:space="preserve">Vereda Las Auras, Finca la Palma Hermosa</x:t>
  </x:si>
  <x:si>
    <x:t xml:space="preserve">Mendoza H. &amp; J. Betancur 4956</x:t>
  </x:si>
  <x:si>
    <x:t xml:space="preserve">FMB 18326</x:t>
  </x:si>
  <x:si>
    <x:t xml:space="preserve">Colombia, Caquetá, San Vicente del Caguán, cuanca del Río Pato.</x:t>
  </x:si>
  <x:si>
    <x:t xml:space="preserve">N 02°48'49"</x:t>
  </x:si>
  <x:si>
    <x:t xml:space="preserve">02°48'49" N</x:t>
  </x:si>
  <x:si>
    <x:t xml:space="preserve">W 74°50'19"</x:t>
  </x:si>
  <x:si>
    <x:t xml:space="preserve">74°50'19" W</x:t>
  </x:si>
  <x:si>
    <x:t xml:space="preserve">02°48'49" N, 74°50'19" W</x:t>
  </x:si>
  <x:si>
    <x:t xml:space="preserve">2.8136111</x:t>
  </x:si>
  <x:si>
    <x:t xml:space="preserve">-74.8386111</x:t>
  </x:si>
  <x:si>
    <x:t xml:space="preserve">2.8136111,-74.8386111</x:t>
  </x:si>
  <x:si>
    <x:t xml:space="preserve">Caquetá</x:t>
  </x:si>
  <x:si>
    <x:t xml:space="preserve">San Vicente del Caguán</x:t>
  </x:si>
  <x:si>
    <x:t xml:space="preserve">cuanca del Río Pato.</x:t>
  </x:si>
  <x:si>
    <x:t xml:space="preserve">Mendoza H. &amp; J. Betancur 4643</x:t>
  </x:si>
  <x:si>
    <x:t xml:space="preserve">FMB 18319</x:t>
  </x:si>
  <x:si>
    <x:t xml:space="preserve">N 02°48'55"</x:t>
  </x:si>
  <x:si>
    <x:t xml:space="preserve">02°48'55" N</x:t>
  </x:si>
  <x:si>
    <x:t xml:space="preserve">W 74°50'31"</x:t>
  </x:si>
  <x:si>
    <x:t xml:space="preserve">74°50'31" W</x:t>
  </x:si>
  <x:si>
    <x:t xml:space="preserve">02°48'55" N, 74°50'31" W</x:t>
  </x:si>
  <x:si>
    <x:t xml:space="preserve">2.8152778</x:t>
  </x:si>
  <x:si>
    <x:t xml:space="preserve">-74.8419444</x:t>
  </x:si>
  <x:si>
    <x:t xml:space="preserve">2.8152778,-74.8419444</x:t>
  </x:si>
  <x:si>
    <x:t xml:space="preserve">FMB 18327</x:t>
  </x:si>
  <x:si>
    <x:t xml:space="preserve">Triana-Moreno L.A. 60</x:t>
  </x:si>
  <x:si>
    <x:t xml:space="preserve">COL 000070293</x:t>
  </x:si>
  <x:si>
    <x:t xml:space="preserve">Colombia, Cundinamarca, Albán, vereda Las Marias, Fundación Granjas Infantiles del Padre Luna, Granja del Gran Ciudadano, frente al peaje de Jalisco.</x:t>
  </x:si>
  <x:si>
    <x:t xml:space="preserve">Hr-Rup</x:t>
  </x:si>
  <x:si>
    <x:t xml:space="preserve">COL000070293</x:t>
  </x:si>
  <x:si>
    <x:t xml:space="preserve">Albán</x:t>
  </x:si>
  <x:si>
    <x:t xml:space="preserve">vereda Las Marias, Fundación Granjas Infantiles del Padre Luna, Granja del Gran Ciudadano, frente al peaje de Jalisco.</x:t>
  </x:si>
  <x:si>
    <x:t xml:space="preserve">COL 000070223</x:t>
  </x:si>
  <x:si>
    <x:t xml:space="preserve">COL 000070222</x:t>
  </x:si>
  <x:si>
    <x:t xml:space="preserve">Murillo J. &amp; D. Forero 3648</x:t>
  </x:si>
  <x:si>
    <x:t xml:space="preserve">COL 000153085</x:t>
  </x:si>
  <x:si>
    <x:t xml:space="preserve">Colombia, Santander, Floridablanca, de la Corcova hacia El Cerro La Judía.</x:t>
  </x:si>
  <x:si>
    <x:t xml:space="preserve">1800-2700</x:t>
  </x:si>
  <x:si>
    <x:t xml:space="preserve">COL000153085</x:t>
  </x:si>
  <x:si>
    <x:t xml:space="preserve">Santander</x:t>
  </x:si>
  <x:si>
    <x:t xml:space="preserve">Floridablanca</x:t>
  </x:si>
  <x:si>
    <x:t xml:space="preserve">de la Corcova hacia El Cerro La Judía.</x:t>
  </x:si>
  <x:si>
    <x:t xml:space="preserve">D. Sanín 653</x:t>
  </x:si>
  <x:si>
    <x:t xml:space="preserve">FAUC</x:t>
  </x:si>
  <x:si>
    <x:t xml:space="preserve">Colombia, Caldas, Neira, antigua fabrica Cemenos de Caldas.</x:t>
  </x:si>
  <x:si>
    <x:t xml:space="preserve">05°9'45"</x:t>
  </x:si>
  <x:si>
    <x:t xml:space="preserve">75°29'43.1" W</x:t>
  </x:si>
  <x:si>
    <x:t xml:space="preserve">05°9'45", 75°29'43.1" W</x:t>
  </x:si>
  <x:si>
    <x:t xml:space="preserve">5.1625</x:t>
  </x:si>
  <x:si>
    <x:t xml:space="preserve">-75.4953056</x:t>
  </x:si>
  <x:si>
    <x:t xml:space="preserve">5.1625,-75.4953056</x:t>
  </x:si>
  <x:si>
    <x:t xml:space="preserve">Sc</x:t>
  </x:si>
  <x:si>
    <x:t xml:space="preserve">Medí la incertidumbre desde el punto hasta el límite de la vereda del lado</x:t>
  </x:si>
  <x:si>
    <x:t xml:space="preserve">Neira</x:t>
  </x:si>
  <x:si>
    <x:t xml:space="preserve">antigua fabrica Cemenos de Caldas.</x:t>
  </x:si>
  <x:si>
    <x:t xml:space="preserve">Silva G.A. et al., 557</x:t>
  </x:si>
  <x:si>
    <x:t xml:space="preserve">FMB 88063</x:t>
  </x:si>
  <x:si>
    <x:t xml:space="preserve">Colombia, Huila, Pitalito, vereda El Triunfo, fonca El Pedregal, a 300 m de la casa de doña Isabel Chaus, entrando desde el borde donde colinda con cafetal.</x:t>
  </x:si>
  <x:si>
    <x:t xml:space="preserve">N 01° 48'32.4"</x:t>
  </x:si>
  <x:si>
    <x:t xml:space="preserve">01° 48'32.4" N</x:t>
  </x:si>
  <x:si>
    <x:t xml:space="preserve">W 76° 0'59.4"</x:t>
  </x:si>
  <x:si>
    <x:t xml:space="preserve">76° 0'59.4" W</x:t>
  </x:si>
  <x:si>
    <x:t xml:space="preserve">01° 48'32.4" N, 76° 0'59.4" W</x:t>
  </x:si>
  <x:si>
    <x:t xml:space="preserve">1.809</x:t>
  </x:si>
  <x:si>
    <x:t xml:space="preserve">-76.0165</x:t>
  </x:si>
  <x:si>
    <x:t xml:space="preserve">1.809,-76.0165</x:t>
  </x:si>
  <x:si>
    <x:t xml:space="preserve">vereda El Triunfo, fonca El Pedregal, a 300 m de la casa de doña Isabel Chaus, entrando desde el borde donde colinda con cafetal.</x:t>
  </x:si>
  <x:si>
    <x:t xml:space="preserve">Silva G.A. et al., 129</x:t>
  </x:si>
  <x:si>
    <x:t xml:space="preserve">FMB 79885</x:t>
  </x:si>
  <x:si>
    <x:t xml:space="preserve">Colombia, Huila, La Argentina, vereda El Progreso, finca Buenavista, 20 m debajo de la casa de don Constantino Gómez.</x:t>
  </x:si>
  <x:si>
    <x:t xml:space="preserve">N 02°12'44"</x:t>
  </x:si>
  <x:si>
    <x:t xml:space="preserve">02°12'44" N</x:t>
  </x:si>
  <x:si>
    <x:t xml:space="preserve">W 75°56'23"</x:t>
  </x:si>
  <x:si>
    <x:t xml:space="preserve">75°56'23" W</x:t>
  </x:si>
  <x:si>
    <x:t xml:space="preserve">02°12'44" N, 75°56'23" W</x:t>
  </x:si>
  <x:si>
    <x:t xml:space="preserve">2.2122222</x:t>
  </x:si>
  <x:si>
    <x:t xml:space="preserve">-75.9397222</x:t>
  </x:si>
  <x:si>
    <x:t xml:space="preserve">2.2122222,-75.9397222</x:t>
  </x:si>
  <x:si>
    <x:t xml:space="preserve">La Argentina</x:t>
  </x:si>
  <x:si>
    <x:t xml:space="preserve">vereda El Progreso, finca Buenavista, 20 m debajo de la casa de don Constantino Gómez.</x:t>
  </x:si>
  <x:si>
    <x:t xml:space="preserve">Silva G.A. et al., 237</x:t>
  </x:si>
  <x:si>
    <x:t xml:space="preserve">FMB 88058</x:t>
  </x:si>
  <x:si>
    <x:t xml:space="preserve">Colombia, Huila, La Argentina, vereda El Progreso, finca Palmira en una quebrada afluente de la quebrada Garrochal.</x:t>
  </x:si>
  <x:si>
    <x:t xml:space="preserve">N 02°12'47"</x:t>
  </x:si>
  <x:si>
    <x:t xml:space="preserve">02°12'47" N</x:t>
  </x:si>
  <x:si>
    <x:t xml:space="preserve">W 75°56'50"</x:t>
  </x:si>
  <x:si>
    <x:t xml:space="preserve">75°56'50" W</x:t>
  </x:si>
  <x:si>
    <x:t xml:space="preserve">02°12'47" N, 75°56'50" W</x:t>
  </x:si>
  <x:si>
    <x:t xml:space="preserve">2.2130556</x:t>
  </x:si>
  <x:si>
    <x:t xml:space="preserve">-75.9472222</x:t>
  </x:si>
  <x:si>
    <x:t xml:space="preserve">2.2130556,-75.9472222</x:t>
  </x:si>
  <x:si>
    <x:t xml:space="preserve">vereda El Progreso, finca Palmira en una quebrada afluente de la quebrada Garrochal.</x:t>
  </x:si>
  <x:si>
    <x:t xml:space="preserve">FMB 79994</x:t>
  </x:si>
  <x:si>
    <x:t xml:space="preserve">FMB 88059</x:t>
  </x:si>
  <x:si>
    <x:t xml:space="preserve">Muñoz E.L. et al., 1917</x:t>
  </x:si>
  <x:si>
    <x:t xml:space="preserve">CAUP 18762</x:t>
  </x:si>
  <x:si>
    <x:t xml:space="preserve">Colombia, Cauca, El Tambo, Reserva Natural Tambito.</x:t>
  </x:si>
  <x:si>
    <x:t xml:space="preserve">CAUP18762</x:t>
  </x:si>
  <x:si>
    <x:t xml:space="preserve">Cauca</x:t>
  </x:si>
  <x:si>
    <x:t xml:space="preserve">El Tambo</x:t>
  </x:si>
  <x:si>
    <x:t xml:space="preserve">Reserva Natural Tambito.</x:t>
  </x:si>
  <x:si>
    <x:t xml:space="preserve">D. Sanín &amp; E. Sanín 3253</x:t>
  </x:si>
  <x:si>
    <x:t xml:space="preserve">Colombia, Huila, San Agustín, vereda Platanares, relicto arriba de la Escuela Platanares.</x:t>
  </x:si>
  <x:si>
    <x:t xml:space="preserve">N 01° 59'5.95"</x:t>
  </x:si>
  <x:si>
    <x:t xml:space="preserve">01° 59'5.95" N</x:t>
  </x:si>
  <x:si>
    <x:t xml:space="preserve">76° 17' 7.81"</x:t>
  </x:si>
  <x:si>
    <x:t xml:space="preserve">76° 17' 7.81" W</x:t>
  </x:si>
  <x:si>
    <x:t xml:space="preserve">01° 59'5.95" N, 76° 17' 7.81" W</x:t>
  </x:si>
  <x:si>
    <x:t xml:space="preserve">1.9849861</x:t>
  </x:si>
  <x:si>
    <x:t xml:space="preserve">-76.2855028</x:t>
  </x:si>
  <x:si>
    <x:t xml:space="preserve">1.9849861,-76.2855028</x:t>
  </x:si>
  <x:si>
    <x:t xml:space="preserve">San Agustín</x:t>
  </x:si>
  <x:si>
    <x:t xml:space="preserve">vereda Platanares, relicto arriba de la Escuela Platanares.</x:t>
  </x:si>
  <x:si>
    <x:t xml:space="preserve">D. Sanín, L. F. Coca, J. F. Cardona &amp; C. A. Duque. 3316</x:t>
  </x:si>
  <x:si>
    <x:t xml:space="preserve">HUA</x:t>
  </x:si>
  <x:si>
    <x:t xml:space="preserve">Colombia, Caldas, Manizales-Villamaría, vereda Montaño, finca San Atonio, relicto al nororiente de la casa.</x:t>
  </x:si>
  <x:si>
    <x:t xml:space="preserve">04° 59' 5.57"</x:t>
  </x:si>
  <x:si>
    <x:t xml:space="preserve">75° 27' 4.10" W</x:t>
  </x:si>
  <x:si>
    <x:t xml:space="preserve">04° 59' 5.57", 75° 27' 4.10" W</x:t>
  </x:si>
  <x:si>
    <x:t xml:space="preserve">4.9848806</x:t>
  </x:si>
  <x:si>
    <x:t xml:space="preserve">-75.4511389</x:t>
  </x:si>
  <x:si>
    <x:t xml:space="preserve">4.9848806,-75.4511389</x:t>
  </x:si>
  <x:si>
    <x:t xml:space="preserve">Manizales-Villamaría</x:t>
  </x:si>
  <x:si>
    <x:t xml:space="preserve">vereda Montaño, finca San Atonio, relicto al nororiente de la casa.</x:t>
  </x:si>
  <x:si>
    <x:t xml:space="preserve">D. Sanín, J. C Ospina-Gonzalez &amp; E. Sanín 3080</x:t>
  </x:si>
  <x:si>
    <x:t xml:space="preserve">Colombia, Quindio, Filandia, vereda Cruces, corredor biologico Los Monos, Sendero El Otobo.</x:t>
  </x:si>
  <x:si>
    <x:t xml:space="preserve">04° 41' 6.20"</x:t>
  </x:si>
  <x:si>
    <x:t xml:space="preserve">75°37' 21.4"</x:t>
  </x:si>
  <x:si>
    <x:t xml:space="preserve">75°37' 21.4" W</x:t>
  </x:si>
  <x:si>
    <x:t xml:space="preserve">04° 41' 6.20", 75°37' 21.4" W</x:t>
  </x:si>
  <x:si>
    <x:t xml:space="preserve">4.6850556</x:t>
  </x:si>
  <x:si>
    <x:t xml:space="preserve">-75.6226111</x:t>
  </x:si>
  <x:si>
    <x:t xml:space="preserve">4.6850556,-75.6226111</x:t>
  </x:si>
  <x:si>
    <x:t xml:space="preserve">Hem</x:t>
  </x:si>
  <x:si>
    <x:t xml:space="preserve">D_Sanín3080</x:t>
  </x:si>
  <x:si>
    <x:t xml:space="preserve">Filandia</x:t>
  </x:si>
  <x:si>
    <x:t xml:space="preserve">vereda Cruces, corredor biologico Los Monos, Sendero El Otobo.</x:t>
  </x:si>
  <x:si>
    <x:t xml:space="preserve">D. Sanín &amp; E. Sanín 3214</x:t>
  </x:si>
  <x:si>
    <x:t xml:space="preserve">Colombia, Huila, Pitalito, vereda Charguayaco, Reserva de la comunidad el Arroyuelo.</x:t>
  </x:si>
  <x:si>
    <x:t xml:space="preserve">N 01° 46' 8.22"</x:t>
  </x:si>
  <x:si>
    <x:t xml:space="preserve">01° 46' 8.22" N</x:t>
  </x:si>
  <x:si>
    <x:t xml:space="preserve">76° 1' 7.44" W</x:t>
  </x:si>
  <x:si>
    <x:t xml:space="preserve">01° 46' 8.22" N, 76° 1' 7.44" W</x:t>
  </x:si>
  <x:si>
    <x:t xml:space="preserve">1.76895</x:t>
  </x:si>
  <x:si>
    <x:t xml:space="preserve">-76.0187333</x:t>
  </x:si>
  <x:si>
    <x:t xml:space="preserve">1.76895,-76.0187333</x:t>
  </x:si>
  <x:si>
    <x:t xml:space="preserve">vereda Charguayaco, Reserva de la comunidad el Arroyuelo.</x:t>
  </x:si>
  <x:si>
    <x:t xml:space="preserve">D. Sanín &amp; E. Sanín 3244</x:t>
  </x:si>
  <x:si>
    <x:t xml:space="preserve">Colombia, Huila, San Agustín, vereda La Chaquira, por el camino hacia el puente que atraviesa el río Magdalena, relicto debajo de la roca.</x:t>
  </x:si>
  <x:si>
    <x:t xml:space="preserve">N 01° 47' 102"</x:t>
  </x:si>
  <x:si>
    <x:t xml:space="preserve">01° 47' 102" N</x:t>
  </x:si>
  <x:si>
    <x:t xml:space="preserve">76° 02' 197" W</x:t>
  </x:si>
  <x:si>
    <x:t xml:space="preserve">01° 47' 102" N, 76° 02' 197" W</x:t>
  </x:si>
  <x:si>
    <x:t xml:space="preserve">D_Sanín3244</x:t>
  </x:si>
  <x:si>
    <x:t xml:space="preserve">vereda La Chaquira, por el camino hacia el puente que atraviesa el río Magdalena, relicto debajo de la roca.</x:t>
  </x:si>
  <x:si>
    <x:t xml:space="preserve">76° 02' 197"</x:t>
  </x:si>
  <x:si>
    <x:t xml:space="preserve">D. Sanín et al., 3178</x:t>
  </x:si>
  <x:si>
    <x:t xml:space="preserve">Colombia, Tolima, Ibague, Corregimiento de Juntas, vía la Escuela El Salto.</x:t>
  </x:si>
  <x:si>
    <x:t xml:space="preserve">04° 37' 45.3"</x:t>
  </x:si>
  <x:si>
    <x:t xml:space="preserve">75° 16' 9.31"</x:t>
  </x:si>
  <x:si>
    <x:t xml:space="preserve">75° 16' 9.31" W</x:t>
  </x:si>
  <x:si>
    <x:t xml:space="preserve">04° 37' 45.3", 75° 16' 9.31" W</x:t>
  </x:si>
  <x:si>
    <x:t xml:space="preserve">4.62925</x:t>
  </x:si>
  <x:si>
    <x:t xml:space="preserve">-75.2692528</x:t>
  </x:si>
  <x:si>
    <x:t xml:space="preserve">4.62925,-75.2692528</x:t>
  </x:si>
  <x:si>
    <x:t xml:space="preserve">D_Sanín3178</x:t>
  </x:si>
  <x:si>
    <x:t xml:space="preserve">Ibague</x:t>
  </x:si>
  <x:si>
    <x:t xml:space="preserve">Corregimiento de Juntas, vía la Escuela El Salto.</x:t>
  </x:si>
  <x:si>
    <x:t xml:space="preserve">D. Sanín, E. Sanín &amp; J. Toro 2446</x:t>
  </x:si>
  <x:si>
    <x:t xml:space="preserve">Colombia, Risaralda, Pereira, Reserva Otun Quimbaya, zona amortiguadora del Parque los Nevados.</x:t>
  </x:si>
  <x:si>
    <x:t xml:space="preserve">04° 43.752"</x:t>
  </x:si>
  <x:si>
    <x:t xml:space="preserve">75° 34.633"</x:t>
  </x:si>
  <x:si>
    <x:t xml:space="preserve">75° 34.633" W</x:t>
  </x:si>
  <x:si>
    <x:t xml:space="preserve">04° 43.752", 75° 34.633" W</x:t>
  </x:si>
  <x:si>
    <x:t xml:space="preserve">FAUC10676</x:t>
  </x:si>
  <x:si>
    <x:t xml:space="preserve">Risaralda</x:t>
  </x:si>
  <x:si>
    <x:t xml:space="preserve">Pereira</x:t>
  </x:si>
  <x:si>
    <x:t xml:space="preserve">Reserva Otun Quimbaya, zona amortiguadora del Parque los Nevados.</x:t>
  </x:si>
  <x:si>
    <x:t xml:space="preserve">J. H. Torres, O. Rangel, P. Franco, A. Cleef &amp; S. Salamanca 2147</x:t>
  </x:si>
  <x:si>
    <x:t xml:space="preserve">COL 264898</x:t>
  </x:si>
  <x:si>
    <x:t xml:space="preserve">Colombia, Risaralda, Santuario, vereda Los Planes.</x:t>
  </x:si>
  <x:si>
    <x:t xml:space="preserve">COL259502</x:t>
  </x:si>
  <x:si>
    <x:t xml:space="preserve">Santuario</x:t>
  </x:si>
  <x:si>
    <x:t xml:space="preserve">vereda Los Planes.</x:t>
  </x:si>
  <x:si>
    <x:t xml:space="preserve">J. E. Ramos, P. A. Silverstone &amp; L. H.Ramos 1163</x:t>
  </x:si>
  <x:si>
    <x:t xml:space="preserve">CUVC 20852</x:t>
  </x:si>
  <x:si>
    <x:t xml:space="preserve">Colombia, Chocó, San Jose del Palmar, vereda de Río Negro, Cerro Torrá, vertiente orientel río Negro, debajo del helipuerto.</x:t>
  </x:si>
  <x:si>
    <x:t xml:space="preserve">Tomé la coordenada de un gacetero donde la ubicación se da en el munucipio de Sipí</x:t>
  </x:si>
  <x:si>
    <x:t xml:space="preserve">CUVC20852</x:t>
  </x:si>
  <x:si>
    <x:t xml:space="preserve">Chocó</x:t>
  </x:si>
  <x:si>
    <x:t xml:space="preserve">San Jose del Palmar</x:t>
  </x:si>
  <x:si>
    <x:t xml:space="preserve">vereda de Río Negro, Cerro Torrá, vertiente orientel río Negro, debajo del helipuerto.</x:t>
  </x:si>
  <x:si>
    <x:t xml:space="preserve">H. Bischler 2246</x:t>
  </x:si>
  <x:si>
    <x:t xml:space="preserve">COL 82759</x:t>
  </x:si>
  <x:si>
    <x:t xml:space="preserve">Colombia, Cundinamarca, Laguna Pedro-Palo.</x:t>
  </x:si>
  <x:si>
    <x:t xml:space="preserve">2000-2500</x:t>
  </x:si>
  <x:si>
    <x:t xml:space="preserve">COL000335931</x:t>
  </x:si>
  <x:si>
    <x:t xml:space="preserve">Laguna Pedro-Palo.</x:t>
  </x:si>
  <x:si>
    <x:t xml:space="preserve">P. Franco, O. Rangel, A. Cleef &amp; S. Salamanca 1729</x:t>
  </x:si>
  <x:si>
    <x:t xml:space="preserve">COL 278888</x:t>
  </x:si>
  <x:si>
    <x:t xml:space="preserve">Colombia, Valle del Cauca, Argelia, vereda Las Brisas, Finca San Jorge.</x:t>
  </x:si>
  <x:si>
    <x:t xml:space="preserve">vereda Las Brisas, Finca San Jorge.</x:t>
  </x:si>
  <x:si>
    <x:t xml:space="preserve">S. adnatum (Kunze ex. Klotzsch)A. R. Sm.</x:t>
  </x:si>
  <x:si>
    <x:t xml:space="preserve">Hno. Daniel 678</x:t>
  </x:si>
  <x:si>
    <x:t xml:space="preserve">COL 178360</x:t>
  </x:si>
  <x:si>
    <x:t xml:space="preserve">Antioquia, La Ceja, Monte Uchubal</x:t>
  </x:si>
  <x:si>
    <x:t xml:space="preserve">N 06°01'50"</x:t>
  </x:si>
  <x:si>
    <x:t xml:space="preserve">06°01'50" N</x:t>
  </x:si>
  <x:si>
    <x:t xml:space="preserve">W 75°25'54.00"</x:t>
  </x:si>
  <x:si>
    <x:t xml:space="preserve">75°25'54.00" W</x:t>
  </x:si>
  <x:si>
    <x:t xml:space="preserve">06°01'50" N, 75°25'54.00" W</x:t>
  </x:si>
  <x:si>
    <x:t xml:space="preserve">6.0305556</x:t>
  </x:si>
  <x:si>
    <x:t xml:space="preserve">-75.4316667</x:t>
  </x:si>
  <x:si>
    <x:t xml:space="preserve">6.0305556,-75.4316667</x:t>
  </x:si>
  <x:si>
    <x:t xml:space="preserve">nr</x:t>
  </x:si>
  <x:si>
    <x:t xml:space="preserve">Se conservan las coordenadas originales una vez fue verificada la localidad y que la altura no sobrepasara 100 m</x:t>
  </x:si>
  <x:si>
    <x:t xml:space="preserve">Calculé la incertidumbre desde el punto que marqué hasta la vereda del lado</x:t>
  </x:si>
  <x:si>
    <x:t xml:space="preserve">Antioquia</x:t>
  </x:si>
  <x:si>
    <x:t xml:space="preserve">La Ceja</x:t>
  </x:si>
  <x:si>
    <x:t xml:space="preserve">Monte Uchubal</x:t>
  </x:si>
  <x:si>
    <x:t xml:space="preserve">J. Cuatrecasas 8617</x:t>
  </x:si>
  <x:si>
    <x:t xml:space="preserve">COL 22746</x:t>
  </x:si>
  <x:si>
    <x:t xml:space="preserve">Huila, Ondonada del Abra de San Andres, cordillera Oriental, vertiente occidental.</x:t>
  </x:si>
  <x:si>
    <x:t xml:space="preserve">1900-2100</x:t>
  </x:si>
  <x:si>
    <x:t xml:space="preserve">Utilicé de referencia el punto de un gacetero ubicado en el límite de Huila y Florencia, Caquetá</x:t>
  </x:si>
  <x:si>
    <x:t xml:space="preserve">COL22746</x:t>
  </x:si>
  <x:si>
    <x:t xml:space="preserve">Ondonada del Abra de San Andres</x:t>
  </x:si>
  <x:si>
    <x:t xml:space="preserve">cordillera Oriental, vertiente occidental.</x:t>
  </x:si>
  <x:si>
    <x:t xml:space="preserve">G. Gutierrez &amp; F. Barkley 17c004</x:t>
  </x:si>
  <x:si>
    <x:t xml:space="preserve">MEDEL 45011</x:t>
  </x:si>
  <x:si>
    <x:t xml:space="preserve">Antioquia, Cerca de Santa Elena, entre Medellin y Río Negro</x:t>
  </x:si>
  <x:si>
    <x:t xml:space="preserve">2300-2500</x:t>
  </x:si>
  <x:si>
    <x:t xml:space="preserve">N 06°13'</x:t>
  </x:si>
  <x:si>
    <x:t xml:space="preserve">06°13' N</x:t>
  </x:si>
  <x:si>
    <x:t xml:space="preserve">75°30' W</x:t>
  </x:si>
  <x:si>
    <x:t xml:space="preserve">06°13' N, 75°30' W</x:t>
  </x:si>
  <x:si>
    <x:t xml:space="preserve">6.2166667</x:t>
  </x:si>
  <x:si>
    <x:t xml:space="preserve">-75.5</x:t>
  </x:si>
  <x:si>
    <x:t xml:space="preserve">6.2166667,-75.5</x:t>
  </x:si>
  <x:si>
    <x:t xml:space="preserve">Cerca de Santa Elena</x:t>
  </x:si>
  <x:si>
    <x:t xml:space="preserve">entre Medellin y Río Negro</x:t>
  </x:si>
  <x:si>
    <x:t xml:space="preserve">COL 55021</x:t>
  </x:si>
  <x:si>
    <x:t xml:space="preserve">Skolnik R. et al., 353</x:t>
  </x:si>
  <x:si>
    <x:t xml:space="preserve">COL 493291</x:t>
  </x:si>
  <x:si>
    <x:t xml:space="preserve">Colombia, Antioquia, bajo la cumbre de Santa Elena, camino entre Medellín y Ríonegro.</x:t>
  </x:si>
  <x:si>
    <x:t xml:space="preserve">N 06°13'00"</x:t>
  </x:si>
  <x:si>
    <x:t xml:space="preserve">06°13'00" N</x:t>
  </x:si>
  <x:si>
    <x:t xml:space="preserve">W 75°30'00"</x:t>
  </x:si>
  <x:si>
    <x:t xml:space="preserve">75°30'00" W</x:t>
  </x:si>
  <x:si>
    <x:t xml:space="preserve">06°13'00" N, 75°30'00" W</x:t>
  </x:si>
  <x:si>
    <x:t xml:space="preserve">Se conservan las coordenadas originales una vez fue verificada la localidad</x:t>
  </x:si>
  <x:si>
    <x:t xml:space="preserve">bajo la cumbre de Santa Elena</x:t>
  </x:si>
  <x:si>
    <x:t xml:space="preserve">camino entre Medellín y Ríonegro.</x:t>
  </x:si>
  <x:si>
    <x:t xml:space="preserve">R. Guarín M. 345</x:t>
  </x:si>
  <x:si>
    <x:t xml:space="preserve">PSO 4547</x:t>
  </x:si>
  <x:si>
    <x:t xml:space="preserve">Putumayo, San Francisco, margen derecha a la salida de San Francisco</x:t>
  </x:si>
  <x:si>
    <x:t xml:space="preserve">N01°10'33.23"</x:t>
  </x:si>
  <x:si>
    <x:t xml:space="preserve">1°10'33.23" N</x:t>
  </x:si>
  <x:si>
    <x:t xml:space="preserve">W 76°52'45.68"</x:t>
  </x:si>
  <x:si>
    <x:t xml:space="preserve">76°52'45.68" W</x:t>
  </x:si>
  <x:si>
    <x:t xml:space="preserve">1°10'33.23" N, 76°52'45.68" W</x:t>
  </x:si>
  <x:si>
    <x:t xml:space="preserve">1.1758972</x:t>
  </x:si>
  <x:si>
    <x:t xml:space="preserve">-76.8793556</x:t>
  </x:si>
  <x:si>
    <x:t xml:space="preserve">1.1758972,-76.8793556</x:t>
  </x:si>
  <x:si>
    <x:t xml:space="preserve">San Francisco</x:t>
  </x:si>
  <x:si>
    <x:t xml:space="preserve">margen derecha a la salida de San Francisco</x:t>
  </x:si>
  <x:si>
    <x:t xml:space="preserve">S. Espinal &amp; J.  E. Ramos 3580</x:t>
  </x:si>
  <x:si>
    <x:t xml:space="preserve">COL 000336051</x:t>
  </x:si>
  <x:si>
    <x:t xml:space="preserve">Cauca, Paniquitá</x:t>
  </x:si>
  <x:si>
    <x:t xml:space="preserve">N 02° 31' 45" </x:t>
  </x:si>
  <x:si>
    <x:t xml:space="preserve">02° 31' 45" N</x:t>
  </x:si>
  <x:si>
    <x:t xml:space="preserve">W 76° 28' 7" </x:t>
  </x:si>
  <x:si>
    <x:t xml:space="preserve">76° 28' 7" W</x:t>
  </x:si>
  <x:si>
    <x:t xml:space="preserve">02° 31' 45" N, 76° 28' 7" W</x:t>
  </x:si>
  <x:si>
    <x:t xml:space="preserve">2.5291667</x:t>
  </x:si>
  <x:si>
    <x:t xml:space="preserve">-76.4686111</x:t>
  </x:si>
  <x:si>
    <x:t xml:space="preserve">2.5291667,-76.4686111</x:t>
  </x:si>
  <x:si>
    <x:t xml:space="preserve">Paniquitá</x:t>
  </x:si>
  <x:si>
    <x:t xml:space="preserve">CUVC 4145</x:t>
  </x:si>
  <x:si>
    <x:t xml:space="preserve">Atehortúa L. et al., 407</x:t>
  </x:si>
  <x:si>
    <x:t xml:space="preserve">HUA 5169</x:t>
  </x:si>
  <x:si>
    <x:t xml:space="preserve">Colombia, Antioquia, Rionegro, Santa Elena, Sajonia, quebrada El Yarumo.</x:t>
  </x:si>
  <x:si>
    <x:t xml:space="preserve">En la vereda Yarumal de Rionegro, hay un sector llamado Sajonia por donde pasa la quebrada Yarumal</x:t>
  </x:si>
  <x:si>
    <x:t xml:space="preserve">HUA5169</x:t>
  </x:si>
  <x:si>
    <x:t xml:space="preserve">Rionegro</x:t>
  </x:si>
  <x:si>
    <x:t xml:space="preserve">Santa Elena, Sajonia, quebrada El Yarumo.</x:t>
  </x:si>
  <x:si>
    <x:t xml:space="preserve">R. Callejas et al., 368</x:t>
  </x:si>
  <x:si>
    <x:t xml:space="preserve">HUA 5263</x:t>
  </x:si>
  <x:si>
    <x:t xml:space="preserve">Antioquia, Río Negro (Santa Elena), Sajonia</x:t>
  </x:si>
  <x:si>
    <x:t xml:space="preserve">N 06°09'18"</x:t>
  </x:si>
  <x:si>
    <x:t xml:space="preserve">06°09'18" N</x:t>
  </x:si>
  <x:si>
    <x:t xml:space="preserve">75°23'20" W</x:t>
  </x:si>
  <x:si>
    <x:t xml:space="preserve">06°09'18" N, 75°23'20" W</x:t>
  </x:si>
  <x:si>
    <x:t xml:space="preserve">6.155</x:t>
  </x:si>
  <x:si>
    <x:t xml:space="preserve">-75.3888889</x:t>
  </x:si>
  <x:si>
    <x:t xml:space="preserve">6.155,-75.3888889</x:t>
  </x:si>
  <x:si>
    <x:t xml:space="preserve">Epífito</x:t>
  </x:si>
  <x:si>
    <x:t xml:space="preserve">Sc: Scandent</x:t>
  </x:si>
  <x:si>
    <x:t xml:space="preserve">Río Negro (Santa Elena)</x:t>
  </x:si>
  <x:si>
    <x:t xml:space="preserve">Sajonia</x:t>
  </x:si>
  <x:si>
    <x:t xml:space="preserve">Atehórtua L. et al., 403</x:t>
  </x:si>
  <x:si>
    <x:t xml:space="preserve">HUA 5241</x:t>
  </x:si>
  <x:si>
    <x:t xml:space="preserve">L. Atehorthúa et al., 408</x:t>
  </x:si>
  <x:si>
    <x:t xml:space="preserve">Antioquia, Río Negro (Santa Elena), Sajonia (Quebrada el Yarumo)</x:t>
  </x:si>
  <x:si>
    <x:t xml:space="preserve">Hem: hemiepiphytic</x:t>
  </x:si>
  <x:si>
    <x:t xml:space="preserve">Marqué el punto donde la quebrada alcanzaba la elevación reportada</x:t>
  </x:si>
  <x:si>
    <x:t xml:space="preserve">Sajonia (Quebrada el Yarumo)</x:t>
  </x:si>
  <x:si>
    <x:t xml:space="preserve">V. Perez 6-p</x:t>
  </x:si>
  <x:si>
    <x:t xml:space="preserve">HUA 15379</x:t>
  </x:si>
  <x:si>
    <x:t xml:space="preserve">Caldas, Pácora, quebrada San Antonio, al NE de la población</x:t>
  </x:si>
  <x:si>
    <x:t xml:space="preserve">1700-1800</x:t>
  </x:si>
  <x:si>
    <x:t xml:space="preserve">N 05°31'33.38"</x:t>
  </x:si>
  <x:si>
    <x:t xml:space="preserve">05°31'33.38" N</x:t>
  </x:si>
  <x:si>
    <x:t xml:space="preserve">W 75°27'33.24"</x:t>
  </x:si>
  <x:si>
    <x:t xml:space="preserve">75°27'33.24" W</x:t>
  </x:si>
  <x:si>
    <x:t xml:space="preserve">05°31'33.38" N, 75°27'33.24" W</x:t>
  </x:si>
  <x:si>
    <x:t xml:space="preserve">5.5259389</x:t>
  </x:si>
  <x:si>
    <x:t xml:space="preserve">-75.4592333</x:t>
  </x:si>
  <x:si>
    <x:t xml:space="preserve">5.5259389,-75.4592333</x:t>
  </x:si>
  <x:si>
    <x:t xml:space="preserve">Pácora</x:t>
  </x:si>
  <x:si>
    <x:t xml:space="preserve">quebrada San Antonio, al NE de la población</x:t>
  </x:si>
  <x:si>
    <x:t xml:space="preserve">Pérez V. 06</x:t>
  </x:si>
  <x:si>
    <x:t xml:space="preserve">Colombia, Caldas, Pácora. Quebrada San Antonio al NE de la Población.</x:t>
  </x:si>
  <x:si>
    <x:t xml:space="preserve">N 01º53'36,18"</x:t>
  </x:si>
  <x:si>
    <x:t xml:space="preserve">W 76º17'14,17"</x:t>
  </x:si>
  <x:si>
    <x:t xml:space="preserve">Las coordenadas originales no se ubicaban en la quebrada San Antonio. Marqué la incertidumbre desde el punto hasta las coordenadas originales</x:t>
  </x:si>
  <x:si>
    <x:t xml:space="preserve">Pácora. Quebrada San Antonio al NE de la Población.</x:t>
  </x:si>
  <x:si>
    <x:t xml:space="preserve">Torres J.H. et al., 2147-A</x:t>
  </x:si>
  <x:si>
    <x:t xml:space="preserve">COL 259502</x:t>
  </x:si>
  <x:si>
    <x:t xml:space="preserve">J. H. Torres, O. Rangel, P. Franco, A. Cleef &amp; S. Salamanca 2147a</x:t>
  </x:si>
  <x:si>
    <x:t xml:space="preserve">Risaralda, Santuario, vereda los Planes</x:t>
  </x:si>
  <x:si>
    <x:t xml:space="preserve">N 05°04'20.87"</x:t>
  </x:si>
  <x:si>
    <x:t xml:space="preserve">05°04'20.87" N</x:t>
  </x:si>
  <x:si>
    <x:t xml:space="preserve">W 75°57'44.45"</x:t>
  </x:si>
  <x:si>
    <x:t xml:space="preserve">75°57'44.45" W</x:t>
  </x:si>
  <x:si>
    <x:t xml:space="preserve">05°04'20.87" N, 75°57'44.45" W</x:t>
  </x:si>
  <x:si>
    <x:t xml:space="preserve">5.0724639</x:t>
  </x:si>
  <x:si>
    <x:t xml:space="preserve">-75.9623472</x:t>
  </x:si>
  <x:si>
    <x:t xml:space="preserve">5.0724639,-75.9623472</x:t>
  </x:si>
  <x:si>
    <x:t xml:space="preserve">vereda los Planes</x:t>
  </x:si>
  <x:si>
    <x:t xml:space="preserve">A. Juncosa &amp; G. Misas 1094</x:t>
  </x:si>
  <x:si>
    <x:t xml:space="preserve">JAUM 5583</x:t>
  </x:si>
  <x:si>
    <x:t xml:space="preserve">Antioquia, Medellin, Alto de Morrogil</x:t>
  </x:si>
  <x:si>
    <x:t xml:space="preserve">2200-2370</x:t>
  </x:si>
  <x:si>
    <x:t xml:space="preserve">06° 15' N</x:t>
  </x:si>
  <x:si>
    <x:t xml:space="preserve">75°32' W</x:t>
  </x:si>
  <x:si>
    <x:t xml:space="preserve">06° 15' N, 75°32' W</x:t>
  </x:si>
  <x:si>
    <x:t xml:space="preserve">6.25</x:t>
  </x:si>
  <x:si>
    <x:t xml:space="preserve">-75.5333333</x:t>
  </x:si>
  <x:si>
    <x:t xml:space="preserve">6.25,-75.5333333</x:t>
  </x:si>
  <x:si>
    <x:t xml:space="preserve">JAUM5583</x:t>
  </x:si>
  <x:si>
    <x:t xml:space="preserve">Medellin</x:t>
  </x:si>
  <x:si>
    <x:t xml:space="preserve">Alto de Morrogil</x:t>
  </x:si>
  <x:si>
    <x:t xml:space="preserve">Roldán F.J. et al., 68</x:t>
  </x:si>
  <x:si>
    <x:t xml:space="preserve">HUA 24086</x:t>
  </x:si>
  <x:si>
    <x:t xml:space="preserve">Colombia, Antioquia, Guarne, vereda Piedras Blancas, cerca de la represa.</x:t>
  </x:si>
  <x:si>
    <x:t xml:space="preserve">N 06°16'48.04"</x:t>
  </x:si>
  <x:si>
    <x:t xml:space="preserve">06°16'48.04" N</x:t>
  </x:si>
  <x:si>
    <x:t xml:space="preserve">W 75°26'33.84"</x:t>
  </x:si>
  <x:si>
    <x:t xml:space="preserve">75°26'33.84" W</x:t>
  </x:si>
  <x:si>
    <x:t xml:space="preserve">06°16'48.04" N, 75°26'33.84" W</x:t>
  </x:si>
  <x:si>
    <x:t xml:space="preserve">6.2800111</x:t>
  </x:si>
  <x:si>
    <x:t xml:space="preserve">-75.4427333</x:t>
  </x:si>
  <x:si>
    <x:t xml:space="preserve">6.2800111,-75.4427333</x:t>
  </x:si>
  <x:si>
    <x:t xml:space="preserve">Escogí la coordenada proveniente de un gacetero</x:t>
  </x:si>
  <x:si>
    <x:t xml:space="preserve">Guarne</x:t>
  </x:si>
  <x:si>
    <x:t xml:space="preserve">vereda Piedras Blancas, cerca de la represa.</x:t>
  </x:si>
  <x:si>
    <x:t xml:space="preserve">L. Albert de Escobar et al., 3977</x:t>
  </x:si>
  <x:si>
    <x:t xml:space="preserve">HUA 20930</x:t>
  </x:si>
  <x:si>
    <x:t xml:space="preserve">Antioquia, Caldas, Vereda la Corrala, Finca la Zarza</x:t>
  </x:si>
  <x:si>
    <x:t xml:space="preserve">N 06°05'24.00"</x:t>
  </x:si>
  <x:si>
    <x:t xml:space="preserve">06°05'24.00" N</x:t>
  </x:si>
  <x:si>
    <x:t xml:space="preserve">W 75°38'16.80"</x:t>
  </x:si>
  <x:si>
    <x:t xml:space="preserve">75°38'16.80" W</x:t>
  </x:si>
  <x:si>
    <x:t xml:space="preserve">06°05'24.00" N, 75°38'16.80" W</x:t>
  </x:si>
  <x:si>
    <x:t xml:space="preserve">6.09</x:t>
  </x:si>
  <x:si>
    <x:t xml:space="preserve">-75.638</x:t>
  </x:si>
  <x:si>
    <x:t xml:space="preserve">6.09,-75.638</x:t>
  </x:si>
  <x:si>
    <x:t xml:space="preserve">Vereda la Corrala, Finca la Zarza</x:t>
  </x:si>
  <x:si>
    <x:t xml:space="preserve">M. de Fraume et al., 102</x:t>
  </x:si>
  <x:si>
    <x:t xml:space="preserve">HUA 62071</x:t>
  </x:si>
  <x:si>
    <x:t xml:space="preserve">W 75°29'58.00"</x:t>
  </x:si>
  <x:si>
    <x:t xml:space="preserve">75°29'58.00" W</x:t>
  </x:si>
  <x:si>
    <x:t xml:space="preserve">05°03'28.00" N, 75°29'58.00" W</x:t>
  </x:si>
  <x:si>
    <x:t xml:space="preserve">FAUC 0237</x:t>
  </x:si>
  <x:si>
    <x:t xml:space="preserve">M. de Fraume et al., 110</x:t>
  </x:si>
  <x:si>
    <x:t xml:space="preserve">FAUC 262</x:t>
  </x:si>
  <x:si>
    <x:t xml:space="preserve">N 05°04'01.68"</x:t>
  </x:si>
  <x:si>
    <x:t xml:space="preserve">05°04'01.68" N</x:t>
  </x:si>
  <x:si>
    <x:t xml:space="preserve">W 75°31'05.84"</x:t>
  </x:si>
  <x:si>
    <x:t xml:space="preserve">75°31'05.84" W</x:t>
  </x:si>
  <x:si>
    <x:t xml:space="preserve">05°04'01.68" N, 75°31'05.84" W</x:t>
  </x:si>
  <x:si>
    <x:t xml:space="preserve">5.0671333</x:t>
  </x:si>
  <x:si>
    <x:t xml:space="preserve">-75.5182889</x:t>
  </x:si>
  <x:si>
    <x:t xml:space="preserve">5.0671333,-75.5182889</x:t>
  </x:si>
  <x:si>
    <x:t xml:space="preserve">HUA 57454</x:t>
  </x:si>
  <x:si>
    <x:t xml:space="preserve">FAUC 258</x:t>
  </x:si>
  <x:si>
    <x:t xml:space="preserve">L. Albert de Escobar 5466</x:t>
  </x:si>
  <x:si>
    <x:t xml:space="preserve">HUA 24936</x:t>
  </x:si>
  <x:si>
    <x:t xml:space="preserve">Marqué la incertidumbre desde el punto hasta el límite con la vereda contigua</x:t>
  </x:si>
  <x:si>
    <x:t xml:space="preserve">A. M. Ríos 16</x:t>
  </x:si>
  <x:si>
    <x:t xml:space="preserve">FAUC 15419</x:t>
  </x:si>
  <x:si>
    <x:t xml:space="preserve">Medí la incertidumbre desde este punto hasta donde marcaban las coordenadas originales.</x:t>
  </x:si>
  <x:si>
    <x:t xml:space="preserve">J.M. Guzman &amp; H. J. Rios 05</x:t>
  </x:si>
  <x:si>
    <x:t xml:space="preserve">FAUC 2314</x:t>
  </x:si>
  <x:si>
    <x:t xml:space="preserve">Caldas, Manizales-Chinchiná, La Siria</x:t>
  </x:si>
  <x:si>
    <x:t xml:space="preserve">N 04°59'08.74"</x:t>
  </x:si>
  <x:si>
    <x:t xml:space="preserve">04°59'08.74" N</x:t>
  </x:si>
  <x:si>
    <x:t xml:space="preserve">W 75°36'25.04"</x:t>
  </x:si>
  <x:si>
    <x:t xml:space="preserve">75°36'25.04" W</x:t>
  </x:si>
  <x:si>
    <x:t xml:space="preserve">04°59'08.74" N, 75°36'25.04" W</x:t>
  </x:si>
  <x:si>
    <x:t xml:space="preserve">4.9857611</x:t>
  </x:si>
  <x:si>
    <x:t xml:space="preserve">-75.6069556</x:t>
  </x:si>
  <x:si>
    <x:t xml:space="preserve">4.9857611,-75.6069556</x:t>
  </x:si>
  <x:si>
    <x:t xml:space="preserve">Cuando la localidad está en medio de 2 municipios, la incertidumbre se marca usando los centroides de estos?</x:t>
  </x:si>
  <x:si>
    <x:t xml:space="preserve">Manizales-Chinchiná</x:t>
  </x:si>
  <x:si>
    <x:t xml:space="preserve">La Siria</x:t>
  </x:si>
  <x:si>
    <x:t xml:space="preserve">A. L. Arbelaez et al., 54</x:t>
  </x:si>
  <x:si>
    <x:t xml:space="preserve">HUA 46150</x:t>
  </x:si>
  <x:si>
    <x:t xml:space="preserve">Antioquia, La Unión, vía entre la Union y San Miguel</x:t>
  </x:si>
  <x:si>
    <x:t xml:space="preserve">2340-2430</x:t>
  </x:si>
  <x:si>
    <x:t xml:space="preserve">5°56' N </x:t>
  </x:si>
  <x:si>
    <x:t xml:space="preserve">5°56' N</x:t>
  </x:si>
  <x:si>
    <x:t xml:space="preserve">75°17'W</x:t>
  </x:si>
  <x:si>
    <x:t xml:space="preserve">5°56' N, 75°17'W</x:t>
  </x:si>
  <x:si>
    <x:t xml:space="preserve">5.9333333</x:t>
  </x:si>
  <x:si>
    <x:t xml:space="preserve">-75.2833333</x:t>
  </x:si>
  <x:si>
    <x:t xml:space="preserve">5.9333333,-75.2833333</x:t>
  </x:si>
  <x:si>
    <x:t xml:space="preserve">MEDEL25776</x:t>
  </x:si>
  <x:si>
    <x:t xml:space="preserve">La Unión</x:t>
  </x:si>
  <x:si>
    <x:t xml:space="preserve">vía entre la Union y San Miguel</x:t>
  </x:si>
  <x:si>
    <x:t xml:space="preserve">R. Callejas et al., 3792</x:t>
  </x:si>
  <x:si>
    <x:t xml:space="preserve">HUA 42574</x:t>
  </x:si>
  <x:si>
    <x:t xml:space="preserve">Antioquia, Jardín, vía Río Sucio, 4-5 km de Jardín, Vereda Quebrada Bonita</x:t>
  </x:si>
  <x:si>
    <x:t xml:space="preserve">1800-1900</x:t>
  </x:si>
  <x:si>
    <x:t xml:space="preserve">5° 30'N </x:t>
  </x:si>
  <x:si>
    <x:t xml:space="preserve">5° 30'N</x:t>
  </x:si>
  <x:si>
    <x:t xml:space="preserve">75° 50' W</x:t>
  </x:si>
  <x:si>
    <x:t xml:space="preserve">5° 30'N, 75° 50' W</x:t>
  </x:si>
  <x:si>
    <x:t xml:space="preserve">5.5</x:t>
  </x:si>
  <x:si>
    <x:t xml:space="preserve">-75.8333333</x:t>
  </x:si>
  <x:si>
    <x:t xml:space="preserve">5.5,-75.8333333</x:t>
  </x:si>
  <x:si>
    <x:t xml:space="preserve">Jardín</x:t>
  </x:si>
  <x:si>
    <x:t xml:space="preserve">vía Río Sucio, 4-5 km de Jardín, Vereda Quebrada Bonita</x:t>
  </x:si>
  <x:si>
    <x:t xml:space="preserve">A. L. Arbelaez et al., 272</x:t>
  </x:si>
  <x:si>
    <x:t xml:space="preserve">HUA 44787</x:t>
  </x:si>
  <x:si>
    <x:t xml:space="preserve">Antioquia, Salgar, 12 km al Noreste del Municipio, cerca de Finca la Regada, costado izquierdo de La Quebrada Liboriana</x:t>
  </x:si>
  <x:si>
    <x:t xml:space="preserve">N 05°57'39.59"</x:t>
  </x:si>
  <x:si>
    <x:t xml:space="preserve">05°57'39.59" N</x:t>
  </x:si>
  <x:si>
    <x:t xml:space="preserve">W 75°58'28.65"</x:t>
  </x:si>
  <x:si>
    <x:t xml:space="preserve">75°58'28.65" W</x:t>
  </x:si>
  <x:si>
    <x:t xml:space="preserve">05°57'39.59" N, 75°58'28.65" W</x:t>
  </x:si>
  <x:si>
    <x:t xml:space="preserve">5.9609972</x:t>
  </x:si>
  <x:si>
    <x:t xml:space="preserve">-75.974625</x:t>
  </x:si>
  <x:si>
    <x:t xml:space="preserve">5.9609972,-75.974625</x:t>
  </x:si>
  <x:si>
    <x:t xml:space="preserve">Salgar</x:t>
  </x:si>
  <x:si>
    <x:t xml:space="preserve">12 km al Noreste del Municipio, cerca de Finca la Regada, costado izquierdo de La Quebrada Liboriana</x:t>
  </x:si>
  <x:si>
    <x:t xml:space="preserve">O. de Benavides 9170</x:t>
  </x:si>
  <x:si>
    <x:t xml:space="preserve">PSO 20641</x:t>
  </x:si>
  <x:si>
    <x:t xml:space="preserve">Nariño, Ricaurte, vía San Isidro-La Planada.</x:t>
  </x:si>
  <x:si>
    <x:t xml:space="preserve">1°10'</x:t>
  </x:si>
  <x:si>
    <x:t xml:space="preserve">77°58'</x:t>
  </x:si>
  <x:si>
    <x:t xml:space="preserve">77°58' W</x:t>
  </x:si>
  <x:si>
    <x:t xml:space="preserve">1°10', 77°58' W</x:t>
  </x:si>
  <x:si>
    <x:t xml:space="preserve">1.1666667</x:t>
  </x:si>
  <x:si>
    <x:t xml:space="preserve">-77.9666667</x:t>
  </x:si>
  <x:si>
    <x:t xml:space="preserve">1.1666667,-77.9666667</x:t>
  </x:si>
  <x:si>
    <x:t xml:space="preserve">Ricaurte</x:t>
  </x:si>
  <x:si>
    <x:t xml:space="preserve">vía San Isidro-La Planada.</x:t>
  </x:si>
  <x:si>
    <x:t xml:space="preserve">O. de Benavides 9186</x:t>
  </x:si>
  <x:si>
    <x:t xml:space="preserve">PSO 20656</x:t>
  </x:si>
  <x:si>
    <x:t xml:space="preserve">O. de Benavides 9702</x:t>
  </x:si>
  <x:si>
    <x:t xml:space="preserve">PSO 20970</x:t>
  </x:si>
  <x:si>
    <x:t xml:space="preserve">Nariño, reserva La Planada, Quebradas, El Mar-La Calladita.</x:t>
  </x:si>
  <x:si>
    <x:t xml:space="preserve">reserva La Planada</x:t>
  </x:si>
  <x:si>
    <x:t xml:space="preserve">Quebradas, El Mar-La Calladita.</x:t>
  </x:si>
  <x:si>
    <x:t xml:space="preserve">O. de Benavides 9612</x:t>
  </x:si>
  <x:si>
    <x:t xml:space="preserve">PSO 20881</x:t>
  </x:si>
  <x:si>
    <x:t xml:space="preserve">Colombia, Nariño, reserva La Planada, Quebradas: EL Mar-La Calladita.</x:t>
  </x:si>
  <x:si>
    <x:t xml:space="preserve">N 01°10'</x:t>
  </x:si>
  <x:si>
    <x:t xml:space="preserve">01°10' N</x:t>
  </x:si>
  <x:si>
    <x:t xml:space="preserve">W 77°58'</x:t>
  </x:si>
  <x:si>
    <x:t xml:space="preserve">01°10' N, 77°58' W</x:t>
  </x:si>
  <x:si>
    <x:t xml:space="preserve">Quebradas: EL Mar-La Calladita.</x:t>
  </x:si>
  <x:si>
    <x:t xml:space="preserve">C.A. Agudelo &amp; M. C. Velez 302</x:t>
  </x:si>
  <x:si>
    <x:t xml:space="preserve">HUQ 5338</x:t>
  </x:si>
  <x:si>
    <x:t xml:space="preserve">Risaralda, Pereira, 2 km de la Finca la Suiza, vía Salento</x:t>
  </x:si>
  <x:si>
    <x:t xml:space="preserve">N 04°48'51.40"</x:t>
  </x:si>
  <x:si>
    <x:t xml:space="preserve">04°48'51.40" N</x:t>
  </x:si>
  <x:si>
    <x:t xml:space="preserve">W 75°41'40.41"</x:t>
  </x:si>
  <x:si>
    <x:t xml:space="preserve">75°41'40.41" W</x:t>
  </x:si>
  <x:si>
    <x:t xml:space="preserve">04°48'51.40" N, 75°41'40.41" W</x:t>
  </x:si>
  <x:si>
    <x:t xml:space="preserve">4.8142778</x:t>
  </x:si>
  <x:si>
    <x:t xml:space="preserve">-75.6945583</x:t>
  </x:si>
  <x:si>
    <x:t xml:space="preserve">4.8142778,-75.6945583</x:t>
  </x:si>
  <x:si>
    <x:t xml:space="preserve">HUQ5343</x:t>
  </x:si>
  <x:si>
    <x:t xml:space="preserve">2 km de la Finca la Suiza, vía Salento</x:t>
  </x:si>
  <x:si>
    <x:t xml:space="preserve">T. B. Croat 71389</x:t>
  </x:si>
  <x:si>
    <x:t xml:space="preserve">PSO 23292</x:t>
  </x:si>
  <x:si>
    <x:t xml:space="preserve">Nariño, Reserva La Planada, 7 km arriba de Chucunés, vía potrero de Hermogenes</x:t>
  </x:si>
  <x:si>
    <x:t xml:space="preserve">1800-1850</x:t>
  </x:si>
  <x:si>
    <x:t xml:space="preserve">PSO23292</x:t>
  </x:si>
  <x:si>
    <x:t xml:space="preserve">Reserva La Planada</x:t>
  </x:si>
  <x:si>
    <x:t xml:space="preserve">7 km arriba de Chucunés, vía potrero de Hermogenes</x:t>
  </x:si>
  <x:si>
    <x:t xml:space="preserve">F. Llanos &amp; J. Camacho 1797</x:t>
  </x:si>
  <x:si>
    <x:t xml:space="preserve">COL 427154</x:t>
  </x:si>
  <x:si>
    <x:t xml:space="preserve">Colombia, Huila, Colombia, Inspección de Santa Ana, vereda San Emilio, camino hacia la vereda Nueva Granada.</x:t>
  </x:si>
  <x:si>
    <x:t xml:space="preserve">COL427154</x:t>
  </x:si>
  <x:si>
    <x:t xml:space="preserve">Inspección de Santa Ana, vereda San Emilio, camino hacia la vereda Nueva Granada.</x:t>
  </x:si>
  <x:si>
    <x:t xml:space="preserve">S. Churchill &amp; W. Rengifo M. 17317</x:t>
  </x:si>
  <x:si>
    <x:t xml:space="preserve">HUA 75661</x:t>
  </x:si>
  <x:si>
    <x:t xml:space="preserve">Cauca, Popayán, 8 km al Este de la Ciudad</x:t>
  </x:si>
  <x:si>
    <x:t xml:space="preserve">2°26'N</x:t>
  </x:si>
  <x:si>
    <x:t xml:space="preserve">76°31' W</x:t>
  </x:si>
  <x:si>
    <x:t xml:space="preserve">2°26'N, 76°31' W</x:t>
  </x:si>
  <x:si>
    <x:t xml:space="preserve">2.4333333</x:t>
  </x:si>
  <x:si>
    <x:t xml:space="preserve">-76.5166667</x:t>
  </x:si>
  <x:si>
    <x:t xml:space="preserve">2.4333333,-76.5166667</x:t>
  </x:si>
  <x:si>
    <x:t xml:space="preserve">Popayán</x:t>
  </x:si>
  <x:si>
    <x:t xml:space="preserve">8 km al Este de la Ciudad</x:t>
  </x:si>
  <x:si>
    <x:t xml:space="preserve">Betancur J. et al., 3172</x:t>
  </x:si>
  <x:si>
    <x:t xml:space="preserve">COL 353006</x:t>
  </x:si>
  <x:si>
    <x:t xml:space="preserve">Colombia, Risaralda, Mistrató, corregimiento de Jeguadas, Cordillera Occidental, vertiente occidental.</x:t>
  </x:si>
  <x:si>
    <x:t xml:space="preserve">N 05°26'</x:t>
  </x:si>
  <x:si>
    <x:t xml:space="preserve">05°26' N</x:t>
  </x:si>
  <x:si>
    <x:t xml:space="preserve">W 76°02'</x:t>
  </x:si>
  <x:si>
    <x:t xml:space="preserve">76°02' W</x:t>
  </x:si>
  <x:si>
    <x:t xml:space="preserve">05°26' N, 76°02' W</x:t>
  </x:si>
  <x:si>
    <x:t xml:space="preserve">5.4333333</x:t>
  </x:si>
  <x:si>
    <x:t xml:space="preserve">-76.0333333</x:t>
  </x:si>
  <x:si>
    <x:t xml:space="preserve">5.4333333,-76.0333333</x:t>
  </x:si>
  <x:si>
    <x:t xml:space="preserve">Mistrató</x:t>
  </x:si>
  <x:si>
    <x:t xml:space="preserve">corregimiento de Jeguadas, Cordillera Occidental, vertiente occidental.</x:t>
  </x:si>
  <x:si>
    <x:t xml:space="preserve">A. Gomez et al., 612</x:t>
  </x:si>
  <x:si>
    <x:t xml:space="preserve">HUA 82495</x:t>
  </x:si>
  <x:si>
    <x:t xml:space="preserve">Antioquia, Yarumal/Valdivia, vereda El Cedro, sector alto de Ventanas</x:t>
  </x:si>
  <x:si>
    <x:t xml:space="preserve">1800-2300</x:t>
  </x:si>
  <x:si>
    <x:t xml:space="preserve">07° 05' N</x:t>
  </x:si>
  <x:si>
    <x:t xml:space="preserve">75°32'W</x:t>
  </x:si>
  <x:si>
    <x:t xml:space="preserve">07° 05' N, 75°32'W</x:t>
  </x:si>
  <x:si>
    <x:t xml:space="preserve">7.0833333</x:t>
  </x:si>
  <x:si>
    <x:t xml:space="preserve">7.0833333,-75.5333333</x:t>
  </x:si>
  <x:si>
    <x:t xml:space="preserve">Rup: Rupiculous</x:t>
  </x:si>
  <x:si>
    <x:t xml:space="preserve">HUA82495</x:t>
  </x:si>
  <x:si>
    <x:t xml:space="preserve">Yarumal/Valdivia</x:t>
  </x:si>
  <x:si>
    <x:t xml:space="preserve">vereda El Cedro, sector alto de Ventanas</x:t>
  </x:si>
  <x:si>
    <x:t xml:space="preserve">F. Llanos &amp; W. Botache 2461</x:t>
  </x:si>
  <x:si>
    <x:t xml:space="preserve">COL 468077</x:t>
  </x:si>
  <x:si>
    <x:t xml:space="preserve">Huila, Rivera, vereda Honda Alta, Quebrada la Honda.</x:t>
  </x:si>
  <x:si>
    <x:t xml:space="preserve">N 02°46'50.37"</x:t>
  </x:si>
  <x:si>
    <x:t xml:space="preserve">02°46'50.37" N</x:t>
  </x:si>
  <x:si>
    <x:t xml:space="preserve">W 75°15'23.96"</x:t>
  </x:si>
  <x:si>
    <x:t xml:space="preserve">75°15'23.96" W</x:t>
  </x:si>
  <x:si>
    <x:t xml:space="preserve">02°46'50.37" N, 75°15'23.96" W</x:t>
  </x:si>
  <x:si>
    <x:t xml:space="preserve">2.7806583</x:t>
  </x:si>
  <x:si>
    <x:t xml:space="preserve">-75.2566556</x:t>
  </x:si>
  <x:si>
    <x:t xml:space="preserve">2.7806583,-75.2566556</x:t>
  </x:si>
  <x:si>
    <x:t xml:space="preserve">Rivera</x:t>
  </x:si>
  <x:si>
    <x:t xml:space="preserve">vereda Honda Alta, Quebrada la Honda.</x:t>
  </x:si>
  <x:si>
    <x:t xml:space="preserve">F. Llanos &amp; W. Botache 2500</x:t>
  </x:si>
  <x:si>
    <x:t xml:space="preserve">COL 453558</x:t>
  </x:si>
  <x:si>
    <x:t xml:space="preserve">Colombia, Huila, Rivera, vereda Honda Alta, Quebrada la Honda.</x:t>
  </x:si>
  <x:si>
    <x:t xml:space="preserve">COL453558</x:t>
  </x:si>
  <x:si>
    <x:t xml:space="preserve">R. Fonnegra et al., 5287</x:t>
  </x:si>
  <x:si>
    <x:t xml:space="preserve">COL 419337</x:t>
  </x:si>
  <x:si>
    <x:t xml:space="preserve">Colombia, Antioquia, entre Medellin y Guarne, Parque Piedras Blancas, Sector las Lajas.</x:t>
  </x:si>
  <x:si>
    <x:t xml:space="preserve">6° 18'N</x:t>
  </x:si>
  <x:si>
    <x:t xml:space="preserve">75° 29' W</x:t>
  </x:si>
  <x:si>
    <x:t xml:space="preserve">6° 18'N, 75° 29' W</x:t>
  </x:si>
  <x:si>
    <x:t xml:space="preserve">6.3</x:t>
  </x:si>
  <x:si>
    <x:t xml:space="preserve">-75.4833333</x:t>
  </x:si>
  <x:si>
    <x:t xml:space="preserve">6.3,-75.4833333</x:t>
  </x:si>
  <x:si>
    <x:t xml:space="preserve">Escogí la coordenada proveniente de un gacetero. El parque Piedras blancas está entre Guarne y Copacabana</x:t>
  </x:si>
  <x:si>
    <x:t xml:space="preserve">entre Medellin y Guarne</x:t>
  </x:si>
  <x:si>
    <x:t xml:space="preserve">Parque Piedras Blancas, Sector las Lajas.</x:t>
  </x:si>
  <x:si>
    <x:t xml:space="preserve">R. Fonnegra et al., 5317</x:t>
  </x:si>
  <x:si>
    <x:t xml:space="preserve">HUA 99583 HUA 95314</x:t>
  </x:si>
  <x:si>
    <x:t xml:space="preserve">Antioquia, entre Medellin y Guarne, Parque Piedras Blancas, Sector las Lajas</x:t>
  </x:si>
  <x:si>
    <x:t xml:space="preserve">6° 18'N </x:t>
  </x:si>
  <x:si>
    <x:t xml:space="preserve">Parque Piedras Blancas, Sector las Lajas</x:t>
  </x:si>
  <x:si>
    <x:t xml:space="preserve">B. R. Ramirez-P. et al., 7131</x:t>
  </x:si>
  <x:si>
    <x:t xml:space="preserve">CUAP 2917</x:t>
  </x:si>
  <x:si>
    <x:t xml:space="preserve">Cauca, Popayán, Km 2,5 vía a Totoró, Río Blanco.</x:t>
  </x:si>
  <x:si>
    <x:t xml:space="preserve">N 02°27'</x:t>
  </x:si>
  <x:si>
    <x:t xml:space="preserve">02°27' N</x:t>
  </x:si>
  <x:si>
    <x:t xml:space="preserve">W 76°37'</x:t>
  </x:si>
  <x:si>
    <x:t xml:space="preserve">76°37' W</x:t>
  </x:si>
  <x:si>
    <x:t xml:space="preserve">02°27' N, 76°37' W</x:t>
  </x:si>
  <x:si>
    <x:t xml:space="preserve">2.45</x:t>
  </x:si>
  <x:si>
    <x:t xml:space="preserve">-76.6166667</x:t>
  </x:si>
  <x:si>
    <x:t xml:space="preserve">2.45,-76.6166667</x:t>
  </x:si>
  <x:si>
    <x:t xml:space="preserve">Km 2, 5 vía a Totoró, Río Blanco.</x:t>
  </x:si>
  <x:si>
    <x:t xml:space="preserve">PSO 31006</x:t>
  </x:si>
  <x:si>
    <x:t xml:space="preserve">Cauca, Popayán</x:t>
  </x:si>
  <x:si>
    <x:t xml:space="preserve">N 02°26'</x:t>
  </x:si>
  <x:si>
    <x:t xml:space="preserve">02°26' N</x:t>
  </x:si>
  <x:si>
    <x:t xml:space="preserve">02°26' N, 76°37' W</x:t>
  </x:si>
  <x:si>
    <x:t xml:space="preserve">2.4333333,-76.6166667</x:t>
  </x:si>
  <x:si>
    <x:t xml:space="preserve">Ramírez-P. B.R. 7131</x:t>
  </x:si>
  <x:si>
    <x:t xml:space="preserve">Colombia, Cauca, Popayán, a 2,5 km vía a Totoró, Río Blanco.</x:t>
  </x:si>
  <x:si>
    <x:t xml:space="preserve">N 02°30'14.14"</x:t>
  </x:si>
  <x:si>
    <x:t xml:space="preserve">02°30'14.14" N</x:t>
  </x:si>
  <x:si>
    <x:t xml:space="preserve">W 76°23'28.42"</x:t>
  </x:si>
  <x:si>
    <x:t xml:space="preserve">76°23'28.42" W</x:t>
  </x:si>
  <x:si>
    <x:t xml:space="preserve">02°30'14.14" N, 76°23'28.42" W</x:t>
  </x:si>
  <x:si>
    <x:t xml:space="preserve">2.5039278</x:t>
  </x:si>
  <x:si>
    <x:t xml:space="preserve">-76.3912278</x:t>
  </x:si>
  <x:si>
    <x:t xml:space="preserve">2.5039278,-76.3912278</x:t>
  </x:si>
  <x:si>
    <x:t xml:space="preserve">a 2, 5 km vía a Totoró, Río Blanco.</x:t>
  </x:si>
  <x:si>
    <x:t xml:space="preserve">D. Macias et al., 378</x:t>
  </x:si>
  <x:si>
    <x:t xml:space="preserve">HUA 19518</x:t>
  </x:si>
  <x:si>
    <x:t xml:space="preserve">Quindio, Salento, Vereda Cocora, Finca El Cairo</x:t>
  </x:si>
  <x:si>
    <x:t xml:space="preserve">N 04°40'</x:t>
  </x:si>
  <x:si>
    <x:t xml:space="preserve">04°40' N</x:t>
  </x:si>
  <x:si>
    <x:t xml:space="preserve">W 75°30'</x:t>
  </x:si>
  <x:si>
    <x:t xml:space="preserve">04°40' N, 75°30' W</x:t>
  </x:si>
  <x:si>
    <x:t xml:space="preserve">4.6666667</x:t>
  </x:si>
  <x:si>
    <x:t xml:space="preserve">4.6666667,-75.5</x:t>
  </x:si>
  <x:si>
    <x:t xml:space="preserve">Salento</x:t>
  </x:si>
  <x:si>
    <x:t xml:space="preserve">Vereda Cocora, Finca El Cairo</x:t>
  </x:si>
  <x:si>
    <x:t xml:space="preserve">F. Cardona &amp; F. Alzate 565</x:t>
  </x:si>
  <x:si>
    <x:t xml:space="preserve">HUA 111887</x:t>
  </x:si>
  <x:si>
    <x:t xml:space="preserve">Antioquia, Medellin, Santa Elena, Sector Piedras Blancas</x:t>
  </x:si>
  <x:si>
    <x:t xml:space="preserve">6° 17'N </x:t>
  </x:si>
  <x:si>
    <x:t xml:space="preserve">6° 17'N</x:t>
  </x:si>
  <x:si>
    <x:t xml:space="preserve">6° 17'N, 75°32' W</x:t>
  </x:si>
  <x:si>
    <x:t xml:space="preserve">6.2833333</x:t>
  </x:si>
  <x:si>
    <x:t xml:space="preserve">6.2833333,-75.5333333</x:t>
  </x:si>
  <x:si>
    <x:t xml:space="preserve">Las coordenadas son casi igual a las anteriores. Uso el mismo punto o marco el punto de las originales?</x:t>
  </x:si>
  <x:si>
    <x:t xml:space="preserve">Santa Elena, Sector Piedras Blancas</x:t>
  </x:si>
  <x:si>
    <x:t xml:space="preserve">B. R. Ramirez-P. &amp; S. L. Díaz 12219</x:t>
  </x:si>
  <x:si>
    <x:t xml:space="preserve">PSO 36454</x:t>
  </x:si>
  <x:si>
    <x:t xml:space="preserve">Cauca, Popayán, Hacienda la Pradera</x:t>
  </x:si>
  <x:si>
    <x:t xml:space="preserve">Hacienda la Pradera</x:t>
  </x:si>
  <x:si>
    <x:t xml:space="preserve">B. R. Ramirez-P. &amp; S. L. Diaz 12219</x:t>
  </x:si>
  <x:si>
    <x:t xml:space="preserve">CAUP 14298</x:t>
  </x:si>
  <x:si>
    <x:t xml:space="preserve">Cauca, Popayán, Hacienda la Pradera, W de Popayán</x:t>
  </x:si>
  <x:si>
    <x:t xml:space="preserve">Hacienda la Pradera, W de Popayán</x:t>
  </x:si>
  <x:si>
    <x:t xml:space="preserve">W. Vargas 7419</x:t>
  </x:si>
  <x:si>
    <x:t xml:space="preserve">HUA 137976</x:t>
  </x:si>
  <x:si>
    <x:t xml:space="preserve">Risaralda, Pereira, Otun Quimbaya</x:t>
  </x:si>
  <x:si>
    <x:t xml:space="preserve">N 04°45'53.86"</x:t>
  </x:si>
  <x:si>
    <x:t xml:space="preserve">04°45'53.86" N</x:t>
  </x:si>
  <x:si>
    <x:t xml:space="preserve">W 75°37'15.23"</x:t>
  </x:si>
  <x:si>
    <x:t xml:space="preserve">75°37'15.23" W</x:t>
  </x:si>
  <x:si>
    <x:t xml:space="preserve">04°45'53.86" N, 75°37'15.23" W</x:t>
  </x:si>
  <x:si>
    <x:t xml:space="preserve">4.7649611</x:t>
  </x:si>
  <x:si>
    <x:t xml:space="preserve">-75.6208972</x:t>
  </x:si>
  <x:si>
    <x:t xml:space="preserve">4.7649611,-75.6208972</x:t>
  </x:si>
  <x:si>
    <x:t xml:space="preserve">Otun Quimbaya</x:t>
  </x:si>
  <x:si>
    <x:t xml:space="preserve">W. Rodriguez 3125</x:t>
  </x:si>
  <x:si>
    <x:t xml:space="preserve">JAUM  37479-37481-37480</x:t>
  </x:si>
  <x:si>
    <x:t xml:space="preserve">Antioquia, Medellin, Santa Elena, Vereda Piedras Blancas, Quebrada el Chorrillo, cerca de desembocadura al Embalse Piedras Blancas</x:t>
  </x:si>
  <x:si>
    <x:t xml:space="preserve">06°17'39.2" N </x:t>
  </x:si>
  <x:si>
    <x:t xml:space="preserve">06°17'39.2" N</x:t>
  </x:si>
  <x:si>
    <x:t xml:space="preserve">75° 30'39.5"W</x:t>
  </x:si>
  <x:si>
    <x:t xml:space="preserve">06°17'39.2" N, 75° 30'39.5"W</x:t>
  </x:si>
  <x:si>
    <x:t xml:space="preserve">6.2942222</x:t>
  </x:si>
  <x:si>
    <x:t xml:space="preserve">-75.5109722</x:t>
  </x:si>
  <x:si>
    <x:t xml:space="preserve">6.2942222,-75.5109722</x:t>
  </x:si>
  <x:si>
    <x:t xml:space="preserve">He ó Hr</x:t>
  </x:si>
  <x:si>
    <x:t xml:space="preserve">Bastaba con las coordenadas o era necesario marcar el punto?</x:t>
  </x:si>
  <x:si>
    <x:t xml:space="preserve">Santa Elena, Vereda Piedras Blancas, Quebrada el Chorrillo, cerca de desembocadura al Embalse Piedras Blancas</x:t>
  </x:si>
  <x:si>
    <x:t xml:space="preserve">W.D. Rodriguez 3125</x:t>
  </x:si>
  <x:si>
    <x:t xml:space="preserve">HAU 131973</x:t>
  </x:si>
  <x:si>
    <x:t xml:space="preserve">Antioquia, Medellín, Corregimiento de Santa Elena, Vereda Piedras Blancas, Quebrada Chorrillo, Cerca de desembocadura al Embalse Piedras Blancas</x:t>
  </x:si>
  <x:si>
    <x:t xml:space="preserve">6°17'39.2" N </x:t>
  </x:si>
  <x:si>
    <x:t xml:space="preserve">6°17'39.2" N</x:t>
  </x:si>
  <x:si>
    <x:t xml:space="preserve">75°30'39.5" W</x:t>
  </x:si>
  <x:si>
    <x:t xml:space="preserve">6°17'39.2" N, 75°30'39.5" W</x:t>
  </x:si>
  <x:si>
    <x:t xml:space="preserve">Medellín</x:t>
  </x:si>
  <x:si>
    <x:t xml:space="preserve">Corregimiento de Santa Elena, Vereda Piedras Blancas, Quebrada Chorrillo, Cerca de desembocadura al Embalse Piedras Blancas</x:t>
  </x:si>
  <x:si>
    <x:t xml:space="preserve">C. Feuillet et al., 79</x:t>
  </x:si>
  <x:si>
    <x:t xml:space="preserve">CAUP 11242</x:t>
  </x:si>
  <x:si>
    <x:t xml:space="preserve">Cauca, Popayán, Riberas del Río Palace, vía Popayán-Totoró</x:t>
  </x:si>
  <x:si>
    <x:t xml:space="preserve">Riberas del Río Palace, vía Popayán-Totoró</x:t>
  </x:si>
  <x:si>
    <x:t xml:space="preserve">D. Sanín 1714</x:t>
  </x:si>
  <x:si>
    <x:t xml:space="preserve">FAUC 2959</x:t>
  </x:si>
  <x:si>
    <x:t xml:space="preserve">Caldas, Manizales, Jardín Botanico de la Universidad de Caldas</x:t>
  </x:si>
  <x:si>
    <x:t xml:space="preserve">Jardín Botanico de la Universidad de Caldas</x:t>
  </x:si>
  <x:si>
    <x:t xml:space="preserve">A. Nieto &amp; T. A. Medina 467</x:t>
  </x:si>
  <x:si>
    <x:t xml:space="preserve">TOLI 7790</x:t>
  </x:si>
  <x:si>
    <x:t xml:space="preserve">Tolima, Ibagué, Arriba de Juntas, loma de la quebrada las Perlas</x:t>
  </x:si>
  <x:si>
    <x:t xml:space="preserve">04° 33' 4.8"N</x:t>
  </x:si>
  <x:si>
    <x:t xml:space="preserve">75°19'31.2"W</x:t>
  </x:si>
  <x:si>
    <x:t xml:space="preserve">04° 33' 4.8"N, 75°19'31.2"W</x:t>
  </x:si>
  <x:si>
    <x:t xml:space="preserve">4.5513333</x:t>
  </x:si>
  <x:si>
    <x:t xml:space="preserve">-75.3253333</x:t>
  </x:si>
  <x:si>
    <x:t xml:space="preserve">4.5513333,-75.3253333</x:t>
  </x:si>
  <x:si>
    <x:t xml:space="preserve">Ibagué</x:t>
  </x:si>
  <x:si>
    <x:t xml:space="preserve">Arriba de Juntas, loma de la quebrada las Perlas</x:t>
  </x:si>
  <x:si>
    <x:t xml:space="preserve">W. Rodriguez et al., 3560</x:t>
  </x:si>
  <x:si>
    <x:t xml:space="preserve">COL 484023</x:t>
  </x:si>
  <x:si>
    <x:t xml:space="preserve">Antioquia, Santa Rosa de Osos, Vereda La Quebradona, limite con Belmira</x:t>
  </x:si>
  <x:si>
    <x:t xml:space="preserve">05°41'59.9"N </x:t>
  </x:si>
  <x:si>
    <x:t xml:space="preserve">05°41'59.9"N</x:t>
  </x:si>
  <x:si>
    <x:t xml:space="preserve">75° 36'09.5" W</x:t>
  </x:si>
  <x:si>
    <x:t xml:space="preserve">05°41'59.9"N, 75° 36'09.5" W</x:t>
  </x:si>
  <x:si>
    <x:t xml:space="preserve">5.6999722</x:t>
  </x:si>
  <x:si>
    <x:t xml:space="preserve">-75.6026389</x:t>
  </x:si>
  <x:si>
    <x:t xml:space="preserve">5.6999722,-75.6026389</x:t>
  </x:si>
  <x:si>
    <x:t xml:space="preserve">COL484023</x:t>
  </x:si>
  <x:si>
    <x:t xml:space="preserve">Santa Rosa de Osos</x:t>
  </x:si>
  <x:si>
    <x:t xml:space="preserve">Vereda La Quebradona, limite con Belmira</x:t>
  </x:si>
  <x:si>
    <x:t xml:space="preserve">JAUM 38630-38629</x:t>
  </x:si>
  <x:si>
    <x:t xml:space="preserve">Rodriguez E. et al., 3650</x:t>
  </x:si>
  <x:si>
    <x:t xml:space="preserve">JAUM 38631</x:t>
  </x:si>
  <x:si>
    <x:t xml:space="preserve">Colombia, Antioquia, Liborina, vereda Barrio Nuevo, margen izquierdo de la Quebrada La Honda, nacimientos.</x:t>
  </x:si>
  <x:si>
    <x:t xml:space="preserve">N 06°46'22"</x:t>
  </x:si>
  <x:si>
    <x:t xml:space="preserve">06°46'22" N</x:t>
  </x:si>
  <x:si>
    <x:t xml:space="preserve">W 75°47'31.3"</x:t>
  </x:si>
  <x:si>
    <x:t xml:space="preserve">75°47'31.3" W</x:t>
  </x:si>
  <x:si>
    <x:t xml:space="preserve">06°46'22" N, 75°47'31.3" W</x:t>
  </x:si>
  <x:si>
    <x:t xml:space="preserve">6.7727778</x:t>
  </x:si>
  <x:si>
    <x:t xml:space="preserve">-75.7920278</x:t>
  </x:si>
  <x:si>
    <x:t xml:space="preserve">6.7727778,-75.7920278</x:t>
  </x:si>
  <x:si>
    <x:t xml:space="preserve">he</x:t>
  </x:si>
  <x:si>
    <x:t xml:space="preserve">Liborina</x:t>
  </x:si>
  <x:si>
    <x:t xml:space="preserve">vereda Barrio Nuevo, margen izquierdo de la Quebrada La Honda, nacimientos.</x:t>
  </x:si>
  <x:si>
    <x:t xml:space="preserve">W. Rodriguez et al., 3693</x:t>
  </x:si>
  <x:si>
    <x:t xml:space="preserve">COL 483937</x:t>
  </x:si>
  <x:si>
    <x:t xml:space="preserve">Antioquia, Sopetran, Correimiento de Horizontes, parte alta del Acueducto cerca del Alto de La Virgen</x:t>
  </x:si>
  <x:si>
    <x:t xml:space="preserve">06° 34'50.9" N</x:t>
  </x:si>
  <x:si>
    <x:t xml:space="preserve">75°41'41.0"W</x:t>
  </x:si>
  <x:si>
    <x:t xml:space="preserve">06° 34'50.9" N, 75°41'41.0"W</x:t>
  </x:si>
  <x:si>
    <x:t xml:space="preserve">6.5808056</x:t>
  </x:si>
  <x:si>
    <x:t xml:space="preserve">-75.6947222</x:t>
  </x:si>
  <x:si>
    <x:t xml:space="preserve">6.5808056,-75.6947222</x:t>
  </x:si>
  <x:si>
    <x:t xml:space="preserve">2285970.477 N, 4702119.004 W</x:t>
  </x:si>
  <x:si>
    <x:t xml:space="preserve">Conventions</x:t>
  </x:si>
  <x:si>
    <x:t xml:space="preserve">Hr: Terrestrial</x:t>
  </x:si>
  <x:si>
    <x:t xml:space="preserve">COL483937</x:t>
  </x:si>
  <x:si>
    <x:t xml:space="preserve">Sopetran</x:t>
  </x:si>
  <x:si>
    <x:t xml:space="preserve">Correimiento de Horizontes, parte alta del Acueducto cerca del Alto de La Virgen</x:t>
  </x:si>
  <x:si>
    <x:t xml:space="preserve">HUA 137471-137470</x:t>
  </x:si>
  <x:si>
    <x:t xml:space="preserve">Antioquia, Sopetrán, Corregimiento Horizontes, parte alta de la Bocatoma, cerca al alto La Virgen</x:t>
  </x:si>
  <x:si>
    <x:t xml:space="preserve">06°37'09.3" N </x:t>
  </x:si>
  <x:si>
    <x:t xml:space="preserve">06°37'09.3" N</x:t>
  </x:si>
  <x:si>
    <x:t xml:space="preserve">75°42'41.1" W</x:t>
  </x:si>
  <x:si>
    <x:t xml:space="preserve">06°37'09.3" N, 75°42'41.1" W</x:t>
  </x:si>
  <x:si>
    <x:t xml:space="preserve">6.61925</x:t>
  </x:si>
  <x:si>
    <x:t xml:space="preserve">-75.7114167</x:t>
  </x:si>
  <x:si>
    <x:t xml:space="preserve">6.61925,-75.7114167</x:t>
  </x:si>
  <x:si>
    <x:t xml:space="preserve">Sopetrán</x:t>
  </x:si>
  <x:si>
    <x:t xml:space="preserve">Corregimiento Horizontes, parte alta de la Bocatoma, cerca al alto La Virgen</x:t>
  </x:si>
  <x:si>
    <x:t xml:space="preserve">D. Sanín 1736</x:t>
  </x:si>
  <x:si>
    <x:t xml:space="preserve">FAUC 3454</x:t>
  </x:si>
  <x:si>
    <x:t xml:space="preserve">Caldas, Manizales, Ecoparque los Yarumos</x:t>
  </x:si>
  <x:si>
    <x:t xml:space="preserve">Ecoparque los Yarumos</x:t>
  </x:si>
  <x:si>
    <x:t xml:space="preserve">J.A. Aguilar 339</x:t>
  </x:si>
  <x:si>
    <x:t xml:space="preserve">CAUP 14999</x:t>
  </x:si>
  <x:si>
    <x:t xml:space="preserve">Cauca, Bolivar, asenso al Cerro de Lerma, vereda Buenos Aires</x:t>
  </x:si>
  <x:si>
    <x:t xml:space="preserve">1600-1800</x:t>
  </x:si>
  <x:si>
    <x:t xml:space="preserve">1°58'55.5"N</x:t>
  </x:si>
  <x:si>
    <x:t xml:space="preserve">76°55'24"W</x:t>
  </x:si>
  <x:si>
    <x:t xml:space="preserve">1°58'55.5"N, 76°55'24"W</x:t>
  </x:si>
  <x:si>
    <x:t xml:space="preserve">1.9820833</x:t>
  </x:si>
  <x:si>
    <x:t xml:space="preserve">-76.9233333</x:t>
  </x:si>
  <x:si>
    <x:t xml:space="preserve">1.9820833,-76.9233333</x:t>
  </x:si>
  <x:si>
    <x:t xml:space="preserve">Bolivar</x:t>
  </x:si>
  <x:si>
    <x:t xml:space="preserve">asenso al Cerro de Lerma, vereda Buenos Aires</x:t>
  </x:si>
  <x:si>
    <x:t xml:space="preserve">Duque C. Sn</x:t>
  </x:si>
  <x:si>
    <x:t xml:space="preserve">FAUC 4772</x:t>
  </x:si>
  <x:si>
    <x:t xml:space="preserve">Colombia, Tolima, Murillo, Finca Villa Helena, Jacinto Panchá.</x:t>
  </x:si>
  <x:si>
    <x:t xml:space="preserve">N04°54'11.202</x:t>
  </x:si>
  <x:si>
    <x:t xml:space="preserve">4°54'11.202 N</x:t>
  </x:si>
  <x:si>
    <x:t xml:space="preserve">w 75°10'38.47"</x:t>
  </x:si>
  <x:si>
    <x:t xml:space="preserve">75°10'38.47" W</x:t>
  </x:si>
  <x:si>
    <x:t xml:space="preserve">4°54'11.202 N, 75°10'38.47" W</x:t>
  </x:si>
  <x:si>
    <x:t xml:space="preserve">4.9031117</x:t>
  </x:si>
  <x:si>
    <x:t xml:space="preserve">-75.1773528</x:t>
  </x:si>
  <x:si>
    <x:t xml:space="preserve">4.9031117,-75.1773528</x:t>
  </x:si>
  <x:si>
    <x:t xml:space="preserve">Murillo</x:t>
  </x:si>
  <x:si>
    <x:t xml:space="preserve">Finca Villa Helena, Jacinto Panchá.</x:t>
  </x:si>
  <x:si>
    <x:t xml:space="preserve">J.A. Aguilar 391</x:t>
  </x:si>
  <x:si>
    <x:t xml:space="preserve">CAUP 15029</x:t>
  </x:si>
  <x:si>
    <x:t xml:space="preserve">Cauca, Bolivar, Corregimieno del Carmen, alrededores,</x:t>
  </x:si>
  <x:si>
    <x:t xml:space="preserve">2300-2400</x:t>
  </x:si>
  <x:si>
    <x:t xml:space="preserve">1°49'28"N</x:t>
  </x:si>
  <x:si>
    <x:t xml:space="preserve">76°53' W</x:t>
  </x:si>
  <x:si>
    <x:t xml:space="preserve">1°49'28"N, 76°53' W</x:t>
  </x:si>
  <x:si>
    <x:t xml:space="preserve">1.8244444</x:t>
  </x:si>
  <x:si>
    <x:t xml:space="preserve">-76.8833333</x:t>
  </x:si>
  <x:si>
    <x:t xml:space="preserve">1.8244444,-76.8833333</x:t>
  </x:si>
  <x:si>
    <x:t xml:space="preserve">Corregimieno del Carmen, alrededores, </x:t>
  </x:si>
  <x:si>
    <x:t xml:space="preserve">H. David &amp; A. Giraldo 727</x:t>
  </x:si>
  <x:si>
    <x:t xml:space="preserve">HUA 153038</x:t>
  </x:si>
  <x:si>
    <x:t xml:space="preserve">Antioquia, Medellin, Santa Elena, Reserva Montevivo</x:t>
  </x:si>
  <x:si>
    <x:t xml:space="preserve">06°12'48" N </x:t>
  </x:si>
  <x:si>
    <x:t xml:space="preserve">06°12'48" N</x:t>
  </x:si>
  <x:si>
    <x:t xml:space="preserve">75°29'32.2" W</x:t>
  </x:si>
  <x:si>
    <x:t xml:space="preserve">06°12'48" N, 75°29'32.2" W</x:t>
  </x:si>
  <x:si>
    <x:t xml:space="preserve">6.2133333</x:t>
  </x:si>
  <x:si>
    <x:t xml:space="preserve">-75.4922778</x:t>
  </x:si>
  <x:si>
    <x:t xml:space="preserve">6.2133333,-75.4922778</x:t>
  </x:si>
  <x:si>
    <x:t xml:space="preserve">Marqué la incertidumbre desde el punto hasta un punto en Santa Elena que tuviera la elevación reportada</x:t>
  </x:si>
  <x:si>
    <x:t xml:space="preserve">La reserva no tiene área sobre los 2500 msnm. Dónde se ubica el punto?</x:t>
  </x:si>
  <x:si>
    <x:t xml:space="preserve">Santa Elena, Reserva Montevivo</x:t>
  </x:si>
  <x:si>
    <x:t xml:space="preserve">A. N. Castaño-R. 581</x:t>
  </x:si>
  <x:si>
    <x:t xml:space="preserve">FAUC (XXXX)</x:t>
  </x:si>
  <x:si>
    <x:t xml:space="preserve">Caldas, Villamaría, Hacienda el Parnaso</x:t>
  </x:si>
  <x:si>
    <x:t xml:space="preserve">4°58'14"N</x:t>
  </x:si>
  <x:si>
    <x:t xml:space="preserve">75°50'32.4" W</x:t>
  </x:si>
  <x:si>
    <x:t xml:space="preserve">4°58'14"N, 75°50'32.4" W</x:t>
  </x:si>
  <x:si>
    <x:t xml:space="preserve">4.9705556</x:t>
  </x:si>
  <x:si>
    <x:t xml:space="preserve">-75.8423333</x:t>
  </x:si>
  <x:si>
    <x:t xml:space="preserve">4.9705556,-75.8423333</x:t>
  </x:si>
  <x:si>
    <x:t xml:space="preserve">FAUC00308</x:t>
  </x:si>
  <x:si>
    <x:t xml:space="preserve">Villamaría</x:t>
  </x:si>
  <x:si>
    <x:t xml:space="preserve">Hacienda el Parnaso</x:t>
  </x:si>
  <x:si>
    <x:t xml:space="preserve">D. Sanín 1643</x:t>
  </x:si>
  <x:si>
    <x:t xml:space="preserve">FAUC xxX</x:t>
  </x:si>
  <x:si>
    <x:t xml:space="preserve">Colombia, Caldas, Manizales, Neira, Alto del Guamo, Hacienda San Juan.</x:t>
  </x:si>
  <x:si>
    <x:t xml:space="preserve">N 05°09'58.2"</x:t>
  </x:si>
  <x:si>
    <x:t xml:space="preserve">05°09'58.2" N</x:t>
  </x:si>
  <x:si>
    <x:t xml:space="preserve">W 75°24'7"</x:t>
  </x:si>
  <x:si>
    <x:t xml:space="preserve">75°24'7" W</x:t>
  </x:si>
  <x:si>
    <x:t xml:space="preserve">05°09'58.2" N, 75°24'7" W</x:t>
  </x:si>
  <x:si>
    <x:t xml:space="preserve">5.1661667</x:t>
  </x:si>
  <x:si>
    <x:t xml:space="preserve">-75.4019444</x:t>
  </x:si>
  <x:si>
    <x:t xml:space="preserve">5.1661667,-75.4019444</x:t>
  </x:si>
  <x:si>
    <x:t xml:space="preserve">El alto del guamo queda en Manizales y la Hacienda San Juan queda en Neira</x:t>
  </x:si>
  <x:si>
    <x:t xml:space="preserve">Neira, Alto del Guamo, Hacienda San Juan.</x:t>
  </x:si>
  <x:si>
    <x:t xml:space="preserve">D. M. Munar 711</x:t>
  </x:si>
  <x:si>
    <x:t xml:space="preserve">CAUP 16390</x:t>
  </x:si>
  <x:si>
    <x:t xml:space="preserve">Cauca, Santa Rosa, Bota Caucana, corregimiento San Juan de Villalobos, vereda la Esmeralda.</x:t>
  </x:si>
  <x:si>
    <x:t xml:space="preserve">01° 33.247' N</x:t>
  </x:si>
  <x:si>
    <x:t xml:space="preserve">76° 17.672 W</x:t>
  </x:si>
  <x:si>
    <x:t xml:space="preserve">01° 33.247' N, 76° 17.672 W</x:t>
  </x:si>
  <x:si>
    <x:t xml:space="preserve">Santa Rosa</x:t>
  </x:si>
  <x:si>
    <x:t xml:space="preserve">Bota Caucana, corregimiento San Juan de Villalobos, vereda la Esmeralda.</x:t>
  </x:si>
  <x:si>
    <x:t xml:space="preserve">J. M. Duque Quintero 14</x:t>
  </x:si>
  <x:si>
    <x:t xml:space="preserve">FAUC 10683</x:t>
  </x:si>
  <x:si>
    <x:t xml:space="preserve">Risaralda, Pereira, Santuario Otún Quimbaya</x:t>
  </x:si>
  <x:si>
    <x:t xml:space="preserve">Santuario Otún Quimbaya</x:t>
  </x:si>
  <x:si>
    <x:t xml:space="preserve">J. M. Duque Quintero 18</x:t>
  </x:si>
  <x:si>
    <x:t xml:space="preserve">FAUC 10652</x:t>
  </x:si>
  <x:si>
    <x:t xml:space="preserve">W. Rodriguez et al., 4835</x:t>
  </x:si>
  <x:si>
    <x:t xml:space="preserve">HUA 153784</x:t>
  </x:si>
  <x:si>
    <x:t xml:space="preserve">Antioquia, Fredonia, Vereda Erbe, Microcuenca La Chaparrala</x:t>
  </x:si>
  <x:si>
    <x:t xml:space="preserve">2150-2250</x:t>
  </x:si>
  <x:si>
    <x:t xml:space="preserve">05° 59'01.0"N </x:t>
  </x:si>
  <x:si>
    <x:t xml:space="preserve">05° 59'01.0"N</x:t>
  </x:si>
  <x:si>
    <x:t xml:space="preserve">75° 38'28.3" W</x:t>
  </x:si>
  <x:si>
    <x:t xml:space="preserve">05° 59'01.0"N, 75° 38'28.3" W</x:t>
  </x:si>
  <x:si>
    <x:t xml:space="preserve">5.9836111</x:t>
  </x:si>
  <x:si>
    <x:t xml:space="preserve">-75.6411944</x:t>
  </x:si>
  <x:si>
    <x:t xml:space="preserve">5.9836111,-75.6411944</x:t>
  </x:si>
  <x:si>
    <x:t xml:space="preserve">Marqué el punto sobre el área de la Quebrada La Chaparrala que pasa por Fredonia. Y la incertidumbre la marqué desde este punto hasta donde marcaban las coordenadas originales.</x:t>
  </x:si>
  <x:si>
    <x:t xml:space="preserve">Fredonia</x:t>
  </x:si>
  <x:si>
    <x:t xml:space="preserve">Vereda Erbe, Microcuenca La Chaparrala</x:t>
  </x:si>
  <x:si>
    <x:t xml:space="preserve">D. M. Munar 1336</x:t>
  </x:si>
  <x:si>
    <x:t xml:space="preserve">CAUP 16571</x:t>
  </x:si>
  <x:si>
    <x:t xml:space="preserve">Cauca, Santa Rosa, Bota Caucana, Corregimiento de San Juan de Villalobos, Vereda la Esmeralda.</x:t>
  </x:si>
  <x:si>
    <x:t xml:space="preserve">01° 33'18.7" N </x:t>
  </x:si>
  <x:si>
    <x:t xml:space="preserve">01° 33'18.7" N</x:t>
  </x:si>
  <x:si>
    <x:t xml:space="preserve">76° 18'18.6"W</x:t>
  </x:si>
  <x:si>
    <x:t xml:space="preserve">01° 33'18.7" N, 76° 18'18.6"W</x:t>
  </x:si>
  <x:si>
    <x:t xml:space="preserve">1.5551944</x:t>
  </x:si>
  <x:si>
    <x:t xml:space="preserve">-76.3051667</x:t>
  </x:si>
  <x:si>
    <x:t xml:space="preserve">1.5551944,-76.3051667</x:t>
  </x:si>
  <x:si>
    <x:t xml:space="preserve">Bota Caucana, Corregimiento de San Juan de Villalobos, Vereda la Esmeralda.</x:t>
  </x:si>
  <x:si>
    <x:t xml:space="preserve">W. Rodriguez et al., 4907</x:t>
  </x:si>
  <x:si>
    <x:t xml:space="preserve">HUA 153789</x:t>
  </x:si>
  <x:si>
    <x:t xml:space="preserve">Antioquia, Jardín, Vereda Quebrada Bonita, Sector Bocatoma, Quebrada la Mendoza</x:t>
  </x:si>
  <x:si>
    <x:t xml:space="preserve">2110-2150</x:t>
  </x:si>
  <x:si>
    <x:t xml:space="preserve">05°35'04.3" N </x:t>
  </x:si>
  <x:si>
    <x:t xml:space="preserve">05°35'04.3" N</x:t>
  </x:si>
  <x:si>
    <x:t xml:space="preserve">75°46'36.1"W</x:t>
  </x:si>
  <x:si>
    <x:t xml:space="preserve">05°35'04.3" N, 75°46'36.1"W</x:t>
  </x:si>
  <x:si>
    <x:t xml:space="preserve">5.5845278</x:t>
  </x:si>
  <x:si>
    <x:t xml:space="preserve">-75.7766944</x:t>
  </x:si>
  <x:si>
    <x:t xml:space="preserve">5.5845278,-75.7766944</x:t>
  </x:si>
  <x:si>
    <x:t xml:space="preserve">Vereda Quebrada Bonita, Sector Bocatoma, Quebrada la Mendoza</x:t>
  </x:si>
  <x:si>
    <x:t xml:space="preserve">D. Sanín 2806</x:t>
  </x:si>
  <x:si>
    <x:t xml:space="preserve">FAUC XXX</x:t>
  </x:si>
  <x:si>
    <x:t xml:space="preserve">Caldas, Riosucio, vereda El Claren, corregimiento de Bonafon, Finca El Mirador.</x:t>
  </x:si>
  <x:si>
    <x:t xml:space="preserve">Marqué el punto cerca del casco urbano de Bonafont</x:t>
  </x:si>
  <x:si>
    <x:t xml:space="preserve">D_Sanín2806</x:t>
  </x:si>
  <x:si>
    <x:t xml:space="preserve">Riosucio</x:t>
  </x:si>
  <x:si>
    <x:t xml:space="preserve">vereda El Claren, corregimiento de Bonafon, Finca El Mirador.</x:t>
  </x:si>
  <x:si>
    <x:t xml:space="preserve">Sanín D. et al., 2794</x:t>
  </x:si>
  <x:si>
    <x:t xml:space="preserve">Colombia, Caldas, Manizales, vía Neira, Relleno Saniterios La Esmeralda, zona a la derecha de la Quebrada para conservación.</x:t>
  </x:si>
  <x:si>
    <x:t xml:space="preserve">N 05°05'17.2"</x:t>
  </x:si>
  <x:si>
    <x:t xml:space="preserve">05°05'17.2" N</x:t>
  </x:si>
  <x:si>
    <x:t xml:space="preserve">W 75°30'30.5"</x:t>
  </x:si>
  <x:si>
    <x:t xml:space="preserve">75°30'30.5" W</x:t>
  </x:si>
  <x:si>
    <x:t xml:space="preserve">05°05'17.2" N, 75°30'30.5" W</x:t>
  </x:si>
  <x:si>
    <x:t xml:space="preserve">5.0881111</x:t>
  </x:si>
  <x:si>
    <x:t xml:space="preserve">-75.5084722</x:t>
  </x:si>
  <x:si>
    <x:t xml:space="preserve">5.0881111,-75.5084722</x:t>
  </x:si>
  <x:si>
    <x:t xml:space="preserve">vía Neira, Relleno Saniterios La Esmeralda, zona a la derecha de la Quebrada para conservación.</x:t>
  </x:si>
  <x:si>
    <x:t xml:space="preserve">D. Sanín et al., 2774</x:t>
  </x:si>
  <x:si>
    <x:t xml:space="preserve">Caldas, Manizales, vía a Neira, cerca del Relleno Sanitario La Esmeralda, zona de relictos aledaños a quebradas.</x:t>
  </x:si>
  <x:si>
    <x:t xml:space="preserve">N 05°05'4.5"</x:t>
  </x:si>
  <x:si>
    <x:t xml:space="preserve">05°05'4.5" N</x:t>
  </x:si>
  <x:si>
    <x:t xml:space="preserve">75°30'30.3" W</x:t>
  </x:si>
  <x:si>
    <x:t xml:space="preserve">05°05'4.5" N, 75°30'30.3" W</x:t>
  </x:si>
  <x:si>
    <x:t xml:space="preserve">5.0845833</x:t>
  </x:si>
  <x:si>
    <x:t xml:space="preserve">-75.5084167</x:t>
  </x:si>
  <x:si>
    <x:t xml:space="preserve">5.0845833,-75.5084167</x:t>
  </x:si>
  <x:si>
    <x:t xml:space="preserve">vía a Neira, cerca del Relleno Sanitario La Esmeralda, zona de relictos aledaños a quebradas.</x:t>
  </x:si>
  <x:si>
    <x:t xml:space="preserve">D. Sanín et al., 2417</x:t>
  </x:si>
  <x:si>
    <x:t xml:space="preserve">Caldas, Neira, vereda La Cristalina, vía Marulanda, al margen de la vía.</x:t>
  </x:si>
  <x:si>
    <x:t xml:space="preserve">N 5°10'59"</x:t>
  </x:si>
  <x:si>
    <x:t xml:space="preserve">5°10'59" N</x:t>
  </x:si>
  <x:si>
    <x:t xml:space="preserve">W 75°27''28.8"</x:t>
  </x:si>
  <x:si>
    <x:t xml:space="preserve">75°27''28.8" W</x:t>
  </x:si>
  <x:si>
    <x:t xml:space="preserve">5°10'59" N, 75°27''28.8" W</x:t>
  </x:si>
  <x:si>
    <x:t xml:space="preserve">5.1830556</x:t>
  </x:si>
  <x:si>
    <x:t xml:space="preserve">-75.458</x:t>
  </x:si>
  <x:si>
    <x:t xml:space="preserve">5.1830556,-75.458</x:t>
  </x:si>
  <x:si>
    <x:t xml:space="preserve">vereda La Cristalina, vía Marulanda, al margen de la vía.</x:t>
  </x:si>
  <x:si>
    <x:t xml:space="preserve">D. Sanín et al., 3061</x:t>
  </x:si>
  <x:si>
    <x:t xml:space="preserve">Colombia, Quindio, Filandia, vereda Cruces, Corredor Biologico Los Monos-Sendero el Otobo.</x:t>
  </x:si>
  <x:si>
    <x:t xml:space="preserve">04°41'620"</x:t>
  </x:si>
  <x:si>
    <x:t xml:space="preserve">75°37'214"</x:t>
  </x:si>
  <x:si>
    <x:t xml:space="preserve">75°37'214" W</x:t>
  </x:si>
  <x:si>
    <x:t xml:space="preserve">04°41'620", 75°37'214" W</x:t>
  </x:si>
  <x:si>
    <x:t xml:space="preserve">vereda Cruces, Corredor Biologico Los Monos-Sendero el Otobo.</x:t>
  </x:si>
  <x:si>
    <x:t xml:space="preserve">Sanín D. et al., 3306</x:t>
  </x:si>
  <x:si>
    <x:t xml:space="preserve">Colombia, Caldas, Manizales, Villamaria, vereda Montaño, finca San Antonio, relicto al nor-oriente de la casa.</x:t>
  </x:si>
  <x:si>
    <x:t xml:space="preserve">2526</x:t>
  </x:si>
  <x:si>
    <x:t xml:space="preserve">4° 59' 5.57''</x:t>
  </x:si>
  <x:si>
    <x:t xml:space="preserve">75° 27' 4.10'' W</x:t>
  </x:si>
  <x:si>
    <x:t xml:space="preserve">4° 59' 5.57'', 75° 27' 4.10'' W</x:t>
  </x:si>
  <x:si>
    <x:t xml:space="preserve">Villamaria, vereda Montaño, finca San Antonio, relicto al nor-oriente de la casa.</x:t>
  </x:si>
  <x:si>
    <x:t xml:space="preserve">B. R. Ramirez-P. &amp; M. S. González 9106</x:t>
  </x:si>
  <x:si>
    <x:t xml:space="preserve">PSO 33145</x:t>
  </x:si>
  <x:si>
    <x:t xml:space="preserve">Colombia, Nariño, Ricaurte, Resguardo Indígena Gualcalá, alrededores de Santa Fé.</x:t>
  </x:si>
  <x:si>
    <x:t xml:space="preserve">1°19'N</x:t>
  </x:si>
  <x:si>
    <x:t xml:space="preserve">77°55'W</x:t>
  </x:si>
  <x:si>
    <x:t xml:space="preserve">1°19'N, 77°55'W</x:t>
  </x:si>
  <x:si>
    <x:t xml:space="preserve">1.3166667</x:t>
  </x:si>
  <x:si>
    <x:t xml:space="preserve">-77.9166667</x:t>
  </x:si>
  <x:si>
    <x:t xml:space="preserve">1.3166667,-77.9166667</x:t>
  </x:si>
  <x:si>
    <x:t xml:space="preserve">Resguardo Indígena Gualcalá, alrededores de Santa Fé.</x:t>
  </x:si>
  <x:si>
    <x:t xml:space="preserve">D. Sanín et al., 3306</x:t>
  </x:si>
  <x:si>
    <x:t xml:space="preserve">Colombia, Caldas, Manizales-Villamaria, vereda Montaño, finca San Antonio, relicto al nor-oriente de la casa.</x:t>
  </x:si>
  <x:si>
    <x:t xml:space="preserve">04°59'5.57" N</x:t>
  </x:si>
  <x:si>
    <x:t xml:space="preserve">75°27'4.10" W</x:t>
  </x:si>
  <x:si>
    <x:t xml:space="preserve">04°59'5.57" N, 75°27'4.10" W</x:t>
  </x:si>
  <x:si>
    <x:t xml:space="preserve">Manizales-Villamaria</x:t>
  </x:si>
  <x:si>
    <x:t xml:space="preserve">vereda Montaño, finca San Antonio, relicto al nor-oriente de la casa.</x:t>
  </x:si>
  <x:si>
    <x:t xml:space="preserve">D. Sanín et al., 3316</x:t>
  </x:si>
  <x:si>
    <x:t xml:space="preserve">Alvarez Mejia L.M. 1336</x:t>
  </x:si>
  <x:si>
    <x:t xml:space="preserve">FAUC 296</x:t>
  </x:si>
  <x:si>
    <x:t xml:space="preserve">Caldas, Pensilvania, vereda El Dorado, </x:t>
  </x:si>
  <x:si>
    <x:t xml:space="preserve">N 05°23'09.23"</x:t>
  </x:si>
  <x:si>
    <x:t xml:space="preserve">05°23'09.23" N</x:t>
  </x:si>
  <x:si>
    <x:t xml:space="preserve">W 75°09'39.31"</x:t>
  </x:si>
  <x:si>
    <x:t xml:space="preserve">75°09'39.31" W</x:t>
  </x:si>
  <x:si>
    <x:t xml:space="preserve">05°23'09.23" N, 75°09'39.31" W</x:t>
  </x:si>
  <x:si>
    <x:t xml:space="preserve">5.3858972</x:t>
  </x:si>
  <x:si>
    <x:t xml:space="preserve">-75.1609194</x:t>
  </x:si>
  <x:si>
    <x:t xml:space="preserve">5.3858972,-75.1609194</x:t>
  </x:si>
  <x:si>
    <x:t xml:space="preserve">Las coordenadas originales marcan el punto en la vereda contigua. Marqué el punto en el centroide de la vereda, y la incertidumbre hasta el límite de la vereda pero la elevación asciende a 3261</x:t>
  </x:si>
  <x:si>
    <x:t xml:space="preserve">Pensilvania</x:t>
  </x:si>
  <x:si>
    <x:t xml:space="preserve">vereda El Dorado, </x:t>
  </x:si>
  <x:si>
    <x:t xml:space="preserve">D. Sanín et al., 3080</x:t>
  </x:si>
  <x:si>
    <x:t xml:space="preserve">D. Sanín et al., 3065</x:t>
  </x:si>
  <x:si>
    <x:t xml:space="preserve">D. Sanín et al., 3076</x:t>
  </x:si>
  <x:si>
    <x:t xml:space="preserve">Arbelaez-S. G. et al., 352</x:t>
  </x:si>
  <x:si>
    <x:t xml:space="preserve">HUQ 4043</x:t>
  </x:si>
  <x:si>
    <x:t xml:space="preserve">Colombia, Quindio, Salento, ribera del Río Barbas. </x:t>
  </x:si>
  <x:si>
    <x:t xml:space="preserve">ribera del Río Barbas.</x:t>
  </x:si>
  <x:si>
    <x:t xml:space="preserve">D. Sanín et al., 3089</x:t>
  </x:si>
  <x:si>
    <x:t xml:space="preserve">Colombia, Quindio, Salento, vereda Boquía, sector La Patasola, flanco sur-oriental del río Boquía, frente al departamento del Quíndio y atrás del santuario Orún Quinbaya.</x:t>
  </x:si>
  <x:si>
    <x:t xml:space="preserve">D_Sanín3089</x:t>
  </x:si>
  <x:si>
    <x:t xml:space="preserve">vereda Boquía, sector La Patasola, flanco sur-oriental del río Boquía, frente al departamento del Quíndio y atrás del santuario Orún Quinbaya.</x:t>
  </x:si>
  <x:si>
    <x:t xml:space="preserve">C.A. Agudelo &amp; M. C. Velez 307</x:t>
  </x:si>
  <x:si>
    <x:t xml:space="preserve">HUQ 5343</x:t>
  </x:si>
  <x:si>
    <x:t xml:space="preserve">Risaralda, Pereira, 2 km arriva de la Finca La Suiza, camino a Salento.</x:t>
  </x:si>
  <x:si>
    <x:t xml:space="preserve">2 km arriva de la Finca La Suiza, camino a Salento.</x:t>
  </x:si>
  <x:si>
    <x:t xml:space="preserve">D. Sanín 2157</x:t>
  </x:si>
  <x:si>
    <x:t xml:space="preserve">Colombia, Risaralda, San Jose de Risaralda, vereda Chavarquia.</x:t>
  </x:si>
  <x:si>
    <x:t xml:space="preserve">05°10'31.6"</x:t>
  </x:si>
  <x:si>
    <x:t xml:space="preserve">75°45'49.8"W</x:t>
  </x:si>
  <x:si>
    <x:t xml:space="preserve">05°10'31.6", 75°45'49.8"W</x:t>
  </x:si>
  <x:si>
    <x:t xml:space="preserve">5.1754444</x:t>
  </x:si>
  <x:si>
    <x:t xml:space="preserve">-75.7638333</x:t>
  </x:si>
  <x:si>
    <x:t xml:space="preserve">5.1754444,-75.7638333</x:t>
  </x:si>
  <x:si>
    <x:t xml:space="preserve">D_Sanín2804</x:t>
  </x:si>
  <x:si>
    <x:t xml:space="preserve">San Jose de Risaralda</x:t>
  </x:si>
  <x:si>
    <x:t xml:space="preserve">vereda Chavarquia.</x:t>
  </x:si>
  <x:si>
    <x:t xml:space="preserve">S. antioquianum</x:t>
  </x:si>
  <x:si>
    <x:t xml:space="preserve">Serpocaulon antioquianum</x:t>
  </x:si>
  <x:si>
    <x:t xml:space="preserve">Fonnegra R. et al., 374</x:t>
  </x:si>
  <x:si>
    <x:t xml:space="preserve">HUA 4183</x:t>
  </x:si>
  <x:si>
    <x:t xml:space="preserve">Colombia, Antioquia, Anorí, corregimiento de Providencia, valle del río Anorí, entre Dos Bocas y Anorí, zona transicional entre bosque húmedo y muy húmedo tropical montañoso.</x:t>
  </x:si>
  <x:si>
    <x:t xml:space="preserve">400-900</x:t>
  </x:si>
  <x:si>
    <x:t xml:space="preserve">N 07°04'35.18"</x:t>
  </x:si>
  <x:si>
    <x:t xml:space="preserve">07°04'35.18" N</x:t>
  </x:si>
  <x:si>
    <x:t xml:space="preserve">W 75°09'23.54"</x:t>
  </x:si>
  <x:si>
    <x:t xml:space="preserve">75°09'23.54" W</x:t>
  </x:si>
  <x:si>
    <x:t xml:space="preserve">07°04'35.18" N, 75°09'23.54" W</x:t>
  </x:si>
  <x:si>
    <x:t xml:space="preserve">7.0764389</x:t>
  </x:si>
  <x:si>
    <x:t xml:space="preserve">-75.1565389</x:t>
  </x:si>
  <x:si>
    <x:t xml:space="preserve">7.0764389,-75.1565389</x:t>
  </x:si>
  <x:si>
    <x:t xml:space="preserve">4982,527</x:t>
  </x:si>
  <x:si>
    <x:t xml:space="preserve">Ubiqué el punto en la Vereda Providencia</x:t>
  </x:si>
  <x:si>
    <x:t xml:space="preserve">Anorí</x:t>
  </x:si>
  <x:si>
    <x:t xml:space="preserve">corregimiento de Providencia, valle del río Anorí, entre Dos Bocas y Anorí, zona transicional entre bosque húmedo y muy húmedo tropical montañoso.</x:t>
  </x:si>
  <x:si>
    <x:t xml:space="preserve">Albert de Escobar L. 3332</x:t>
  </x:si>
  <x:si>
    <x:t xml:space="preserve">HUA 18360</x:t>
  </x:si>
  <x:si>
    <x:t xml:space="preserve">Colombia, Antioquia, San Luis, autopista Medellín-Bogotá, este del puente sobre el Río Samaná.</x:t>
  </x:si>
  <x:si>
    <x:t xml:space="preserve">N 06°28'36.85"</x:t>
  </x:si>
  <x:si>
    <x:t xml:space="preserve">06°28'36.85" N</x:t>
  </x:si>
  <x:si>
    <x:t xml:space="preserve">W 74°25'09.60"</x:t>
  </x:si>
  <x:si>
    <x:t xml:space="preserve">74°25'09.60" W</x:t>
  </x:si>
  <x:si>
    <x:t xml:space="preserve">06°28'36.85" N, 74°25'09.60" W</x:t>
  </x:si>
  <x:si>
    <x:t xml:space="preserve">6.4769028</x:t>
  </x:si>
  <x:si>
    <x:t xml:space="preserve">-74.4193333</x:t>
  </x:si>
  <x:si>
    <x:t xml:space="preserve">6.4769028,-74.4193333</x:t>
  </x:si>
  <x:si>
    <x:t xml:space="preserve">HUA18360</x:t>
  </x:si>
  <x:si>
    <x:t xml:space="preserve">San Luis</x:t>
  </x:si>
  <x:si>
    <x:t xml:space="preserve">autopista Medellín-Bogotá, este del puente sobre el Río Samaná.</x:t>
  </x:si>
  <x:si>
    <x:t xml:space="preserve">Hoyos S &amp; J. Hernandez 629</x:t>
  </x:si>
  <x:si>
    <x:t xml:space="preserve">JAUM 12924</x:t>
  </x:si>
  <x:si>
    <x:t xml:space="preserve">Colombia, Antioquia, San Luis, autopista Medellín-Bogotá, vereda Josefina, Camino del Caño la Mariola, hacia Santa Bárbara.</x:t>
  </x:si>
  <x:si>
    <x:t xml:space="preserve">N 06°03'</x:t>
  </x:si>
  <x:si>
    <x:t xml:space="preserve">06°03' N</x:t>
  </x:si>
  <x:si>
    <x:t xml:space="preserve">W 75°00'</x:t>
  </x:si>
  <x:si>
    <x:t xml:space="preserve">75°00' W</x:t>
  </x:si>
  <x:si>
    <x:t xml:space="preserve">06°03' N, 75°00' W</x:t>
  </x:si>
  <x:si>
    <x:t xml:space="preserve">6.05</x:t>
  </x:si>
  <x:si>
    <x:t xml:space="preserve">75</x:t>
  </x:si>
  <x:si>
    <x:t xml:space="preserve">6.05,75</x:t>
  </x:si>
  <x:si>
    <x:t xml:space="preserve">autopista Medellín-Bogotá, vereda Josefina, Camino del Caño la Mariola, hacia Santa Bárbara.</x:t>
  </x:si>
  <x:si>
    <x:t xml:space="preserve">Hoyos S &amp; J. Hernandez 816</x:t>
  </x:si>
  <x:si>
    <x:t xml:space="preserve">JAUM 42618</x:t>
  </x:si>
  <x:si>
    <x:t xml:space="preserve">-75</x:t>
  </x:si>
  <x:si>
    <x:t xml:space="preserve">6.05,-75</x:t>
  </x:si>
  <x:si>
    <x:t xml:space="preserve">Rodríguez W. 4318</x:t>
  </x:si>
  <x:si>
    <x:t xml:space="preserve">COL 000048779</x:t>
  </x:si>
  <x:si>
    <x:t xml:space="preserve">Colombia, Antioquia, Anorí, vereda San Antonio, quebrada que abastece de agua la finca de don Pedro.</x:t>
  </x:si>
  <x:si>
    <x:t xml:space="preserve">N 07°15'58.6"</x:t>
  </x:si>
  <x:si>
    <x:t xml:space="preserve">07°15'58.6" N</x:t>
  </x:si>
  <x:si>
    <x:t xml:space="preserve">W 75°04'27"</x:t>
  </x:si>
  <x:si>
    <x:t xml:space="preserve">75°04'27" W</x:t>
  </x:si>
  <x:si>
    <x:t xml:space="preserve">07°15'58.6" N, 75°04'27" W</x:t>
  </x:si>
  <x:si>
    <x:t xml:space="preserve">7.2662778</x:t>
  </x:si>
  <x:si>
    <x:t xml:space="preserve">-75.0741667</x:t>
  </x:si>
  <x:si>
    <x:t xml:space="preserve">7.2662778,-75.0741667</x:t>
  </x:si>
  <x:si>
    <x:t xml:space="preserve">vereda San Antonio, quebrada que abastece de agua la finca de don Pedro.</x:t>
  </x:si>
  <x:si>
    <x:t xml:space="preserve">Rodríguez W. et al., 4475</x:t>
  </x:si>
  <x:si>
    <x:t xml:space="preserve">COL 000048913</x:t>
  </x:si>
  <x:si>
    <x:t xml:space="preserve">Colombia, Antioquia, Anorí, región Providencia, sector Ajibes-La Tirana, desembocadura de la Quebrada Buenos Aires al río Anorí.</x:t>
  </x:si>
  <x:si>
    <x:t xml:space="preserve">N 07°17'36.5"</x:t>
  </x:si>
  <x:si>
    <x:t xml:space="preserve">07°17'36.5" N</x:t>
  </x:si>
  <x:si>
    <x:t xml:space="preserve">W 75°04'02.9"</x:t>
  </x:si>
  <x:si>
    <x:t xml:space="preserve">75°04'02.9" W</x:t>
  </x:si>
  <x:si>
    <x:t xml:space="preserve">07°17'36.5" N, 75°04'02.9" W</x:t>
  </x:si>
  <x:si>
    <x:t xml:space="preserve">7.2934722</x:t>
  </x:si>
  <x:si>
    <x:t xml:space="preserve">-75.0674722</x:t>
  </x:si>
  <x:si>
    <x:t xml:space="preserve">7.2934722,-75.0674722</x:t>
  </x:si>
  <x:si>
    <x:t xml:space="preserve">región Providencia, sector Ajibes-La Tirana, desembocadura de la Quebrada Buenos Aires al río Anorí.</x:t>
  </x:si>
  <x:si>
    <x:t xml:space="preserve">COL 000048914</x:t>
  </x:si>
  <x:si>
    <x:t xml:space="preserve">Rodríguez W. et al., 4507</x:t>
  </x:si>
  <x:si>
    <x:t xml:space="preserve">MEDEL 47752</x:t>
  </x:si>
  <x:si>
    <x:t xml:space="preserve">Colombia, Antioquia, Anorí, vereda Madre Seca, quebrada Espíritu Santo.</x:t>
  </x:si>
  <x:si>
    <x:t xml:space="preserve">N 07°15'12.6"</x:t>
  </x:si>
  <x:si>
    <x:t xml:space="preserve">07°15'12.6" N</x:t>
  </x:si>
  <x:si>
    <x:t xml:space="preserve">W 75°02'35.8"</x:t>
  </x:si>
  <x:si>
    <x:t xml:space="preserve">75°02'35.8" W</x:t>
  </x:si>
  <x:si>
    <x:t xml:space="preserve">07°15'12.6" N, 75°02'35.8" W</x:t>
  </x:si>
  <x:si>
    <x:t xml:space="preserve">7.2535</x:t>
  </x:si>
  <x:si>
    <x:t xml:space="preserve">-75.0432778</x:t>
  </x:si>
  <x:si>
    <x:t xml:space="preserve">7.2535,-75.0432778</x:t>
  </x:si>
  <x:si>
    <x:t xml:space="preserve">vereda Madre Seca, quebrada Espíritu Santo.</x:t>
  </x:si>
  <x:si>
    <x:t xml:space="preserve">MEDEL 47751</x:t>
  </x:si>
  <x:si>
    <x:t xml:space="preserve">1079,169</x:t>
  </x:si>
  <x:si>
    <x:t xml:space="preserve">Rodríguez W. et al., 4526</x:t>
  </x:si>
  <x:si>
    <x:t xml:space="preserve">HUA 142068</x:t>
  </x:si>
  <x:si>
    <x:t xml:space="preserve">Colombia, Antioquia, Anorí, vereda Madre Seca, quebrada Pilones, sector Juanico.</x:t>
  </x:si>
  <x:si>
    <x:t xml:space="preserve">N 07°17'00.2"</x:t>
  </x:si>
  <x:si>
    <x:t xml:space="preserve">07°17'00.2" N</x:t>
  </x:si>
  <x:si>
    <x:t xml:space="preserve">W 75°03'</x:t>
  </x:si>
  <x:si>
    <x:t xml:space="preserve">75°03' W</x:t>
  </x:si>
  <x:si>
    <x:t xml:space="preserve">07°17'00.2" N, 75°03' W</x:t>
  </x:si>
  <x:si>
    <x:t xml:space="preserve">7.2833889</x:t>
  </x:si>
  <x:si>
    <x:t xml:space="preserve">-75.05</x:t>
  </x:si>
  <x:si>
    <x:t xml:space="preserve">7.2833889,-75.05</x:t>
  </x:si>
  <x:si>
    <x:t xml:space="preserve">vereda Madre Seca, quebrada Pilones, sector Juanico.</x:t>
  </x:si>
  <x:si>
    <x:t xml:space="preserve">Sanín D. et al., 1954 </x:t>
  </x:si>
  <x:si>
    <x:t xml:space="preserve">FAUC XXXX</x:t>
  </x:si>
  <x:si>
    <x:t xml:space="preserve">Colombia, Antioquia, San Luis, Río Claro, reserva Río Claro, por el sendero turístico.</x:t>
  </x:si>
  <x:si>
    <x:t xml:space="preserve">N 05°53'50.2"</x:t>
  </x:si>
  <x:si>
    <x:t xml:space="preserve">05°53'50.2" N</x:t>
  </x:si>
  <x:si>
    <x:t xml:space="preserve">W 74°51'34.5"</x:t>
  </x:si>
  <x:si>
    <x:t xml:space="preserve">74°51'34.5" W</x:t>
  </x:si>
  <x:si>
    <x:t xml:space="preserve">05°53'50.2" N, 74°51'34.5" W</x:t>
  </x:si>
  <x:si>
    <x:t xml:space="preserve">5.8972778</x:t>
  </x:si>
  <x:si>
    <x:t xml:space="preserve">-74.8595833</x:t>
  </x:si>
  <x:si>
    <x:t xml:space="preserve">5.8972778,-74.8595833</x:t>
  </x:si>
  <x:si>
    <x:t xml:space="preserve">La Reserva Natural Río Claro está ubicada en San Francisco</x:t>
  </x:si>
  <x:si>
    <x:t xml:space="preserve">D_Sanín1954 </x:t>
  </x:si>
  <x:si>
    <x:t xml:space="preserve">Río Claro, reserva Río Claro, por el sendero turístico.</x:t>
  </x:si>
  <x:si>
    <x:t xml:space="preserve">S. articulatum (C.Presl) Schwartsb &amp; A. R. Sm.</x:t>
  </x:si>
  <x:si>
    <x:t xml:space="preserve">Serpocaulon articulatum</x:t>
  </x:si>
  <x:si>
    <x:t xml:space="preserve">Little E.L &amp; R. R. Little 9622</x:t>
  </x:si>
  <x:si>
    <x:t xml:space="preserve">COL 000335829</x:t>
  </x:si>
  <x:si>
    <x:t xml:space="preserve">Colombia, Caqueta, Solano, 8 km SE, of Tres Esquinas on Río Caquetá below mouth of Río Orteguaza.</x:t>
  </x:si>
  <x:si>
    <x:t xml:space="preserve">COL000335829</x:t>
  </x:si>
  <x:si>
    <x:t xml:space="preserve">Caqueta</x:t>
  </x:si>
  <x:si>
    <x:t xml:space="preserve">Solano</x:t>
  </x:si>
  <x:si>
    <x:t xml:space="preserve">8 km SE, of Tres Esquinas on Río Caquetá below mouth of Río Orteguaza.</x:t>
  </x:si>
  <x:si>
    <x:t xml:space="preserve">Barkley F.A. &amp; G. Gutiérrez 1885</x:t>
  </x:si>
  <x:si>
    <x:t xml:space="preserve">MEDEL 29099</x:t>
  </x:si>
  <x:si>
    <x:t xml:space="preserve">Colombia, Magdalena, Sierra Nevada de Santa Marta, región del Campano.</x:t>
  </x:si>
  <x:si>
    <x:t xml:space="preserve">MEDEL29099</x:t>
  </x:si>
  <x:si>
    <x:t xml:space="preserve">Magdalena</x:t>
  </x:si>
  <x:si>
    <x:t xml:space="preserve">Sierra Nevada de Santa Marta</x:t>
  </x:si>
  <x:si>
    <x:t xml:space="preserve">región del Campano.</x:t>
  </x:si>
  <x:si>
    <x:t xml:space="preserve">COL 000335821</x:t>
  </x:si>
  <x:si>
    <x:t xml:space="preserve">Bischler H. 2049</x:t>
  </x:si>
  <x:si>
    <x:t xml:space="preserve">COL 000335812</x:t>
  </x:si>
  <x:si>
    <x:t xml:space="preserve">Colombia, Norte de Santander, Sarare, Gibraltar.</x:t>
  </x:si>
  <x:si>
    <x:t xml:space="preserve">700-900</x:t>
  </x:si>
  <x:si>
    <x:t xml:space="preserve">No encontré una localidad llamada Sarare en Gibraltar, así que ubiqué el punto en el centro de Gibraltar</x:t>
  </x:si>
  <x:si>
    <x:t xml:space="preserve">COL000335812</x:t>
  </x:si>
  <x:si>
    <x:t xml:space="preserve">Norte de Santander</x:t>
  </x:si>
  <x:si>
    <x:t xml:space="preserve">Sarare</x:t>
  </x:si>
  <x:si>
    <x:t xml:space="preserve">Gibraltar.</x:t>
  </x:si>
  <x:si>
    <x:t xml:space="preserve">Murillo M. T. 84</x:t>
  </x:si>
  <x:si>
    <x:t xml:space="preserve">COL 000335825</x:t>
  </x:si>
  <x:si>
    <x:t xml:space="preserve">Colombia, Cundinamarca, entre Albán y Sasaima, hacia Las Mercedes.</x:t>
  </x:si>
  <x:si>
    <x:t xml:space="preserve">COL000335825</x:t>
  </x:si>
  <x:si>
    <x:t xml:space="preserve">entre Albán y Sasaima</x:t>
  </x:si>
  <x:si>
    <x:t xml:space="preserve">hacia Las Mercedes.</x:t>
  </x:si>
  <x:si>
    <x:t xml:space="preserve">Forero E. et al., 4451</x:t>
  </x:si>
  <x:si>
    <x:t xml:space="preserve">COL 000336121</x:t>
  </x:si>
  <x:si>
    <x:t xml:space="preserve">Colombia, Chocó, Hoya del río San Juan, Quebrada La Serpiente, afluente del Río San Juan.</x:t>
  </x:si>
  <x:si>
    <x:t xml:space="preserve">N 04°10'</x:t>
  </x:si>
  <x:si>
    <x:t xml:space="preserve">04°10' N</x:t>
  </x:si>
  <x:si>
    <x:t xml:space="preserve">W 77°10'</x:t>
  </x:si>
  <x:si>
    <x:t xml:space="preserve">77°10' W</x:t>
  </x:si>
  <x:si>
    <x:t xml:space="preserve">04°10' N, 77°10' W</x:t>
  </x:si>
  <x:si>
    <x:t xml:space="preserve">COL 000336552</x:t>
  </x:si>
  <x:si>
    <x:t xml:space="preserve">Hoya del río San Juan</x:t>
  </x:si>
  <x:si>
    <x:t xml:space="preserve">Quebrada La Serpiente, afluente del Río San Juan.</x:t>
  </x:si>
  <x:si>
    <x:t xml:space="preserve">Osorio G. 161</x:t>
  </x:si>
  <x:si>
    <x:t xml:space="preserve">COL 248590</x:t>
  </x:si>
  <x:si>
    <x:t xml:space="preserve">Colombia, Huila, Acevedo, carretera entre San Marcos y San Adolfo.</x:t>
  </x:si>
  <x:si>
    <x:t xml:space="preserve">COL248590</x:t>
  </x:si>
  <x:si>
    <x:t xml:space="preserve">Acevedo</x:t>
  </x:si>
  <x:si>
    <x:t xml:space="preserve">carretera entre San Marcos y San Adolfo.</x:t>
  </x:si>
  <x:si>
    <x:t xml:space="preserve">Murillo M. T. &amp; M.A. Harker 2164</x:t>
  </x:si>
  <x:si>
    <x:t xml:space="preserve">COL 000335823</x:t>
  </x:si>
  <x:si>
    <x:t xml:space="preserve">Colombia, Meta, carretera Medina a San Pedro de Jagua, bosques sobre el río Gazuanta.</x:t>
  </x:si>
  <x:si>
    <x:t xml:space="preserve">COL000335823</x:t>
  </x:si>
  <x:si>
    <x:t xml:space="preserve">Meta</x:t>
  </x:si>
  <x:si>
    <x:t xml:space="preserve">carretera Medina a San Pedro de Jagua</x:t>
  </x:si>
  <x:si>
    <x:t xml:space="preserve">bosques sobre el río Gazuanta.</x:t>
  </x:si>
  <x:si>
    <x:t xml:space="preserve">Killip E. P. 34844</x:t>
  </x:si>
  <x:si>
    <x:t xml:space="preserve">COL 19136</x:t>
  </x:si>
  <x:si>
    <x:t xml:space="preserve">Colombia, Valle del Cauca, Río Dagua valley, dense forest along Río Engaña.</x:t>
  </x:si>
  <x:si>
    <x:t xml:space="preserve">410-560</x:t>
  </x:si>
  <x:si>
    <x:t xml:space="preserve">COL19136</x:t>
  </x:si>
  <x:si>
    <x:t xml:space="preserve">Río Dagua valley</x:t>
  </x:si>
  <x:si>
    <x:t xml:space="preserve">dense forest along Río Engaña.</x:t>
  </x:si>
  <x:si>
    <x:t xml:space="preserve">McPerson G. 12989</x:t>
  </x:si>
  <x:si>
    <x:t xml:space="preserve">HUA 59991</x:t>
  </x:si>
  <x:si>
    <x:t xml:space="preserve">Colombia, Antioquia, Frontino, area called Murrí, in western central part department, 20-28 km from Nutibara; forest at roadside </x:t>
  </x:si>
  <x:si>
    <x:t xml:space="preserve">1050-1350</x:t>
  </x:si>
  <x:si>
    <x:t xml:space="preserve">N 05°30'</x:t>
  </x:si>
  <x:si>
    <x:t xml:space="preserve">05°30' N</x:t>
  </x:si>
  <x:si>
    <x:t xml:space="preserve">W75°50'</x:t>
  </x:si>
  <x:si>
    <x:t xml:space="preserve">5°50' W</x:t>
  </x:si>
  <x:si>
    <x:t xml:space="preserve">05°30' N, 5°50' W</x:t>
  </x:si>
  <x:si>
    <x:t xml:space="preserve">HUA59991</x:t>
  </x:si>
  <x:si>
    <x:t xml:space="preserve">Frontino</x:t>
  </x:si>
  <x:si>
    <x:t xml:space="preserve">area called Murrí, in western central part department, 20-28 km from Nutibara; forest at roadside</x:t>
  </x:si>
  <x:si>
    <x:t xml:space="preserve">Muñoz E. &amp; D.L. Hurtado 2018</x:t>
  </x:si>
  <x:si>
    <x:t xml:space="preserve">CAUP 18858</x:t>
  </x:si>
  <x:si>
    <x:t xml:space="preserve">Colombia, Cauca, Piamonte, corregimiento de Nápoles, vereda La Florida, Serrania de los Churumbelos.</x:t>
  </x:si>
  <x:si>
    <x:t xml:space="preserve">CAUP18858</x:t>
  </x:si>
  <x:si>
    <x:t xml:space="preserve">Piamonte</x:t>
  </x:si>
  <x:si>
    <x:t xml:space="preserve">corregimiento de Nápoles, vereda La Florida, Serrania de los Churumbelos.</x:t>
  </x:si>
  <x:si>
    <x:t xml:space="preserve">Sanín D. et al., 2976</x:t>
  </x:si>
  <x:si>
    <x:t xml:space="preserve">Colombia, Chochó, San Jose del Palmar, vereda Damasco, Escuela Santa Lucia.</x:t>
  </x:si>
  <x:si>
    <x:t xml:space="preserve">N 4° 52' 9.38"</x:t>
  </x:si>
  <x:si>
    <x:t xml:space="preserve">4° 52' 9.38" N</x:t>
  </x:si>
  <x:si>
    <x:t xml:space="preserve">W 76°15'2.33"</x:t>
  </x:si>
  <x:si>
    <x:t xml:space="preserve">76°15'2.33" W</x:t>
  </x:si>
  <x:si>
    <x:t xml:space="preserve">4° 52' 9.38" N, 76°15'2.33" W</x:t>
  </x:si>
  <x:si>
    <x:t xml:space="preserve">4.8692722</x:t>
  </x:si>
  <x:si>
    <x:t xml:space="preserve">-76.2506472</x:t>
  </x:si>
  <x:si>
    <x:t xml:space="preserve">4.8692722,-76.2506472</x:t>
  </x:si>
  <x:si>
    <x:t xml:space="preserve">Chochó</x:t>
  </x:si>
  <x:si>
    <x:t xml:space="preserve">vereda Damasco, Escuela Santa Lucia.</x:t>
  </x:si>
  <x:si>
    <x:t xml:space="preserve">Lellinger D. &amp; E. De la Sota 176</x:t>
  </x:si>
  <x:si>
    <x:t xml:space="preserve">COL 133493</x:t>
  </x:si>
  <x:si>
    <x:t xml:space="preserve">Colombia, Chocó, río Mutatá, ca 3 km above its junction with the río El Valle, NW of Alto del Buey.</x:t>
  </x:si>
  <x:si>
    <x:t xml:space="preserve">COL133493</x:t>
  </x:si>
  <x:si>
    <x:t xml:space="preserve">río Mutatá</x:t>
  </x:si>
  <x:si>
    <x:t xml:space="preserve">ca 3 km above its junction with the río El Valle, NW of Alto del Buey.</x:t>
  </x:si>
  <x:si>
    <x:t xml:space="preserve">Callejas &amp; O. Marulanda 6016</x:t>
  </x:si>
  <x:si>
    <x:t xml:space="preserve">HUA 52460</x:t>
  </x:si>
  <x:si>
    <x:t xml:space="preserve">Colombia, Meta, Mesetas, vereda Gaviotas, vía Pto. Croebas-Gaviotas-Río Leiva (afl. Guayabero).</x:t>
  </x:si>
  <x:si>
    <x:t xml:space="preserve">La vereda Gaviotas se encuentra en el municipio Uribe</x:t>
  </x:si>
  <x:si>
    <x:t xml:space="preserve">HUA52460</x:t>
  </x:si>
  <x:si>
    <x:t xml:space="preserve">Mesetas</x:t>
  </x:si>
  <x:si>
    <x:t xml:space="preserve">vereda Gaviotas, vía Pto. Croebas-Gaviotas-Río Leiva (afl. Guayabero).</x:t>
  </x:si>
  <x:si>
    <x:t xml:space="preserve">S. attenuatum C.Presl.) A. R. Sm.</x:t>
  </x:si>
  <x:si>
    <x:t xml:space="preserve">Serpocaulon attenuatum</x:t>
  </x:si>
  <x:si>
    <x:t xml:space="preserve">Echeverry-E. R. 2037</x:t>
  </x:si>
  <x:si>
    <x:t xml:space="preserve">COL 000336616</x:t>
  </x:si>
  <x:si>
    <x:t xml:space="preserve">Colombia, Meta, Reserva Natural la Macarena, margen izquierdo del río Guayabero, 1er raudal.</x:t>
  </x:si>
  <x:si>
    <x:t xml:space="preserve">6268,176</x:t>
  </x:si>
  <x:si>
    <x:t xml:space="preserve">COL000336616</x:t>
  </x:si>
  <x:si>
    <x:t xml:space="preserve">Reserva Natural la Macarena</x:t>
  </x:si>
  <x:si>
    <x:t xml:space="preserve">margen izquierdo del río Guayabero, 1er raudal.</x:t>
  </x:si>
  <x:si>
    <x:t xml:space="preserve">TOLI 1866</x:t>
  </x:si>
  <x:si>
    <x:t xml:space="preserve">S. biauriculatum D. Sanín &amp; Testo, sp. nov. </x:t>
  </x:si>
  <x:si>
    <x:t xml:space="preserve">Serpocaulon biauriculatum</x:t>
  </x:si>
  <x:si>
    <x:t xml:space="preserve">J. Meza-Ortíz et al. 553 </x:t>
  </x:si>
  <x:si>
    <x:t xml:space="preserve">Paratype (UIS [!]).</x:t>
  </x:si>
  <x:si>
    <x:t xml:space="preserve">Colombia, Mun. El Carmen de Chucurí, vereda La Bodega, Sitio Plan de Las Mercedes, orilla de camino entre Quebrada San Guillerma y El Picacho, PNN Serranía de los Yariguíes.</x:t>
  </x:si>
  <x:si>
    <x:t xml:space="preserve">1800–1900</x:t>
  </x:si>
  <x:si>
    <x:t xml:space="preserve">6°41′13′′N</x:t>
  </x:si>
  <x:si>
    <x:t xml:space="preserve">73°26'13.9''W</x:t>
  </x:si>
  <x:si>
    <x:t xml:space="preserve">6°41′13′′N, 73°26'13.9''W</x:t>
  </x:si>
  <x:si>
    <x:t xml:space="preserve">6.6869444</x:t>
  </x:si>
  <x:si>
    <x:t xml:space="preserve">-73.4371944</x:t>
  </x:si>
  <x:si>
    <x:t xml:space="preserve">6.6869444,-73.4371944</x:t>
  </x:si>
  <x:si>
    <x:t xml:space="preserve">Mun. El Carmen de Chucurí</x:t>
  </x:si>
  <x:si>
    <x:t xml:space="preserve">vereda La Bodega</x:t>
  </x:si>
  <x:si>
    <x:t xml:space="preserve">Sitio Plan de Las Mercedes, orilla de camino entre Quebrada San Guillerma y El Picacho, PNN Serranía de los Yariguíes, , , m, , </x:t>
  </x:si>
  <x:si>
    <x:t xml:space="preserve">W. L. Testo  et al. 2908</x:t>
  </x:si>
  <x:si>
    <x:t xml:space="preserve">Paratypes</x:t>
  </x:si>
  <x:si>
    <x:t xml:space="preserve">Colombia, Santander, El Carmen de Chucurí, Parque Nacional Natural Serranía de los Yariguíes, vereda La Victoria, camino Palma de Ramo.</x:t>
  </x:si>
  <x:si>
    <x:t xml:space="preserve">6,5866, 73,5182</x:t>
  </x:si>
  <x:si>
    <x:t xml:space="preserve">COLOMBIA. Santander: Mun. El Carmen de Chucurí</x:t>
  </x:si>
  <x:si>
    <x:t xml:space="preserve">Parque Nacional Natural Serranía de los Yariguíes</x:t>
  </x:si>
  <x:si>
    <x:t xml:space="preserve">vereda La Victoria, camino Palma de Ramo.</x:t>
  </x:si>
  <x:si>
    <x:t xml:space="preserve">D. Sanín, A. Martínez &amp; L. Rincón 9368</x:t>
  </x:si>
  <x:si>
    <x:t xml:space="preserve">holotype: UIS </x:t>
  </x:si>
  <x:si>
    <x:t xml:space="preserve">Colombia, Santander, San Vicente de Chucurí, vereda Pamplona, sector San Calletano, Bosque Paraguay.</x:t>
  </x:si>
  <x:si>
    <x:t xml:space="preserve">6°44'18''N</x:t>
  </x:si>
  <x:si>
    <x:t xml:space="preserve">73°25'40.7''W </x:t>
  </x:si>
  <x:si>
    <x:t xml:space="preserve">73°25'40.7''W</x:t>
  </x:si>
  <x:si>
    <x:t xml:space="preserve">6°44′18′′N, 73°25'40.7''W</x:t>
  </x:si>
  <x:si>
    <x:t xml:space="preserve">6.7383333</x:t>
  </x:si>
  <x:si>
    <x:t xml:space="preserve">-73.4279722</x:t>
  </x:si>
  <x:si>
    <x:t xml:space="preserve">6.7383333,-73.4279722</x:t>
  </x:si>
  <x:si>
    <x:t xml:space="preserve">Colombia. Santander</x:t>
  </x:si>
  <x:si>
    <x:t xml:space="preserve">Mun. San Vicente de Chucurí</x:t>
  </x:si>
  <x:si>
    <x:t xml:space="preserve">vereda Pamplona, sector San Calletano, Bosque Paraguay.</x:t>
  </x:si>
  <x:si>
    <x:t xml:space="preserve">S. concolorum A.R.Sm. &amp; M. Kessler</x:t>
  </x:si>
  <x:si>
    <x:t xml:space="preserve">Serpocaulon concolorum</x:t>
  </x:si>
  <x:si>
    <x:t xml:space="preserve">Hagemann &amp; Leist 1898</x:t>
  </x:si>
  <x:si>
    <x:t xml:space="preserve">PSO 28225</x:t>
  </x:si>
  <x:si>
    <x:t xml:space="preserve">Colombia, Nariño, Ipiales, km 32 carretera La Victoria-Monopamba. Motilón.</x:t>
  </x:si>
  <x:si>
    <x:t xml:space="preserve">PSO11273</x:t>
  </x:si>
  <x:si>
    <x:t xml:space="preserve">Ipiales</x:t>
  </x:si>
  <x:si>
    <x:t xml:space="preserve">km 32 carretera La Victoria-Monopamba. Motilón.</x:t>
  </x:si>
  <x:si>
    <x:t xml:space="preserve">Silverstone-Sopkin P.A., N. Paz, R. T. Gonzalez, J.E. Ramos, L.H. Ramos &amp; A. Henao 4633</x:t>
  </x:si>
  <x:si>
    <x:t xml:space="preserve">CUVC 22511 UC</x:t>
  </x:si>
  <x:si>
    <x:t xml:space="preserve">Colombia, Chocó, San José del Palmar, Cerro Torrá, filo de cumbre, vegetación abierta con arbustos, hierbas, gramíneas, helechos, algunas palmas y arboles pequeños.</x:t>
  </x:si>
  <x:si>
    <x:t xml:space="preserve">2700-2800</x:t>
  </x:si>
  <x:si>
    <x:t xml:space="preserve">CUVC22511_UC</x:t>
  </x:si>
  <x:si>
    <x:t xml:space="preserve">San José del Palmar</x:t>
  </x:si>
  <x:si>
    <x:t xml:space="preserve">Cerro Torrá, filo de cumbre, vegetación abierta con arbustos, hierbas, gramíneas, helechos, algunas palmas y arboles pequeños.</x:t>
  </x:si>
  <x:si>
    <x:t xml:space="preserve">CHOCO08478 UC</x:t>
  </x:si>
  <x:si>
    <x:t xml:space="preserve">Herrera G. 9302</x:t>
  </x:si>
  <x:si>
    <x:t xml:space="preserve">PSO 40027 UC</x:t>
  </x:si>
  <x:si>
    <x:t xml:space="preserve">Colombia, Nariño, Reserva Natural La Planada, sendero entre El Hondon y Los Horquetas, Bosque primario.</x:t>
  </x:si>
  <x:si>
    <x:t xml:space="preserve">N 01°10'18"</x:t>
  </x:si>
  <x:si>
    <x:t xml:space="preserve">01°10'18" N</x:t>
  </x:si>
  <x:si>
    <x:t xml:space="preserve">W 78°00'09"</x:t>
  </x:si>
  <x:si>
    <x:t xml:space="preserve">78°00'09" W</x:t>
  </x:si>
  <x:si>
    <x:t xml:space="preserve">01°10'18" N, 78°00'09" W</x:t>
  </x:si>
  <x:si>
    <x:t xml:space="preserve">1.1716667</x:t>
  </x:si>
  <x:si>
    <x:t xml:space="preserve">-78.0025</x:t>
  </x:si>
  <x:si>
    <x:t xml:space="preserve">1.1716667,-78.0025</x:t>
  </x:si>
  <x:si>
    <x:t xml:space="preserve">Reserva Natural La Planada</x:t>
  </x:si>
  <x:si>
    <x:t xml:space="preserve">sendero entre El Hondon y Los Horquetas, Bosque primario.</x:t>
  </x:si>
  <x:si>
    <x:t xml:space="preserve">Herrera G. 9193</x:t>
  </x:si>
  <x:si>
    <x:t xml:space="preserve">S. dissimile (L.) A.R. Sm.</x:t>
  </x:si>
  <x:si>
    <x:t xml:space="preserve">Serpocaulon dissimile</x:t>
  </x:si>
  <x:si>
    <x:t xml:space="preserve">Hodge W.H. 6779</x:t>
  </x:si>
  <x:si>
    <x:t xml:space="preserve">MEDEL 2763</x:t>
  </x:si>
  <x:si>
    <x:t xml:space="preserve">Colombia, Antioquia, Medellín, cerca de Porcesito.</x:t>
  </x:si>
  <x:si>
    <x:t xml:space="preserve">COL70091</x:t>
  </x:si>
  <x:si>
    <x:t xml:space="preserve">cerca de Porcesito.</x:t>
  </x:si>
  <x:si>
    <x:t xml:space="preserve">W.H. Hodge 6779</x:t>
  </x:si>
  <x:si>
    <x:t xml:space="preserve">COL 70091</x:t>
  </x:si>
  <x:si>
    <x:t xml:space="preserve">Colombia, Antioquia, cerca de Porcesito, valle del Río Medellín.</x:t>
  </x:si>
  <x:si>
    <x:t xml:space="preserve">cerca de Porcesito</x:t>
  </x:si>
  <x:si>
    <x:t xml:space="preserve">valle del Río Medellín.</x:t>
  </x:si>
  <x:si>
    <x:t xml:space="preserve">D. Giraldo-Cañas 749</x:t>
  </x:si>
  <x:si>
    <x:t xml:space="preserve">HUA 79791</x:t>
  </x:si>
  <x:si>
    <x:t xml:space="preserve">Colombia, Antioquia, Cocorná, vereda La Piñuela, vía a San Francisco.</x:t>
  </x:si>
  <x:si>
    <x:t xml:space="preserve">N 06°02'</x:t>
  </x:si>
  <x:si>
    <x:t xml:space="preserve">06°02' N</x:t>
  </x:si>
  <x:si>
    <x:t xml:space="preserve">W 75°08'</x:t>
  </x:si>
  <x:si>
    <x:t xml:space="preserve">75°08' W</x:t>
  </x:si>
  <x:si>
    <x:t xml:space="preserve">06°02' N, 75°08' W</x:t>
  </x:si>
  <x:si>
    <x:t xml:space="preserve">6.0333333</x:t>
  </x:si>
  <x:si>
    <x:t xml:space="preserve">-75.1333333</x:t>
  </x:si>
  <x:si>
    <x:t xml:space="preserve">6.0333333,-75.1333333</x:t>
  </x:si>
  <x:si>
    <x:t xml:space="preserve">Cocorná</x:t>
  </x:si>
  <x:si>
    <x:t xml:space="preserve">vereda La Piñuela, vía a San Francisco.</x:t>
  </x:si>
  <x:si>
    <x:t xml:space="preserve">Sanín et al., 5162</x:t>
  </x:si>
  <x:si>
    <x:t xml:space="preserve">NY, Col</x:t>
  </x:si>
  <x:si>
    <x:t xml:space="preserve">Colombia, Antioquia, Frontino, Parque Nacional Natural Las Orquideas, vereda Venados Abajo, Finca de Gabriel Montoya, margen derecha del río Venados.</x:t>
  </x:si>
  <x:si>
    <x:t xml:space="preserve">860-910</x:t>
  </x:si>
  <x:si>
    <x:t xml:space="preserve">N 06°32'23.5"</x:t>
  </x:si>
  <x:si>
    <x:t xml:space="preserve">06°32'23.5" N</x:t>
  </x:si>
  <x:si>
    <x:t xml:space="preserve">W76°19'9.7"</x:t>
  </x:si>
  <x:si>
    <x:t xml:space="preserve">6°19'9.7" W</x:t>
  </x:si>
  <x:si>
    <x:t xml:space="preserve">06°32'23.5" N, 6°19'9.7" W</x:t>
  </x:si>
  <x:si>
    <x:t xml:space="preserve">6.5398611</x:t>
  </x:si>
  <x:si>
    <x:t xml:space="preserve">-6.3193611</x:t>
  </x:si>
  <x:si>
    <x:t xml:space="preserve">6.5398611,-6.3193611</x:t>
  </x:si>
  <x:si>
    <x:t xml:space="preserve">Sanín_5068</x:t>
  </x:si>
  <x:si>
    <x:t xml:space="preserve">Parque Nacional Natural Las Orquideas, vereda Venados Abajo, Finca de Gabriel Montoya, margen derecha del río Venados.</x:t>
  </x:si>
  <x:si>
    <x:t xml:space="preserve">Sanín et al., 5068</x:t>
  </x:si>
  <x:si>
    <x:t xml:space="preserve">Colombia, Antioquia, Frontino, Parque Nacional Natural Las Orquideas, vereda Venados Abajo, sector de Venados, sitio Arenales.</x:t>
  </x:si>
  <x:si>
    <x:t xml:space="preserve">950-1000</x:t>
  </x:si>
  <x:si>
    <x:t xml:space="preserve">N 06°32'25.2"</x:t>
  </x:si>
  <x:si>
    <x:t xml:space="preserve">06°32'25.2" N</x:t>
  </x:si>
  <x:si>
    <x:t xml:space="preserve">W76°18'38.7"</x:t>
  </x:si>
  <x:si>
    <x:t xml:space="preserve">6°18'38.7" W</x:t>
  </x:si>
  <x:si>
    <x:t xml:space="preserve">06°32'25.2" N, 6°18'38.7" W</x:t>
  </x:si>
  <x:si>
    <x:t xml:space="preserve">6.5403333</x:t>
  </x:si>
  <x:si>
    <x:t xml:space="preserve">-6.31075</x:t>
  </x:si>
  <x:si>
    <x:t xml:space="preserve">6.5403333,-6.31075</x:t>
  </x:si>
  <x:si>
    <x:t xml:space="preserve">Parque Nacional Natural Las Orquideas, vereda Venados Abajo, sector de Venados, sitio Arenales.</x:t>
  </x:si>
  <x:si>
    <x:t xml:space="preserve">C.E. Acosta-Arteaga 768</x:t>
  </x:si>
  <x:si>
    <x:t xml:space="preserve">COL 176719</x:t>
  </x:si>
  <x:si>
    <x:t xml:space="preserve">Colombia, Caldas, Samaná, adelante del puente La Linda, Río Samaná.</x:t>
  </x:si>
  <x:si>
    <x:t xml:space="preserve">N 05°34'30.42"</x:t>
  </x:si>
  <x:si>
    <x:t xml:space="preserve">05°34'30.42" N</x:t>
  </x:si>
  <x:si>
    <x:t xml:space="preserve">W 74°53'24.66"</x:t>
  </x:si>
  <x:si>
    <x:t xml:space="preserve">74°53'24.66" W</x:t>
  </x:si>
  <x:si>
    <x:t xml:space="preserve">05°34'30.42" N, 74°53'24.66" W</x:t>
  </x:si>
  <x:si>
    <x:t xml:space="preserve">5.5751167</x:t>
  </x:si>
  <x:si>
    <x:t xml:space="preserve">-74.8901833</x:t>
  </x:si>
  <x:si>
    <x:t xml:space="preserve">5.5751167,-74.8901833</x:t>
  </x:si>
  <x:si>
    <x:t xml:space="preserve">Samaná</x:t>
  </x:si>
  <x:si>
    <x:t xml:space="preserve">adelante del puente La Linda, Río Samaná.</x:t>
  </x:si>
  <x:si>
    <x:t xml:space="preserve">Sanín et al., 5656</x:t>
  </x:si>
  <x:si>
    <x:t xml:space="preserve">HUA XXX</x:t>
  </x:si>
  <x:si>
    <x:t xml:space="preserve">Colombia, Caldas, Chichiná, vereda La Esmeralda, bosques del Embalse San Francisco, en la vía a los tubos, por el campo de entrenamiento militar.</x:t>
  </x:si>
  <x:si>
    <x:t xml:space="preserve">N 05° 03'32"</x:t>
  </x:si>
  <x:si>
    <x:t xml:space="preserve">05° 03'32" N</x:t>
  </x:si>
  <x:si>
    <x:t xml:space="preserve">W 75° 44' 07.6"</x:t>
  </x:si>
  <x:si>
    <x:t xml:space="preserve">75° 44' 07.6" W</x:t>
  </x:si>
  <x:si>
    <x:t xml:space="preserve">05° 03'32" N, 75° 44' 07.6" W</x:t>
  </x:si>
  <x:si>
    <x:t xml:space="preserve">5.0588889</x:t>
  </x:si>
  <x:si>
    <x:t xml:space="preserve">-75.7354444</x:t>
  </x:si>
  <x:si>
    <x:t xml:space="preserve">5.0588889,-75.7354444</x:t>
  </x:si>
  <x:si>
    <x:t xml:space="preserve">Chichiná</x:t>
  </x:si>
  <x:si>
    <x:t xml:space="preserve">vereda La Esmeralda, bosques del Embalse San Francisco, en la vía a los tubos, por el campo de entrenamiento militar.</x:t>
  </x:si>
  <x:si>
    <x:t xml:space="preserve">C. González 501</x:t>
  </x:si>
  <x:si>
    <x:t xml:space="preserve">COL 434448</x:t>
  </x:si>
  <x:si>
    <x:t xml:space="preserve">Colombia, Cauca, Santa Rosa, Serrania de los Churumbelos, Bota Cuacana.</x:t>
  </x:si>
  <x:si>
    <x:t xml:space="preserve">N 1°13'59.32"</x:t>
  </x:si>
  <x:si>
    <x:t xml:space="preserve">1°13'59.32" N</x:t>
  </x:si>
  <x:si>
    <x:t xml:space="preserve">W 76°31'58.24"</x:t>
  </x:si>
  <x:si>
    <x:t xml:space="preserve">76°31'58.24" W</x:t>
  </x:si>
  <x:si>
    <x:t xml:space="preserve">1°13'59.32" N, 76°31'58.24" W</x:t>
  </x:si>
  <x:si>
    <x:t xml:space="preserve">1.2331444</x:t>
  </x:si>
  <x:si>
    <x:t xml:space="preserve">-76.5328444</x:t>
  </x:si>
  <x:si>
    <x:t xml:space="preserve">1.2331444,-76.5328444</x:t>
  </x:si>
  <x:si>
    <x:t xml:space="preserve">Serrania de los Churumbelos, Bota Cuacana.</x:t>
  </x:si>
  <x:si>
    <x:t xml:space="preserve">E.L. Muñoz et al., 1900</x:t>
  </x:si>
  <x:si>
    <x:t xml:space="preserve">CAUP 18744</x:t>
  </x:si>
  <x:si>
    <x:t xml:space="preserve">N 02°27'29.55"</x:t>
  </x:si>
  <x:si>
    <x:t xml:space="preserve">02°27'29.55" N</x:t>
  </x:si>
  <x:si>
    <x:t xml:space="preserve">W 76°48'31.18"</x:t>
  </x:si>
  <x:si>
    <x:t xml:space="preserve">76°48'31.18" W</x:t>
  </x:si>
  <x:si>
    <x:t xml:space="preserve">02°27'29.55" N, 76°48'31.18" W</x:t>
  </x:si>
  <x:si>
    <x:t xml:space="preserve">2.4582083</x:t>
  </x:si>
  <x:si>
    <x:t xml:space="preserve">-76.8086611</x:t>
  </x:si>
  <x:si>
    <x:t xml:space="preserve">2.4582083,-76.8086611</x:t>
  </x:si>
  <x:si>
    <x:t xml:space="preserve">Sanín D. et al., 2957</x:t>
  </x:si>
  <x:si>
    <x:t xml:space="preserve">FAUC xxxx</x:t>
  </x:si>
  <x:si>
    <x:t xml:space="preserve">Colombia, Chocó, San Jose del Palmar, vereda Damasco, Escuela Santa Lucia.</x:t>
  </x:si>
  <x:si>
    <x:t xml:space="preserve">N 04° 52' 9.38"</x:t>
  </x:si>
  <x:si>
    <x:t xml:space="preserve">04° 52' 9.38" N</x:t>
  </x:si>
  <x:si>
    <x:t xml:space="preserve">W 76° 15' 2.33"</x:t>
  </x:si>
  <x:si>
    <x:t xml:space="preserve">76° 15' 2.33" W</x:t>
  </x:si>
  <x:si>
    <x:t xml:space="preserve">04° 52' 9.38" N, 76° 15' 2.33" W</x:t>
  </x:si>
  <x:si>
    <x:t xml:space="preserve">Sanín et al., 2901</x:t>
  </x:si>
  <x:si>
    <x:t xml:space="preserve">W 76 15' 2.33"</x:t>
  </x:si>
  <x:si>
    <x:t xml:space="preserve">76 15' 2.33" W</x:t>
  </x:si>
  <x:si>
    <x:t xml:space="preserve">04° 52' 9.38" N, 76 15' 2.33" W</x:t>
  </x:si>
  <x:si>
    <x:t xml:space="preserve">Sanín D. et al., 2879</x:t>
  </x:si>
  <x:si>
    <x:t xml:space="preserve">Forero E &amp; R. Jaramillo 4428</x:t>
  </x:si>
  <x:si>
    <x:t xml:space="preserve">COL 000335845</x:t>
  </x:si>
  <x:si>
    <x:t xml:space="preserve">Colombia, Colombia, Chocó, Hoya del río San Juan.</x:t>
  </x:si>
  <x:si>
    <x:t xml:space="preserve">W 77° 10</x:t>
  </x:si>
  <x:si>
    <x:t xml:space="preserve">77° 10 W</x:t>
  </x:si>
  <x:si>
    <x:t xml:space="preserve">04°10' N, 77° 10 W</x:t>
  </x:si>
  <x:si>
    <x:t xml:space="preserve">4.1666667</x:t>
  </x:si>
  <x:si>
    <x:t xml:space="preserve">-77.1666667</x:t>
  </x:si>
  <x:si>
    <x:t xml:space="preserve">4.1666667,-77.1666667</x:t>
  </x:si>
  <x:si>
    <x:t xml:space="preserve">Hoya del río San Juan.</x:t>
  </x:si>
  <x:si>
    <x:t xml:space="preserve">Jaramillo Mejía R. &amp; T. van der Hammen 4791</x:t>
  </x:si>
  <x:si>
    <x:t xml:space="preserve">COL 000335848</x:t>
  </x:si>
  <x:si>
    <x:t xml:space="preserve">Colombia, Cundinamarca, carretera arriba de Sasaima, Hacienda La Isabela.</x:t>
  </x:si>
  <x:si>
    <x:t xml:space="preserve">COL000335794</x:t>
  </x:si>
  <x:si>
    <x:t xml:space="preserve">carretera arriba de Sasaima</x:t>
  </x:si>
  <x:si>
    <x:t xml:space="preserve">Hacienda La Isabela.</x:t>
  </x:si>
  <x:si>
    <x:t xml:space="preserve">Mejía F. 63</x:t>
  </x:si>
  <x:si>
    <x:t xml:space="preserve">COL 000335852</x:t>
  </x:si>
  <x:si>
    <x:t xml:space="preserve">Colombia, Cundinamarca, Sasaima, vereda Las Mercedes, granja Wisaca.</x:t>
  </x:si>
  <x:si>
    <x:t xml:space="preserve">COL000335852</x:t>
  </x:si>
  <x:si>
    <x:t xml:space="preserve">Sasaima</x:t>
  </x:si>
  <x:si>
    <x:t xml:space="preserve">vereda Las Mercedes, granja Wisaca.</x:t>
  </x:si>
  <x:si>
    <x:t xml:space="preserve">Mejía F. 64</x:t>
  </x:si>
  <x:si>
    <x:t xml:space="preserve">COL 000335851</x:t>
  </x:si>
  <x:si>
    <x:t xml:space="preserve">Fernandez-Alonso J.L. et al., 15965</x:t>
  </x:si>
  <x:si>
    <x:t xml:space="preserve">COL 000335853</x:t>
  </x:si>
  <x:si>
    <x:t xml:space="preserve">Colombia, Cundinamarca, Ubala B. Inspección de policia Manbita, campamento EMGESA.</x:t>
  </x:si>
  <x:si>
    <x:t xml:space="preserve">N 04°10'10"</x:t>
  </x:si>
  <x:si>
    <x:t xml:space="preserve">04°10'10" N</x:t>
  </x:si>
  <x:si>
    <x:t xml:space="preserve">W 73° 19'26"</x:t>
  </x:si>
  <x:si>
    <x:t xml:space="preserve">73° 19'26" W</x:t>
  </x:si>
  <x:si>
    <x:t xml:space="preserve">04°10'10" N, 73° 19'26" W</x:t>
  </x:si>
  <x:si>
    <x:t xml:space="preserve">4.1694444</x:t>
  </x:si>
  <x:si>
    <x:t xml:space="preserve">-73.3238889</x:t>
  </x:si>
  <x:si>
    <x:t xml:space="preserve">4.1694444,-73.3238889</x:t>
  </x:si>
  <x:si>
    <x:t xml:space="preserve">COL000335853</x:t>
  </x:si>
  <x:si>
    <x:t xml:space="preserve">Ubala B. Inspección de policia Manbita</x:t>
  </x:si>
  <x:si>
    <x:t xml:space="preserve">campamento EMGESA.</x:t>
  </x:si>
  <x:si>
    <x:t xml:space="preserve">G. Osorio 43</x:t>
  </x:si>
  <x:si>
    <x:t xml:space="preserve">COL 248480</x:t>
  </x:si>
  <x:si>
    <x:t xml:space="preserve">Colombia, Huila, Pitalito, vereda Mortiñal.</x:t>
  </x:si>
  <x:si>
    <x:t xml:space="preserve">N 01°51'22.65"</x:t>
  </x:si>
  <x:si>
    <x:t xml:space="preserve">01°51'22.65" N</x:t>
  </x:si>
  <x:si>
    <x:t xml:space="preserve">W 76°02'21.81"</x:t>
  </x:si>
  <x:si>
    <x:t xml:space="preserve">76°02'21.81" W</x:t>
  </x:si>
  <x:si>
    <x:t xml:space="preserve">01°51'22.65" N, 76°02'21.81" W</x:t>
  </x:si>
  <x:si>
    <x:t xml:space="preserve">1.8562917</x:t>
  </x:si>
  <x:si>
    <x:t xml:space="preserve">-76.0393917</x:t>
  </x:si>
  <x:si>
    <x:t xml:space="preserve">1.8562917,-76.0393917</x:t>
  </x:si>
  <x:si>
    <x:t xml:space="preserve">vereda Mortiñal.</x:t>
  </x:si>
  <x:si>
    <x:t xml:space="preserve">G. Osorio 159</x:t>
  </x:si>
  <x:si>
    <x:t xml:space="preserve">COL 248462</x:t>
  </x:si>
  <x:si>
    <x:t xml:space="preserve">Colombia, Huila, Acevedo, vía a San Adolfo, vereda San Marcos</x:t>
  </x:si>
  <x:si>
    <x:t xml:space="preserve">N 01°48'13.69"</x:t>
  </x:si>
  <x:si>
    <x:t xml:space="preserve">01°48'13.69" N</x:t>
  </x:si>
  <x:si>
    <x:t xml:space="preserve">W 75°53'22.93"</x:t>
  </x:si>
  <x:si>
    <x:t xml:space="preserve">75°53'22.93" W</x:t>
  </x:si>
  <x:si>
    <x:t xml:space="preserve">01°48'13.69" N, 75°53'22.93" W</x:t>
  </x:si>
  <x:si>
    <x:t xml:space="preserve">1.8038028</x:t>
  </x:si>
  <x:si>
    <x:t xml:space="preserve">-75.8897028</x:t>
  </x:si>
  <x:si>
    <x:t xml:space="preserve">1.8038028,-75.8897028</x:t>
  </x:si>
  <x:si>
    <x:t xml:space="preserve">vía a San Adolfo, vereda San Marcos</x:t>
  </x:si>
  <x:si>
    <x:t xml:space="preserve">F. Llanos &amp; J. Camacho 1846</x:t>
  </x:si>
  <x:si>
    <x:t xml:space="preserve">COL 342159</x:t>
  </x:si>
  <x:si>
    <x:t xml:space="preserve">Colombia, Huila, Colombia, Inspección Las Lajas, sitio Cara de Perro.</x:t>
  </x:si>
  <x:si>
    <x:t xml:space="preserve">N 03°22'37.20"</x:t>
  </x:si>
  <x:si>
    <x:t xml:space="preserve">03°22'37.20" N</x:t>
  </x:si>
  <x:si>
    <x:t xml:space="preserve">W 74°48'08.85"</x:t>
  </x:si>
  <x:si>
    <x:t xml:space="preserve">74°48'08.85" W</x:t>
  </x:si>
  <x:si>
    <x:t xml:space="preserve">03°22'37.20" N, 74°48'08.85" W</x:t>
  </x:si>
  <x:si>
    <x:t xml:space="preserve">3.377</x:t>
  </x:si>
  <x:si>
    <x:t xml:space="preserve">-74.8024583</x:t>
  </x:si>
  <x:si>
    <x:t xml:space="preserve">3.377,-74.8024583</x:t>
  </x:si>
  <x:si>
    <x:t xml:space="preserve">Inspección Las Lajas, sitio Cara de Perro.</x:t>
  </x:si>
  <x:si>
    <x:t xml:space="preserve">COL 401219</x:t>
  </x:si>
  <x:si>
    <x:t xml:space="preserve">T. Croat 71494</x:t>
  </x:si>
  <x:si>
    <x:t xml:space="preserve">PSO 23380</x:t>
  </x:si>
  <x:si>
    <x:t xml:space="preserve">Colombia, Nariño, Ricaurte, a un lado del río Imbi, a 2-3 km del campamento de Ecopetrol.</x:t>
  </x:si>
  <x:si>
    <x:t xml:space="preserve">N 01°08'</x:t>
  </x:si>
  <x:si>
    <x:t xml:space="preserve">01°08' N</x:t>
  </x:si>
  <x:si>
    <x:t xml:space="preserve">W 77°56'</x:t>
  </x:si>
  <x:si>
    <x:t xml:space="preserve">77°56' W</x:t>
  </x:si>
  <x:si>
    <x:t xml:space="preserve">01°08' N, 77°56' W</x:t>
  </x:si>
  <x:si>
    <x:t xml:space="preserve">1.1333333</x:t>
  </x:si>
  <x:si>
    <x:t xml:space="preserve">-77.9333333</x:t>
  </x:si>
  <x:si>
    <x:t xml:space="preserve">1.1333333,-77.9333333</x:t>
  </x:si>
  <x:si>
    <x:t xml:space="preserve">PSO23380</x:t>
  </x:si>
  <x:si>
    <x:t xml:space="preserve">a un lado del río Imbi, a 2-3 km del campamento de Ecopetrol.</x:t>
  </x:si>
  <x:si>
    <x:t xml:space="preserve">D. Sanín et al., 3086</x:t>
  </x:si>
  <x:si>
    <x:t xml:space="preserve">Colombia, Quindío, Salento, vereda Boquía, Sector la Pata Sola, flanco sur oriental del río Boquia, frente al depto del Quindio y detrás del Santuario Otun Quimbaya.</x:t>
  </x:si>
  <x:si>
    <x:t xml:space="preserve">N 04°41'6.20"</x:t>
  </x:si>
  <x:si>
    <x:t xml:space="preserve">04°41'6.20" N</x:t>
  </x:si>
  <x:si>
    <x:t xml:space="preserve">W 75°37'21.4"</x:t>
  </x:si>
  <x:si>
    <x:t xml:space="preserve">75°37'21.4" W</x:t>
  </x:si>
  <x:si>
    <x:t xml:space="preserve">04°41'6.20" N, 75°37'21.4" W</x:t>
  </x:si>
  <x:si>
    <x:t xml:space="preserve">Quindío</x:t>
  </x:si>
  <x:si>
    <x:t xml:space="preserve">vereda Boquía, Sector la Pata Sola, flanco sur oriental del río Boquia, frente al depto del Quindio y detrás del Santuario Otun Quimbaya.</x:t>
  </x:si>
  <x:si>
    <x:t xml:space="preserve">Hagemmann W. 481</x:t>
  </x:si>
  <x:si>
    <x:t xml:space="preserve">COL 000336038</x:t>
  </x:si>
  <x:si>
    <x:t xml:space="preserve">Colombia, Valle del Cauca, Río Reposo, La Altegre.</x:t>
  </x:si>
  <x:si>
    <x:t xml:space="preserve">El nombre correcto es río Raposo</x:t>
  </x:si>
  <x:si>
    <x:t xml:space="preserve">COL000336038</x:t>
  </x:si>
  <x:si>
    <x:t xml:space="preserve">Río Reposo</x:t>
  </x:si>
  <x:si>
    <x:t xml:space="preserve">La Altegre.</x:t>
  </x:si>
  <x:si>
    <x:t xml:space="preserve">S. eleutherophebium (Fée) A.R.Sm.</x:t>
  </x:si>
  <x:si>
    <x:t xml:space="preserve">Serpocaulon eleutherophlebium</x:t>
  </x:si>
  <x:si>
    <x:t xml:space="preserve">Londoño R. et al., 188</x:t>
  </x:si>
  <x:si>
    <x:t xml:space="preserve">MEDEL 25982</x:t>
  </x:si>
  <x:si>
    <x:t xml:space="preserve">Colombia, Antioquia, Urrao, páramo de Frontino, el río.</x:t>
  </x:si>
  <x:si>
    <x:t xml:space="preserve">Urrao</x:t>
  </x:si>
  <x:si>
    <x:t xml:space="preserve">páramo de Frontino, el río.</x:t>
  </x:si>
  <x:si>
    <x:t xml:space="preserve">Pérez Z. J. A. &amp; N. Parra 1499</x:t>
  </x:si>
  <x:si>
    <x:t xml:space="preserve">MEDEL 42182</x:t>
  </x:si>
  <x:si>
    <x:t xml:space="preserve">Colombia, Antioquia, Urrao, Páramo de Frontino.</x:t>
  </x:si>
  <x:si>
    <x:t xml:space="preserve">N 06° 30'</x:t>
  </x:si>
  <x:si>
    <x:t xml:space="preserve">06° 30' N</x:t>
  </x:si>
  <x:si>
    <x:t xml:space="preserve">W 76° 7'</x:t>
  </x:si>
  <x:si>
    <x:t xml:space="preserve">76° 7' W</x:t>
  </x:si>
  <x:si>
    <x:t xml:space="preserve">06° 30' N, 76° 7' W</x:t>
  </x:si>
  <x:si>
    <x:t xml:space="preserve">6.5</x:t>
  </x:si>
  <x:si>
    <x:t xml:space="preserve">-76.1166667</x:t>
  </x:si>
  <x:si>
    <x:t xml:space="preserve">6.5,-76.1166667</x:t>
  </x:si>
  <x:si>
    <x:t xml:space="preserve">Páramo de Frontino.</x:t>
  </x:si>
  <x:si>
    <x:t xml:space="preserve">Rodriguez W. et al., 3339</x:t>
  </x:si>
  <x:si>
    <x:t xml:space="preserve">HUA 137402</x:t>
  </x:si>
  <x:si>
    <x:t xml:space="preserve">Colombia, Antioquia, Belmira, alrededores de la ciénaga El Morro.</x:t>
  </x:si>
  <x:si>
    <x:t xml:space="preserve">N 06°41'09.1"</x:t>
  </x:si>
  <x:si>
    <x:t xml:space="preserve">06°41'09.1" N</x:t>
  </x:si>
  <x:si>
    <x:t xml:space="preserve">W 75°40'29.6"</x:t>
  </x:si>
  <x:si>
    <x:t xml:space="preserve">75°40'29.6" W</x:t>
  </x:si>
  <x:si>
    <x:t xml:space="preserve">06°41'09.1" N, 75°40'29.6" W</x:t>
  </x:si>
  <x:si>
    <x:t xml:space="preserve">6.6858611</x:t>
  </x:si>
  <x:si>
    <x:t xml:space="preserve">-75.6748889</x:t>
  </x:si>
  <x:si>
    <x:t xml:space="preserve">6.6858611,-75.6748889</x:t>
  </x:si>
  <x:si>
    <x:t xml:space="preserve">Belmira</x:t>
  </x:si>
  <x:si>
    <x:t xml:space="preserve">alrededores de la ciénaga El Morro.</x:t>
  </x:si>
  <x:si>
    <x:t xml:space="preserve">COL 486813</x:t>
  </x:si>
  <x:si>
    <x:t xml:space="preserve">Ramirez P. B.R. 12608</x:t>
  </x:si>
  <x:si>
    <x:t xml:space="preserve">JAUM 38653</x:t>
  </x:si>
  <x:si>
    <x:t xml:space="preserve">Colombia, Antioquia, San Jose de La Montaña, vereda La Margarita, sector La Margarita, camino Alto El Cristo.</x:t>
  </x:si>
  <x:si>
    <x:t xml:space="preserve">N 06°46'18.3"</x:t>
  </x:si>
  <x:si>
    <x:t xml:space="preserve">06°46'18.3" N</x:t>
  </x:si>
  <x:si>
    <x:t xml:space="preserve">W 75°41'40.9"</x:t>
  </x:si>
  <x:si>
    <x:t xml:space="preserve">75°41'40.9" W</x:t>
  </x:si>
  <x:si>
    <x:t xml:space="preserve">06°46'18.3" N, 75°41'40.9" W</x:t>
  </x:si>
  <x:si>
    <x:t xml:space="preserve">6.77175</x:t>
  </x:si>
  <x:si>
    <x:t xml:space="preserve">-75.6946944</x:t>
  </x:si>
  <x:si>
    <x:t xml:space="preserve">6.77175,-75.6946944</x:t>
  </x:si>
  <x:si>
    <x:t xml:space="preserve">San Jose de La Montaña</x:t>
  </x:si>
  <x:si>
    <x:t xml:space="preserve">vereda La Margarita, sector La Margarita, camino Alto El Cristo.</x:t>
  </x:si>
  <x:si>
    <x:t xml:space="preserve">Rodriguez W. et al., 3529</x:t>
  </x:si>
  <x:si>
    <x:t xml:space="preserve">Colombia, Antioquia, San Jose de la Montaña, vereda la Margarita, sector La Margarita, camino Alto El Cristo.</x:t>
  </x:si>
  <x:si>
    <x:t xml:space="preserve">San Jose de la Montaña</x:t>
  </x:si>
  <x:si>
    <x:t xml:space="preserve">vereda la Margarita, sector La Margarita, camino Alto El Cristo.</x:t>
  </x:si>
  <x:si>
    <x:t xml:space="preserve">Cuatrecasas J. 9228</x:t>
  </x:si>
  <x:si>
    <x:t xml:space="preserve">COL 98007</x:t>
  </x:si>
  <x:si>
    <x:t xml:space="preserve">Colombia, Caldas, cordillera Central, vertiente Occidental, sudoeste del Ruiz, Termales.</x:t>
  </x:si>
  <x:si>
    <x:t xml:space="preserve">N 05°00'00.07"</x:t>
  </x:si>
  <x:si>
    <x:t xml:space="preserve">05°00'00.07" N</x:t>
  </x:si>
  <x:si>
    <x:t xml:space="preserve">W 75°20'59.94"</x:t>
  </x:si>
  <x:si>
    <x:t xml:space="preserve">75°20'59.94" W</x:t>
  </x:si>
  <x:si>
    <x:t xml:space="preserve">05°00'00.07" N, 75°20'59.94" W</x:t>
  </x:si>
  <x:si>
    <x:t xml:space="preserve">5.0000194</x:t>
  </x:si>
  <x:si>
    <x:t xml:space="preserve">-75.3499833</x:t>
  </x:si>
  <x:si>
    <x:t xml:space="preserve">5.0000194,-75.3499833</x:t>
  </x:si>
  <x:si>
    <x:t xml:space="preserve">cordillera Central</x:t>
  </x:si>
  <x:si>
    <x:t xml:space="preserve">vertiente Occidental, sudoeste del Ruiz, Termales.</x:t>
  </x:si>
  <x:si>
    <x:t xml:space="preserve">Bischler H. 1463</x:t>
  </x:si>
  <x:si>
    <x:t xml:space="preserve">COL 74565</x:t>
  </x:si>
  <x:si>
    <x:t xml:space="preserve">Colombia, Caldas, Nevado del Ruiz, Los Chorros, cerca de la estación termal</x:t>
  </x:si>
  <x:si>
    <x:t xml:space="preserve">N 04°58'54.36"</x:t>
  </x:si>
  <x:si>
    <x:t xml:space="preserve">04°58'54.36" N</x:t>
  </x:si>
  <x:si>
    <x:t xml:space="preserve">W 75°21'36.86"</x:t>
  </x:si>
  <x:si>
    <x:t xml:space="preserve">75°21'36.86" W</x:t>
  </x:si>
  <x:si>
    <x:t xml:space="preserve">04°58'54.36" N, 75°21'36.86" W</x:t>
  </x:si>
  <x:si>
    <x:t xml:space="preserve">4.9817667</x:t>
  </x:si>
  <x:si>
    <x:t xml:space="preserve">-75.3602389</x:t>
  </x:si>
  <x:si>
    <x:t xml:space="preserve">4.9817667,-75.3602389</x:t>
  </x:si>
  <x:si>
    <x:t xml:space="preserve">Nevado del Ruiz</x:t>
  </x:si>
  <x:si>
    <x:t xml:space="preserve">Los Chorros, cerca de la estación termal</x:t>
  </x:si>
  <x:si>
    <x:t xml:space="preserve">Pinto P. 409</x:t>
  </x:si>
  <x:si>
    <x:t xml:space="preserve">COL 77981</x:t>
  </x:si>
  <x:si>
    <x:t xml:space="preserve">Colombia, Caldas, entre Manizales y El Nevado del Ruíz, Los Chorros.</x:t>
  </x:si>
  <x:si>
    <x:t xml:space="preserve">entre Manizales y El Nevado del Ruíz</x:t>
  </x:si>
  <x:si>
    <x:t xml:space="preserve">Los Chorros.</x:t>
  </x:si>
  <x:si>
    <x:t xml:space="preserve">Murillo M.T. 483</x:t>
  </x:si>
  <x:si>
    <x:t xml:space="preserve">COL 91303</x:t>
  </x:si>
  <x:si>
    <x:t xml:space="preserve">Colombia, Caldas, de Termales hacia abajo.</x:t>
  </x:si>
  <x:si>
    <x:t xml:space="preserve">de Termales hacia abajo.</x:t>
  </x:si>
  <x:si>
    <x:t xml:space="preserve">Forero E. et al., 542</x:t>
  </x:si>
  <x:si>
    <x:t xml:space="preserve">COL 128992</x:t>
  </x:si>
  <x:si>
    <x:t xml:space="preserve">Colombia, Caldas, carretera entre Manizales y el Hotel Termales del Ruiz.</x:t>
  </x:si>
  <x:si>
    <x:t xml:space="preserve">3000-3500</x:t>
  </x:si>
  <x:si>
    <x:t xml:space="preserve">carretera entre Manizales y el Hotel Termales del Ruiz.</x:t>
  </x:si>
  <x:si>
    <x:t xml:space="preserve">Anonimo 26</x:t>
  </x:si>
  <x:si>
    <x:t xml:space="preserve">FAUC 00308</x:t>
  </x:si>
  <x:si>
    <x:t xml:space="preserve">Colombia, Caldas, Villamaría, carretera Tejares.</x:t>
  </x:si>
  <x:si>
    <x:t xml:space="preserve">carretera Tejares.</x:t>
  </x:si>
  <x:si>
    <x:t xml:space="preserve">Sanín D. 687</x:t>
  </x:si>
  <x:si>
    <x:t xml:space="preserve">HUQ 29495</x:t>
  </x:si>
  <x:si>
    <x:t xml:space="preserve">Colombia, Caldas, Manizales, Letras, Parte Alta Torre IV.</x:t>
  </x:si>
  <x:si>
    <x:t xml:space="preserve">N 05°03'31.1"</x:t>
  </x:si>
  <x:si>
    <x:t xml:space="preserve">05°03'31.1" N</x:t>
  </x:si>
  <x:si>
    <x:t xml:space="preserve">W 75°23'0.4"</x:t>
  </x:si>
  <x:si>
    <x:t xml:space="preserve">75°23'0.4" W</x:t>
  </x:si>
  <x:si>
    <x:t xml:space="preserve">05°03'31.1" N, 75°23'0.4" W</x:t>
  </x:si>
  <x:si>
    <x:t xml:space="preserve">5.0586389</x:t>
  </x:si>
  <x:si>
    <x:t xml:space="preserve">-75.3834444</x:t>
  </x:si>
  <x:si>
    <x:t xml:space="preserve">5.0586389,-75.3834444</x:t>
  </x:si>
  <x:si>
    <x:t xml:space="preserve">Letras, Parte Alta Torre IV.</x:t>
  </x:si>
  <x:si>
    <x:t xml:space="preserve">Sanín D. 841</x:t>
  </x:si>
  <x:si>
    <x:t xml:space="preserve">FAUC 05874</x:t>
  </x:si>
  <x:si>
    <x:t xml:space="preserve">Colombia, Caldas, Villamaria San Carlos, vía Parque N.N.Los Nevados.</x:t>
  </x:si>
  <x:si>
    <x:t xml:space="preserve">N 05° 0' 14.1"</x:t>
  </x:si>
  <x:si>
    <x:t xml:space="preserve">05° 0' 14.1" N</x:t>
  </x:si>
  <x:si>
    <x:t xml:space="preserve">05° 0' 14.1" N, 75°23'0.4" W</x:t>
  </x:si>
  <x:si>
    <x:t xml:space="preserve">5.0039167</x:t>
  </x:si>
  <x:si>
    <x:t xml:space="preserve">5.0039167,-75.3834444</x:t>
  </x:si>
  <x:si>
    <x:t xml:space="preserve">Villamaria San Carlos</x:t>
  </x:si>
  <x:si>
    <x:t xml:space="preserve">vía Parque N.N.Los Nevados.</x:t>
  </x:si>
  <x:si>
    <x:t xml:space="preserve">Sanín D. 1308</x:t>
  </x:si>
  <x:si>
    <x:t xml:space="preserve">FAUC 8256</x:t>
  </x:si>
  <x:si>
    <x:t xml:space="preserve">Colombia, Caldas, Villamaria, vía Hosteria Kumanday, bajando a Termales del Ruiz.</x:t>
  </x:si>
  <x:si>
    <x:t xml:space="preserve">N 04°97'39.2"</x:t>
  </x:si>
  <x:si>
    <x:t xml:space="preserve">04°97'39.2" N</x:t>
  </x:si>
  <x:si>
    <x:t xml:space="preserve">W 75°38'56"</x:t>
  </x:si>
  <x:si>
    <x:t xml:space="preserve">75°38'56" W</x:t>
  </x:si>
  <x:si>
    <x:t xml:space="preserve">04°97'39.2" N, 75°38'56" W</x:t>
  </x:si>
  <x:si>
    <x:t xml:space="preserve">COL91312</x:t>
  </x:si>
  <x:si>
    <x:t xml:space="preserve">Villamaria</x:t>
  </x:si>
  <x:si>
    <x:t xml:space="preserve">vía Hosteria Kumanday, bajando a Termales del Ruiz.</x:t>
  </x:si>
  <x:si>
    <x:t xml:space="preserve">Vasco A &amp; A. Marín 602</x:t>
  </x:si>
  <x:si>
    <x:t xml:space="preserve">HUA 157034</x:t>
  </x:si>
  <x:si>
    <x:t xml:space="preserve">Colombia, Caldas, PNN Los Nevados.</x:t>
  </x:si>
  <x:si>
    <x:t xml:space="preserve">N 04°57'55.0"</x:t>
  </x:si>
  <x:si>
    <x:t xml:space="preserve">04°57'55.0" N</x:t>
  </x:si>
  <x:si>
    <x:t xml:space="preserve">W 75°22'05.7"</x:t>
  </x:si>
  <x:si>
    <x:t xml:space="preserve">75°22'05.7" W</x:t>
  </x:si>
  <x:si>
    <x:t xml:space="preserve">04°57'55.0" N, 75°22'05.7" W</x:t>
  </x:si>
  <x:si>
    <x:t xml:space="preserve">4.9652778</x:t>
  </x:si>
  <x:si>
    <x:t xml:space="preserve">-75.36825</x:t>
  </x:si>
  <x:si>
    <x:t xml:space="preserve">4.9652778,-75.36825</x:t>
  </x:si>
  <x:si>
    <x:t xml:space="preserve">PNN Los Nevados.</x:t>
  </x:si>
  <x:si>
    <x:t xml:space="preserve">Sanín D. &amp; B. Gonzalez Echeverry 2338</x:t>
  </x:si>
  <x:si>
    <x:t xml:space="preserve">FAUC xxx</x:t>
  </x:si>
  <x:si>
    <x:t xml:space="preserve">Colombia, Caldas, Salamina, corregimiento de San Felix, Finca La Samaria, vía Monte Loro-Valle Alto, relictos a mano derecha del Bosque el Retiro.</x:t>
  </x:si>
  <x:si>
    <x:t xml:space="preserve">D_Sanín2338</x:t>
  </x:si>
  <x:si>
    <x:t xml:space="preserve">Salamina</x:t>
  </x:si>
  <x:si>
    <x:t xml:space="preserve">corregimiento de San Felix, Finca La Samaria, vía Monte Loro-Valle Alto, relictos a mano derecha del Bosque el Retiro.</x:t>
  </x:si>
  <x:si>
    <x:t xml:space="preserve">Sanín D. et al., 2758</x:t>
  </x:si>
  <x:si>
    <x:t xml:space="preserve">Colombia, Caldas, Manizales, Finca La Linea, entre Reserva Torre IV y Río Blanco, entrada por Letras, vía a la mina de Malteria.</x:t>
  </x:si>
  <x:si>
    <x:t xml:space="preserve">N 05°3'45.9"</x:t>
  </x:si>
  <x:si>
    <x:t xml:space="preserve">05°3'45.9" N</x:t>
  </x:si>
  <x:si>
    <x:t xml:space="preserve">W 75°22'56.6"</x:t>
  </x:si>
  <x:si>
    <x:t xml:space="preserve">75°22'56.6" W</x:t>
  </x:si>
  <x:si>
    <x:t xml:space="preserve">05°3'45.9" N, 75°22'56.6" W</x:t>
  </x:si>
  <x:si>
    <x:t xml:space="preserve">5.06275</x:t>
  </x:si>
  <x:si>
    <x:t xml:space="preserve">-75.3823889</x:t>
  </x:si>
  <x:si>
    <x:t xml:space="preserve">5.06275,-75.3823889</x:t>
  </x:si>
  <x:si>
    <x:t xml:space="preserve">Finca La Linea, entre Reserva Torre IV y Río Blanco, entrada por Letras, vía a la mina de Malteria.</x:t>
  </x:si>
  <x:si>
    <x:t xml:space="preserve">Sanín D. et al., 4350</x:t>
  </x:si>
  <x:si>
    <x:t xml:space="preserve">HUA xxx</x:t>
  </x:si>
  <x:si>
    <x:t xml:space="preserve">Colombia, Caldas, Salamina, corregimiento de San Felix, localidad El Recreo, Bosques a la izquierda de la vía a Marulanda, entre el potrero y el Bosque.</x:t>
  </x:si>
  <x:si>
    <x:t xml:space="preserve">N 1188626</x:t>
  </x:si>
  <x:si>
    <x:t xml:space="preserve">1188626 N</x:t>
  </x:si>
  <x:si>
    <x:t xml:space="preserve">W 1596085</x:t>
  </x:si>
  <x:si>
    <x:t xml:space="preserve">1596085 W</x:t>
  </x:si>
  <x:si>
    <x:t xml:space="preserve">1188626 N, 1596085 W</x:t>
  </x:si>
  <x:si>
    <x:t xml:space="preserve">D_Sanín4320</x:t>
  </x:si>
  <x:si>
    <x:t xml:space="preserve">corregimiento de San Felix, localidad El Recreo, Bosques a la izquierda de la vía a Marulanda, entre el potrero y el Bosque.</x:t>
  </x:si>
  <x:si>
    <x:t xml:space="preserve">Sanín D. et al., 4390</x:t>
  </x:si>
  <x:si>
    <x:t xml:space="preserve">Colombia, Caldas, Villamaría, vía Termales del Ruiz-La Gruta, relictos al lado de la vía, en talud de roca y arcilla.</x:t>
  </x:si>
  <x:si>
    <x:t xml:space="preserve">3500-3800</x:t>
  </x:si>
  <x:si>
    <x:t xml:space="preserve">D_Sanín4390</x:t>
  </x:si>
  <x:si>
    <x:t xml:space="preserve">vía Termales del Ruiz-La Gruta, relictos al lado de la vía, en talud de roca y arcilla.</x:t>
  </x:si>
  <x:si>
    <x:t xml:space="preserve">Forero E. et al., 516</x:t>
  </x:si>
  <x:si>
    <x:t xml:space="preserve">COL 129081</x:t>
  </x:si>
  <x:si>
    <x:t xml:space="preserve">S. eleutherophebium (Fée) A.R. Sm.</x:t>
  </x:si>
  <x:si>
    <x:t xml:space="preserve">Ramírez P. B. R. 12608</x:t>
  </x:si>
  <x:si>
    <x:t xml:space="preserve">CAUP 14564</x:t>
  </x:si>
  <x:si>
    <x:t xml:space="preserve">Colombia, Cauca, Puracé, entre el Cruceri y el Km 28 vía Laguna de San Rafael</x:t>
  </x:si>
  <x:si>
    <x:t xml:space="preserve">2° 22'N</x:t>
  </x:si>
  <x:si>
    <x:t xml:space="preserve">76° 25'W</x:t>
  </x:si>
  <x:si>
    <x:t xml:space="preserve">2° 22'N, 76° 25'W</x:t>
  </x:si>
  <x:si>
    <x:t xml:space="preserve">2.3666667</x:t>
  </x:si>
  <x:si>
    <x:t xml:space="preserve">-76.4166667</x:t>
  </x:si>
  <x:si>
    <x:t xml:space="preserve">2.3666667,-76.4166667</x:t>
  </x:si>
  <x:si>
    <x:t xml:space="preserve">Hes</x:t>
  </x:si>
  <x:si>
    <x:t xml:space="preserve">Puracé</x:t>
  </x:si>
  <x:si>
    <x:t xml:space="preserve">entre el Cruceri y el Km 28 vía Laguna de San Rafael</x:t>
  </x:si>
  <x:si>
    <x:t xml:space="preserve">Barclay H. G. &amp; P. Juajibioy 5877</x:t>
  </x:si>
  <x:si>
    <x:t xml:space="preserve">COL 99802</x:t>
  </x:si>
  <x:si>
    <x:t xml:space="preserve">Colombia, Cauca, Macizo Colombiano, valle de Las Papas, alrededores de Valencia, Los Andes.</x:t>
  </x:si>
  <x:si>
    <x:t xml:space="preserve">COL99802</x:t>
  </x:si>
  <x:si>
    <x:t xml:space="preserve">Macizo Colombiano</x:t>
  </x:si>
  <x:si>
    <x:t xml:space="preserve">valle de Las Papas, alrededores de Valencia, Los Andes.</x:t>
  </x:si>
  <x:si>
    <x:t xml:space="preserve">Rangel J.O. 2493</x:t>
  </x:si>
  <x:si>
    <x:t xml:space="preserve">COL 234370</x:t>
  </x:si>
  <x:si>
    <x:t xml:space="preserve">Colombia, Cauca, Las Flautas, carretera, Toéz-Tacueyó, km 45-46.</x:t>
  </x:si>
  <x:si>
    <x:t xml:space="preserve">COL234370</x:t>
  </x:si>
  <x:si>
    <x:t xml:space="preserve">Las Flautas</x:t>
  </x:si>
  <x:si>
    <x:t xml:space="preserve">carretera, Toéz-Tacueyó, km 45-46.</x:t>
  </x:si>
  <x:si>
    <x:t xml:space="preserve">Casañas O.L. &amp; J. Guerrero 61</x:t>
  </x:si>
  <x:si>
    <x:t xml:space="preserve">CAUP 2915</x:t>
  </x:si>
  <x:si>
    <x:t xml:space="preserve">Colombia, Cauca, Parque Nacional Puracé.</x:t>
  </x:si>
  <x:si>
    <x:t xml:space="preserve">N 02°22'52.48"</x:t>
  </x:si>
  <x:si>
    <x:t xml:space="preserve">02°22'52.48" N</x:t>
  </x:si>
  <x:si>
    <x:t xml:space="preserve">W 76°27'17.51"</x:t>
  </x:si>
  <x:si>
    <x:t xml:space="preserve">76°27'17.51" W</x:t>
  </x:si>
  <x:si>
    <x:t xml:space="preserve">02°22'52.48" N, 76°27'17.51" W</x:t>
  </x:si>
  <x:si>
    <x:t xml:space="preserve">2.3812444</x:t>
  </x:si>
  <x:si>
    <x:t xml:space="preserve">-76.4548639</x:t>
  </x:si>
  <x:si>
    <x:t xml:space="preserve">2.3812444,-76.4548639</x:t>
  </x:si>
  <x:si>
    <x:t xml:space="preserve">Parque Nacional Puracé.</x:t>
  </x:si>
  <x:si>
    <x:t xml:space="preserve">González C. 224</x:t>
  </x:si>
  <x:si>
    <x:t xml:space="preserve">CAUP 2916</x:t>
  </x:si>
  <x:si>
    <x:t xml:space="preserve">Colombia, Cauca, Puracé, Páramo de Puracé.</x:t>
  </x:si>
  <x:si>
    <x:t xml:space="preserve">N 02°22'52"</x:t>
  </x:si>
  <x:si>
    <x:t xml:space="preserve">02°22'52" N</x:t>
  </x:si>
  <x:si>
    <x:t xml:space="preserve">02°22'52" N, 76°27'17.51" W</x:t>
  </x:si>
  <x:si>
    <x:t xml:space="preserve">2.3811111</x:t>
  </x:si>
  <x:si>
    <x:t xml:space="preserve">2.3811111,-76.4548639</x:t>
  </x:si>
  <x:si>
    <x:t xml:space="preserve">Páramo de Puracé.</x:t>
  </x:si>
  <x:si>
    <x:t xml:space="preserve">Muñoz-E. E.L. 974</x:t>
  </x:si>
  <x:si>
    <x:t xml:space="preserve">CAUP 17772</x:t>
  </x:si>
  <x:si>
    <x:t xml:space="preserve">Colombia, Cauca, Totoro, vereda Santa Teresa, Páramo Carga Chiquillo.</x:t>
  </x:si>
  <x:si>
    <x:t xml:space="preserve">3100-3600</x:t>
  </x:si>
  <x:si>
    <x:t xml:space="preserve">Totoro</x:t>
  </x:si>
  <x:si>
    <x:t xml:space="preserve">vereda Santa Teresa, Páramo Carga Chiquillo.</x:t>
  </x:si>
  <x:si>
    <x:t xml:space="preserve">Sandobal C.L. et al., 39</x:t>
  </x:si>
  <x:si>
    <x:t xml:space="preserve">CAUP 16877</x:t>
  </x:si>
  <x:si>
    <x:t xml:space="preserve">Colombia, Cauca, Popayán, corregimiento de Quintana, cerro Toma Aire, bosque cerca de la casa del camino hacia el páramo.</x:t>
  </x:si>
  <x:si>
    <x:t xml:space="preserve">CAUP16877</x:t>
  </x:si>
  <x:si>
    <x:t xml:space="preserve">corregimiento de Quintana, cerro Toma Aire, bosque cerca de la casa del camino hacia el páramo.</x:t>
  </x:si>
  <x:si>
    <x:t xml:space="preserve">Aguilar J.A. 746</x:t>
  </x:si>
  <x:si>
    <x:t xml:space="preserve">CAUP 15212</x:t>
  </x:si>
  <x:si>
    <x:t xml:space="preserve">Colombia, Cauca, Bolívar, corregimiento Los Milagros.</x:t>
  </x:si>
  <x:si>
    <x:t xml:space="preserve">2500-3000</x:t>
  </x:si>
  <x:si>
    <x:t xml:space="preserve">N 01°45'35.5"</x:t>
  </x:si>
  <x:si>
    <x:t xml:space="preserve">01°45'35.5" N</x:t>
  </x:si>
  <x:si>
    <x:t xml:space="preserve">W 76°54'21"</x:t>
  </x:si>
  <x:si>
    <x:t xml:space="preserve">76°54'21" W</x:t>
  </x:si>
  <x:si>
    <x:t xml:space="preserve">01°45'35.5" N, 76°54'21" W</x:t>
  </x:si>
  <x:si>
    <x:t xml:space="preserve">1.7598611</x:t>
  </x:si>
  <x:si>
    <x:t xml:space="preserve">-76.9058333</x:t>
  </x:si>
  <x:si>
    <x:t xml:space="preserve">1.7598611,-76.9058333</x:t>
  </x:si>
  <x:si>
    <x:t xml:space="preserve">Bolívar</x:t>
  </x:si>
  <x:si>
    <x:t xml:space="preserve">corregimiento Los Milagros.</x:t>
  </x:si>
  <x:si>
    <x:t xml:space="preserve">Sanín D. &amp; E. Sanín 3293</x:t>
  </x:si>
  <x:si>
    <x:t xml:space="preserve">FAUC Xxx</x:t>
  </x:si>
  <x:si>
    <x:t xml:space="preserve">Colombia, Cauca, Popayán, Parque Nacional Natural Puracé, sector anexo a las bases militares.</x:t>
  </x:si>
  <x:si>
    <x:t xml:space="preserve">N 02°22.846'</x:t>
  </x:si>
  <x:si>
    <x:t xml:space="preserve">02°22.846' N</x:t>
  </x:si>
  <x:si>
    <x:t xml:space="preserve">W 76°26.645'</x:t>
  </x:si>
  <x:si>
    <x:t xml:space="preserve">76°26.645' W</x:t>
  </x:si>
  <x:si>
    <x:t xml:space="preserve">02°22.846' N, 76°26.645' W</x:t>
  </x:si>
  <x:si>
    <x:t xml:space="preserve">2.3807667</x:t>
  </x:si>
  <x:si>
    <x:t xml:space="preserve">-76.4440833</x:t>
  </x:si>
  <x:si>
    <x:t xml:space="preserve">2.3807667,-76.4440833</x:t>
  </x:si>
  <x:si>
    <x:t xml:space="preserve">Parque Nacional Natural Puracé, sector anexo a las bases militares.</x:t>
  </x:si>
  <x:si>
    <x:t xml:space="preserve">Tryon R. &amp; A. Tryon 6169</x:t>
  </x:si>
  <x:si>
    <x:t xml:space="preserve">COL 000335857</x:t>
  </x:si>
  <x:si>
    <x:t xml:space="preserve">Colombia, Cundinamarca, Above Tausa (ca 22 km northeast of Zipaquirá).</x:t>
  </x:si>
  <x:si>
    <x:t xml:space="preserve">COL000335857</x:t>
  </x:si>
  <x:si>
    <x:t xml:space="preserve">Above Tausa (ca 22 km northeast of Zipaquirá).</x:t>
  </x:si>
  <x:si>
    <x:t xml:space="preserve">Acosta-Arteaga C.E. et al., 86</x:t>
  </x:si>
  <x:si>
    <x:t xml:space="preserve">COL 000335870</x:t>
  </x:si>
  <x:si>
    <x:t xml:space="preserve">Colombia, Cundinamarca, Guatavita, Páramo de Guasca.</x:t>
  </x:si>
  <x:si>
    <x:t xml:space="preserve">COL000335870</x:t>
  </x:si>
  <x:si>
    <x:t xml:space="preserve">Guatavita</x:t>
  </x:si>
  <x:si>
    <x:t xml:space="preserve">Páramo de Guasca.</x:t>
  </x:si>
  <x:si>
    <x:t xml:space="preserve">Acosta-Arteaga C.E. &amp; P. Rodríguez 463</x:t>
  </x:si>
  <x:si>
    <x:t xml:space="preserve">COL 000335856</x:t>
  </x:si>
  <x:si>
    <x:t xml:space="preserve">Colombia, Cundinamarca, Fómeque, km 10, carretera hacia Chingaza.</x:t>
  </x:si>
  <x:si>
    <x:t xml:space="preserve">COL000335856</x:t>
  </x:si>
  <x:si>
    <x:t xml:space="preserve">Fómeque</x:t>
  </x:si>
  <x:si>
    <x:t xml:space="preserve">km 10, carretera hacia Chingaza.</x:t>
  </x:si>
  <x:si>
    <x:t xml:space="preserve">Acosta-Arteaga C.E. et al., 583</x:t>
  </x:si>
  <x:si>
    <x:t xml:space="preserve">COL 000335864</x:t>
  </x:si>
  <x:si>
    <x:t xml:space="preserve">Colombia, Cundinamarca, Páramo de Coachí, al comenzar el descenso hacia Oriente.</x:t>
  </x:si>
  <x:si>
    <x:t xml:space="preserve">COL000335864</x:t>
  </x:si>
  <x:si>
    <x:t xml:space="preserve">Páramo de Coachí</x:t>
  </x:si>
  <x:si>
    <x:t xml:space="preserve">al comenzar el descenso hacia Oriente.</x:t>
  </x:si>
  <x:si>
    <x:t xml:space="preserve">Zuluaga S. 84</x:t>
  </x:si>
  <x:si>
    <x:t xml:space="preserve">COL 000335855</x:t>
  </x:si>
  <x:si>
    <x:t xml:space="preserve">Colombia, Cundinamarca, Bogotá, región de Monserrate, El Granizo.</x:t>
  </x:si>
  <x:si>
    <x:t xml:space="preserve">COL000335855</x:t>
  </x:si>
  <x:si>
    <x:t xml:space="preserve">Bogotá</x:t>
  </x:si>
  <x:si>
    <x:t xml:space="preserve">región de Monserrate, El Granizo.</x:t>
  </x:si>
  <x:si>
    <x:t xml:space="preserve">Diaz S. et al., 2915</x:t>
  </x:si>
  <x:si>
    <x:t xml:space="preserve">COL 000335869</x:t>
  </x:si>
  <x:si>
    <x:t xml:space="preserve">Colombia, Cundinamarca, Macizo de Sumapáz, Cuchilla La Rabona.</x:t>
  </x:si>
  <x:si>
    <x:t xml:space="preserve">3900-3950</x:t>
  </x:si>
  <x:si>
    <x:t xml:space="preserve">COL000335869</x:t>
  </x:si>
  <x:si>
    <x:t xml:space="preserve">Macizo de Sumapáz</x:t>
  </x:si>
  <x:si>
    <x:t xml:space="preserve">Cuchilla La Rabona.</x:t>
  </x:si>
  <x:si>
    <x:t xml:space="preserve">Carrizosa S. 126</x:t>
  </x:si>
  <x:si>
    <x:t xml:space="preserve">FMB 40927</x:t>
  </x:si>
  <x:si>
    <x:t xml:space="preserve">Colombia, Cundinamarca, embalse del Neusa, entre los municipios de Tausa y Cogua.</x:t>
  </x:si>
  <x:si>
    <x:t xml:space="preserve">FMB40927</x:t>
  </x:si>
  <x:si>
    <x:t xml:space="preserve">embalse del Neusa</x:t>
  </x:si>
  <x:si>
    <x:t xml:space="preserve">entre los municipios de Tausa y Cogua.</x:t>
  </x:si>
  <x:si>
    <x:t xml:space="preserve">Idrobo J.M. et al., 3382</x:t>
  </x:si>
  <x:si>
    <x:t xml:space="preserve">COL 65076</x:t>
  </x:si>
  <x:si>
    <x:t xml:space="preserve">Colombia, Huila-Cauca, Macizo Colombiano, páramo de las Papas, cerros y alrededores de las Laguna del Magdalena y Santiago.</x:t>
  </x:si>
  <x:si>
    <x:t xml:space="preserve">3530-3630</x:t>
  </x:si>
  <x:si>
    <x:t xml:space="preserve">COL65076</x:t>
  </x:si>
  <x:si>
    <x:t xml:space="preserve">Huila-Cauca</x:t>
  </x:si>
  <x:si>
    <x:t xml:space="preserve">páramo de las Papas, cerros y alrededores de las Laguna del Magdalena y Santiago.</x:t>
  </x:si>
  <x:si>
    <x:t xml:space="preserve">Barnngton D. 510</x:t>
  </x:si>
  <x:si>
    <x:t xml:space="preserve">PSO 4393</x:t>
  </x:si>
  <x:si>
    <x:t xml:space="preserve">Colombia, Nariño, Pasto, Selva El Campanero, 5 km swof La Granja Botana.</x:t>
  </x:si>
  <x:si>
    <x:t xml:space="preserve">N 01°12'49.29"</x:t>
  </x:si>
  <x:si>
    <x:t xml:space="preserve">01°12'49.29" N</x:t>
  </x:si>
  <x:si>
    <x:t xml:space="preserve">W 77°16'21.49"</x:t>
  </x:si>
  <x:si>
    <x:t xml:space="preserve">77°16'21.49" W</x:t>
  </x:si>
  <x:si>
    <x:t xml:space="preserve">01°12'49.29" N, 77°16'21.49" W</x:t>
  </x:si>
  <x:si>
    <x:t xml:space="preserve">1.2136917</x:t>
  </x:si>
  <x:si>
    <x:t xml:space="preserve">-77.2726361</x:t>
  </x:si>
  <x:si>
    <x:t xml:space="preserve">1.2136917,-77.2726361</x:t>
  </x:si>
  <x:si>
    <x:t xml:space="preserve">Pasto</x:t>
  </x:si>
  <x:si>
    <x:t xml:space="preserve">Selva El Campanero, 5 km swof La Granja Botana.</x:t>
  </x:si>
  <x:si>
    <x:t xml:space="preserve">Hagemann W. &amp; Leist 1367</x:t>
  </x:si>
  <x:si>
    <x:t xml:space="preserve">COL 214241</x:t>
  </x:si>
  <x:si>
    <x:t xml:space="preserve">Colombia, Nariño, El Tábano, al E de Pasto.</x:t>
  </x:si>
  <x:si>
    <x:t xml:space="preserve">COL214241</x:t>
  </x:si>
  <x:si>
    <x:t xml:space="preserve">El Tábano</x:t>
  </x:si>
  <x:si>
    <x:t xml:space="preserve">al E de Pasto.</x:t>
  </x:si>
  <x:si>
    <x:t xml:space="preserve">De Benavides O.S. 2659</x:t>
  </x:si>
  <x:si>
    <x:t xml:space="preserve">PSO 10168</x:t>
  </x:si>
  <x:si>
    <x:t xml:space="preserve">Colombia, Nariño, Pasto-Volcán Galeras.</x:t>
  </x:si>
  <x:si>
    <x:t xml:space="preserve">PSO10168</x:t>
  </x:si>
  <x:si>
    <x:t xml:space="preserve">Pasto-Volcán Galeras.</x:t>
  </x:si>
  <x:si>
    <x:t xml:space="preserve">de Benavides O. &amp; B.R. Ramírez 4334</x:t>
  </x:si>
  <x:si>
    <x:t xml:space="preserve">PSO 12086</x:t>
  </x:si>
  <x:si>
    <x:t xml:space="preserve">Colombia, Nariño, Pasto, Bosque de Botana.</x:t>
  </x:si>
  <x:si>
    <x:t xml:space="preserve">Bosque de Botana.</x:t>
  </x:si>
  <x:si>
    <x:t xml:space="preserve">Ramirez P. B.R. 2002</x:t>
  </x:si>
  <x:si>
    <x:t xml:space="preserve">PSO 22995</x:t>
  </x:si>
  <x:si>
    <x:t xml:space="preserve">Colombia, Nariño, Pasto, Serranía del Morasurco, Tacines.</x:t>
  </x:si>
  <x:si>
    <x:t xml:space="preserve">3400-3500</x:t>
  </x:si>
  <x:si>
    <x:t xml:space="preserve">Serranía del Morasurco, Tacines.</x:t>
  </x:si>
  <x:si>
    <x:t xml:space="preserve">Ramírez P. B.R. &amp; J.A. Cuayal M. 4596</x:t>
  </x:si>
  <x:si>
    <x:t xml:space="preserve">COL 349226</x:t>
  </x:si>
  <x:si>
    <x:t xml:space="preserve">Colombia, Nariño, Pasto, Faldas del Volcán Galeras, vereda San Felipe, cerca Quebrada Mijitayo.</x:t>
  </x:si>
  <x:si>
    <x:t xml:space="preserve">3000-3300</x:t>
  </x:si>
  <x:si>
    <x:t xml:space="preserve">Faldas del Volcán Galeras, vereda San Felipe, cerca Quebrada Mijitayo.</x:t>
  </x:si>
  <x:si>
    <x:t xml:space="preserve">B. R. Ramirez P. &amp; J. A. Cuayal M. 4595</x:t>
  </x:si>
  <x:si>
    <x:t xml:space="preserve">Colombia, Nariño, Pasto, Faldas del Volcan Galeras, Vda. San Felipe, quebrada Mijitayo</x:t>
  </x:si>
  <x:si>
    <x:t xml:space="preserve">Hrs</x:t>
  </x:si>
  <x:si>
    <x:t xml:space="preserve">La quebrada Mijitayo se ubica en Obonuco, Pasto</x:t>
  </x:si>
  <x:si>
    <x:t xml:space="preserve">COL349226</x:t>
  </x:si>
  <x:si>
    <x:t xml:space="preserve">Faldas del Volcan Galeras, Vda. San Felipe, quebrada Mijitayo</x:t>
  </x:si>
  <x:si>
    <x:t xml:space="preserve">Ramírez P. B.R. &amp; D. Salas L. 10798</x:t>
  </x:si>
  <x:si>
    <x:t xml:space="preserve">PSO 37781</x:t>
  </x:si>
  <x:si>
    <x:t xml:space="preserve">Colombia, Nariño, Pasto, corregimiento La Laguna, alrededores Alto Zapallurco, área de páramo.</x:t>
  </x:si>
  <x:si>
    <x:t xml:space="preserve">N 01°18'</x:t>
  </x:si>
  <x:si>
    <x:t xml:space="preserve">01°18' N</x:t>
  </x:si>
  <x:si>
    <x:t xml:space="preserve">01°18' N, 77°10' W</x:t>
  </x:si>
  <x:si>
    <x:t xml:space="preserve">1.3</x:t>
  </x:si>
  <x:si>
    <x:t xml:space="preserve">1.3,-77.1666667</x:t>
  </x:si>
  <x:si>
    <x:t xml:space="preserve">PSO37781</x:t>
  </x:si>
  <x:si>
    <x:t xml:space="preserve">corregimiento La Laguna, alrededores Alto Zapallurco, área de páramo.</x:t>
  </x:si>
  <x:si>
    <x:t xml:space="preserve">Ramírez P. B.R. &amp; J.A. Cuayal M. 4595</x:t>
  </x:si>
  <x:si>
    <x:t xml:space="preserve">PSO 28038</x:t>
  </x:si>
  <x:si>
    <x:t xml:space="preserve">Colombia, Nariño Pasto, Faldas del Volcán Galeras, vereda San Felipe, cerca Quebrada Mijitayo.</x:t>
  </x:si>
  <x:si>
    <x:t xml:space="preserve">Nariño Pasto</x:t>
  </x:si>
  <x:si>
    <x:t xml:space="preserve">Faldas del Volcán Galeras</x:t>
  </x:si>
  <x:si>
    <x:t xml:space="preserve">vereda San Felipe, cerca Quebrada Mijitayo.</x:t>
  </x:si>
  <x:si>
    <x:t xml:space="preserve">Cuatrecasas J. et  al., 12680</x:t>
  </x:si>
  <x:si>
    <x:t xml:space="preserve">COL 000335875</x:t>
  </x:si>
  <x:si>
    <x:t xml:space="preserve">Colombia, Norte de Santander, Cordillera Oriental, Páramo de Tamá, alrededores de la Cueva.</x:t>
  </x:si>
  <x:si>
    <x:t xml:space="preserve">3000-3200</x:t>
  </x:si>
  <x:si>
    <x:t xml:space="preserve">COL000335875</x:t>
  </x:si>
  <x:si>
    <x:t xml:space="preserve">Cordillera Oriental</x:t>
  </x:si>
  <x:si>
    <x:t xml:space="preserve">Páramo de Tamá, alrededores de la Cueva.</x:t>
  </x:si>
  <x:si>
    <x:t xml:space="preserve">Ramírez P. B.R. 5280</x:t>
  </x:si>
  <x:si>
    <x:t xml:space="preserve">PSO 28972</x:t>
  </x:si>
  <x:si>
    <x:t xml:space="preserve">Colombia, Putumayo, Santiago, San Antonio de Bellavista, Páramo del Bordoncillo.</x:t>
  </x:si>
  <x:si>
    <x:t xml:space="preserve">3150-3250</x:t>
  </x:si>
  <x:si>
    <x:t xml:space="preserve">PSO28972</x:t>
  </x:si>
  <x:si>
    <x:t xml:space="preserve">Santiago</x:t>
  </x:si>
  <x:si>
    <x:t xml:space="preserve">San Antonio de Bellavista, Páramo del Bordoncillo.</x:t>
  </x:si>
  <x:si>
    <x:t xml:space="preserve">Vargas W. 580</x:t>
  </x:si>
  <x:si>
    <x:t xml:space="preserve">HUQ 26738</x:t>
  </x:si>
  <x:si>
    <x:t xml:space="preserve">Colombia, Quindio, Salento, Acaime.</x:t>
  </x:si>
  <x:si>
    <x:t xml:space="preserve">W 75°30</x:t>
  </x:si>
  <x:si>
    <x:t xml:space="preserve">75°30 W</x:t>
  </x:si>
  <x:si>
    <x:t xml:space="preserve">04°40' N, 75°30 W</x:t>
  </x:si>
  <x:si>
    <x:t xml:space="preserve">Acaime.</x:t>
  </x:si>
  <x:si>
    <x:t xml:space="preserve">Vélez C. Et al., 4511</x:t>
  </x:si>
  <x:si>
    <x:t xml:space="preserve">HUQ 14886</x:t>
  </x:si>
  <x:si>
    <x:t xml:space="preserve">Colombia, Quindio, Salento, Páramo de Romerales, Parque Nacional Natural Los Nevados.</x:t>
  </x:si>
  <x:si>
    <x:t xml:space="preserve">Páramo de Romerales, Parque Nacional Natural Los Nevados.</x:t>
  </x:si>
  <x:si>
    <x:t xml:space="preserve">Sanín D. et al., 3146</x:t>
  </x:si>
  <x:si>
    <x:t xml:space="preserve">HUA xxxx</x:t>
  </x:si>
  <x:si>
    <x:t xml:space="preserve">Colombia, Quindio, Salento, verda Cocora, vía Estrella de Agua, camino en mosaicos sucesionales de Aliso.</x:t>
  </x:si>
  <x:si>
    <x:t xml:space="preserve">2430-3200</x:t>
  </x:si>
  <x:si>
    <x:t xml:space="preserve">N 04°38'29.4"</x:t>
  </x:si>
  <x:si>
    <x:t xml:space="preserve">04°38'29.4" N</x:t>
  </x:si>
  <x:si>
    <x:t xml:space="preserve">W 75°29'12.4"</x:t>
  </x:si>
  <x:si>
    <x:t xml:space="preserve">75°29'12.4" W</x:t>
  </x:si>
  <x:si>
    <x:t xml:space="preserve">04°38'29.4" N, 75°29'12.4" W</x:t>
  </x:si>
  <x:si>
    <x:t xml:space="preserve">4.6415</x:t>
  </x:si>
  <x:si>
    <x:t xml:space="preserve">-75.4867778</x:t>
  </x:si>
  <x:si>
    <x:t xml:space="preserve">4.6415,-75.4867778</x:t>
  </x:si>
  <x:si>
    <x:t xml:space="preserve">verda Cocora, vía Estrella de Agua, camino en mosaicos sucesionales de Aliso.</x:t>
  </x:si>
  <x:si>
    <x:t xml:space="preserve">Sanín D. et al., 4009</x:t>
  </x:si>
  <x:si>
    <x:t xml:space="preserve">HUAQ xxx</x:t>
  </x:si>
  <x:si>
    <x:t xml:space="preserve">Colombia, Quindio, Salento, sector entre  Estrella de Agua y La Primavera. </x:t>
  </x:si>
  <x:si>
    <x:t xml:space="preserve">2871-3502</x:t>
  </x:si>
  <x:si>
    <x:t xml:space="preserve">N 04°39'</x:t>
  </x:si>
  <x:si>
    <x:t xml:space="preserve">04°39' N</x:t>
  </x:si>
  <x:si>
    <x:t xml:space="preserve">W 75°29'</x:t>
  </x:si>
  <x:si>
    <x:t xml:space="preserve">75°29' W</x:t>
  </x:si>
  <x:si>
    <x:t xml:space="preserve">04°39' N, 75°29' W</x:t>
  </x:si>
  <x:si>
    <x:t xml:space="preserve">4.65</x:t>
  </x:si>
  <x:si>
    <x:t xml:space="preserve">4.65,-75.4833333</x:t>
  </x:si>
  <x:si>
    <x:t xml:space="preserve">sector entre  Estrella de Agua y La Primavera.</x:t>
  </x:si>
  <x:si>
    <x:t xml:space="preserve">Jaramillo R. et al., 6018</x:t>
  </x:si>
  <x:si>
    <x:t xml:space="preserve">COL 214224</x:t>
  </x:si>
  <x:si>
    <x:t xml:space="preserve">Colombia, Risaralda, Cordillera Central, Santa Rosa, vertiente occidental, entre la Hacienda La Sierra y Termales de Santa Rosa.</x:t>
  </x:si>
  <x:si>
    <x:t xml:space="preserve">N 04°52'</x:t>
  </x:si>
  <x:si>
    <x:t xml:space="preserve">04°52' N</x:t>
  </x:si>
  <x:si>
    <x:t xml:space="preserve">W 75°37'</x:t>
  </x:si>
  <x:si>
    <x:t xml:space="preserve">75°37' W</x:t>
  </x:si>
  <x:si>
    <x:t xml:space="preserve">04°52' N, 75°37' W</x:t>
  </x:si>
  <x:si>
    <x:t xml:space="preserve">4.8666667</x:t>
  </x:si>
  <x:si>
    <x:t xml:space="preserve">-75.6166667</x:t>
  </x:si>
  <x:si>
    <x:t xml:space="preserve">4.8666667,-75.6166667</x:t>
  </x:si>
  <x:si>
    <x:t xml:space="preserve">Cordillera Central</x:t>
  </x:si>
  <x:si>
    <x:t xml:space="preserve">Santa Rosa, vertiente occidental, entre la Hacienda La Sierra y Termales de Santa Rosa.</x:t>
  </x:si>
  <x:si>
    <x:t xml:space="preserve">Torres J.H. et al., 1576</x:t>
  </x:si>
  <x:si>
    <x:t xml:space="preserve">COL 264956</x:t>
  </x:si>
  <x:si>
    <x:t xml:space="preserve">Colombia, Risaralda, Santuario, vereda Las Colonias, 200 m abajo del Reposo, Macizo Tatamá.</x:t>
  </x:si>
  <x:si>
    <x:t xml:space="preserve">COL264956</x:t>
  </x:si>
  <x:si>
    <x:t xml:space="preserve">vereda Las Colonias, 200 m abajo del Reposo, Macizo Tatamá.</x:t>
  </x:si>
  <x:si>
    <x:t xml:space="preserve">Wolf J. 965</x:t>
  </x:si>
  <x:si>
    <x:t xml:space="preserve">COL 312106</x:t>
  </x:si>
  <x:si>
    <x:t xml:space="preserve">Colombia, Risaralda, Santa Rosa de Cabal, camino real entre Termales de Santa Rosa y finca Berlín.</x:t>
  </x:si>
  <x:si>
    <x:t xml:space="preserve">Santa Rosa de Cabal</x:t>
  </x:si>
  <x:si>
    <x:t xml:space="preserve">camino real entre Termales de Santa Rosa y finca Berlín.</x:t>
  </x:si>
  <x:si>
    <x:t xml:space="preserve">Sanín D. et al., 4294</x:t>
  </x:si>
  <x:si>
    <x:t xml:space="preserve">Colombia, Risaralda, Santuario, Parque Natural Tatamá, Valle del los Frailejones.</x:t>
  </x:si>
  <x:si>
    <x:t xml:space="preserve">N 5.1208051</x:t>
  </x:si>
  <x:si>
    <x:t xml:space="preserve">5.1208051 N</x:t>
  </x:si>
  <x:si>
    <x:t xml:space="preserve">W-76.0594532</x:t>
  </x:si>
  <x:si>
    <x:t xml:space="preserve">76.0594532 W</x:t>
  </x:si>
  <x:si>
    <x:t xml:space="preserve">5.1208051 N, 76.0594532 W</x:t>
  </x:si>
  <x:si>
    <x:t xml:space="preserve">Parque Natural Tatamá, Valle del los Frailejones.</x:t>
  </x:si>
  <x:si>
    <x:t xml:space="preserve">Sanín D. et al., 4306</x:t>
  </x:si>
  <x:si>
    <x:t xml:space="preserve">Colombia, Risaralda, Santuario, Parque Natural Tatamá, descenso al Valle de las Mirlas.</x:t>
  </x:si>
  <x:si>
    <x:t xml:space="preserve">Parque Natural Tatamá, descenso al Valle de las Mirlas.</x:t>
  </x:si>
  <x:si>
    <x:t xml:space="preserve">Sanín D. et al., 4293</x:t>
  </x:si>
  <x:si>
    <x:t xml:space="preserve">Colombia, Risaralda, Santuario, Parque Nacional Natural Tatamá, Valle de los Frailejones.</x:t>
  </x:si>
  <x:si>
    <x:t xml:space="preserve">W -76.0594532</x:t>
  </x:si>
  <x:si>
    <x:t xml:space="preserve">-76.0594532 W</x:t>
  </x:si>
  <x:si>
    <x:t xml:space="preserve">5.1208051 N, -76.0594532 W</x:t>
  </x:si>
  <x:si>
    <x:t xml:space="preserve">Parque Nacional Natural Tatamá, Valle de los Frailejones.</x:t>
  </x:si>
  <x:si>
    <x:t xml:space="preserve">Jaramillo Mejía R &amp; T. van der Hammen 4320</x:t>
  </x:si>
  <x:si>
    <x:t xml:space="preserve">COL 000335880</x:t>
  </x:si>
  <x:si>
    <x:t xml:space="preserve">Colombia, Santander, páramo de Guatavita, lado occidental hacia Onzaga.</x:t>
  </x:si>
  <x:si>
    <x:t xml:space="preserve">COL000336495</x:t>
  </x:si>
  <x:si>
    <x:t xml:space="preserve">páramo de Guatavita</x:t>
  </x:si>
  <x:si>
    <x:t xml:space="preserve">lado occidental hacia Onzaga.</x:t>
  </x:si>
  <x:si>
    <x:t xml:space="preserve">Diaz S. &amp; R. Jaramillo 1987</x:t>
  </x:si>
  <x:si>
    <x:t xml:space="preserve">COL 204934</x:t>
  </x:si>
  <x:si>
    <x:t xml:space="preserve">Colombia, Tolima, Santa Isabel, cordillera Central, valle del Río Totarito, entre el Paso El Español y La Ermita.</x:t>
  </x:si>
  <x:si>
    <x:t xml:space="preserve">N 04°43'08.19"</x:t>
  </x:si>
  <x:si>
    <x:t xml:space="preserve">04°43'08.19" N</x:t>
  </x:si>
  <x:si>
    <x:t xml:space="preserve">W 75°06'02.63"</x:t>
  </x:si>
  <x:si>
    <x:t xml:space="preserve">75°06'02.63" W</x:t>
  </x:si>
  <x:si>
    <x:t xml:space="preserve">04°43'08.19" N, 75°06'02.63" W</x:t>
  </x:si>
  <x:si>
    <x:t xml:space="preserve">4.7189417</x:t>
  </x:si>
  <x:si>
    <x:t xml:space="preserve">-75.1007306</x:t>
  </x:si>
  <x:si>
    <x:t xml:space="preserve">4.7189417,-75.1007306</x:t>
  </x:si>
  <x:si>
    <x:t xml:space="preserve">cordillera Central, valle del Río Totarito, entre el Paso El Español y La Ermita.</x:t>
  </x:si>
  <x:si>
    <x:t xml:space="preserve">Jaramillo R. et al., 6357</x:t>
  </x:si>
  <x:si>
    <x:t xml:space="preserve">COL 494084</x:t>
  </x:si>
  <x:si>
    <x:t xml:space="preserve">Colombia, Tolima, Cordillera Central, Santa Isabel, vertiente Oriental, valle del río Totarito, lado N Bosque de Hesperomeles y Hedyosmum.</x:t>
  </x:si>
  <x:si>
    <x:t xml:space="preserve">Santa Isabel, vertiente Oriental, valle del río Totarito, lado N Bosque de Hesperomeles y Hedyosmum.</x:t>
  </x:si>
  <x:si>
    <x:t xml:space="preserve">Jaramillo R. et al., 6451</x:t>
  </x:si>
  <x:si>
    <x:t xml:space="preserve">COL 494081</x:t>
  </x:si>
  <x:si>
    <x:t xml:space="preserve">Colombia, Tolima, cordillera Central, Santa Isabel, vertiente Oriental, en selva de Quercus y Clusia, en el sitio el Ochoral.</x:t>
  </x:si>
  <x:si>
    <x:t xml:space="preserve">Santa Isabel, vertiente Oriental, en selva de Quercus y Clusia, en el sitio el Ochoral.</x:t>
  </x:si>
  <x:si>
    <x:t xml:space="preserve">Duque C. &amp; E. Correa 29</x:t>
  </x:si>
  <x:si>
    <x:t xml:space="preserve">FAUC 4826</x:t>
  </x:si>
  <x:si>
    <x:t xml:space="preserve">Colombia, Tolima, Murillo, margen derecha Río Azul, Quebrada Los Patos (Mozul).</x:t>
  </x:si>
  <x:si>
    <x:t xml:space="preserve">N 04°52'11.20"</x:t>
  </x:si>
  <x:si>
    <x:t xml:space="preserve">04°52'11.20" N</x:t>
  </x:si>
  <x:si>
    <x:t xml:space="preserve">W 75°10'38.47"</x:t>
  </x:si>
  <x:si>
    <x:t xml:space="preserve">04°52'11.20" N, 75°10'38.47" W</x:t>
  </x:si>
  <x:si>
    <x:t xml:space="preserve">4.8697778</x:t>
  </x:si>
  <x:si>
    <x:t xml:space="preserve">4.8697778,-75.1773528</x:t>
  </x:si>
  <x:si>
    <x:t xml:space="preserve">margen derecha Río Azul, Quebrada Los Patos (Mozul).</x:t>
  </x:si>
  <x:si>
    <x:t xml:space="preserve">Correa E. 70</x:t>
  </x:si>
  <x:si>
    <x:t xml:space="preserve">FAUC 4819</x:t>
  </x:si>
  <x:si>
    <x:t xml:space="preserve">Colombia, Tolima, Murillo, Lugar Casas Viejas.</x:t>
  </x:si>
  <x:si>
    <x:t xml:space="preserve">N 877093.75</x:t>
  </x:si>
  <x:si>
    <x:t xml:space="preserve">877093.75 N</x:t>
  </x:si>
  <x:si>
    <x:t xml:space="preserve">W 1037843.75</x:t>
  </x:si>
  <x:si>
    <x:t xml:space="preserve">1037843.75 W</x:t>
  </x:si>
  <x:si>
    <x:t xml:space="preserve">877093.75 N, 1037843.75 W</x:t>
  </x:si>
  <x:si>
    <x:t xml:space="preserve">E_Correa70</x:t>
  </x:si>
  <x:si>
    <x:t xml:space="preserve">Lugar Casas Viejas.</x:t>
  </x:si>
  <x:si>
    <x:t xml:space="preserve">Sanín D. et al, 3154</x:t>
  </x:si>
  <x:si>
    <x:t xml:space="preserve">Colombia, Tolima, Ibague, El Bergel, vía Termales del Cañon, escuala rural, bosques a mano derecha Sur este.</x:t>
  </x:si>
  <x:si>
    <x:t xml:space="preserve">D_Sanín3154</x:t>
  </x:si>
  <x:si>
    <x:t xml:space="preserve">El Bergel, vía Termales del Cañon, escuala rural, bosques a mano derecha Sur este.</x:t>
  </x:si>
  <x:si>
    <x:t xml:space="preserve">Sanín D. et al., 3166</x:t>
  </x:si>
  <x:si>
    <x:t xml:space="preserve">TOLI xxx</x:t>
  </x:si>
  <x:si>
    <x:t xml:space="preserve">Colombia, Tolima, Ibague, Corregimiento de Juntas, vía Escuela El Salto.</x:t>
  </x:si>
  <x:si>
    <x:t xml:space="preserve">N 04° 37'45.3"</x:t>
  </x:si>
  <x:si>
    <x:t xml:space="preserve">04° 37'45.3" N</x:t>
  </x:si>
  <x:si>
    <x:t xml:space="preserve">W 75°16'9.31"</x:t>
  </x:si>
  <x:si>
    <x:t xml:space="preserve">75°16'9.31" W</x:t>
  </x:si>
  <x:si>
    <x:t xml:space="preserve">04° 37'45.3" N, 75°16'9.31" W</x:t>
  </x:si>
  <x:si>
    <x:t xml:space="preserve">Corregimiento de Juntas, vía Escuela El Salto.</x:t>
  </x:si>
  <x:si>
    <x:t xml:space="preserve">Killip E.P. et al., 34630</x:t>
  </x:si>
  <x:si>
    <x:t xml:space="preserve">COL 18052</x:t>
  </x:si>
  <x:si>
    <x:t xml:space="preserve">Colombia, Tolima: allong Quindio higway, between Cajamarca and summit of Divide.</x:t>
  </x:si>
  <x:si>
    <x:t xml:space="preserve">N 04°26'24.14"</x:t>
  </x:si>
  <x:si>
    <x:t xml:space="preserve">04°26'24.14" N</x:t>
  </x:si>
  <x:si>
    <x:t xml:space="preserve">W 75°25'48.37"</x:t>
  </x:si>
  <x:si>
    <x:t xml:space="preserve">75°25'48.37" W</x:t>
  </x:si>
  <x:si>
    <x:t xml:space="preserve">04°26'24.14" N, 75°25'48.37" W</x:t>
  </x:si>
  <x:si>
    <x:t xml:space="preserve">4.4400389</x:t>
  </x:si>
  <x:si>
    <x:t xml:space="preserve">-75.4301028</x:t>
  </x:si>
  <x:si>
    <x:t xml:space="preserve">4.4400389,-75.4301028</x:t>
  </x:si>
  <x:si>
    <x:t xml:space="preserve">Tolima: allong Quindio higway</x:t>
  </x:si>
  <x:si>
    <x:t xml:space="preserve">between Cajamarca and summit of Divide.</x:t>
  </x:si>
  <x:si>
    <x:t xml:space="preserve">S. fraxinifolium (Jacq.) A. R. Sm.</x:t>
  </x:si>
  <x:si>
    <x:t xml:space="preserve">Serpocaulon fraxinifolium</x:t>
  </x:si>
  <x:si>
    <x:t xml:space="preserve">Archer W. A. 1099</x:t>
  </x:si>
  <x:si>
    <x:t xml:space="preserve">COL 00997</x:t>
  </x:si>
  <x:si>
    <x:t xml:space="preserve">Antioquia, Medellín, Cerca a La Sierra</x:t>
  </x:si>
  <x:si>
    <x:t xml:space="preserve">1973.084</x:t>
  </x:si>
  <x:si>
    <x:t xml:space="preserve">COL00997</x:t>
  </x:si>
  <x:si>
    <x:t xml:space="preserve">Cerca a La Sierra</x:t>
  </x:si>
  <x:si>
    <x:t xml:space="preserve">G. Gutierrez-V. &amp; A. Puccini-B. 14</x:t>
  </x:si>
  <x:si>
    <x:t xml:space="preserve">COL 70867</x:t>
  </x:si>
  <x:si>
    <x:t xml:space="preserve">Antioquia, Vía a Guarne</x:t>
  </x:si>
  <x:si>
    <x:t xml:space="preserve">2500 aprox.</x:t>
  </x:si>
  <x:si>
    <x:t xml:space="preserve">COL70867</x:t>
  </x:si>
  <x:si>
    <x:t xml:space="preserve">Vía a Guarne</x:t>
  </x:si>
  <x:si>
    <x:t xml:space="preserve">L. Uribe Uribe 1867</x:t>
  </x:si>
  <x:si>
    <x:t xml:space="preserve">COL 113265</x:t>
  </x:si>
  <x:si>
    <x:t xml:space="preserve">Antioquia, Nariño, bosques de Paramitos</x:t>
  </x:si>
  <x:si>
    <x:t xml:space="preserve">2000-2200</x:t>
  </x:si>
  <x:si>
    <x:t xml:space="preserve">bosques de Paramitos</x:t>
  </x:si>
  <x:si>
    <x:t xml:space="preserve">Albert de Escobar L. et al., 3711</x:t>
  </x:si>
  <x:si>
    <x:t xml:space="preserve">HUA 20288</x:t>
  </x:si>
  <x:si>
    <x:t xml:space="preserve">Antioquia, Guatapé, Vereda Santa Rita, Finca Montepinar</x:t>
  </x:si>
  <x:si>
    <x:t xml:space="preserve">HUA20288</x:t>
  </x:si>
  <x:si>
    <x:t xml:space="preserve">Guatapé</x:t>
  </x:si>
  <x:si>
    <x:t xml:space="preserve">Vereda Santa Rita, Finca Montepinar</x:t>
  </x:si>
  <x:si>
    <x:t xml:space="preserve">F. J. Roldán et al., 48</x:t>
  </x:si>
  <x:si>
    <x:t xml:space="preserve">HUA 24106</x:t>
  </x:si>
  <x:si>
    <x:t xml:space="preserve">Antioquia, Guarne, Vereda Piedras Blancas, cerca a la represa.</x:t>
  </x:si>
  <x:si>
    <x:t xml:space="preserve">HUA24106</x:t>
  </x:si>
  <x:si>
    <x:t xml:space="preserve">Vereda Piedras Blancas, cerca a la represa.</x:t>
  </x:si>
  <x:si>
    <x:t xml:space="preserve">Albert de Escobar L. et al., 3861</x:t>
  </x:si>
  <x:si>
    <x:t xml:space="preserve">HUA 020600</x:t>
  </x:si>
  <x:si>
    <x:t xml:space="preserve">Colombia, Antioquia, Caldas, vereda La Clara, Finca La Oculta.</x:t>
  </x:si>
  <x:si>
    <x:t xml:space="preserve">HUA20600</x:t>
  </x:si>
  <x:si>
    <x:t xml:space="preserve">vereda La Clara, Finca La Oculta.</x:t>
  </x:si>
  <x:si>
    <x:t xml:space="preserve">L. Albert de Escobar et al., 3855</x:t>
  </x:si>
  <x:si>
    <x:t xml:space="preserve">HUA 20594</x:t>
  </x:si>
  <x:si>
    <x:t xml:space="preserve">Antioquia, Caldas, Vereda La Clara, Finca la Oculta</x:t>
  </x:si>
  <x:si>
    <x:t xml:space="preserve">Vereda La Clara, Finca la Oculta</x:t>
  </x:si>
  <x:si>
    <x:t xml:space="preserve">L. Albert de Escobar et al., 4609</x:t>
  </x:si>
  <x:si>
    <x:t xml:space="preserve">HUA 22533</x:t>
  </x:si>
  <x:si>
    <x:t xml:space="preserve">Antioquia, Caldas, Vereda la Clara, Finca la Oculta</x:t>
  </x:si>
  <x:si>
    <x:t xml:space="preserve">Vereda la Clara, Finca la Oculta</x:t>
  </x:si>
  <x:si>
    <x:t xml:space="preserve">Palacio M. &amp; E. Vallejo 07</x:t>
  </x:si>
  <x:si>
    <x:t xml:space="preserve">COL 495594</x:t>
  </x:si>
  <x:si>
    <x:t xml:space="preserve">Antioquia, Caldas, Vereda La Corrala</x:t>
  </x:si>
  <x:si>
    <x:t xml:space="preserve">COL495594</x:t>
  </x:si>
  <x:si>
    <x:t xml:space="preserve">Vereda La Corrala</x:t>
  </x:si>
  <x:si>
    <x:t xml:space="preserve">Palacios M. &amp; E. Vallejo 07</x:t>
  </x:si>
  <x:si>
    <x:t xml:space="preserve">HUA 2593</x:t>
  </x:si>
  <x:si>
    <x:t xml:space="preserve">Antioquia, Caldas, Vereda La Corrala, Bosque Humedo</x:t>
  </x:si>
  <x:si>
    <x:t xml:space="preserve">Vereda La Corrala, Bosque Humedo</x:t>
  </x:si>
  <x:si>
    <x:t xml:space="preserve">C.I. Orozco et al., 1445</x:t>
  </x:si>
  <x:si>
    <x:t xml:space="preserve">COL 416185</x:t>
  </x:si>
  <x:si>
    <x:t xml:space="preserve">Antioquia, Bello, Corregimiento de San Felix, vía a Altos Baldíos</x:t>
  </x:si>
  <x:si>
    <x:t xml:space="preserve">COL416185</x:t>
  </x:si>
  <x:si>
    <x:t xml:space="preserve">Bello</x:t>
  </x:si>
  <x:si>
    <x:t xml:space="preserve">Corregimiento de San Felix, vía a Altos Baldíos</x:t>
  </x:si>
  <x:si>
    <x:t xml:space="preserve">L. Albert de Escobar et al., 6282</x:t>
  </x:si>
  <x:si>
    <x:t xml:space="preserve">HUA 27702</x:t>
  </x:si>
  <x:si>
    <x:t xml:space="preserve">Colombia, Antioquia, Guatapé, Vereda Santa Rita, Bosque Humedo</x:t>
  </x:si>
  <x:si>
    <x:t xml:space="preserve">HUA27795</x:t>
  </x:si>
  <x:si>
    <x:t xml:space="preserve">Vereda Santa Rita, Bosque Humedo</x:t>
  </x:si>
  <x:si>
    <x:t xml:space="preserve">L. Albert de Escobar et al., 6446</x:t>
  </x:si>
  <x:si>
    <x:t xml:space="preserve">HUA 28680</x:t>
  </x:si>
  <x:si>
    <x:t xml:space="preserve">Antioquia, Guatapé, Vereda Santa Rita, Bosque Humedo</x:t>
  </x:si>
  <x:si>
    <x:t xml:space="preserve">L. Albert de Escobar et al., 6321</x:t>
  </x:si>
  <x:si>
    <x:t xml:space="preserve">HUA 27795</x:t>
  </x:si>
  <x:si>
    <x:t xml:space="preserve">Antioquia, Guatape, Vereda Santa Rita, Bosuqe Humedo</x:t>
  </x:si>
  <x:si>
    <x:t xml:space="preserve">Guatape</x:t>
  </x:si>
  <x:si>
    <x:t xml:space="preserve">Vereda Santa Rita, Bosuqe Humedo</x:t>
  </x:si>
  <x:si>
    <x:t xml:space="preserve">Sánchez D. et al., 523</x:t>
  </x:si>
  <x:si>
    <x:t xml:space="preserve">MEDEL 25600</x:t>
  </x:si>
  <x:si>
    <x:t xml:space="preserve">Colombia, Antioquia, Frontino, corregimiento de Nutibara, cuenca alta del río Cuevas.</x:t>
  </x:si>
  <x:si>
    <x:t xml:space="preserve">MEDEL25600</x:t>
  </x:si>
  <x:si>
    <x:t xml:space="preserve">corregimiento de Nutibara, cuenca alta del río Cuevas.</x:t>
  </x:si>
  <x:si>
    <x:t xml:space="preserve">Fonnegra R. et al., 2236</x:t>
  </x:si>
  <x:si>
    <x:t xml:space="preserve">HUA 37517</x:t>
  </x:si>
  <x:si>
    <x:t xml:space="preserve">Antioquia, Medellín-Guarne, por la antigua carretera, Granja Forestal de la Universidad Nacional.</x:t>
  </x:si>
  <x:si>
    <x:t xml:space="preserve">1600-1700</x:t>
  </x:si>
  <x:si>
    <x:t xml:space="preserve">HUA37517</x:t>
  </x:si>
  <x:si>
    <x:t xml:space="preserve">Medellín-Guarne</x:t>
  </x:si>
  <x:si>
    <x:t xml:space="preserve">por la antigua carretera, Granja Forestal de la Universidad Nacional.</x:t>
  </x:si>
  <x:si>
    <x:t xml:space="preserve">Escobar L. A.  &amp; J. S. Zuluaga 59</x:t>
  </x:si>
  <x:si>
    <x:t xml:space="preserve">HUA 36876</x:t>
  </x:si>
  <x:si>
    <x:t xml:space="preserve">Antioquia, La Unión, vereda El Masurcal</x:t>
  </x:si>
  <x:si>
    <x:t xml:space="preserve">En las capas de QGIS, solo existe la vereda El mazorral y corresponde a El Carmen de Viboral. En internet, la vereda Mazorcal corresponde a La Unión</x:t>
  </x:si>
  <x:si>
    <x:t xml:space="preserve">HUA36876</x:t>
  </x:si>
  <x:si>
    <x:t xml:space="preserve">vereda El Masurcal</x:t>
  </x:si>
  <x:si>
    <x:t xml:space="preserve">D. L. Echeverry  67</x:t>
  </x:si>
  <x:si>
    <x:t xml:space="preserve">HUA 38837</x:t>
  </x:si>
  <x:si>
    <x:t xml:space="preserve">Antioquia, Guatapé, Santa Rita, Bosque humedo</x:t>
  </x:si>
  <x:si>
    <x:t xml:space="preserve">Santa Rita, Bosque humedo</x:t>
  </x:si>
  <x:si>
    <x:t xml:space="preserve">HUA 38834</x:t>
  </x:si>
  <x:si>
    <x:t xml:space="preserve">Antioquia, Guatapé, vereda Santa Rita, bosque humedo</x:t>
  </x:si>
  <x:si>
    <x:t xml:space="preserve">vereda Santa Rita, bosque humedo</x:t>
  </x:si>
  <x:si>
    <x:t xml:space="preserve">A. L. Arbelaez et al., 86</x:t>
  </x:si>
  <x:si>
    <x:t xml:space="preserve">HUA 40297</x:t>
  </x:si>
  <x:si>
    <x:t xml:space="preserve">Antioquia, Sonson, Paramó de Sonson</x:t>
  </x:si>
  <x:si>
    <x:t xml:space="preserve">05°41' N</x:t>
  </x:si>
  <x:si>
    <x:t xml:space="preserve">75°14' W</x:t>
  </x:si>
  <x:si>
    <x:t xml:space="preserve">05°41' N, 75°14' W</x:t>
  </x:si>
  <x:si>
    <x:t xml:space="preserve">5.6833333</x:t>
  </x:si>
  <x:si>
    <x:t xml:space="preserve">-75.2333333</x:t>
  </x:si>
  <x:si>
    <x:t xml:space="preserve">5.6833333,-75.2333333</x:t>
  </x:si>
  <x:si>
    <x:t xml:space="preserve">Sonson</x:t>
  </x:si>
  <x:si>
    <x:t xml:space="preserve">Paramó de Sonson</x:t>
  </x:si>
  <x:si>
    <x:t xml:space="preserve">Zarucchi J.L. et al., 6947</x:t>
  </x:si>
  <x:si>
    <x:t xml:space="preserve">HUA 60023</x:t>
  </x:si>
  <x:si>
    <x:t xml:space="preserve">Colombia, Antioquia, Jardín, Km 20 of road Jardín-Riosucio (Caldas), ca 15 km SSE of Jardín, Alto de Ventanas.</x:t>
  </x:si>
  <x:si>
    <x:t xml:space="preserve">2700-2790</x:t>
  </x:si>
  <x:si>
    <x:t xml:space="preserve">N 05° 31'</x:t>
  </x:si>
  <x:si>
    <x:t xml:space="preserve">05° 31' N</x:t>
  </x:si>
  <x:si>
    <x:t xml:space="preserve">W 75° 48'</x:t>
  </x:si>
  <x:si>
    <x:t xml:space="preserve">75° 48' W</x:t>
  </x:si>
  <x:si>
    <x:t xml:space="preserve">05° 31' N, 75° 48' W</x:t>
  </x:si>
  <x:si>
    <x:t xml:space="preserve">5.5166667</x:t>
  </x:si>
  <x:si>
    <x:t xml:space="preserve">-75.8</x:t>
  </x:si>
  <x:si>
    <x:t xml:space="preserve">5.5166667,-75.8</x:t>
  </x:si>
  <x:si>
    <x:t xml:space="preserve">Km 20 of road Jardín-Riosucio (Caldas), ca 15 km SSE of Jardín, Alto de Ventanas.</x:t>
  </x:si>
  <x:si>
    <x:t xml:space="preserve">J.M. MacDougal &amp; F.J. Roldán 3603</x:t>
  </x:si>
  <x:si>
    <x:t xml:space="preserve">HUA 62173</x:t>
  </x:si>
  <x:si>
    <x:t xml:space="preserve">Antioquia, Jardín, entre Jardín y Morro Amarillo (6,4 km del municipio).</x:t>
  </x:si>
  <x:si>
    <x:t xml:space="preserve">05°37'N</x:t>
  </x:si>
  <x:si>
    <x:t xml:space="preserve">75°50'W</x:t>
  </x:si>
  <x:si>
    <x:t xml:space="preserve">05°37'N, 75°50'W</x:t>
  </x:si>
  <x:si>
    <x:t xml:space="preserve">5.6166667</x:t>
  </x:si>
  <x:si>
    <x:t xml:space="preserve">5.6166667,-75.8333333</x:t>
  </x:si>
  <x:si>
    <x:t xml:space="preserve">entre Jardín y Morro Amarillo (6, 4 km del municipio).</x:t>
  </x:si>
  <x:si>
    <x:t xml:space="preserve">J. M. MacDougal &amp; F. J. Roldán 3657</x:t>
  </x:si>
  <x:si>
    <x:t xml:space="preserve">HUA 63188</x:t>
  </x:si>
  <x:si>
    <x:t xml:space="preserve">Antioquia, Entrerios, casi 3 k desde Entrerios-Santa Rosa de Osos, al margen del Río Grande</x:t>
  </x:si>
  <x:si>
    <x:t xml:space="preserve">2205-2240</x:t>
  </x:si>
  <x:si>
    <x:t xml:space="preserve">06°32'N</x:t>
  </x:si>
  <x:si>
    <x:t xml:space="preserve">75°30"W</x:t>
  </x:si>
  <x:si>
    <x:t xml:space="preserve">06°32'N, 75°30"W</x:t>
  </x:si>
  <x:si>
    <x:t xml:space="preserve">6.5333333</x:t>
  </x:si>
  <x:si>
    <x:t xml:space="preserve">6.5333333,-75.5</x:t>
  </x:si>
  <x:si>
    <x:t xml:space="preserve">Entrerios</x:t>
  </x:si>
  <x:si>
    <x:t xml:space="preserve">casi 3 k desde Entrerios-Santa Rosa de Osos, al margen del Río Grande</x:t>
  </x:si>
  <x:si>
    <x:t xml:space="preserve">R. Callejas et al., 8242</x:t>
  </x:si>
  <x:si>
    <x:t xml:space="preserve">HUA 67130</x:t>
  </x:si>
  <x:si>
    <x:t xml:space="preserve">Antioquia, Campamento, 6 km NO del pueblo, vía a Mina Las Brisas, bosques poco intervenidos</x:t>
  </x:si>
  <x:si>
    <x:t xml:space="preserve">7°00'N</x:t>
  </x:si>
  <x:si>
    <x:t xml:space="preserve">75°20'W</x:t>
  </x:si>
  <x:si>
    <x:t xml:space="preserve">7°00'N, 75°20'W</x:t>
  </x:si>
  <x:si>
    <x:t xml:space="preserve">7</x:t>
  </x:si>
  <x:si>
    <x:t xml:space="preserve">-75.3333333</x:t>
  </x:si>
  <x:si>
    <x:t xml:space="preserve">7,-75.3333333</x:t>
  </x:si>
  <x:si>
    <x:t xml:space="preserve">HUA67130</x:t>
  </x:si>
  <x:si>
    <x:t xml:space="preserve">Campamento</x:t>
  </x:si>
  <x:si>
    <x:t xml:space="preserve">6 km NO del pueblo, vía a Mina Las Brisas, bosques poco intervenidos</x:t>
  </x:si>
  <x:si>
    <x:t xml:space="preserve">N. Contreras &amp; D.L. Echeverry 63</x:t>
  </x:si>
  <x:si>
    <x:t xml:space="preserve">HUA 66141</x:t>
  </x:si>
  <x:si>
    <x:t xml:space="preserve">Antioquia, Guatapé, Vereda Santa Rita, Finca Montepinar, Bosque Pluvial.</x:t>
  </x:si>
  <x:si>
    <x:t xml:space="preserve">06°15'N</x:t>
  </x:si>
  <x:si>
    <x:t xml:space="preserve">75°10'W</x:t>
  </x:si>
  <x:si>
    <x:t xml:space="preserve">06°15'N, 75°10'W</x:t>
  </x:si>
  <x:si>
    <x:t xml:space="preserve">-75.1666667</x:t>
  </x:si>
  <x:si>
    <x:t xml:space="preserve">6.25,-75.1666667</x:t>
  </x:si>
  <x:si>
    <x:t xml:space="preserve">Vereda Santa Rita, Finca Montepinar, Bosque Pluvial.</x:t>
  </x:si>
  <x:si>
    <x:t xml:space="preserve">N. Contreras &amp; D.L. Echeverry 85</x:t>
  </x:si>
  <x:si>
    <x:t xml:space="preserve">HUA 66174</x:t>
  </x:si>
  <x:si>
    <x:t xml:space="preserve">Antioquia, Guatapé, Vereda Santa Rita, Finca Montepinar, bosque pluvial</x:t>
  </x:si>
  <x:si>
    <x:t xml:space="preserve">6°15'N</x:t>
  </x:si>
  <x:si>
    <x:t xml:space="preserve">6°15'N, 75°10'W</x:t>
  </x:si>
  <x:si>
    <x:t xml:space="preserve">Vereda Santa Rita, Finca Montepinar, bosque pluvial</x:t>
  </x:si>
  <x:si>
    <x:t xml:space="preserve">D. L. Echeverry &amp; N. Contreras  137</x:t>
  </x:si>
  <x:si>
    <x:t xml:space="preserve">HUA 65470</x:t>
  </x:si>
  <x:si>
    <x:t xml:space="preserve">Antioquia, Guatapé, vereda Santa Rita, Finca Montepinar, Bosque Pluvial</x:t>
  </x:si>
  <x:si>
    <x:t xml:space="preserve">vereda Santa Rita, Finca Montepinar, Bosque Pluvial</x:t>
  </x:si>
  <x:si>
    <x:t xml:space="preserve">Echeverri D.L. &amp; N. Contreras 196</x:t>
  </x:si>
  <x:si>
    <x:t xml:space="preserve">HUA 66505</x:t>
  </x:si>
  <x:si>
    <x:t xml:space="preserve">Colombia, Antioquia, Guatapé, vereda Santa Rita, finca Montepinar.</x:t>
  </x:si>
  <x:si>
    <x:t xml:space="preserve">N 06°15'</x:t>
  </x:si>
  <x:si>
    <x:t xml:space="preserve">06°15' N</x:t>
  </x:si>
  <x:si>
    <x:t xml:space="preserve">W 75°10'</x:t>
  </x:si>
  <x:si>
    <x:t xml:space="preserve">75°10' W</x:t>
  </x:si>
  <x:si>
    <x:t xml:space="preserve">06°15' N, 75°10' W</x:t>
  </x:si>
  <x:si>
    <x:t xml:space="preserve">vereda Santa Rita, finca Montepinar.</x:t>
  </x:si>
  <x:si>
    <x:t xml:space="preserve">N. Contreras &amp; D. L. Echeverry 158</x:t>
  </x:si>
  <x:si>
    <x:t xml:space="preserve">HUA 66930</x:t>
  </x:si>
  <x:si>
    <x:t xml:space="preserve">6°15' N</x:t>
  </x:si>
  <x:si>
    <x:t xml:space="preserve">6°15' N, 75°10' W</x:t>
  </x:si>
  <x:si>
    <x:t xml:space="preserve">N. Contreras &amp; D.L. Echeverry 170</x:t>
  </x:si>
  <x:si>
    <x:t xml:space="preserve">HUA 66981</x:t>
  </x:si>
  <x:si>
    <x:t xml:space="preserve">N. Contreras &amp; D.L. Echeverry 253</x:t>
  </x:si>
  <x:si>
    <x:t xml:space="preserve">HUA 67885</x:t>
  </x:si>
  <x:si>
    <x:t xml:space="preserve">D.L Echeverri &amp; N. Contreras 281</x:t>
  </x:si>
  <x:si>
    <x:t xml:space="preserve">HUA 69558</x:t>
  </x:si>
  <x:si>
    <x:t xml:space="preserve">N. Contreras &amp; D.L. Echeverry 294</x:t>
  </x:si>
  <x:si>
    <x:t xml:space="preserve">HUA 69155</x:t>
  </x:si>
  <x:si>
    <x:t xml:space="preserve">HUA 81437</x:t>
  </x:si>
  <x:si>
    <x:t xml:space="preserve">Colombia, Antioquia, San Francisco, corregimiento Aquitania, río Venado.</x:t>
  </x:si>
  <x:si>
    <x:t xml:space="preserve">6°18'N </x:t>
  </x:si>
  <x:si>
    <x:t xml:space="preserve">6°18'N</x:t>
  </x:si>
  <x:si>
    <x:t xml:space="preserve">75°29'W</x:t>
  </x:si>
  <x:si>
    <x:t xml:space="preserve">6°18'N, 75°29'W</x:t>
  </x:si>
  <x:si>
    <x:t xml:space="preserve">La quebrada Venado no pasa cerca de Aquitania, San Francisco. Ubiqué el punto en Aquitania</x:t>
  </x:si>
  <x:si>
    <x:t xml:space="preserve">HUA81437</x:t>
  </x:si>
  <x:si>
    <x:t xml:space="preserve">corregimiento Aquitania, río Venado.</x:t>
  </x:si>
  <x:si>
    <x:t xml:space="preserve">R. Fonnegra et al., 5289</x:t>
  </x:si>
  <x:si>
    <x:t xml:space="preserve">HUA 95235</x:t>
  </x:si>
  <x:si>
    <x:t xml:space="preserve">Antioquia, Medellín y Guarne, Parque Ecológico Piedras Blancas, sector Lajas</x:t>
  </x:si>
  <x:si>
    <x:t xml:space="preserve">06°18'N</x:t>
  </x:si>
  <x:si>
    <x:t xml:space="preserve">06°18'N, 75°29'W</x:t>
  </x:si>
  <x:si>
    <x:t xml:space="preserve">Medellín y Guarne</x:t>
  </x:si>
  <x:si>
    <x:t xml:space="preserve">Parque Ecológico Piedras Blancas, sector Lajas</x:t>
  </x:si>
  <x:si>
    <x:t xml:space="preserve">COL 419300</x:t>
  </x:si>
  <x:si>
    <x:t xml:space="preserve">Antioquia, Parque Piedras Blancas, Sector las Lajas</x:t>
  </x:si>
  <x:si>
    <x:t xml:space="preserve">75°29"W</x:t>
  </x:si>
  <x:si>
    <x:t xml:space="preserve">6°18'N, 75°29"W</x:t>
  </x:si>
  <x:si>
    <x:t xml:space="preserve">Parque Piedras Blancas</x:t>
  </x:si>
  <x:si>
    <x:t xml:space="preserve">Sector las Lajas</x:t>
  </x:si>
  <x:si>
    <x:t xml:space="preserve">R. Callejas &amp; A. Echeverry 11580</x:t>
  </x:si>
  <x:si>
    <x:t xml:space="preserve">HUA 10533</x:t>
  </x:si>
  <x:si>
    <x:t xml:space="preserve">Antioquia, Medellín, Corregimiento de Santa Elena, Vereda El Tambo, 3 km via a Laguna de Guarne</x:t>
  </x:si>
  <x:si>
    <x:t xml:space="preserve">75°35' W</x:t>
  </x:si>
  <x:si>
    <x:t xml:space="preserve">06°15' N, 75°35' W</x:t>
  </x:si>
  <x:si>
    <x:t xml:space="preserve">-75.5833333</x:t>
  </x:si>
  <x:si>
    <x:t xml:space="preserve">6.25,-75.5833333</x:t>
  </x:si>
  <x:si>
    <x:t xml:space="preserve">Corregimiento de Santa Elena, Vereda El Tambo, 3 km via a Laguna de Guarne</x:t>
  </x:si>
  <x:si>
    <x:t xml:space="preserve">F.J. Roldán &amp; W. Rengifo 2460</x:t>
  </x:si>
  <x:si>
    <x:t xml:space="preserve">HUA 105587</x:t>
  </x:si>
  <x:si>
    <x:t xml:space="preserve">Antioquia, Caldas, Reserva Alto de San Miguel, cuenca alta del río Medellín</x:t>
  </x:si>
  <x:si>
    <x:t xml:space="preserve">1800-2000</x:t>
  </x:si>
  <x:si>
    <x:t xml:space="preserve">6°05'N</x:t>
  </x:si>
  <x:si>
    <x:t xml:space="preserve">75°38'W</x:t>
  </x:si>
  <x:si>
    <x:t xml:space="preserve">6°05'N, 75°38'W</x:t>
  </x:si>
  <x:si>
    <x:t xml:space="preserve">6.0833333</x:t>
  </x:si>
  <x:si>
    <x:t xml:space="preserve">-75.6333333</x:t>
  </x:si>
  <x:si>
    <x:t xml:space="preserve">6.0833333,-75.6333333</x:t>
  </x:si>
  <x:si>
    <x:t xml:space="preserve">Reserva Alto de San Miguel, cuenca alta del río Medellín</x:t>
  </x:si>
  <x:si>
    <x:t xml:space="preserve">Correa M. et al., 881</x:t>
  </x:si>
  <x:si>
    <x:t xml:space="preserve">JAUM 30800</x:t>
  </x:si>
  <x:si>
    <x:t xml:space="preserve">Antioquia, Envigado, Vereda El Escobero, margen izquierda frente a la Morena</x:t>
  </x:si>
  <x:si>
    <x:t xml:space="preserve">2000-2150</x:t>
  </x:si>
  <x:si>
    <x:t xml:space="preserve">06°10'19" N</x:t>
  </x:si>
  <x:si>
    <x:t xml:space="preserve">75°35'09" W</x:t>
  </x:si>
  <x:si>
    <x:t xml:space="preserve">06°10'19" N, 75°35'09" W</x:t>
  </x:si>
  <x:si>
    <x:t xml:space="preserve">6.1719444</x:t>
  </x:si>
  <x:si>
    <x:t xml:space="preserve">-75.5858333</x:t>
  </x:si>
  <x:si>
    <x:t xml:space="preserve">6.1719444,-75.5858333</x:t>
  </x:si>
  <x:si>
    <x:t xml:space="preserve">Envigado</x:t>
  </x:si>
  <x:si>
    <x:t xml:space="preserve">Vereda El Escobero, margen izquierda frente a la Morena</x:t>
  </x:si>
  <x:si>
    <x:t xml:space="preserve">A. L. Correa &amp; S. Cuartas 176</x:t>
  </x:si>
  <x:si>
    <x:t xml:space="preserve">HUA 107341</x:t>
  </x:si>
  <x:si>
    <x:t xml:space="preserve">Antioquia, Caldas, parte alta del Río Medellin, Reserva ecologica Alto de San Miguel</x:t>
  </x:si>
  <x:si>
    <x:t xml:space="preserve">1900-2200</x:t>
  </x:si>
  <x:si>
    <x:t xml:space="preserve">06°05' N</x:t>
  </x:si>
  <x:si>
    <x:t xml:space="preserve">75° 38'W</x:t>
  </x:si>
  <x:si>
    <x:t xml:space="preserve">06°05' N, 75° 38'W</x:t>
  </x:si>
  <x:si>
    <x:t xml:space="preserve">parte alta del Río Medellin, Reserva ecologica Alto de San Miguel</x:t>
  </x:si>
  <x:si>
    <x:t xml:space="preserve">F. Alzate &amp; F. Cardona 497</x:t>
  </x:si>
  <x:si>
    <x:t xml:space="preserve">COL 443201</x:t>
  </x:si>
  <x:si>
    <x:t xml:space="preserve">Antioquia, Corregimiento de Santa Elena, sector Piedras Blancas</x:t>
  </x:si>
  <x:si>
    <x:t xml:space="preserve">75°35'W</x:t>
  </x:si>
  <x:si>
    <x:t xml:space="preserve">06°15'N, 75°35'W</x:t>
  </x:si>
  <x:si>
    <x:t xml:space="preserve">Epífita</x:t>
  </x:si>
  <x:si>
    <x:t xml:space="preserve">Corregimiento de Santa Elena</x:t>
  </x:si>
  <x:si>
    <x:t xml:space="preserve">sector Piedras Blancas</x:t>
  </x:si>
  <x:si>
    <x:t xml:space="preserve">A. Gil et al., 421</x:t>
  </x:si>
  <x:si>
    <x:t xml:space="preserve">HUA 132527</x:t>
  </x:si>
  <x:si>
    <x:t xml:space="preserve">Colombia, Antioquia, Abejorral, Vereda El Buey, Finca El Recreo</x:t>
  </x:si>
  <x:si>
    <x:t xml:space="preserve">05°51'N</x:t>
  </x:si>
  <x:si>
    <x:t xml:space="preserve">75°22'W</x:t>
  </x:si>
  <x:si>
    <x:t xml:space="preserve">05°51'N, 75°22'W</x:t>
  </x:si>
  <x:si>
    <x:t xml:space="preserve">5.85</x:t>
  </x:si>
  <x:si>
    <x:t xml:space="preserve">-75.3666667</x:t>
  </x:si>
  <x:si>
    <x:t xml:space="preserve">5.85,-75.3666667</x:t>
  </x:si>
  <x:si>
    <x:t xml:space="preserve">Abejorral</x:t>
  </x:si>
  <x:si>
    <x:t xml:space="preserve">Vereda El Buey, Finca El Recreo</x:t>
  </x:si>
  <x:si>
    <x:t xml:space="preserve">W. Rodriguez D. 3104</x:t>
  </x:si>
  <x:si>
    <x:t xml:space="preserve">COL 3104</x:t>
  </x:si>
  <x:si>
    <x:t xml:space="preserve">Antioquia, Medellin, Corregimiento de Santa Elena, Vereda Mazo, Bocatoma que conduce al pozo de los patos, estación Biodiversidad, Corantioquia</x:t>
  </x:si>
  <x:si>
    <x:t xml:space="preserve">6°15'42"N</x:t>
  </x:si>
  <x:si>
    <x:t xml:space="preserve">75° 30'32.8"W</x:t>
  </x:si>
  <x:si>
    <x:t xml:space="preserve">6°15'42"N, 75° 30'32.8"W</x:t>
  </x:si>
  <x:si>
    <x:t xml:space="preserve">6.2616667</x:t>
  </x:si>
  <x:si>
    <x:t xml:space="preserve">-75.5091111</x:t>
  </x:si>
  <x:si>
    <x:t xml:space="preserve">6.2616667,-75.5091111</x:t>
  </x:si>
  <x:si>
    <x:t xml:space="preserve">Corregimiento de Santa Elena, Vereda Mazo, Bocatoma que conduce al pozo de los patos, estación Biodiversidad, Corantioquia</x:t>
  </x:si>
  <x:si>
    <x:t xml:space="preserve">W. Rodriguez 3104</x:t>
  </x:si>
  <x:si>
    <x:t xml:space="preserve">JAUM 37456</x:t>
  </x:si>
  <x:si>
    <x:t xml:space="preserve">Antioquia, Medellín, Santa Elena, Vereda Mazo, Estación Biodiversidad-Corantioquia, bocatoma al pozo de los Patos</x:t>
  </x:si>
  <x:si>
    <x:t xml:space="preserve">06°15'42" N</x:t>
  </x:si>
  <x:si>
    <x:t xml:space="preserve">75°30'32.8" W</x:t>
  </x:si>
  <x:si>
    <x:t xml:space="preserve">06°15'42" N, 75°30'32.8" W</x:t>
  </x:si>
  <x:si>
    <x:t xml:space="preserve">Santa Elena, Vereda Mazo, Estación Biodiversidad-Corantioquia, bocatoma al pozo de los Patos</x:t>
  </x:si>
  <x:si>
    <x:t xml:space="preserve">HUA 132175</x:t>
  </x:si>
  <x:si>
    <x:t xml:space="preserve">Antioquia, Medellín, Santa Elena, Vereda Mazo, Estación Biodiversidad-Corantioquia, Bocatoma que conduce al pozo de los patos</x:t>
  </x:si>
  <x:si>
    <x:t xml:space="preserve">06°15'42"N</x:t>
  </x:si>
  <x:si>
    <x:t xml:space="preserve">75°30'32.8"W</x:t>
  </x:si>
  <x:si>
    <x:t xml:space="preserve">06°15'42"N, 75°30'32.8"W</x:t>
  </x:si>
  <x:si>
    <x:t xml:space="preserve">Santa Elena, Vereda Mazo, Estación Biodiversidad-Corantioquia, Bocatoma que conduce al pozo de los patos</x:t>
  </x:si>
  <x:si>
    <x:t xml:space="preserve">Rodriguez W. &amp; M. Arboleda 3454</x:t>
  </x:si>
  <x:si>
    <x:t xml:space="preserve">COL 484069</x:t>
  </x:si>
  <x:si>
    <x:t xml:space="preserve">Antioquia, Belmira, Vereda La Salazar (parte baja), Quebrada el Diablo</x:t>
  </x:si>
  <x:si>
    <x:t xml:space="preserve">06°35'45.3"N</x:t>
  </x:si>
  <x:si>
    <x:t xml:space="preserve">75°39'13"W</x:t>
  </x:si>
  <x:si>
    <x:t xml:space="preserve">06°35'45.3"N, 75°39'13"W</x:t>
  </x:si>
  <x:si>
    <x:t xml:space="preserve">6.5959167</x:t>
  </x:si>
  <x:si>
    <x:t xml:space="preserve">-75.6536111</x:t>
  </x:si>
  <x:si>
    <x:t xml:space="preserve">6.5959167,-75.6536111</x:t>
  </x:si>
  <x:si>
    <x:t xml:space="preserve">Vereda La Salazar (parte baja), Quebrada el Diablo</x:t>
  </x:si>
  <x:si>
    <x:t xml:space="preserve">W. Rodriguez &amp; M. Arboleda 3454</x:t>
  </x:si>
  <x:si>
    <x:t xml:space="preserve">HUA 137336</x:t>
  </x:si>
  <x:si>
    <x:t xml:space="preserve">Antioquia, Belmira, Vereda La Salazar, Quebrada El Diablo</x:t>
  </x:si>
  <x:si>
    <x:t xml:space="preserve">75°39'13.0" W</x:t>
  </x:si>
  <x:si>
    <x:t xml:space="preserve">06°35'45.3"N, 75°39'13.0" W</x:t>
  </x:si>
  <x:si>
    <x:t xml:space="preserve">Vereda La Salazar, Quebrada El Diablo</x:t>
  </x:si>
  <x:si>
    <x:t xml:space="preserve">JUAM 38635</x:t>
  </x:si>
  <x:si>
    <x:t xml:space="preserve">Antioquia, Belmira, Vereda La Salarza, (Parte Baja), quebrada El Diablo</x:t>
  </x:si>
  <x:si>
    <x:t xml:space="preserve">06°35'45.3" N</x:t>
  </x:si>
  <x:si>
    <x:t xml:space="preserve">75°39'13" W</x:t>
  </x:si>
  <x:si>
    <x:t xml:space="preserve">06°35'45.3" N, 75°39'13" W</x:t>
  </x:si>
  <x:si>
    <x:t xml:space="preserve">Vereda La Salarza, (Parte Baja), quebrada El Diablo</x:t>
  </x:si>
  <x:si>
    <x:t xml:space="preserve">Rodriguez W. et al., 3556</x:t>
  </x:si>
  <x:si>
    <x:t xml:space="preserve">COL 487645</x:t>
  </x:si>
  <x:si>
    <x:t xml:space="preserve">Antioquia, San Jose de la Montaña, Vereda El Caribe, Sector El Calvario,arriba de la Finca de la Fuente</x:t>
  </x:si>
  <x:si>
    <x:t xml:space="preserve">06°41'29.1"N</x:t>
  </x:si>
  <x:si>
    <x:t xml:space="preserve">75°40'50.7" W</x:t>
  </x:si>
  <x:si>
    <x:t xml:space="preserve">06°41'29.1"N, 75°40'50.7" W</x:t>
  </x:si>
  <x:si>
    <x:t xml:space="preserve">6.6914167</x:t>
  </x:si>
  <x:si>
    <x:t xml:space="preserve">-75.68075</x:t>
  </x:si>
  <x:si>
    <x:t xml:space="preserve">6.6914167,-75.68075</x:t>
  </x:si>
  <x:si>
    <x:t xml:space="preserve">COL487645</x:t>
  </x:si>
  <x:si>
    <x:t xml:space="preserve">Vereda El Caribe, Sector El Calvario, arriba de la Finca de la Fuente</x:t>
  </x:si>
  <x:si>
    <x:t xml:space="preserve">JAUM 38636</x:t>
  </x:si>
  <x:si>
    <x:t xml:space="preserve">Antioquia, San Jose de la Montaña, Vereda El Caribe, Finca Casita Vieja</x:t>
  </x:si>
  <x:si>
    <x:t xml:space="preserve">06°41'29.1" N</x:t>
  </x:si>
  <x:si>
    <x:t xml:space="preserve">75°40' 50.7" W</x:t>
  </x:si>
  <x:si>
    <x:t xml:space="preserve">06°41'29.1" N, 75°40' 50.7" W</x:t>
  </x:si>
  <x:si>
    <x:t xml:space="preserve">Vereda El Caribe, Finca Casita Vieja</x:t>
  </x:si>
  <x:si>
    <x:t xml:space="preserve">W. Rodriguez et al., 3556</x:t>
  </x:si>
  <x:si>
    <x:t xml:space="preserve">HUA 137343</x:t>
  </x:si>
  <x:si>
    <x:t xml:space="preserve">75°40'50.7"W</x:t>
  </x:si>
  <x:si>
    <x:t xml:space="preserve">06°41'29.1"N, 75°40'50.7"W</x:t>
  </x:si>
  <x:si>
    <x:t xml:space="preserve">W. Rodriguez et al., 3640</x:t>
  </x:si>
  <x:si>
    <x:t xml:space="preserve">HUA 137353-137352</x:t>
  </x:si>
  <x:si>
    <x:t xml:space="preserve">Antioquia, Liborina, Vereda Barrio Nuevo, Quebrada La Honda, limites con Sabanalarga</x:t>
  </x:si>
  <x:si>
    <x:t xml:space="preserve">6°46'54.3"N</x:t>
  </x:si>
  <x:si>
    <x:t xml:space="preserve">75°47'34.2"W</x:t>
  </x:si>
  <x:si>
    <x:t xml:space="preserve">6°46'54.3"N, 75°47'34.2"W</x:t>
  </x:si>
  <x:si>
    <x:t xml:space="preserve">6.78175</x:t>
  </x:si>
  <x:si>
    <x:t xml:space="preserve">-75.7928333</x:t>
  </x:si>
  <x:si>
    <x:t xml:space="preserve">6.78175,-75.7928333</x:t>
  </x:si>
  <x:si>
    <x:t xml:space="preserve">Vereda Barrio Nuevo, Quebrada La Honda, limites con Sabanalarga</x:t>
  </x:si>
  <x:si>
    <x:t xml:space="preserve">HUA 137352</x:t>
  </x:si>
  <x:si>
    <x:t xml:space="preserve">W. Rodriguez et al., 3653</x:t>
  </x:si>
  <x:si>
    <x:t xml:space="preserve">JAUM 38638-38637</x:t>
  </x:si>
  <x:si>
    <x:t xml:space="preserve">Antioquia, Liborina, Vereda Barrio Nuevo, Margen izquierda de la Quebrada La Honda</x:t>
  </x:si>
  <x:si>
    <x:t xml:space="preserve">Vereda Barrio Nuevo, Margen izquierda de la Quebrada La Honda</x:t>
  </x:si>
  <x:si>
    <x:t xml:space="preserve">H. David &amp; J. Idarraga 483</x:t>
  </x:si>
  <x:si>
    <x:t xml:space="preserve">HUA 145192</x:t>
  </x:si>
  <x:si>
    <x:t xml:space="preserve">Antioquia, Medellin, Santa Elena, Reserva Natural Montevivo, sector Casapalo</x:t>
  </x:si>
  <x:si>
    <x:t xml:space="preserve">06° 12'48"N</x:t>
  </x:si>
  <x:si>
    <x:t xml:space="preserve">06° 12'48"N, 75°29'32.2" W</x:t>
  </x:si>
  <x:si>
    <x:t xml:space="preserve">Santa Elena, Reserva Natural Montevivo, sector Casapalo</x:t>
  </x:si>
  <x:si>
    <x:t xml:space="preserve">Echeverri S. V. &amp; H. David 317</x:t>
  </x:si>
  <x:si>
    <x:t xml:space="preserve">HUA 1499052</x:t>
  </x:si>
  <x:si>
    <x:t xml:space="preserve">Antioquia, Fredonia, Vereda Santa Isabel, Finca Colegio Mayor, parte alta Cerro Bravo.</x:t>
  </x:si>
  <x:si>
    <x:t xml:space="preserve">05°56'6.30"N</x:t>
  </x:si>
  <x:si>
    <x:t xml:space="preserve">75°42'12.9" W</x:t>
  </x:si>
  <x:si>
    <x:t xml:space="preserve">05°56'6.30"N, 75°42'12.9" W</x:t>
  </x:si>
  <x:si>
    <x:t xml:space="preserve">5.9350833</x:t>
  </x:si>
  <x:si>
    <x:t xml:space="preserve">-75.7035833</x:t>
  </x:si>
  <x:si>
    <x:t xml:space="preserve">5.9350833,-75.7035833</x:t>
  </x:si>
  <x:si>
    <x:t xml:space="preserve">HUA149905</x:t>
  </x:si>
  <x:si>
    <x:t xml:space="preserve">Vereda Santa Isabel, Finca Colegio Mayor, parte alta Cerro Bravo.</x:t>
  </x:si>
  <x:si>
    <x:t xml:space="preserve">H. David &amp; A. Giraldo 631</x:t>
  </x:si>
  <x:si>
    <x:t xml:space="preserve">HUA 153031</x:t>
  </x:si>
  <x:si>
    <x:t xml:space="preserve">Colombia, Antioquia, Medellín, Corregimieno de Santa Elena, Reserva Natural Montevivo</x:t>
  </x:si>
  <x:si>
    <x:t xml:space="preserve">06°12'48"N</x:t>
  </x:si>
  <x:si>
    <x:t xml:space="preserve">75°29'32.2"W</x:t>
  </x:si>
  <x:si>
    <x:t xml:space="preserve">06°12'48"N, 75°29'32.2"W</x:t>
  </x:si>
  <x:si>
    <x:t xml:space="preserve">Corregimieno de Santa Elena, Reserva Natural Montevivo</x:t>
  </x:si>
  <x:si>
    <x:t xml:space="preserve">W. Rodriguez et al., 4059</x:t>
  </x:si>
  <x:si>
    <x:t xml:space="preserve">COL 500606</x:t>
  </x:si>
  <x:si>
    <x:t xml:space="preserve">Antioquia, Anorí, Sector El Chaquiral, borde de Quebrada</x:t>
  </x:si>
  <x:si>
    <x:t xml:space="preserve">06°58'55.4"N</x:t>
  </x:si>
  <x:si>
    <x:t xml:space="preserve">75°07'58.4"W</x:t>
  </x:si>
  <x:si>
    <x:t xml:space="preserve">06°58'55.4"N, 75°07'58.4"W</x:t>
  </x:si>
  <x:si>
    <x:t xml:space="preserve">6.9820556</x:t>
  </x:si>
  <x:si>
    <x:t xml:space="preserve">-75.1328889</x:t>
  </x:si>
  <x:si>
    <x:t xml:space="preserve">6.9820556,-75.1328889</x:t>
  </x:si>
  <x:si>
    <x:t xml:space="preserve">Sector El Chaquiral, borde de Quebrada</x:t>
  </x:si>
  <x:si>
    <x:t xml:space="preserve">HUA 141995</x:t>
  </x:si>
  <x:si>
    <x:t xml:space="preserve">Antioquia, Anorí, sector el Chaquiral, al borde de quebrada</x:t>
  </x:si>
  <x:si>
    <x:t xml:space="preserve">sector el Chaquiral, al borde de quebrada</x:t>
  </x:si>
  <x:si>
    <x:t xml:space="preserve">W. Rodriguez et al., 4864</x:t>
  </x:si>
  <x:si>
    <x:t xml:space="preserve">HUA 153786</x:t>
  </x:si>
  <x:si>
    <x:t xml:space="preserve">5°59'0.8"N</x:t>
  </x:si>
  <x:si>
    <x:t xml:space="preserve">75°38'06.8"W</x:t>
  </x:si>
  <x:si>
    <x:t xml:space="preserve">5°59'0.8"N, 75°38'06.8"W</x:t>
  </x:si>
  <x:si>
    <x:t xml:space="preserve">5.9835556</x:t>
  </x:si>
  <x:si>
    <x:t xml:space="preserve">-75.6352222</x:t>
  </x:si>
  <x:si>
    <x:t xml:space="preserve">5.9835556,-75.6352222</x:t>
  </x:si>
  <x:si>
    <x:t xml:space="preserve">W. Rodriguez et al., 4932</x:t>
  </x:si>
  <x:si>
    <x:t xml:space="preserve">HUA 153790</x:t>
  </x:si>
  <x:si>
    <x:t xml:space="preserve">Antioquia, Jardín Vereda la Mesenia, sector Paramillo</x:t>
  </x:si>
  <x:si>
    <x:t xml:space="preserve">2280-2560</x:t>
  </x:si>
  <x:si>
    <x:t xml:space="preserve">05°29'13.2"N</x:t>
  </x:si>
  <x:si>
    <x:t xml:space="preserve">75°53'52"W</x:t>
  </x:si>
  <x:si>
    <x:t xml:space="preserve">05°29'13.2"N, 75°53'52"W</x:t>
  </x:si>
  <x:si>
    <x:t xml:space="preserve">5.487</x:t>
  </x:si>
  <x:si>
    <x:t xml:space="preserve">-75.8977778</x:t>
  </x:si>
  <x:si>
    <x:t xml:space="preserve">5.487,-75.8977778</x:t>
  </x:si>
  <x:si>
    <x:t xml:space="preserve">Jardín Vereda la Mesenia</x:t>
  </x:si>
  <x:si>
    <x:t xml:space="preserve">sector Paramillo</x:t>
  </x:si>
  <x:si>
    <x:t xml:space="preserve">Rodriguez W. et al., 5089</x:t>
  </x:si>
  <x:si>
    <x:t xml:space="preserve">HUA 153793</x:t>
  </x:si>
  <x:si>
    <x:t xml:space="preserve">Colombia, Antioquia, Angelópolis, sector Bocatoma acueducto, Quebrada Las Animas.</x:t>
  </x:si>
  <x:si>
    <x:t xml:space="preserve">N 06°06'55.08"</x:t>
  </x:si>
  <x:si>
    <x:t xml:space="preserve">06°06'55.08" N</x:t>
  </x:si>
  <x:si>
    <x:t xml:space="preserve">W 75°41'54.16"</x:t>
  </x:si>
  <x:si>
    <x:t xml:space="preserve">75°41'54.16" W</x:t>
  </x:si>
  <x:si>
    <x:t xml:space="preserve">06°06'55.08" N, 75°41'54.16" W</x:t>
  </x:si>
  <x:si>
    <x:t xml:space="preserve">6.1153</x:t>
  </x:si>
  <x:si>
    <x:t xml:space="preserve">-75.6983778</x:t>
  </x:si>
  <x:si>
    <x:t xml:space="preserve">6.1153,-75.6983778</x:t>
  </x:si>
  <x:si>
    <x:t xml:space="preserve">Angelópolis</x:t>
  </x:si>
  <x:si>
    <x:t xml:space="preserve">sector Bocatoma acueducto, Quebrada Las Animas.</x:t>
  </x:si>
  <x:si>
    <x:t xml:space="preserve">W. Rodriguez et al., 5547</x:t>
  </x:si>
  <x:si>
    <x:t xml:space="preserve">HUA 154688</x:t>
  </x:si>
  <x:si>
    <x:t xml:space="preserve">Antioquia, Angelópolis, vereda Romeral, sector Bocatoma, acueducto multiveredal, Quebrada Las Animas</x:t>
  </x:si>
  <x:si>
    <x:t xml:space="preserve">2100-2200</x:t>
  </x:si>
  <x:si>
    <x:t xml:space="preserve">06°09'29"N</x:t>
  </x:si>
  <x:si>
    <x:t xml:space="preserve">75°42'05"W</x:t>
  </x:si>
  <x:si>
    <x:t xml:space="preserve">06°09'29"N, 75°42'05"W</x:t>
  </x:si>
  <x:si>
    <x:t xml:space="preserve">6.1580556</x:t>
  </x:si>
  <x:si>
    <x:t xml:space="preserve">-75.7013889</x:t>
  </x:si>
  <x:si>
    <x:t xml:space="preserve">6.1580556,-75.7013889</x:t>
  </x:si>
  <x:si>
    <x:t xml:space="preserve">vereda Romeral, sector Bocatoma, acueducto multiveredal, Quebrada Las Animas</x:t>
  </x:si>
  <x:si>
    <x:t xml:space="preserve">W. Rodriguez &amp; J. Rios 6087</x:t>
  </x:si>
  <x:si>
    <x:t xml:space="preserve">HUA 158396</x:t>
  </x:si>
  <x:si>
    <x:t xml:space="preserve">Antioquia, Medellín, Corregimiento de San Antonio de Prado, vereda La Verde, sector Montes del Encanto</x:t>
  </x:si>
  <x:si>
    <x:t xml:space="preserve">6°12'39.7"N</x:t>
  </x:si>
  <x:si>
    <x:t xml:space="preserve">75°39'18.5"W</x:t>
  </x:si>
  <x:si>
    <x:t xml:space="preserve">6°12'39.7"N, 75°39'18.5"W</x:t>
  </x:si>
  <x:si>
    <x:t xml:space="preserve">6.2110278</x:t>
  </x:si>
  <x:si>
    <x:t xml:space="preserve">-75.6551389</x:t>
  </x:si>
  <x:si>
    <x:t xml:space="preserve">6.2110278,-75.6551389</x:t>
  </x:si>
  <x:si>
    <x:t xml:space="preserve">Corregimiento de San Antonio de Prado, vereda La Verde, sector Montes del Encanto</x:t>
  </x:si>
  <x:si>
    <x:t xml:space="preserve">Sanín D. et al., 1962</x:t>
  </x:si>
  <x:si>
    <x:t xml:space="preserve">Colombia, Antioquia, Medellin, Parque Arvi, Corregimiento de Santa Helena, Vereda Piedras Blancas, Bosque rodeado por primeras regeneraciones, a 30 minutos de la represa Piedras Blancas.</x:t>
  </x:si>
  <x:si>
    <x:t xml:space="preserve">800</x:t>
  </x:si>
  <x:si>
    <x:t xml:space="preserve">D_Sanín1962</x:t>
  </x:si>
  <x:si>
    <x:t xml:space="preserve">Parque Arvi, Corregimiento de Santa Helena, Vereda Piedras Blancas, Bosque rodeado por primeras regeneraciones, a 30 minutos de la represa Piedras Blancas.</x:t>
  </x:si>
  <x:si>
    <x:t xml:space="preserve">Sanín D et al., 5188</x:t>
  </x:si>
  <x:si>
    <x:t xml:space="preserve">COL XXX</x:t>
  </x:si>
  <x:si>
    <x:t xml:space="preserve">Colombia, Antioquia, Frontino, vereda Venados Abajo, camino de la Cabaña de Venados a la vereda Alto Bonito, al frente de la Cabaña, Parque Nacional Natural Las Orquideas.</x:t>
  </x:si>
  <x:si>
    <x:t xml:space="preserve">900-920</x:t>
  </x:si>
  <x:si>
    <x:t xml:space="preserve">N 06°32'10.6"</x:t>
  </x:si>
  <x:si>
    <x:t xml:space="preserve">06°32'10.6" N</x:t>
  </x:si>
  <x:si>
    <x:t xml:space="preserve">W 76°19'15"</x:t>
  </x:si>
  <x:si>
    <x:t xml:space="preserve">76°19'15" W</x:t>
  </x:si>
  <x:si>
    <x:t xml:space="preserve">06°32'10.6" N, 76°19'15" W</x:t>
  </x:si>
  <x:si>
    <x:t xml:space="preserve">6.5362778</x:t>
  </x:si>
  <x:si>
    <x:t xml:space="preserve">-76.3208333</x:t>
  </x:si>
  <x:si>
    <x:t xml:space="preserve">6.5362778,-76.3208333</x:t>
  </x:si>
  <x:si>
    <x:t xml:space="preserve">vereda Venados Abajo, camino de la Cabaña de Venados a la vereda Alto Bonito, al frente de la Cabaña, Parque Nacional Natural Las Orquideas.</x:t>
  </x:si>
  <x:si>
    <x:t xml:space="preserve">Sanín D. et al., 5171</x:t>
  </x:si>
  <x:si>
    <x:t xml:space="preserve">COL XX</x:t>
  </x:si>
  <x:si>
    <x:t xml:space="preserve">S. fraxinifolium (Jacq.) A. R. Sm.S. fraxinifolium (Jacq.) A. R. Sm.</x:t>
  </x:si>
  <x:si>
    <x:t xml:space="preserve">HUA 123172</x:t>
  </x:si>
  <x:si>
    <x:t xml:space="preserve">Antioquia, Medellín, Corregimiento de Santa Elena, sector Piedras Blancas</x:t>
  </x:si>
  <x:si>
    <x:t xml:space="preserve">6°15'N, 75°35'W</x:t>
  </x:si>
  <x:si>
    <x:t xml:space="preserve">Corregimiento de Santa Elena, sector Piedras Blancas</x:t>
  </x:si>
  <x:si>
    <x:t xml:space="preserve">Murillo J.C. et al., 2921</x:t>
  </x:si>
  <x:si>
    <x:t xml:space="preserve">COL 000335916</x:t>
  </x:si>
  <x:si>
    <x:t xml:space="preserve">Colombia, Boyacá, Villa de Leyva, Santuario de Fauna y Flora de Iguaque, quebrada Carrizal.</x:t>
  </x:si>
  <x:si>
    <x:t xml:space="preserve">COL000335916</x:t>
  </x:si>
  <x:si>
    <x:t xml:space="preserve">Villa de Leyva</x:t>
  </x:si>
  <x:si>
    <x:t xml:space="preserve">Santuario de Fauna y Flora de Iguaque, quebrada Carrizal.</x:t>
  </x:si>
  <x:si>
    <x:t xml:space="preserve">L. Albert de Escobar &amp; J. Brand 2073</x:t>
  </x:si>
  <x:si>
    <x:t xml:space="preserve">HUA 15278</x:t>
  </x:si>
  <x:si>
    <x:t xml:space="preserve">Caldas, Pensilvania, Atrás de Hospital de Pensilvania</x:t>
  </x:si>
  <x:si>
    <x:t xml:space="preserve">HUA15278</x:t>
  </x:si>
  <x:si>
    <x:t xml:space="preserve">Atrás de Hospital de Pensilvania</x:t>
  </x:si>
  <x:si>
    <x:t xml:space="preserve">C. Barbosa 10033</x:t>
  </x:si>
  <x:si>
    <x:t xml:space="preserve">HUQ 24291</x:t>
  </x:si>
  <x:si>
    <x:t xml:space="preserve">Caldas, Samaná, cruce de camino a Florencia, con Pueblo Nuevo, con 24 de Pensilvania?</x:t>
  </x:si>
  <x:si>
    <x:t xml:space="preserve">05°30'08" N</x:t>
  </x:si>
  <x:si>
    <x:t xml:space="preserve">75°07'33" W</x:t>
  </x:si>
  <x:si>
    <x:t xml:space="preserve">05°30'08" N, 75°07'33" W</x:t>
  </x:si>
  <x:si>
    <x:t xml:space="preserve">5.5022222</x:t>
  </x:si>
  <x:si>
    <x:t xml:space="preserve">-75.1258333</x:t>
  </x:si>
  <x:si>
    <x:t xml:space="preserve">5.5022222,-75.1258333</x:t>
  </x:si>
  <x:si>
    <x:t xml:space="preserve">HUQ24291</x:t>
  </x:si>
  <x:si>
    <x:t xml:space="preserve">cruce de camino a Florencia, con Pueblo Nuevo, con 24 de Pensilvania?</x:t>
  </x:si>
  <x:si>
    <x:t xml:space="preserve">C. Barbosa 10027</x:t>
  </x:si>
  <x:si>
    <x:t xml:space="preserve">HUQ 24264</x:t>
  </x:si>
  <x:si>
    <x:t xml:space="preserve">D. Sanín 1737</x:t>
  </x:si>
  <x:si>
    <x:t xml:space="preserve">FAUC 14368</x:t>
  </x:si>
  <x:si>
    <x:t xml:space="preserve">Caldas, Manizales, Ecoparque Los Yarumos.</x:t>
  </x:si>
  <x:si>
    <x:t xml:space="preserve">FAUC14368</x:t>
  </x:si>
  <x:si>
    <x:t xml:space="preserve">Ecoparque Los Yarumos.</x:t>
  </x:si>
  <x:si>
    <x:t xml:space="preserve">Sanín D. et al., 1955</x:t>
  </x:si>
  <x:si>
    <x:t xml:space="preserve">Colombia, Caldas, Villamaría, vereda Montaño, finca La Meza, vía Las Minas de California, Tolda Fría.</x:t>
  </x:si>
  <x:si>
    <x:t xml:space="preserve">D_Sanín1955</x:t>
  </x:si>
  <x:si>
    <x:t xml:space="preserve">vereda Montaño, finca La Meza, vía Las Minas de California, Tolda Fría.</x:t>
  </x:si>
  <x:si>
    <x:t xml:space="preserve">Sanín D. et al., 2695</x:t>
  </x:si>
  <x:si>
    <x:t xml:space="preserve">Colombia, Caldas, Río Sucio, Vereda Buenos Aires, Finca Agua Bonita, Propietarío Hector Cano.</x:t>
  </x:si>
  <x:si>
    <x:t xml:space="preserve">D_Sanín2695</x:t>
  </x:si>
  <x:si>
    <x:t xml:space="preserve">Río Sucio</x:t>
  </x:si>
  <x:si>
    <x:t xml:space="preserve">Vereda Buenos Aires, Finca Agua Bonita, Propietarío Hector Cano.</x:t>
  </x:si>
  <x:si>
    <x:t xml:space="preserve">Sanín D. 2804</x:t>
  </x:si>
  <x:si>
    <x:t xml:space="preserve">Colombia, Caldas, San Jose de Risaralda, vereda Chavarquia.</x:t>
  </x:si>
  <x:si>
    <x:t xml:space="preserve">Sanín D. 2231</x:t>
  </x:si>
  <x:si>
    <x:t xml:space="preserve">Colombia, Caldas, Salamina, vereda Encimadas, vía Encimadas-La Asombrosa.</x:t>
  </x:si>
  <x:si>
    <x:t xml:space="preserve">La vereda Encimadas está en el municipio Samaná</x:t>
  </x:si>
  <x:si>
    <x:t xml:space="preserve">D_Sanín2231</x:t>
  </x:si>
  <x:si>
    <x:t xml:space="preserve">vereda Encimadas, vía Encimadas-La Asombrosa.</x:t>
  </x:si>
  <x:si>
    <x:t xml:space="preserve">Sanín D. et al., 3301</x:t>
  </x:si>
  <x:si>
    <x:t xml:space="preserve">4° 59' 5.57'' N</x:t>
  </x:si>
  <x:si>
    <x:t xml:space="preserve">4° 59' 5.57'' N, 75° 27' 4.10'' W</x:t>
  </x:si>
  <x:si>
    <x:t xml:space="preserve">Sanín D. et al., 3366</x:t>
  </x:si>
  <x:si>
    <x:t xml:space="preserve">Colombia, Caldas, Salamina, corregimiento de San Felix, sector La Samaria, relictos atrás de la escuela.</x:t>
  </x:si>
  <x:si>
    <x:t xml:space="preserve">N 05° 23'7.99"</x:t>
  </x:si>
  <x:si>
    <x:t xml:space="preserve">05° 23'7.99" N</x:t>
  </x:si>
  <x:si>
    <x:t xml:space="preserve">W 75°21'12"</x:t>
  </x:si>
  <x:si>
    <x:t xml:space="preserve">75°21'12" W</x:t>
  </x:si>
  <x:si>
    <x:t xml:space="preserve">05° 23'7.99" N, 75°21'12" W</x:t>
  </x:si>
  <x:si>
    <x:t xml:space="preserve">5.3855528</x:t>
  </x:si>
  <x:si>
    <x:t xml:space="preserve">-75.3533333</x:t>
  </x:si>
  <x:si>
    <x:t xml:space="preserve">5.3855528,-75.3533333</x:t>
  </x:si>
  <x:si>
    <x:t xml:space="preserve">corregimiento de San Felix, sector La Samaria, relictos atrás de la escuela.</x:t>
  </x:si>
  <x:si>
    <x:t xml:space="preserve">Sanín D. et al., 4382</x:t>
  </x:si>
  <x:si>
    <x:t xml:space="preserve">CUVC XXX</x:t>
  </x:si>
  <x:si>
    <x:t xml:space="preserve">Colombia, Caldas, Salamina, corregimeinto de San Felix, localidad El Recreo, Bosques a la izquierda de la vía a Marulanda, entre el potrero y el Bosque.</x:t>
  </x:si>
  <x:si>
    <x:t xml:space="preserve">1188666</x:t>
  </x:si>
  <x:si>
    <x:t xml:space="preserve">1506143 W</x:t>
  </x:si>
  <x:si>
    <x:t xml:space="preserve">1188666, 1506143 W</x:t>
  </x:si>
  <x:si>
    <x:t xml:space="preserve">corregimeinto de San Felix, localidad El Recreo, Bosques a la izquierda de la vía a Marulanda, entre el potrero y el Bosque.</x:t>
  </x:si>
  <x:si>
    <x:t xml:space="preserve">Peréz- Arbeláez E. &amp; J. Cuatrecasas 6272</x:t>
  </x:si>
  <x:si>
    <x:t xml:space="preserve">COL 996</x:t>
  </x:si>
  <x:si>
    <x:t xml:space="preserve">Colombia, Cauca, Cordillera Occidental, Cerro de Munchique, vertiente W, en la Hoya del Río Tambito.</x:t>
  </x:si>
  <x:si>
    <x:t xml:space="preserve">COL996</x:t>
  </x:si>
  <x:si>
    <x:t xml:space="preserve">Cordillera Occidental</x:t>
  </x:si>
  <x:si>
    <x:t xml:space="preserve">Cerro de Munchique, vertiente W, en la Hoya del Río Tambito.</x:t>
  </x:si>
  <x:si>
    <x:t xml:space="preserve">Idrobo J.M. &amp; A. Fernandez 249</x:t>
  </x:si>
  <x:si>
    <x:t xml:space="preserve">COL 72781</x:t>
  </x:si>
  <x:si>
    <x:t xml:space="preserve">Colombia, Cauca, Cordillera Occidental, vertiente oriental, Cuchilla El Tambo.</x:t>
  </x:si>
  <x:si>
    <x:t xml:space="preserve">COL72781</x:t>
  </x:si>
  <x:si>
    <x:t xml:space="preserve">vertiente oriental, Cuchilla El Tambo.</x:t>
  </x:si>
  <x:si>
    <x:t xml:space="preserve">Hagemman W.  354</x:t>
  </x:si>
  <x:si>
    <x:t xml:space="preserve">CUVC 6230</x:t>
  </x:si>
  <x:si>
    <x:t xml:space="preserve">Colombia, Cauca, vía Popayán, río Orejas, Reserva El Guayabo</x:t>
  </x:si>
  <x:si>
    <x:t xml:space="preserve">CUVC6230</x:t>
  </x:si>
  <x:si>
    <x:t xml:space="preserve">vía Popayán</x:t>
  </x:si>
  <x:si>
    <x:t xml:space="preserve">río Orejas, Reserva El Guayabo</x:t>
  </x:si>
  <x:si>
    <x:t xml:space="preserve">C. Gonzalez 557</x:t>
  </x:si>
  <x:si>
    <x:t xml:space="preserve">COL 434447</x:t>
  </x:si>
  <x:si>
    <x:t xml:space="preserve">Cauca, Santa Rosa, Serrania de los Churumbelos, Bota Caucana, La Piedra.</x:t>
  </x:si>
  <x:si>
    <x:t xml:space="preserve">Serrania de los Churumbelos, Bota Caucana, La Piedra.</x:t>
  </x:si>
  <x:si>
    <x:t xml:space="preserve">C. Gonzalez 493</x:t>
  </x:si>
  <x:si>
    <x:t xml:space="preserve">CAUP 134449</x:t>
  </x:si>
  <x:si>
    <x:t xml:space="preserve">C. Gonzalez 723</x:t>
  </x:si>
  <x:si>
    <x:t xml:space="preserve">COL 434450</x:t>
  </x:si>
  <x:si>
    <x:t xml:space="preserve">O.L. Casañas Suárez 217</x:t>
  </x:si>
  <x:si>
    <x:t xml:space="preserve">COL 471103</x:t>
  </x:si>
  <x:si>
    <x:t xml:space="preserve">Colombia, Cauca, El Tambo, Reserva Natural Tambito</x:t>
  </x:si>
  <x:si>
    <x:t xml:space="preserve">2°30'16.8" N</x:t>
  </x:si>
  <x:si>
    <x:t xml:space="preserve">77°59'42.7" W</x:t>
  </x:si>
  <x:si>
    <x:t xml:space="preserve">2°30'16.8" N, 77°59'42.7" W</x:t>
  </x:si>
  <x:si>
    <x:t xml:space="preserve">2.5046667</x:t>
  </x:si>
  <x:si>
    <x:t xml:space="preserve">-77.9951944</x:t>
  </x:si>
  <x:si>
    <x:t xml:space="preserve">2.5046667,-77.9951944</x:t>
  </x:si>
  <x:si>
    <x:t xml:space="preserve">Reserva Natural Tambito</x:t>
  </x:si>
  <x:si>
    <x:t xml:space="preserve">Ramirez-P. B.R. 12962</x:t>
  </x:si>
  <x:si>
    <x:t xml:space="preserve">CAUP 14777</x:t>
  </x:si>
  <x:si>
    <x:t xml:space="preserve">Colombia, Cauca, Popayán, hacienda La Lomita, km9,5 de la variante a Calí.</x:t>
  </x:si>
  <x:si>
    <x:t xml:space="preserve">N 2°28'</x:t>
  </x:si>
  <x:si>
    <x:t xml:space="preserve">2°28' N</x:t>
  </x:si>
  <x:si>
    <x:t xml:space="preserve">2°28' N, 76°37' W</x:t>
  </x:si>
  <x:si>
    <x:t xml:space="preserve">2.4666667</x:t>
  </x:si>
  <x:si>
    <x:t xml:space="preserve">2.4666667,-76.6166667</x:t>
  </x:si>
  <x:si>
    <x:t xml:space="preserve">hacienda La Lomita, km9, 5 de la variante a Calí.</x:t>
  </x:si>
  <x:si>
    <x:t xml:space="preserve">O.L. Casañas Suárez 536</x:t>
  </x:si>
  <x:si>
    <x:t xml:space="preserve">CAUP 7124</x:t>
  </x:si>
  <x:si>
    <x:t xml:space="preserve">Cauca, El Tambo, Reserva Natural Tambito.</x:t>
  </x:si>
  <x:si>
    <x:t xml:space="preserve">2°32'51" N</x:t>
  </x:si>
  <x:si>
    <x:t xml:space="preserve">76°59'20" W</x:t>
  </x:si>
  <x:si>
    <x:t xml:space="preserve">2°32'51" N, 76°59'20" W</x:t>
  </x:si>
  <x:si>
    <x:t xml:space="preserve">2.5475</x:t>
  </x:si>
  <x:si>
    <x:t xml:space="preserve">-76.9888889</x:t>
  </x:si>
  <x:si>
    <x:t xml:space="preserve">2.5475,-76.9888889</x:t>
  </x:si>
  <x:si>
    <x:t xml:space="preserve">Casañas Suárez O.L.  682</x:t>
  </x:si>
  <x:si>
    <x:t xml:space="preserve">CAUP 7157</x:t>
  </x:si>
  <x:si>
    <x:t xml:space="preserve">02°31'02.3" N</x:t>
  </x:si>
  <x:si>
    <x:t xml:space="preserve">76°59'51.5" W</x:t>
  </x:si>
  <x:si>
    <x:t xml:space="preserve">02°31'02.3" N, 76°59'51.5" W</x:t>
  </x:si>
  <x:si>
    <x:t xml:space="preserve">2.5173056</x:t>
  </x:si>
  <x:si>
    <x:t xml:space="preserve">-76.9976389</x:t>
  </x:si>
  <x:si>
    <x:t xml:space="preserve">2.5173056,-76.9976389</x:t>
  </x:si>
  <x:si>
    <x:t xml:space="preserve">D.M. Munar 1342</x:t>
  </x:si>
  <x:si>
    <x:t xml:space="preserve">CAUP 16572</x:t>
  </x:si>
  <x:si>
    <x:t xml:space="preserve">Cauca, Santa Rosa, Bota Caucana, Corregimiento San Juan de Villalobos, Vereda La Esmeralda.</x:t>
  </x:si>
  <x:si>
    <x:t xml:space="preserve">01°33'18.7" N</x:t>
  </x:si>
  <x:si>
    <x:t xml:space="preserve">76°18'18.6" W</x:t>
  </x:si>
  <x:si>
    <x:t xml:space="preserve">01°33'18.7" N, 76°18'18.6" W</x:t>
  </x:si>
  <x:si>
    <x:t xml:space="preserve">Bota Caucana, Corregimiento San Juan de Villalobos, Vereda La Esmeralda.</x:t>
  </x:si>
  <x:si>
    <x:t xml:space="preserve">E. L. Muñoz et al., 1948</x:t>
  </x:si>
  <x:si>
    <x:t xml:space="preserve">CAUP 18</x:t>
  </x:si>
  <x:si>
    <x:t xml:space="preserve">Rangel-Ch. J.O. et al., 11388a</x:t>
  </x:si>
  <x:si>
    <x:t xml:space="preserve">COL 000335947</x:t>
  </x:si>
  <x:si>
    <x:t xml:space="preserve">Colombia, Cesar, Serranía del Perijá, Manaure, El Cinco, Finca Vistahermosa, SE de la carretera.</x:t>
  </x:si>
  <x:si>
    <x:t xml:space="preserve">N 10°26'</x:t>
  </x:si>
  <x:si>
    <x:t xml:space="preserve">10°26' N</x:t>
  </x:si>
  <x:si>
    <x:t xml:space="preserve">W 72°57'</x:t>
  </x:si>
  <x:si>
    <x:t xml:space="preserve">72°57' W</x:t>
  </x:si>
  <x:si>
    <x:t xml:space="preserve">10°26' N, 72°57' W</x:t>
  </x:si>
  <x:si>
    <x:t xml:space="preserve">10.4333333</x:t>
  </x:si>
  <x:si>
    <x:t xml:space="preserve">-72.95</x:t>
  </x:si>
  <x:si>
    <x:t xml:space="preserve">10.4333333,-72.95</x:t>
  </x:si>
  <x:si>
    <x:t xml:space="preserve">COL000335947</x:t>
  </x:si>
  <x:si>
    <x:t xml:space="preserve">Cesar</x:t>
  </x:si>
  <x:si>
    <x:t xml:space="preserve">Serranía del Perijá</x:t>
  </x:si>
  <x:si>
    <x:t xml:space="preserve">Manaure, El Cinco, Finca Vistahermosa, SE de la carretera.</x:t>
  </x:si>
  <x:si>
    <x:t xml:space="preserve">Forero E. et al., 3408</x:t>
  </x:si>
  <x:si>
    <x:t xml:space="preserve">COL 000335994</x:t>
  </x:si>
  <x:si>
    <x:t xml:space="preserve">Colombia, Chochó, San Jose del Palmar, cerro al SO de la población.</x:t>
  </x:si>
  <x:si>
    <x:t xml:space="preserve">COL000335994</x:t>
  </x:si>
  <x:si>
    <x:t xml:space="preserve">cerro al SO de la población.</x:t>
  </x:si>
  <x:si>
    <x:t xml:space="preserve">Lellinger D.B. &amp; E. de la Sota 452</x:t>
  </x:si>
  <x:si>
    <x:t xml:space="preserve">COL 000335929</x:t>
  </x:si>
  <x:si>
    <x:t xml:space="preserve">Colombia, Chocó, Río El Salto (tributary of the Río Suruco), 9 km W of Andagoya, river banks, flood plains and hillsides.</x:t>
  </x:si>
  <x:si>
    <x:t xml:space="preserve">75-100</x:t>
  </x:si>
  <x:si>
    <x:t xml:space="preserve">COL000335929</x:t>
  </x:si>
  <x:si>
    <x:t xml:space="preserve">Río El Salto (tributary of the Río Suruco)</x:t>
  </x:si>
  <x:si>
    <x:t xml:space="preserve">9 km W of Andagoya, river banks, flood plains and hillsides.</x:t>
  </x:si>
  <x:si>
    <x:t xml:space="preserve">Gentry A.H. &amp; E. Renteria 24193</x:t>
  </x:si>
  <x:si>
    <x:t xml:space="preserve">HUA 1378</x:t>
  </x:si>
  <x:si>
    <x:t xml:space="preserve">Colombia, Chocó, Emisora La Sirena, 3 km W of La Mansa at top of Cordillera Occidental.</x:t>
  </x:si>
  <x:si>
    <x:t xml:space="preserve">Hr-He</x:t>
  </x:si>
  <x:si>
    <x:t xml:space="preserve">HUA1378</x:t>
  </x:si>
  <x:si>
    <x:t xml:space="preserve">Emisora La Sirena</x:t>
  </x:si>
  <x:si>
    <x:t xml:space="preserve">3 km W of La Mansa at top of Cordillera Occidental.</x:t>
  </x:si>
  <x:si>
    <x:t xml:space="preserve">Duque-Jaramillo J.M. 3303</x:t>
  </x:si>
  <x:si>
    <x:t xml:space="preserve">COL 000335903</x:t>
  </x:si>
  <x:si>
    <x:t xml:space="preserve">Colombia, Cundinamarca, carretera Aguabonita y Fusagasugá.</x:t>
  </x:si>
  <x:si>
    <x:t xml:space="preserve">carretera Aguabonita y Fusagasugá.</x:t>
  </x:si>
  <x:si>
    <x:t xml:space="preserve">Duque-Jaramillo J.M. 3304</x:t>
  </x:si>
  <x:si>
    <x:t xml:space="preserve">FAUC 0290</x:t>
  </x:si>
  <x:si>
    <x:t xml:space="preserve">Colombia, Cundinamarca, Aguabonita a Fusagasua, Cordillera Oriental.</x:t>
  </x:si>
  <x:si>
    <x:t xml:space="preserve">FAUC0290</x:t>
  </x:si>
  <x:si>
    <x:t xml:space="preserve">Aguabonita a Fusagasua</x:t>
  </x:si>
  <x:si>
    <x:t xml:space="preserve">Cordillera Oriental.</x:t>
  </x:si>
  <x:si>
    <x:t xml:space="preserve">Bischler H. 2250</x:t>
  </x:si>
  <x:si>
    <x:t xml:space="preserve">COL 000335912</x:t>
  </x:si>
  <x:si>
    <x:t xml:space="preserve">Colombia, Cundinamarca, Salto del Tequendama.</x:t>
  </x:si>
  <x:si>
    <x:t xml:space="preserve">COL000335912</x:t>
  </x:si>
  <x:si>
    <x:t xml:space="preserve">Salto del Tequendama.</x:t>
  </x:si>
  <x:si>
    <x:t xml:space="preserve">Uribe Uribe L. 4914</x:t>
  </x:si>
  <x:si>
    <x:t xml:space="preserve">COL 000335904</x:t>
  </x:si>
  <x:si>
    <x:t xml:space="preserve">Colombia, Cundinamarca, sureste de Santandercito, cerros cercanos a El Ermitaño.</x:t>
  </x:si>
  <x:si>
    <x:t xml:space="preserve">COL000335904</x:t>
  </x:si>
  <x:si>
    <x:t xml:space="preserve">sureste de Santandercito</x:t>
  </x:si>
  <x:si>
    <x:t xml:space="preserve">cerros cercanos a El Ermitaño.</x:t>
  </x:si>
  <x:si>
    <x:t xml:space="preserve">Acosta-Arteaga C.E. 104</x:t>
  </x:si>
  <x:si>
    <x:t xml:space="preserve">COL 000335920</x:t>
  </x:si>
  <x:si>
    <x:t xml:space="preserve">Colombia, Cundinamarca, km 60-61 de la carretera Guasca a Gachetá.</x:t>
  </x:si>
  <x:si>
    <x:t xml:space="preserve">Utilicé de referencia el punto de un gacetero ubicado aprox en el km 49 de la vía</x:t>
  </x:si>
  <x:si>
    <x:t xml:space="preserve">COL0003336291</x:t>
  </x:si>
  <x:si>
    <x:t xml:space="preserve">km 60-61 de la carretera Guasca a Gachetá.</x:t>
  </x:si>
  <x:si>
    <x:t xml:space="preserve">Acosta-Arteaga C.E. 145</x:t>
  </x:si>
  <x:si>
    <x:t xml:space="preserve">COL 000335901</x:t>
  </x:si>
  <x:si>
    <x:t xml:space="preserve">Colombia, Cundinamarca, Silvania, km 36 de la carretera Sibaté a Fusagasugá cerca de la Quebrada Agua Bonita.</x:t>
  </x:si>
  <x:si>
    <x:t xml:space="preserve">COL000335901</x:t>
  </x:si>
  <x:si>
    <x:t xml:space="preserve">Silvania</x:t>
  </x:si>
  <x:si>
    <x:t xml:space="preserve">km 36 de la carretera Sibaté a Fusagasugá cerca de la Quebrada Agua Bonita.</x:t>
  </x:si>
  <x:si>
    <x:t xml:space="preserve">Acosta-Arteaga C.E. 2227</x:t>
  </x:si>
  <x:si>
    <x:t xml:space="preserve">COL 000335931</x:t>
  </x:si>
  <x:si>
    <x:t xml:space="preserve">Colombia, Cundinamarca, La Mesa, Laguna Pedro-Palo.</x:t>
  </x:si>
  <x:si>
    <x:t xml:space="preserve">La Mesa</x:t>
  </x:si>
  <x:si>
    <x:t xml:space="preserve">Acosta-Arteaga C.E. et al., 2253</x:t>
  </x:si>
  <x:si>
    <x:t xml:space="preserve">COL 000335899</x:t>
  </x:si>
  <x:si>
    <x:t xml:space="preserve">Colombia, Cundinamarca, La Mesa, Laguna Pedro Pablo.</x:t>
  </x:si>
  <x:si>
    <x:t xml:space="preserve">Laguna Pedro Pablo.</x:t>
  </x:si>
  <x:si>
    <x:t xml:space="preserve">Triana-Moreno L.A. et al., 24</x:t>
  </x:si>
  <x:si>
    <x:t xml:space="preserve">COL 000070245</x:t>
  </x:si>
  <x:si>
    <x:t xml:space="preserve">Colombia, Cundinamarca, Albán, vereda Las Marías, Fundación Granjas Infantiles del Padre Luna, granja del Gran Ciudadano, frente al Paseo Jalisco.</x:t>
  </x:si>
  <x:si>
    <x:t xml:space="preserve">vereda Las Marías, Fundación Granjas Infantiles del Padre Luna, granja del Gran Ciudadano, frente al Paseo Jalisco.</x:t>
  </x:si>
  <x:si>
    <x:t xml:space="preserve">Idrobo J.M. et al., 2887</x:t>
  </x:si>
  <x:si>
    <x:t xml:space="preserve">COL 000336053</x:t>
  </x:si>
  <x:si>
    <x:t xml:space="preserve">Colombia, Huila, Macizo Colombiano, Hoya del Magdalena, San Agustín, k 7 carretera a Santa Rosa.</x:t>
  </x:si>
  <x:si>
    <x:t xml:space="preserve">No encontré la vía hacia Santa Rosa. Los alrededores de San Agustín están a menos de 2.000 msnm</x:t>
  </x:si>
  <x:si>
    <x:t xml:space="preserve">COL000336053</x:t>
  </x:si>
  <x:si>
    <x:t xml:space="preserve">Hoya del Magdalena, San Agustín, k 7 carretera a Santa Rosa.</x:t>
  </x:si>
  <x:si>
    <x:t xml:space="preserve">S. Díaz et al., 425</x:t>
  </x:si>
  <x:si>
    <x:t xml:space="preserve">COL 146877</x:t>
  </x:si>
  <x:si>
    <x:t xml:space="preserve">Huila, La Plata, Vereda Agua Bonita, Finca Meremberg, en bosque de Robles</x:t>
  </x:si>
  <x:si>
    <x:t xml:space="preserve">1200-1300</x:t>
  </x:si>
  <x:si>
    <x:t xml:space="preserve">La reserva Natural Privada Merenberg está ubicada en la vereda La María, en La Plata, Huila; sobre los 2.100 msnm</x:t>
  </x:si>
  <x:si>
    <x:t xml:space="preserve">COL146877</x:t>
  </x:si>
  <x:si>
    <x:t xml:space="preserve">La Plata</x:t>
  </x:si>
  <x:si>
    <x:t xml:space="preserve">Vereda Agua Bonita, Finca Meremberg, en bosque de Robles</x:t>
  </x:si>
  <x:si>
    <x:t xml:space="preserve"> Díaz S. et al., 708</x:t>
  </x:si>
  <x:si>
    <x:t xml:space="preserve">COL 000336019</x:t>
  </x:si>
  <x:si>
    <x:t xml:space="preserve">Colombia, Huila, La Plata, Vereda Agua Bonita, Finca Meremberg.</x:t>
  </x:si>
  <x:si>
    <x:t xml:space="preserve">Vereda Agua Bonita, Finca Meremberg.</x:t>
  </x:si>
  <x:si>
    <x:t xml:space="preserve"> Díaz S. et al., 772</x:t>
  </x:si>
  <x:si>
    <x:t xml:space="preserve">COL 152555</x:t>
  </x:si>
  <x:si>
    <x:t xml:space="preserve">Huila, La Plata, Vereda Agua Bonita, Finca Meremberg.</x:t>
  </x:si>
  <x:si>
    <x:t xml:space="preserve">J. H. Torres R. 1200</x:t>
  </x:si>
  <x:si>
    <x:t xml:space="preserve">COL 265473</x:t>
  </x:si>
  <x:si>
    <x:t xml:space="preserve">Huila, La Plata, Vereda Agua Bonita, Finca Meremberg, Bosque Ojo de Agua</x:t>
  </x:si>
  <x:si>
    <x:t xml:space="preserve">Vereda Agua Bonita, Finca Meremberg, Bosque Ojo de Agua</x:t>
  </x:si>
  <x:si>
    <x:t xml:space="preserve">Osorio G. 157</x:t>
  </x:si>
  <x:si>
    <x:t xml:space="preserve">COL 248582</x:t>
  </x:si>
  <x:si>
    <x:t xml:space="preserve">Colombia, Huila, Acevedo, carretera a San Marcos.</x:t>
  </x:si>
  <x:si>
    <x:t xml:space="preserve">carretera a San Marcos.</x:t>
  </x:si>
  <x:si>
    <x:t xml:space="preserve">Mejía-P. F. 243</x:t>
  </x:si>
  <x:si>
    <x:t xml:space="preserve">COL 000336026</x:t>
  </x:si>
  <x:si>
    <x:t xml:space="preserve">Colombia, Huila, Algeciras, vereda el Paraiso, finca Tamamlá, sector de Curubito.</x:t>
  </x:si>
  <x:si>
    <x:t xml:space="preserve">COL000336026</x:t>
  </x:si>
  <x:si>
    <x:t xml:space="preserve">Algeciras</x:t>
  </x:si>
  <x:si>
    <x:t xml:space="preserve">vereda el Paraiso, finca Tamamlá, sector de Curubito.</x:t>
  </x:si>
  <x:si>
    <x:t xml:space="preserve">F. Llanos &amp; J. Camacho 1784</x:t>
  </x:si>
  <x:si>
    <x:t xml:space="preserve">COL 427157</x:t>
  </x:si>
  <x:si>
    <x:t xml:space="preserve">Huila, Colombia, Inspeccion Santa Ana, vereda San Emilio, camino a vereda Nueva Granada.</x:t>
  </x:si>
  <x:si>
    <x:t xml:space="preserve">Inspeccion Santa Ana, vereda San Emilio, camino a vereda Nueva Granada.</x:t>
  </x:si>
  <x:si>
    <x:t xml:space="preserve">F. Llanos et al.,  3370</x:t>
  </x:si>
  <x:si>
    <x:t xml:space="preserve">COL 489291</x:t>
  </x:si>
  <x:si>
    <x:t xml:space="preserve">Huila, Campoalegre, Vereda Alto El Roble</x:t>
  </x:si>
  <x:si>
    <x:t xml:space="preserve">La vereda Alto Roble pertence al municipio de Algeciras</x:t>
  </x:si>
  <x:si>
    <x:t xml:space="preserve">COL489294</x:t>
  </x:si>
  <x:si>
    <x:t xml:space="preserve">Campoalegre</x:t>
  </x:si>
  <x:si>
    <x:t xml:space="preserve">Vereda Alto El Roble</x:t>
  </x:si>
  <x:si>
    <x:t xml:space="preserve">F. Llanos &amp; A. Araujo 3467</x:t>
  </x:si>
  <x:si>
    <x:t xml:space="preserve">COL 489294</x:t>
  </x:si>
  <x:si>
    <x:t xml:space="preserve">Huila, Campoalegre, Vereda Alto El Roble.</x:t>
  </x:si>
  <x:si>
    <x:t xml:space="preserve">Vereda Alto El Roble.</x:t>
  </x:si>
  <x:si>
    <x:t xml:space="preserve">C. E. Ceballos &amp; V. Lasso 231</x:t>
  </x:si>
  <x:si>
    <x:t xml:space="preserve">CAUP 20320</x:t>
  </x:si>
  <x:si>
    <x:t xml:space="preserve">Huila, San Agustín, Parque arqueologico Nacional</x:t>
  </x:si>
  <x:si>
    <x:t xml:space="preserve">CAUP20320</x:t>
  </x:si>
  <x:si>
    <x:t xml:space="preserve">Parque arqueologico Nacional</x:t>
  </x:si>
  <x:si>
    <x:t xml:space="preserve">N. Otalora 258</x:t>
  </x:si>
  <x:si>
    <x:t xml:space="preserve">CAUP 20620</x:t>
  </x:si>
  <x:si>
    <x:t xml:space="preserve">Huila, Nátaga, Serrania de las Nieves, Vereda El Orozco, Finca Miraflores.</x:t>
  </x:si>
  <x:si>
    <x:t xml:space="preserve">No encontré un punto de referencia. En internet leí que existe un Parque Natural Municipal llamado Serranía de Las Nieves, ubicado en Nátaga, Huila</x:t>
  </x:si>
  <x:si>
    <x:t xml:space="preserve">CAUP20620</x:t>
  </x:si>
  <x:si>
    <x:t xml:space="preserve">Nátaga</x:t>
  </x:si>
  <x:si>
    <x:t xml:space="preserve">Serrania de las Nieves, Vereda El Orozco, Finca Miraflores.</x:t>
  </x:si>
  <x:si>
    <x:t xml:space="preserve">Sanín D. &amp; E. Sanín 3205</x:t>
  </x:si>
  <x:si>
    <x:t xml:space="preserve">Colombia, Huila, Pitalito, vereda Charguayaco, Reserva de la comunidad El Arroyuelo.</x:t>
  </x:si>
  <x:si>
    <x:t xml:space="preserve">1925</x:t>
  </x:si>
  <x:si>
    <x:t xml:space="preserve">1° 46' 8.33" N</x:t>
  </x:si>
  <x:si>
    <x:t xml:space="preserve">1° 46' 8.33" N, 76° 1' 7.44" W</x:t>
  </x:si>
  <x:si>
    <x:t xml:space="preserve">1.7689806</x:t>
  </x:si>
  <x:si>
    <x:t xml:space="preserve">1.7689806,-76.0187333</x:t>
  </x:si>
  <x:si>
    <x:t xml:space="preserve">vereda Charguayaco, Reserva de la comunidad El Arroyuelo.</x:t>
  </x:si>
  <x:si>
    <x:t xml:space="preserve">Sanín D. &amp; E. Sanín 3210</x:t>
  </x:si>
  <x:si>
    <x:t xml:space="preserve">Colombia, Huila, Pitalito, vereda Charguayaco, Reserva de la comunidad El Arroyuelo</x:t>
  </x:si>
  <x:si>
    <x:t xml:space="preserve">vereda Charguayaco, Reserva de la comunidad El Arroyuelo</x:t>
  </x:si>
  <x:si>
    <x:t xml:space="preserve">Sanín D. &amp; E. Sanín 3189</x:t>
  </x:si>
  <x:si>
    <x:t xml:space="preserve">Sanín D. &amp; E. Sanín 3285</x:t>
  </x:si>
  <x:si>
    <x:t xml:space="preserve">Colombia, Huila, San Agustín, vereda Planares, relicto arriba de la Escuela Platanares, estos se enmarcan en potreros que se comunica con mas bosques.</x:t>
  </x:si>
  <x:si>
    <x:t xml:space="preserve">2147-2150</x:t>
  </x:si>
  <x:si>
    <x:t xml:space="preserve">1° 59' N</x:t>
  </x:si>
  <x:si>
    <x:t xml:space="preserve">76° 17'</x:t>
  </x:si>
  <x:si>
    <x:t xml:space="preserve">76° 17' W</x:t>
  </x:si>
  <x:si>
    <x:t xml:space="preserve">1° 59' N, 76° 17' W</x:t>
  </x:si>
  <x:si>
    <x:t xml:space="preserve">1.9833333</x:t>
  </x:si>
  <x:si>
    <x:t xml:space="preserve">-76.2833333</x:t>
  </x:si>
  <x:si>
    <x:t xml:space="preserve">1.9833333,-76.2833333</x:t>
  </x:si>
  <x:si>
    <x:t xml:space="preserve">vereda Planares, relicto arriba de la Escuela Platanares, estos se enmarcan en potreros que se comunica con mas bosques.</x:t>
  </x:si>
  <x:si>
    <x:t xml:space="preserve">Foster M.B. 1379</x:t>
  </x:si>
  <x:si>
    <x:t xml:space="preserve">COL 000335944</x:t>
  </x:si>
  <x:si>
    <x:t xml:space="preserve">Colombia, Magdalena, Santa Marta, Cleveland in mts of Cincinnati.</x:t>
  </x:si>
  <x:si>
    <x:t xml:space="preserve">7100 fts</x:t>
  </x:si>
  <x:si>
    <x:t xml:space="preserve">COL000335944</x:t>
  </x:si>
  <x:si>
    <x:t xml:space="preserve">Santa Marta</x:t>
  </x:si>
  <x:si>
    <x:t xml:space="preserve">Cleveland in mts of Cincinnati.</x:t>
  </x:si>
  <x:si>
    <x:t xml:space="preserve">Romero-Catañeda R. 7846</x:t>
  </x:si>
  <x:si>
    <x:t xml:space="preserve">COL 000335934</x:t>
  </x:si>
  <x:si>
    <x:t xml:space="preserve">Colombia, Magdalena, Santa Marta, base del Cerro Quemado y Cerro San Lorenzo.</x:t>
  </x:si>
  <x:si>
    <x:t xml:space="preserve">COL000335934</x:t>
  </x:si>
  <x:si>
    <x:t xml:space="preserve">base del Cerro Quemado y Cerro San Lorenzo.</x:t>
  </x:si>
  <x:si>
    <x:t xml:space="preserve">Romero-Catañeda R. 7791</x:t>
  </x:si>
  <x:si>
    <x:t xml:space="preserve">COL 000335960</x:t>
  </x:si>
  <x:si>
    <x:t xml:space="preserve">Colombia, Magdalena, Santa Marta, Cerro Quemado a Cincinnatti.</x:t>
  </x:si>
  <x:si>
    <x:t xml:space="preserve">2600-2800</x:t>
  </x:si>
  <x:si>
    <x:t xml:space="preserve">Cerro Quemado a Cincinnatti.</x:t>
  </x:si>
  <x:si>
    <x:t xml:space="preserve">Romero Castañeda R.</x:t>
  </x:si>
  <x:si>
    <x:t xml:space="preserve">COL 000335940</x:t>
  </x:si>
  <x:si>
    <x:t xml:space="preserve">Colombia, Magdalena, Santa Marta, de Cerro Quemado a Cincinnattii.</x:t>
  </x:si>
  <x:si>
    <x:t xml:space="preserve">1400-2600</x:t>
  </x:si>
  <x:si>
    <x:t xml:space="preserve">de Cerro Quemado a Cincinnattii.</x:t>
  </x:si>
  <x:si>
    <x:t xml:space="preserve">Kirkbride J.H. 2376</x:t>
  </x:si>
  <x:si>
    <x:t xml:space="preserve">COL 000335937</x:t>
  </x:si>
  <x:si>
    <x:t xml:space="preserve">Colombia, Magdalena, Sierra Nevada de Santa Marta, in forest along Quebrada N of House in Finca Los Arroyitos.</x:t>
  </x:si>
  <x:si>
    <x:t xml:space="preserve">N 10°56'</x:t>
  </x:si>
  <x:si>
    <x:t xml:space="preserve">10°56' N</x:t>
  </x:si>
  <x:si>
    <x:t xml:space="preserve">W 73°58'</x:t>
  </x:si>
  <x:si>
    <x:t xml:space="preserve">73°58' W</x:t>
  </x:si>
  <x:si>
    <x:t xml:space="preserve">10°56' N, 73°58' W</x:t>
  </x:si>
  <x:si>
    <x:t xml:space="preserve">10.9333333</x:t>
  </x:si>
  <x:si>
    <x:t xml:space="preserve">-73.9666667</x:t>
  </x:si>
  <x:si>
    <x:t xml:space="preserve">10.9333333,-73.9666667</x:t>
  </x:si>
  <x:si>
    <x:t xml:space="preserve">in forest along Quebrada N of House in Finca Los Arroyitos.</x:t>
  </x:si>
  <x:si>
    <x:t xml:space="preserve">Jaramillo-Mejía R. et al., 5241</x:t>
  </x:si>
  <x:si>
    <x:t xml:space="preserve">COL 000335958</x:t>
  </x:si>
  <x:si>
    <x:t xml:space="preserve">Colombia, Magdalena, Sierra Nevada de Santa Marta, Alto Río Buritacá, Cuchilla El Mirador, Transecto Buritacá.</x:t>
  </x:si>
  <x:si>
    <x:t xml:space="preserve">COL000335958</x:t>
  </x:si>
  <x:si>
    <x:t xml:space="preserve">Alto Río Buritacá, Cuchilla El Mirador, Transecto Buritacá.</x:t>
  </x:si>
  <x:si>
    <x:t xml:space="preserve">Idrobo J.M. &amp; R. E. Schultes 1142</x:t>
  </x:si>
  <x:si>
    <x:t xml:space="preserve">COL 000335990</x:t>
  </x:si>
  <x:si>
    <x:t xml:space="preserve">Colombia, Meta, Serrania de La Macarena, (extremo nordeste), macizo Rengifo, cumbre y alrededores.</x:t>
  </x:si>
  <x:si>
    <x:t xml:space="preserve">1300-1900</x:t>
  </x:si>
  <x:si>
    <x:t xml:space="preserve">COL000336361</x:t>
  </x:si>
  <x:si>
    <x:t xml:space="preserve">Serrania de La Macarena</x:t>
  </x:si>
  <x:si>
    <x:t xml:space="preserve">(extremo nordeste), macizo Rengifo, cumbre y alrededores.</x:t>
  </x:si>
  <x:si>
    <x:t xml:space="preserve">Jaramillo R. 7313</x:t>
  </x:si>
  <x:si>
    <x:t xml:space="preserve">COL 000335910</x:t>
  </x:si>
  <x:si>
    <x:t xml:space="preserve">Colombia, Meta, Acacías, Colonia Penal y Agrícola de Oriente.</x:t>
  </x:si>
  <x:si>
    <x:t xml:space="preserve">COL000335970</x:t>
  </x:si>
  <x:si>
    <x:t xml:space="preserve">Acacías</x:t>
  </x:si>
  <x:si>
    <x:t xml:space="preserve">Colonia Penal y Agrícola de Oriente.</x:t>
  </x:si>
  <x:si>
    <x:t xml:space="preserve">Jaramillo R. 7465</x:t>
  </x:si>
  <x:si>
    <x:t xml:space="preserve">COL 000335970</x:t>
  </x:si>
  <x:si>
    <x:t xml:space="preserve">O. de Benavides 3423</x:t>
  </x:si>
  <x:si>
    <x:t xml:space="preserve">PSO 11273</x:t>
  </x:si>
  <x:si>
    <x:t xml:space="preserve">Nariño, Ipiales, Km 24, carretera Ipiales-La Victoria</x:t>
  </x:si>
  <x:si>
    <x:t xml:space="preserve">Km 24, carretera Ipiales-La Victoria</x:t>
  </x:si>
  <x:si>
    <x:t xml:space="preserve">Bristol M.L. 307</x:t>
  </x:si>
  <x:si>
    <x:t xml:space="preserve">COL 000336025</x:t>
  </x:si>
  <x:si>
    <x:t xml:space="preserve">Colombia, Putumayo, Valle del Río Sibundoy, camino de la hidraulica, 1 km Sibundoy.</x:t>
  </x:si>
  <x:si>
    <x:t xml:space="preserve">COL000336025</x:t>
  </x:si>
  <x:si>
    <x:t xml:space="preserve">Valle del Río Sibundoy</x:t>
  </x:si>
  <x:si>
    <x:t xml:space="preserve">camino de la hidraulica, 1 km Sibundoy.</x:t>
  </x:si>
  <x:si>
    <x:t xml:space="preserve">Barinngton D.  526</x:t>
  </x:si>
  <x:si>
    <x:t xml:space="preserve">PSO 4409</x:t>
  </x:si>
  <x:si>
    <x:t xml:space="preserve">Putumayo, Vía Pasto-Mocoa, km 40</x:t>
  </x:si>
  <x:si>
    <x:t xml:space="preserve">PSO4409</x:t>
  </x:si>
  <x:si>
    <x:t xml:space="preserve">Vía Pasto-Mocoa</x:t>
  </x:si>
  <x:si>
    <x:t xml:space="preserve">km 40</x:t>
  </x:si>
  <x:si>
    <x:t xml:space="preserve"> Arbelaez G. et al., 1038</x:t>
  </x:si>
  <x:si>
    <x:t xml:space="preserve">HUA 61838</x:t>
  </x:si>
  <x:si>
    <x:t xml:space="preserve">Quindio, Filandia, via el Roble-Morro Azul</x:t>
  </x:si>
  <x:si>
    <x:t xml:space="preserve">No encontré la localidad morro azul. Marqué el punto desde Filandia hacia la vereda El Roble</x:t>
  </x:si>
  <x:si>
    <x:t xml:space="preserve">HUA61838</x:t>
  </x:si>
  <x:si>
    <x:t xml:space="preserve">via el Roble-Morro Azul</x:t>
  </x:si>
  <x:si>
    <x:t xml:space="preserve">G. Arbelaez S. et al., 1038</x:t>
  </x:si>
  <x:si>
    <x:t xml:space="preserve">HUQ 2953</x:t>
  </x:si>
  <x:si>
    <x:t xml:space="preserve">Quindio, Filandia, Carretera El Roble-Morro Azul.</x:t>
  </x:si>
  <x:si>
    <x:t xml:space="preserve">Carretera El Roble-Morro Azul.</x:t>
  </x:si>
  <x:si>
    <x:t xml:space="preserve">G. Arbelaez et al., 1365</x:t>
  </x:si>
  <x:si>
    <x:t xml:space="preserve">HUQ 2981</x:t>
  </x:si>
  <x:si>
    <x:t xml:space="preserve">Quindio, Pijao, Río Lejos, Margen izquierda Hacienda La Playa.</x:t>
  </x:si>
  <x:si>
    <x:t xml:space="preserve">HUQ2981</x:t>
  </x:si>
  <x:si>
    <x:t xml:space="preserve">Pijao</x:t>
  </x:si>
  <x:si>
    <x:t xml:space="preserve">Río Lejos, Margen izquierda Hacienda La Playa.</x:t>
  </x:si>
  <x:si>
    <x:t xml:space="preserve">C. Vélez et al., 1357</x:t>
  </x:si>
  <x:si>
    <x:t xml:space="preserve">HUQ 7333</x:t>
  </x:si>
  <x:si>
    <x:t xml:space="preserve">Quindio, Genova, vía Finca Las Mirlas-Servia.</x:t>
  </x:si>
  <x:si>
    <x:t xml:space="preserve">2400-2700</x:t>
  </x:si>
  <x:si>
    <x:t xml:space="preserve">HUQ7333</x:t>
  </x:si>
  <x:si>
    <x:t xml:space="preserve">Genova</x:t>
  </x:si>
  <x:si>
    <x:t xml:space="preserve">vía Finca Las Mirlas-Servia.</x:t>
  </x:si>
  <x:si>
    <x:t xml:space="preserve">C. A. Agudelo et al., 1707</x:t>
  </x:si>
  <x:si>
    <x:t xml:space="preserve">COL 336352</x:t>
  </x:si>
  <x:si>
    <x:t xml:space="preserve">Quindio, Salento, Reserva Acaime.</x:t>
  </x:si>
  <x:si>
    <x:t xml:space="preserve">COL336352</x:t>
  </x:si>
  <x:si>
    <x:t xml:space="preserve">Reserva Acaime.</x:t>
  </x:si>
  <x:si>
    <x:t xml:space="preserve">HUQ 10006</x:t>
  </x:si>
  <x:si>
    <x:t xml:space="preserve">C. Vélez et al., 3429</x:t>
  </x:si>
  <x:si>
    <x:t xml:space="preserve">HUQ 12771</x:t>
  </x:si>
  <x:si>
    <x:t xml:space="preserve">Quindio, Calarca, Vereda Planadas.</x:t>
  </x:si>
  <x:si>
    <x:t xml:space="preserve">HUQ12771</x:t>
  </x:si>
  <x:si>
    <x:t xml:space="preserve">Calarca</x:t>
  </x:si>
  <x:si>
    <x:t xml:space="preserve">Vereda Planadas.</x:t>
  </x:si>
  <x:si>
    <x:t xml:space="preserve">C. Vélez et al., 5027</x:t>
  </x:si>
  <x:si>
    <x:t xml:space="preserve">HUQ 14794</x:t>
  </x:si>
  <x:si>
    <x:t xml:space="preserve">Quindio, Genova, Vereda San Juan Alto, Finca la Caucasia.</x:t>
  </x:si>
  <x:si>
    <x:t xml:space="preserve">2500-2780</x:t>
  </x:si>
  <x:si>
    <x:t xml:space="preserve">HUQ14794</x:t>
  </x:si>
  <x:si>
    <x:t xml:space="preserve">Vereda San Juan Alto, Finca la Caucasia.</x:t>
  </x:si>
  <x:si>
    <x:t xml:space="preserve">Sanín D. et al., 3110</x:t>
  </x:si>
  <x:si>
    <x:t xml:space="preserve">Colombia, Quindio, Salento, vereda Cocora, vía a Estrella de Agua.</x:t>
  </x:si>
  <x:si>
    <x:t xml:space="preserve">vereda Cocora, vía a Estrella de Agua.</x:t>
  </x:si>
  <x:si>
    <x:t xml:space="preserve">Sanín D. et al., 3088</x:t>
  </x:si>
  <x:si>
    <x:t xml:space="preserve">Colombia, Quindío, Salento, Vereda Boquía. Sector la Pata Sola, flanco sur-oriental del río Boquía. Al frente el departamento del Quindío y detrás delSantuarío Otún Quimbaya.</x:t>
  </x:si>
  <x:si>
    <x:t xml:space="preserve">1950</x:t>
  </x:si>
  <x:si>
    <x:t xml:space="preserve">75°37'2.14'' W</x:t>
  </x:si>
  <x:si>
    <x:t xml:space="preserve">04°41'6.20" N, 75°37'2.14'' W</x:t>
  </x:si>
  <x:si>
    <x:t xml:space="preserve">-75.6172611</x:t>
  </x:si>
  <x:si>
    <x:t xml:space="preserve">4.6850556,-75.6172611</x:t>
  </x:si>
  <x:si>
    <x:t xml:space="preserve">Vereda Boquía. Sector la Pata Sola, flanco sur-oriental del río Boquía. Al frente el departamento del Quindío y detrás delSantuarío Otún Quimbaya.</x:t>
  </x:si>
  <x:si>
    <x:t xml:space="preserve">Sanín D. et al., 3108</x:t>
  </x:si>
  <x:si>
    <x:t xml:space="preserve">Colombia, Quindío, Salento, Vereda Cocora, Vía a Estrella de Agua, camino con mosaico sucesionales de Aliso.</x:t>
  </x:si>
  <x:si>
    <x:t xml:space="preserve">04°38'29.4'' N</x:t>
  </x:si>
  <x:si>
    <x:t xml:space="preserve">75°29'12.4'' W</x:t>
  </x:si>
  <x:si>
    <x:t xml:space="preserve">04°38'29.4'' N, 75°29'12.4'' W</x:t>
  </x:si>
  <x:si>
    <x:t xml:space="preserve">Vereda Cocora, Vía a Estrella de Agua, camino con mosaico sucesionales de Aliso.</x:t>
  </x:si>
  <x:si>
    <x:t xml:space="preserve">Torres J.H. et al., 1390</x:t>
  </x:si>
  <x:si>
    <x:t xml:space="preserve">COL 264911</x:t>
  </x:si>
  <x:si>
    <x:t xml:space="preserve">Colombia, Risaralda, Santuario, vereda Las Colonias, 200 m arriba del campamento.</x:t>
  </x:si>
  <x:si>
    <x:t xml:space="preserve">vereda Las Colonias, 200 m arriba del campamento.</x:t>
  </x:si>
  <x:si>
    <x:t xml:space="preserve">J.H. Torres et al., 2205</x:t>
  </x:si>
  <x:si>
    <x:t xml:space="preserve">COL 265065</x:t>
  </x:si>
  <x:si>
    <x:t xml:space="preserve">Risaralda, Apía, vereda La Cumbre</x:t>
  </x:si>
  <x:si>
    <x:t xml:space="preserve">COL265065</x:t>
  </x:si>
  <x:si>
    <x:t xml:space="preserve">Apía</x:t>
  </x:si>
  <x:si>
    <x:t xml:space="preserve">vereda La Cumbre</x:t>
  </x:si>
  <x:si>
    <x:t xml:space="preserve">C.A. Agudelo et al., 11</x:t>
  </x:si>
  <x:si>
    <x:t xml:space="preserve">HUQ 6814</x:t>
  </x:si>
  <x:si>
    <x:t xml:space="preserve">Risaralda, Pereira, Parque Natural Ucumarí, Vereda El Bosque.</x:t>
  </x:si>
  <x:si>
    <x:t xml:space="preserve">Ru</x:t>
  </x:si>
  <x:si>
    <x:t xml:space="preserve">HUQ6814</x:t>
  </x:si>
  <x:si>
    <x:t xml:space="preserve">Parque Natural Ucumarí, Vereda El Bosque.</x:t>
  </x:si>
  <x:si>
    <x:t xml:space="preserve">Franco-Roselli P. et al., 2807</x:t>
  </x:si>
  <x:si>
    <x:t xml:space="preserve">COL 000336060</x:t>
  </x:si>
  <x:si>
    <x:t xml:space="preserve">Colombia, Risaralda, Pereira, Parque Regional Ucumarí, entre La Pastora y Caylan.</x:t>
  </x:si>
  <x:si>
    <x:t xml:space="preserve">Parque Regional Ucumarí, entre La Pastora y Caylan.</x:t>
  </x:si>
  <x:si>
    <x:t xml:space="preserve">Duque Quintero J.M. 19</x:t>
  </x:si>
  <x:si>
    <x:t xml:space="preserve">FAUC 10676</x:t>
  </x:si>
  <x:si>
    <x:t xml:space="preserve">Colombia, Risaralda, Pereira, Santuario de Fauna y Flora Otun Quimbaya</x:t>
  </x:si>
  <x:si>
    <x:t xml:space="preserve">Santuario de Fauna y Flora Otun Quimbaya</x:t>
  </x:si>
  <x:si>
    <x:t xml:space="preserve">Sanín D. &amp; N. Castaño 1782</x:t>
  </x:si>
  <x:si>
    <x:t xml:space="preserve">FAUC 04000</x:t>
  </x:si>
  <x:si>
    <x:t xml:space="preserve">Colombia, Risaralda, Pereira, Parque Regional Ucumarí.</x:t>
  </x:si>
  <x:si>
    <x:t xml:space="preserve">Parque Regional Ucumarí.</x:t>
  </x:si>
  <x:si>
    <x:t xml:space="preserve">Sanín D. et al., 2445</x:t>
  </x:si>
  <x:si>
    <x:t xml:space="preserve">Colombia, Risaralda, Pereira, Reserva Otun Quimbaya, zona amortiguadora del Parque Los Nevados.</x:t>
  </x:si>
  <x:si>
    <x:t xml:space="preserve">1897</x:t>
  </x:si>
  <x:si>
    <x:t xml:space="preserve">04°43.752" N</x:t>
  </x:si>
  <x:si>
    <x:t xml:space="preserve">75°34.633" W</x:t>
  </x:si>
  <x:si>
    <x:t xml:space="preserve">04°43.752" N, 75°34.633" W</x:t>
  </x:si>
  <x:si>
    <x:t xml:space="preserve">He-Hr</x:t>
  </x:si>
  <x:si>
    <x:t xml:space="preserve">Reserva Otun Quimbaya, zona amortiguadora del Parque Los Nevados.</x:t>
  </x:si>
  <x:si>
    <x:t xml:space="preserve">Sanín D. et al., 2478</x:t>
  </x:si>
  <x:si>
    <x:t xml:space="preserve">Colombia, Risaralda, Santa Rosa de Cabal, Reserva Central Hidroelectrica de Caldas, Zona Amortiguadora del Parque los Nevados.</x:t>
  </x:si>
  <x:si>
    <x:t xml:space="preserve">2106</x:t>
  </x:si>
  <x:si>
    <x:t xml:space="preserve">04°49.149" N</x:t>
  </x:si>
  <x:si>
    <x:t xml:space="preserve">75°32.713" W</x:t>
  </x:si>
  <x:si>
    <x:t xml:space="preserve">04°49.149" N, 75°32.713" W</x:t>
  </x:si>
  <x:si>
    <x:t xml:space="preserve">Reserva Central Hidroelectrica de Caldas, Zona Amortiguadora del Parque los Nevados.</x:t>
  </x:si>
  <x:si>
    <x:t xml:space="preserve">Sanín D. et al., 3007</x:t>
  </x:si>
  <x:si>
    <x:t xml:space="preserve">Colombia, Risaralda, Santa Rosa de Cabal, Reserva Central Hidroelectrica de Caldas, Zona Amortiguadora del Parque los Nevado.</x:t>
  </x:si>
  <x:si>
    <x:t xml:space="preserve">2122-2612</x:t>
  </x:si>
  <x:si>
    <x:t xml:space="preserve">04°48.805" N</x:t>
  </x:si>
  <x:si>
    <x:t xml:space="preserve">75°31.963" W</x:t>
  </x:si>
  <x:si>
    <x:t xml:space="preserve">04°48.805" N, 75°31.963" W</x:t>
  </x:si>
  <x:si>
    <x:t xml:space="preserve">Reserva Central Hidroelectrica de Caldas, Zona Amortiguadora del Parque los Nevado.</x:t>
  </x:si>
  <x:si>
    <x:t xml:space="preserve">Sanín D. et al., 2499</x:t>
  </x:si>
  <x:si>
    <x:t xml:space="preserve">Colombia, Risaralda, Santa Rosa de Cabal, Reserva Central Hidroelectrica de Caldas-CHEC, zona amortiguadora del Parque Los Nevados.</x:t>
  </x:si>
  <x:si>
    <x:t xml:space="preserve">N 04°48.805"</x:t>
  </x:si>
  <x:si>
    <x:t xml:space="preserve">W 75°31.963"</x:t>
  </x:si>
  <x:si>
    <x:t xml:space="preserve">Reserva Central Hidroelectrica de Caldas-CHEC, zona amortiguadora del Parque Los Nevados.</x:t>
  </x:si>
  <x:si>
    <x:t xml:space="preserve">Sanín D. et al., 4236</x:t>
  </x:si>
  <x:si>
    <x:t xml:space="preserve">COL xxx</x:t>
  </x:si>
  <x:si>
    <x:t xml:space="preserve">Colombia, Risaralda, Santuario, Parque Nacional Natural Tatamá, Monte Sancudo.</x:t>
  </x:si>
  <x:si>
    <x:t xml:space="preserve">5.1244244 N</x:t>
  </x:si>
  <x:si>
    <x:t xml:space="preserve">76.0416654 W</x:t>
  </x:si>
  <x:si>
    <x:t xml:space="preserve">5.1244244 N, 76.0416654 W</x:t>
  </x:si>
  <x:si>
    <x:t xml:space="preserve">Parque Nacional Natural Tatamá, Monte Sancudo.</x:t>
  </x:si>
  <x:si>
    <x:t xml:space="preserve">Sanín D &amp; V. Torrez 5122</x:t>
  </x:si>
  <x:si>
    <x:t xml:space="preserve">Colombia, Risaralda, Pereira, Santuario de Fauna y Flora Otun Quimbaya, senderos al interior del Santuario.</x:t>
  </x:si>
  <x:si>
    <x:t xml:space="preserve">N 04°46'18.32"</x:t>
  </x:si>
  <x:si>
    <x:t xml:space="preserve">04°46'18.32" N</x:t>
  </x:si>
  <x:si>
    <x:t xml:space="preserve">W 75°37'45.74"</x:t>
  </x:si>
  <x:si>
    <x:t xml:space="preserve">75°37'45.74" W</x:t>
  </x:si>
  <x:si>
    <x:t xml:space="preserve">04°46'18.32" N, 75°37'45.74" W</x:t>
  </x:si>
  <x:si>
    <x:t xml:space="preserve">4.7717556</x:t>
  </x:si>
  <x:si>
    <x:t xml:space="preserve">-75.6293722</x:t>
  </x:si>
  <x:si>
    <x:t xml:space="preserve">4.7717556,-75.6293722</x:t>
  </x:si>
  <x:si>
    <x:t xml:space="preserve">Santuario de Fauna y Flora Otun Quimbaya, senderos al interior del Santuario.</x:t>
  </x:si>
  <x:si>
    <x:t xml:space="preserve">Sanín D. &amp; V. Torrez 5123</x:t>
  </x:si>
  <x:si>
    <x:t xml:space="preserve">Sanín D. et al., 4307</x:t>
  </x:si>
  <x:si>
    <x:t xml:space="preserve">Colombia, Risaralda, Santuario, Parque Nacional Natural Tatamá, descenso Valle de las Mirlas.</x:t>
  </x:si>
  <x:si>
    <x:t xml:space="preserve">3500-3000</x:t>
  </x:si>
  <x:si>
    <x:t xml:space="preserve">Parque Nacional Natural Tatamá, descenso Valle de las Mirlas.</x:t>
  </x:si>
  <x:si>
    <x:t xml:space="preserve">Sanín D. et al., 4312</x:t>
  </x:si>
  <x:si>
    <x:t xml:space="preserve">Colombia, Risaralda, Santuario, Parque Nacional Natural Tatamá, descenso Monte Mosquito.</x:t>
  </x:si>
  <x:si>
    <x:t xml:space="preserve">3000-2560</x:t>
  </x:si>
  <x:si>
    <x:t xml:space="preserve">5.1225913 N</x:t>
  </x:si>
  <x:si>
    <x:t xml:space="preserve">76.0459684 W</x:t>
  </x:si>
  <x:si>
    <x:t xml:space="preserve">5.1225913 N, 76.0459684 W</x:t>
  </x:si>
  <x:si>
    <x:t xml:space="preserve">Parque Nacional Natural Tatamá, descenso Monte Mosquito.</x:t>
  </x:si>
  <x:si>
    <x:t xml:space="preserve">Haught O. 1950</x:t>
  </x:si>
  <x:si>
    <x:t xml:space="preserve">COL 000335981</x:t>
  </x:si>
  <x:si>
    <x:t xml:space="preserve">Colombia, Santander, Cerro Armas.</x:t>
  </x:si>
  <x:si>
    <x:t xml:space="preserve">COL000335981</x:t>
  </x:si>
  <x:si>
    <x:t xml:space="preserve">Cerro Armas.</x:t>
  </x:si>
  <x:si>
    <x:t xml:space="preserve">Fernández- Alonso J.L. et al., 6245</x:t>
  </x:si>
  <x:si>
    <x:t xml:space="preserve">COL 000336063</x:t>
  </x:si>
  <x:si>
    <x:t xml:space="preserve">Colombia, Santander, Virolin.</x:t>
  </x:si>
  <x:si>
    <x:t xml:space="preserve">COL000336063</x:t>
  </x:si>
  <x:si>
    <x:t xml:space="preserve">Virolin.</x:t>
  </x:si>
  <x:si>
    <x:t xml:space="preserve">Orozco C.I. et al., 1571</x:t>
  </x:si>
  <x:si>
    <x:t xml:space="preserve">COL 000335766</x:t>
  </x:si>
  <x:si>
    <x:t xml:space="preserve">Colombia, Santander, Charta, carretera hacia El Roble.</x:t>
  </x:si>
  <x:si>
    <x:t xml:space="preserve">COL000335766</x:t>
  </x:si>
  <x:si>
    <x:t xml:space="preserve">Charta</x:t>
  </x:si>
  <x:si>
    <x:t xml:space="preserve">carretera hacia El Roble.</x:t>
  </x:si>
  <x:si>
    <x:t xml:space="preserve">Cadena-M.J.J. et al., 33</x:t>
  </x:si>
  <x:si>
    <x:t xml:space="preserve">COL 000336067</x:t>
  </x:si>
  <x:si>
    <x:t xml:space="preserve">Colombia, Santander, Charalá, vereda Santa Helena, predio La Sierra, margen Izquierdo de aguas abajo del río La Rusia, Santuario de Fauna y Flora Guantená, Alto Río Fonce.</x:t>
  </x:si>
  <x:si>
    <x:t xml:space="preserve">2400-2550</x:t>
  </x:si>
  <x:si>
    <x:t xml:space="preserve">N 06°01'</x:t>
  </x:si>
  <x:si>
    <x:t xml:space="preserve">06°01' N</x:t>
  </x:si>
  <x:si>
    <x:t xml:space="preserve">W 73°09'</x:t>
  </x:si>
  <x:si>
    <x:t xml:space="preserve">73°09' W</x:t>
  </x:si>
  <x:si>
    <x:t xml:space="preserve">06°01' N, 73°09' W</x:t>
  </x:si>
  <x:si>
    <x:t xml:space="preserve">6.0166667</x:t>
  </x:si>
  <x:si>
    <x:t xml:space="preserve">-73.15</x:t>
  </x:si>
  <x:si>
    <x:t xml:space="preserve">6.0166667,-73.15</x:t>
  </x:si>
  <x:si>
    <x:t xml:space="preserve">Charalá</x:t>
  </x:si>
  <x:si>
    <x:t xml:space="preserve">vereda Santa Helena, predio La Sierra, margen Izquierdo de aguas abajo del río La Rusia, Santuario de Fauna y Flora Guantená, Alto Río Fonce.</x:t>
  </x:si>
  <x:si>
    <x:t xml:space="preserve">J.M. Idrobo et al., 10324</x:t>
  </x:si>
  <x:si>
    <x:t xml:space="preserve">COL 218228</x:t>
  </x:si>
  <x:si>
    <x:t xml:space="preserve">Tolima, Santa Isabel, Vereda La Yuca, cerca de la Bodega, Finca Buenavista, Alto La Esperanza</x:t>
  </x:si>
  <x:si>
    <x:t xml:space="preserve">COL218228</x:t>
  </x:si>
  <x:si>
    <x:t xml:space="preserve">Vereda La Yuca, cerca de la Bodega, Finca Buenavista, Alto La Esperanza</x:t>
  </x:si>
  <x:si>
    <x:t xml:space="preserve">J.M. Idrobo &amp; J. Aguirre 10355</x:t>
  </x:si>
  <x:si>
    <x:t xml:space="preserve">COL 300156</x:t>
  </x:si>
  <x:si>
    <x:t xml:space="preserve">Tolima, Santa Isabel, Vereda Purima, Cerro Purima.</x:t>
  </x:si>
  <x:si>
    <x:t xml:space="preserve">COL219379</x:t>
  </x:si>
  <x:si>
    <x:t xml:space="preserve">Vereda Purima, Cerro Purima.</x:t>
  </x:si>
  <x:si>
    <x:t xml:space="preserve">J.M. Idrobo et al., 10448</x:t>
  </x:si>
  <x:si>
    <x:t xml:space="preserve">COL 219379</x:t>
  </x:si>
  <x:si>
    <x:t xml:space="preserve">Tolima, Santa Isabel, Vereda Purima, Finca El Prado, Cordillera Central, Vertiente Oriental</x:t>
  </x:si>
  <x:si>
    <x:t xml:space="preserve">Vereda Purima, Finca El Prado, Cordillera Central, Vertiente Oriental</x:t>
  </x:si>
  <x:si>
    <x:t xml:space="preserve">Correa E. 42</x:t>
  </x:si>
  <x:si>
    <x:t xml:space="preserve">FAUC 4806</x:t>
  </x:si>
  <x:si>
    <x:t xml:space="preserve">Tolima, Murillo, El Tambo, Escuela El Tambo</x:t>
  </x:si>
  <x:si>
    <x:t xml:space="preserve">FAUC4806</x:t>
  </x:si>
  <x:si>
    <x:t xml:space="preserve">El Tambo, Escuela El Tambo</x:t>
  </x:si>
  <x:si>
    <x:t xml:space="preserve">Sanín D. et al., 3176</x:t>
  </x:si>
  <x:si>
    <x:t xml:space="preserve">Colombia, Tolima, Ibague, corregimiento de Juntas, vía La Escuela El Salto.</x:t>
  </x:si>
  <x:si>
    <x:t xml:space="preserve">N 04°37' 45.3"</x:t>
  </x:si>
  <x:si>
    <x:t xml:space="preserve">04°37' 45.3" N</x:t>
  </x:si>
  <x:si>
    <x:t xml:space="preserve">W 75° 16' 9.31"</x:t>
  </x:si>
  <x:si>
    <x:t xml:space="preserve">04°37' 45.3" N, 75° 16' 9.31" W</x:t>
  </x:si>
  <x:si>
    <x:t xml:space="preserve">corregimiento de Juntas, vía La Escuela El Salto.</x:t>
  </x:si>
  <x:si>
    <x:t xml:space="preserve">Sanín D. et al., 3173</x:t>
  </x:si>
  <x:si>
    <x:t xml:space="preserve">E.P. Killip &amp; H. Garcia 33717</x:t>
  </x:si>
  <x:si>
    <x:t xml:space="preserve">COL 17999</x:t>
  </x:si>
  <x:si>
    <x:t xml:space="preserve">Valle, Monte Frio, Yanaconas</x:t>
  </x:si>
  <x:si>
    <x:t xml:space="preserve">1700-1850</x:t>
  </x:si>
  <x:si>
    <x:t xml:space="preserve">COL17999</x:t>
  </x:si>
  <x:si>
    <x:t xml:space="preserve">Valle</x:t>
  </x:si>
  <x:si>
    <x:t xml:space="preserve">Monte Frio</x:t>
  </x:si>
  <x:si>
    <x:t xml:space="preserve">Yanaconas</x:t>
  </x:si>
  <x:si>
    <x:t xml:space="preserve">A. Juncosa 2036</x:t>
  </x:si>
  <x:si>
    <x:t xml:space="preserve">CUVC 17448</x:t>
  </x:si>
  <x:si>
    <x:t xml:space="preserve">Valle, Vía El Danubio, cerca al Campamento de la CVC "Yatacue", Alto Anchicaya.</x:t>
  </x:si>
  <x:si>
    <x:t xml:space="preserve">03°30' N</x:t>
  </x:si>
  <x:si>
    <x:t xml:space="preserve">76°52' W</x:t>
  </x:si>
  <x:si>
    <x:t xml:space="preserve">03°30' N, 76°52' W</x:t>
  </x:si>
  <x:si>
    <x:t xml:space="preserve">3.5</x:t>
  </x:si>
  <x:si>
    <x:t xml:space="preserve">-76.8666667</x:t>
  </x:si>
  <x:si>
    <x:t xml:space="preserve">3.5,-76.8666667</x:t>
  </x:si>
  <x:si>
    <x:t xml:space="preserve">Vía El Danubio</x:t>
  </x:si>
  <x:si>
    <x:t xml:space="preserve">cerca al Campamento de la CVC "Yatacue", Alto Anchicaya.</x:t>
  </x:si>
  <x:si>
    <x:t xml:space="preserve"> Duque-Jaramillo J.M. 1862</x:t>
  </x:si>
  <x:si>
    <x:t xml:space="preserve">COL 43934</x:t>
  </x:si>
  <x:si>
    <x:t xml:space="preserve">Valle del Cauca, Hoya del Río Calí, El Recuerdo.</x:t>
  </x:si>
  <x:si>
    <x:t xml:space="preserve">COL43934</x:t>
  </x:si>
  <x:si>
    <x:t xml:space="preserve">Hoya del Río Calí</x:t>
  </x:si>
  <x:si>
    <x:t xml:space="preserve">El Recuerdo.</x:t>
  </x:si>
  <x:si>
    <x:t xml:space="preserve">de la Sota E. &amp; M.T. Murillo 6311</x:t>
  </x:si>
  <x:si>
    <x:t xml:space="preserve">COL 000336065</x:t>
  </x:si>
  <x:si>
    <x:t xml:space="preserve">Colombia, Valle del Cauca, carretera vieja Calí-Buenaventura, Km 91 ca, Sabaleta. </x:t>
  </x:si>
  <x:si>
    <x:t xml:space="preserve">COL000336065</x:t>
  </x:si>
  <x:si>
    <x:t xml:space="preserve">carretera vieja Calí-Buenaventura</x:t>
  </x:si>
  <x:si>
    <x:t xml:space="preserve">Km 91 ca, Sabaleta.</x:t>
  </x:si>
  <x:si>
    <x:t xml:space="preserve">Benalcazar C. &amp; F. Silva 229</x:t>
  </x:si>
  <x:si>
    <x:t xml:space="preserve">COL 000336045</x:t>
  </x:si>
  <x:si>
    <x:t xml:space="preserve">Colombia, Valle del Cauca, Peñas Blancas, Cuenca del Río Pichindé.</x:t>
  </x:si>
  <x:si>
    <x:t xml:space="preserve">COL000336045</x:t>
  </x:si>
  <x:si>
    <x:t xml:space="preserve">Peñas Blancas</x:t>
  </x:si>
  <x:si>
    <x:t xml:space="preserve">Cuenca del Río Pichindé.</x:t>
  </x:si>
  <x:si>
    <x:t xml:space="preserve">Ruiz R. &amp; Beltrán A. 754</x:t>
  </x:si>
  <x:si>
    <x:t xml:space="preserve">PSO 39273</x:t>
  </x:si>
  <x:si>
    <x:t xml:space="preserve">Colombia, Valle del Cauca, Palmira, I.P. Tenjo, quebrada Los Cuervos.</x:t>
  </x:si>
  <x:si>
    <x:t xml:space="preserve">PSO39273</x:t>
  </x:si>
  <x:si>
    <x:t xml:space="preserve">Palmira</x:t>
  </x:si>
  <x:si>
    <x:t xml:space="preserve">I.P. Tenjo, quebrada Los Cuervos.</x:t>
  </x:si>
  <x:si>
    <x:t xml:space="preserve">Sanín D. &amp; E. Sanín 2701</x:t>
  </x:si>
  <x:si>
    <x:t xml:space="preserve">Colombia, Valle del Cauca, Cali, Parque Nacional Natural Farallones de Cali, Vereda Pance, Reserva Amor y Paz, via a Balcones, Pico Pance.</x:t>
  </x:si>
  <x:si>
    <x:t xml:space="preserve">D_Sanín2701</x:t>
  </x:si>
  <x:si>
    <x:t xml:space="preserve">Cali</x:t>
  </x:si>
  <x:si>
    <x:t xml:space="preserve">Parque Nacional Natural Farallones de Cali, Vereda Pance, Reserva Amor y Paz, via a Balcones, Pico Pance.</x:t>
  </x:si>
  <x:si>
    <x:t xml:space="preserve">Sanín D. &amp; E. Sanín 2705</x:t>
  </x:si>
  <x:si>
    <x:t xml:space="preserve">Colombia, Valle del Cauca, Calí, Parque Nacional Natural Farallones de Calí, vereda Pance, Reserva Amor y Paz, vía a Balcones, Pico Pance.</x:t>
  </x:si>
  <x:si>
    <x:t xml:space="preserve">Calí</x:t>
  </x:si>
  <x:si>
    <x:t xml:space="preserve">Parque Nacional Natural Farallones de Calí, vereda Pance, Reserva Amor y Paz, vía a Balcones, Pico Pance.</x:t>
  </x:si>
  <x:si>
    <x:t xml:space="preserve">S. funckii (Meet.) A. R. Sm.</x:t>
  </x:si>
  <x:si>
    <x:t xml:space="preserve">Serpocaulon funckii</x:t>
  </x:si>
  <x:si>
    <x:t xml:space="preserve">A. L. Arbelaez et al., 113</x:t>
  </x:si>
  <x:si>
    <x:t xml:space="preserve">HUA 47285</x:t>
  </x:si>
  <x:si>
    <x:t xml:space="preserve">Antioquia, Sonsón, Páramo de Sonsón</x:t>
  </x:si>
  <x:si>
    <x:t xml:space="preserve">05° 41' N</x:t>
  </x:si>
  <x:si>
    <x:t xml:space="preserve">75° 14' W</x:t>
  </x:si>
  <x:si>
    <x:t xml:space="preserve">05° 41' N, 75° 14' W</x:t>
  </x:si>
  <x:si>
    <x:t xml:space="preserve">Sonsón</x:t>
  </x:si>
  <x:si>
    <x:t xml:space="preserve">Páramo de Sonsón</x:t>
  </x:si>
  <x:si>
    <x:t xml:space="preserve">W. Rodriguez et al., 4008</x:t>
  </x:si>
  <x:si>
    <x:t xml:space="preserve">HUA 141989</x:t>
  </x:si>
  <x:si>
    <x:t xml:space="preserve">Antioquia, Anorí, Reserva la Forzosa</x:t>
  </x:si>
  <x:si>
    <x:t xml:space="preserve">06° 59'15.6" N</x:t>
  </x:si>
  <x:si>
    <x:t xml:space="preserve">75° 08'35.6" W</x:t>
  </x:si>
  <x:si>
    <x:t xml:space="preserve">06° 59'15.6" N, 75° 08'35.6" W</x:t>
  </x:si>
  <x:si>
    <x:t xml:space="preserve">6.9876667</x:t>
  </x:si>
  <x:si>
    <x:t xml:space="preserve">-75.1432222</x:t>
  </x:si>
  <x:si>
    <x:t xml:space="preserve">6.9876667,-75.1432222</x:t>
  </x:si>
  <x:si>
    <x:t xml:space="preserve">Reserva la Forzosa</x:t>
  </x:si>
  <x:si>
    <x:t xml:space="preserve">S. funckii (Meet.) A.R. Sm.</x:t>
  </x:si>
  <x:si>
    <x:t xml:space="preserve">Hno. Daniel 559</x:t>
  </x:si>
  <x:si>
    <x:t xml:space="preserve">Col 1000</x:t>
  </x:si>
  <x:si>
    <x:t xml:space="preserve">Colombia, Antioquia, San Pedro.</x:t>
  </x:si>
  <x:si>
    <x:t xml:space="preserve">N 06°27'46"</x:t>
  </x:si>
  <x:si>
    <x:t xml:space="preserve">06°27'46" N</x:t>
  </x:si>
  <x:si>
    <x:t xml:space="preserve">W 75°33'23"</x:t>
  </x:si>
  <x:si>
    <x:t xml:space="preserve">75°33'23" W</x:t>
  </x:si>
  <x:si>
    <x:t xml:space="preserve">06°27'46" N, 75°33'23" W</x:t>
  </x:si>
  <x:si>
    <x:t xml:space="preserve">6.4627778</x:t>
  </x:si>
  <x:si>
    <x:t xml:space="preserve">-75.5563889</x:t>
  </x:si>
  <x:si>
    <x:t xml:space="preserve">6.4627778,-75.5563889</x:t>
  </x:si>
  <x:si>
    <x:t xml:space="preserve">San Pedro.</x:t>
  </x:si>
  <x:si>
    <x:t xml:space="preserve">Contreras N &amp; D. L.Echeverri 112</x:t>
  </x:si>
  <x:si>
    <x:t xml:space="preserve">HUA 66492</x:t>
  </x:si>
  <x:si>
    <x:t xml:space="preserve">Colombia, Antioquia, Guatapé, vereda Santa Rita, Finca Montepinar. Bosque Pluvial.</x:t>
  </x:si>
  <x:si>
    <x:t xml:space="preserve">vereda Santa Rita, Finca Montepinar. Bosque Pluvial.</x:t>
  </x:si>
  <x:si>
    <x:t xml:space="preserve">Atheortúa L.  &amp; R.Callejas 290</x:t>
  </x:si>
  <x:si>
    <x:t xml:space="preserve">HUA 4982</x:t>
  </x:si>
  <x:si>
    <x:t xml:space="preserve">Colombia, Antioquia, Entre Granada y San Carlos.</x:t>
  </x:si>
  <x:si>
    <x:t xml:space="preserve">N 06°08'49.20"</x:t>
  </x:si>
  <x:si>
    <x:t xml:space="preserve">06°08'49.20" N</x:t>
  </x:si>
  <x:si>
    <x:t xml:space="preserve">W 75°11'16.80"</x:t>
  </x:si>
  <x:si>
    <x:t xml:space="preserve">75°11'16.80" W</x:t>
  </x:si>
  <x:si>
    <x:t xml:space="preserve">06°08'49.20" N, 75°11'16.80" W</x:t>
  </x:si>
  <x:si>
    <x:t xml:space="preserve">6.147</x:t>
  </x:si>
  <x:si>
    <x:t xml:space="preserve">-75.188</x:t>
  </x:si>
  <x:si>
    <x:t xml:space="preserve">6.147,-75.188</x:t>
  </x:si>
  <x:si>
    <x:t xml:space="preserve">Entre Granada y San Carlos.</x:t>
  </x:si>
  <x:si>
    <x:t xml:space="preserve">JAUM 037</x:t>
  </x:si>
  <x:si>
    <x:t xml:space="preserve">Acosta Arteaga C.E. 1098</x:t>
  </x:si>
  <x:si>
    <x:t xml:space="preserve">COL 000336114</x:t>
  </x:si>
  <x:si>
    <x:t xml:space="preserve">Colombia, Boyacá, Samacá, inmediaciones de la Represa Teatinos.</x:t>
  </x:si>
  <x:si>
    <x:t xml:space="preserve">COL000336114</x:t>
  </x:si>
  <x:si>
    <x:t xml:space="preserve">Samacá</x:t>
  </x:si>
  <x:si>
    <x:t xml:space="preserve">inmediaciones de la Represa Teatinos.</x:t>
  </x:si>
  <x:si>
    <x:t xml:space="preserve">Callejas R. et al., 364</x:t>
  </x:si>
  <x:si>
    <x:t xml:space="preserve">HUA 5357</x:t>
  </x:si>
  <x:si>
    <x:t xml:space="preserve">Colombia, Antioquia, Ríonegro (Santa Elena), Sajonia km 21</x:t>
  </x:si>
  <x:si>
    <x:t xml:space="preserve">N 06°09'18.00"</x:t>
  </x:si>
  <x:si>
    <x:t xml:space="preserve">06°09'18.00" N</x:t>
  </x:si>
  <x:si>
    <x:t xml:space="preserve">W 75°23'20"</x:t>
  </x:si>
  <x:si>
    <x:t xml:space="preserve">06°09'18.00" N, 75°23'20" W</x:t>
  </x:si>
  <x:si>
    <x:t xml:space="preserve">Ríonegro (Santa Elena)</x:t>
  </x:si>
  <x:si>
    <x:t xml:space="preserve">Sajonia km 21</x:t>
  </x:si>
  <x:si>
    <x:t xml:space="preserve">Atheortúa L. et al., 387</x:t>
  </x:si>
  <x:si>
    <x:t xml:space="preserve">HUA 5130</x:t>
  </x:si>
  <x:si>
    <x:t xml:space="preserve">Jaramillo Mejia R. et al., 7062</x:t>
  </x:si>
  <x:si>
    <x:t xml:space="preserve">COL 000336105</x:t>
  </x:si>
  <x:si>
    <x:t xml:space="preserve">Colombia, Cundinamarca, Cordillera Oriental, Municipio de San Bernardo, vereda Santa Rita, Alto de Buenos Aires.</x:t>
  </x:si>
  <x:si>
    <x:t xml:space="preserve">COL000336105</x:t>
  </x:si>
  <x:si>
    <x:t xml:space="preserve">Municipio de San Bernardo, vereda Santa Rita, Alto de Buenos Aires.</x:t>
  </x:si>
  <x:si>
    <x:t xml:space="preserve">Albert de Escobar L.A. 2385</x:t>
  </x:si>
  <x:si>
    <x:t xml:space="preserve">HUA 16558</x:t>
  </x:si>
  <x:si>
    <x:t xml:space="preserve">Colombia, Antioquia, Guatapé, borde con Mpio. San Rafael, Finca Montepinar.</x:t>
  </x:si>
  <x:si>
    <x:t xml:space="preserve">N 06°15'07.55"</x:t>
  </x:si>
  <x:si>
    <x:t xml:space="preserve">06°15'07.55" N</x:t>
  </x:si>
  <x:si>
    <x:t xml:space="preserve">W 75°05'49.28"</x:t>
  </x:si>
  <x:si>
    <x:t xml:space="preserve">75°05'49.28" W</x:t>
  </x:si>
  <x:si>
    <x:t xml:space="preserve">06°15'07.55" N, 75°05'49.28" W</x:t>
  </x:si>
  <x:si>
    <x:t xml:space="preserve">6.2520972</x:t>
  </x:si>
  <x:si>
    <x:t xml:space="preserve">-75.0970222</x:t>
  </x:si>
  <x:si>
    <x:t xml:space="preserve">6.2520972,-75.0970222</x:t>
  </x:si>
  <x:si>
    <x:t xml:space="preserve">borde con Mpio. San Rafael, Finca Montepinar.</x:t>
  </x:si>
  <x:si>
    <x:t xml:space="preserve">Albert de Escobar L.A. 4976</x:t>
  </x:si>
  <x:si>
    <x:t xml:space="preserve">HUA 23706</x:t>
  </x:si>
  <x:si>
    <x:t xml:space="preserve">Colombia, Antioquia, Guatape, vereda Santa Rita. Bosque Húmedo </x:t>
  </x:si>
  <x:si>
    <x:t xml:space="preserve">N 06°14'02.01"</x:t>
  </x:si>
  <x:si>
    <x:t xml:space="preserve">06°14'02.01" N</x:t>
  </x:si>
  <x:si>
    <x:t xml:space="preserve">W 75°09'43.89"</x:t>
  </x:si>
  <x:si>
    <x:t xml:space="preserve">75°09'43.89" W</x:t>
  </x:si>
  <x:si>
    <x:t xml:space="preserve">06°14'02.01" N, 75°09'43.89" W</x:t>
  </x:si>
  <x:si>
    <x:t xml:space="preserve">6.2338917</x:t>
  </x:si>
  <x:si>
    <x:t xml:space="preserve">-75.1621917</x:t>
  </x:si>
  <x:si>
    <x:t xml:space="preserve">6.2338917,-75.1621917</x:t>
  </x:si>
  <x:si>
    <x:t xml:space="preserve">vereda Santa Rita. Bosque Húmedo</x:t>
  </x:si>
  <x:si>
    <x:t xml:space="preserve">Albert de Escobar L.A. et al., 6550</x:t>
  </x:si>
  <x:si>
    <x:t xml:space="preserve">HUA 28625</x:t>
  </x:si>
  <x:si>
    <x:t xml:space="preserve">Colombia, Antioquia, Guatapé, bosque Húmedo.</x:t>
  </x:si>
  <x:si>
    <x:t xml:space="preserve">bosque Húmedo.</x:t>
  </x:si>
  <x:si>
    <x:t xml:space="preserve">Orozco C.I. et al., 1721A</x:t>
  </x:si>
  <x:si>
    <x:t xml:space="preserve">COL 000336083</x:t>
  </x:si>
  <x:si>
    <x:t xml:space="preserve">Colombia, Norte de Santander, Herrán, Parque Nacional Natural Tamá, Sector Orocue.</x:t>
  </x:si>
  <x:si>
    <x:t xml:space="preserve">COL000336083</x:t>
  </x:si>
  <x:si>
    <x:t xml:space="preserve">Herrán</x:t>
  </x:si>
  <x:si>
    <x:t xml:space="preserve">Parque Nacional Natural Tamá, Sector Orocue.</x:t>
  </x:si>
  <x:si>
    <x:t xml:space="preserve">Fonnegra R et al., 2235</x:t>
  </x:si>
  <x:si>
    <x:t xml:space="preserve">HUA 37516</x:t>
  </x:si>
  <x:si>
    <x:t xml:space="preserve">Colombia, Antioquia, Medellín-Guarne, Granja Forestal Universidad Nacional, antigua vía Medellín-Guarne.</x:t>
  </x:si>
  <x:si>
    <x:t xml:space="preserve">06°15' N, 75°29' W</x:t>
  </x:si>
  <x:si>
    <x:t xml:space="preserve">Granja Forestal Universidad Nacional, antigua vía Medellín-Guarne.</x:t>
  </x:si>
  <x:si>
    <x:t xml:space="preserve">Arbeláez A.L. et al., 49</x:t>
  </x:si>
  <x:si>
    <x:t xml:space="preserve">MEDEL 25776</x:t>
  </x:si>
  <x:si>
    <x:t xml:space="preserve">Colombia, Antioqiua, La Unión, carretera de la Unión a San Miguel.</x:t>
  </x:si>
  <x:si>
    <x:t xml:space="preserve">N 05°56'</x:t>
  </x:si>
  <x:si>
    <x:t xml:space="preserve">05°56' N</x:t>
  </x:si>
  <x:si>
    <x:t xml:space="preserve">W 75°17'</x:t>
  </x:si>
  <x:si>
    <x:t xml:space="preserve">75°17' W</x:t>
  </x:si>
  <x:si>
    <x:t xml:space="preserve">05°56' N, 75°17' W</x:t>
  </x:si>
  <x:si>
    <x:t xml:space="preserve">Antioqiua</x:t>
  </x:si>
  <x:si>
    <x:t xml:space="preserve">carretera de la Unión a San Miguel.</x:t>
  </x:si>
  <x:si>
    <x:t xml:space="preserve">HUA 46146</x:t>
  </x:si>
  <x:si>
    <x:t xml:space="preserve">HUA 55265</x:t>
  </x:si>
  <x:si>
    <x:t xml:space="preserve">Ruíz P.M. 22</x:t>
  </x:si>
  <x:si>
    <x:t xml:space="preserve">COL 327723</x:t>
  </x:si>
  <x:si>
    <x:t xml:space="preserve"> Colombia, Risaralda, Pueblo Rico, quebrada San José, km 21 carretera Pueblo Rico-Villa claret, bosque primaio residual.</x:t>
  </x:si>
  <x:si>
    <x:t xml:space="preserve">N 05°13'39.74"</x:t>
  </x:si>
  <x:si>
    <x:t xml:space="preserve">05°13'39.74" N</x:t>
  </x:si>
  <x:si>
    <x:t xml:space="preserve">W 76°01'49.71"</x:t>
  </x:si>
  <x:si>
    <x:t xml:space="preserve">76°01'49.71" W</x:t>
  </x:si>
  <x:si>
    <x:t xml:space="preserve">05°13'39.74" N, 76°01'49.71" W</x:t>
  </x:si>
  <x:si>
    <x:t xml:space="preserve">5.2277056</x:t>
  </x:si>
  <x:si>
    <x:t xml:space="preserve">-76.030475</x:t>
  </x:si>
  <x:si>
    <x:t xml:space="preserve">5.2277056,-76.030475</x:t>
  </x:si>
  <x:si>
    <x:t xml:space="preserve">Pueblo Rico</x:t>
  </x:si>
  <x:si>
    <x:t xml:space="preserve">quebrada San José, km 21 carretera Pueblo Rico-Villa claret, bosque primaio residual.</x:t>
  </x:si>
  <x:si>
    <x:t xml:space="preserve">MacDougal J.M. et al., 3996</x:t>
  </x:si>
  <x:si>
    <x:t xml:space="preserve">HUA 62718</x:t>
  </x:si>
  <x:si>
    <x:t xml:space="preserve">Colombia, Antioquia, Amalfi, road between Amalfi and Fraguas, near Salazar, 17,5-19,8 km from centro of Amafi, bosque humedo premontano. Trated with etanol.</x:t>
  </x:si>
  <x:si>
    <x:t xml:space="preserve">1480-1560</x:t>
  </x:si>
  <x:si>
    <x:t xml:space="preserve">N 06°55'</x:t>
  </x:si>
  <x:si>
    <x:t xml:space="preserve">06°55' N</x:t>
  </x:si>
  <x:si>
    <x:t xml:space="preserve">W 75°05'</x:t>
  </x:si>
  <x:si>
    <x:t xml:space="preserve">75°05' W</x:t>
  </x:si>
  <x:si>
    <x:t xml:space="preserve">06°55' N, 75°05' W</x:t>
  </x:si>
  <x:si>
    <x:t xml:space="preserve">6.9166667</x:t>
  </x:si>
  <x:si>
    <x:t xml:space="preserve">-75.0833333</x:t>
  </x:si>
  <x:si>
    <x:t xml:space="preserve">6.9166667,-75.0833333</x:t>
  </x:si>
  <x:si>
    <x:t xml:space="preserve">Amalfi</x:t>
  </x:si>
  <x:si>
    <x:t xml:space="preserve">road between Amalfi and Fraguas, near Salazar, 17, 5-19, 8 km from centro of Amafi, bosque humedo premontano. Trated with etanol.</x:t>
  </x:si>
  <x:si>
    <x:t xml:space="preserve">Betancurt J.et al., 928</x:t>
  </x:si>
  <x:si>
    <x:t xml:space="preserve">HUA 55760</x:t>
  </x:si>
  <x:si>
    <x:t xml:space="preserve">Colombia, Antioquia, Amalfi, vereda El Oso, 13-16 km de Amalfi a Medellín, Cordillera Central. </x:t>
  </x:si>
  <x:si>
    <x:t xml:space="preserve">N 06°54'35"</x:t>
  </x:si>
  <x:si>
    <x:t xml:space="preserve">06°54'35" N</x:t>
  </x:si>
  <x:si>
    <x:t xml:space="preserve">W 75°8.07'</x:t>
  </x:si>
  <x:si>
    <x:t xml:space="preserve">75°8.07' W</x:t>
  </x:si>
  <x:si>
    <x:t xml:space="preserve">06°54'35" N, 75°8.07' W</x:t>
  </x:si>
  <x:si>
    <x:t xml:space="preserve">6.9097222</x:t>
  </x:si>
  <x:si>
    <x:t xml:space="preserve">-75.1345</x:t>
  </x:si>
  <x:si>
    <x:t xml:space="preserve">6.9097222,-75.1345</x:t>
  </x:si>
  <x:si>
    <x:t xml:space="preserve">vereda El Oso, 13-16 km de Amalfi a Medellín, Cordillera Central.</x:t>
  </x:si>
  <x:si>
    <x:t xml:space="preserve">McPerson G. 12972</x:t>
  </x:si>
  <x:si>
    <x:t xml:space="preserve">HUA 58903</x:t>
  </x:si>
  <x:si>
    <x:t xml:space="preserve">Colombia, Antioquia, Frontino, area called Murrí, in western central part department; ca 22 road-km from Nutibara; forest at roadside. </x:t>
  </x:si>
  <x:si>
    <x:t xml:space="preserve">N05°30' </x:t>
  </x:si>
  <x:si>
    <x:t xml:space="preserve">5°30' N</x:t>
  </x:si>
  <x:si>
    <x:t xml:space="preserve">W 75°50'</x:t>
  </x:si>
  <x:si>
    <x:t xml:space="preserve">75°50' W</x:t>
  </x:si>
  <x:si>
    <x:t xml:space="preserve">5°30' N, 75°50' W</x:t>
  </x:si>
  <x:si>
    <x:t xml:space="preserve">area called Murrí, in western central part department; ca 22 road-km from Nutibara; forest at roadside.</x:t>
  </x:si>
  <x:si>
    <x:t xml:space="preserve">Contreras N &amp; D. L.Echeverri 58</x:t>
  </x:si>
  <x:si>
    <x:t xml:space="preserve">HUA 66138</x:t>
  </x:si>
  <x:si>
    <x:t xml:space="preserve">Echeverri D.L.  &amp; N. Contreras 99</x:t>
  </x:si>
  <x:si>
    <x:t xml:space="preserve">HUA 66279</x:t>
  </x:si>
  <x:si>
    <x:t xml:space="preserve">Colombia, Antioquia, Guatapé, Vda. Santa Rita, Finca Montepinar, bosque pluvial.</x:t>
  </x:si>
  <x:si>
    <x:t xml:space="preserve">Vda. Santa Rita, Finca Montepinar, bosque pluvial.</x:t>
  </x:si>
  <x:si>
    <x:t xml:space="preserve">Contreras N. &amp; D.L. Echeverri 99</x:t>
  </x:si>
  <x:si>
    <x:t xml:space="preserve">HUA 66275</x:t>
  </x:si>
  <x:si>
    <x:t xml:space="preserve">Contreras N. &amp; D.L. Echeverri 67</x:t>
  </x:si>
  <x:si>
    <x:t xml:space="preserve">HUA 66159</x:t>
  </x:si>
  <x:si>
    <x:t xml:space="preserve">Echeverri D.L.  &amp; N. Contreras 200</x:t>
  </x:si>
  <x:si>
    <x:t xml:space="preserve">HUA 66508</x:t>
  </x:si>
  <x:si>
    <x:t xml:space="preserve">Colombia, Antioquia, Guatapé, Vda. Santa Rita, Finca Montepinar</x:t>
  </x:si>
  <x:si>
    <x:t xml:space="preserve">Vda. Santa Rita, Finca Montepinar</x:t>
  </x:si>
  <x:si>
    <x:t xml:space="preserve">Contreras N &amp; D. L.Echeverri 213</x:t>
  </x:si>
  <x:si>
    <x:t xml:space="preserve">HUA 67341</x:t>
  </x:si>
  <x:si>
    <x:t xml:space="preserve">Colombia, Antioquia, Guatape, vereda Santa Rita, finca Montepinar. Bosque Pluvial. </x:t>
  </x:si>
  <x:si>
    <x:t xml:space="preserve">vereda Santa Rita, finca Montepinar. Bosque Pluvial.</x:t>
  </x:si>
  <x:si>
    <x:t xml:space="preserve">Contreras N. &amp; D.L. Echeverri 211</x:t>
  </x:si>
  <x:si>
    <x:t xml:space="preserve">HUA 67340</x:t>
  </x:si>
  <x:si>
    <x:t xml:space="preserve">Echeverri D.L.  &amp; N. Contreras 258</x:t>
  </x:si>
  <x:si>
    <x:t xml:space="preserve">HUA 69503</x:t>
  </x:si>
  <x:si>
    <x:t xml:space="preserve">Contreras N. &amp; D.L. Echeverri 249</x:t>
  </x:si>
  <x:si>
    <x:t xml:space="preserve">HUA 67882</x:t>
  </x:si>
  <x:si>
    <x:t xml:space="preserve">Contreras N. &amp; D.L. Echeverri 318</x:t>
  </x:si>
  <x:si>
    <x:t xml:space="preserve">HUA 69650</x:t>
  </x:si>
  <x:si>
    <x:t xml:space="preserve">Contreras N &amp; D. L.Echeverri 347</x:t>
  </x:si>
  <x:si>
    <x:t xml:space="preserve">HUA 70968</x:t>
  </x:si>
  <x:si>
    <x:t xml:space="preserve">Callejas R. &amp; F.J. Roldan 9643</x:t>
  </x:si>
  <x:si>
    <x:t xml:space="preserve">HUA 85754</x:t>
  </x:si>
  <x:si>
    <x:t xml:space="preserve">Colombia, Antioquia, Rio Negro, vereda Yarumales.</x:t>
  </x:si>
  <x:si>
    <x:t xml:space="preserve">2140-2410</x:t>
  </x:si>
  <x:si>
    <x:t xml:space="preserve">N 6° 15'  </x:t>
  </x:si>
  <x:si>
    <x:t xml:space="preserve">6° 15' N</x:t>
  </x:si>
  <x:si>
    <x:t xml:space="preserve">W 75°28'</x:t>
  </x:si>
  <x:si>
    <x:t xml:space="preserve">75°28' W</x:t>
  </x:si>
  <x:si>
    <x:t xml:space="preserve">6° 15' N, 75°28' W</x:t>
  </x:si>
  <x:si>
    <x:t xml:space="preserve">-75.4666667</x:t>
  </x:si>
  <x:si>
    <x:t xml:space="preserve">6.25,-75.4666667</x:t>
  </x:si>
  <x:si>
    <x:t xml:space="preserve">HUA85754</x:t>
  </x:si>
  <x:si>
    <x:t xml:space="preserve">Rio Negro</x:t>
  </x:si>
  <x:si>
    <x:t xml:space="preserve">vereda Yarumales.</x:t>
  </x:si>
  <x:si>
    <x:t xml:space="preserve">Giraldo L.F. &amp; G. Murillo 888</x:t>
  </x:si>
  <x:si>
    <x:t xml:space="preserve">HUA 111196</x:t>
  </x:si>
  <x:si>
    <x:t xml:space="preserve">Colombia, Antioquia, Medellín, corregimiento de Alta Vista, vereda Manzanares, cabecera de la Quebrada La Coástica (La Peña) y la Perla.</x:t>
  </x:si>
  <x:si>
    <x:t xml:space="preserve">N 06°14'09.33"</x:t>
  </x:si>
  <x:si>
    <x:t xml:space="preserve">06°14'09.33" N</x:t>
  </x:si>
  <x:si>
    <x:t xml:space="preserve">W 75°34'30.49"</x:t>
  </x:si>
  <x:si>
    <x:t xml:space="preserve">75°34'30.49" W</x:t>
  </x:si>
  <x:si>
    <x:t xml:space="preserve">06°14'09.33" N, 75°34'30.49" W</x:t>
  </x:si>
  <x:si>
    <x:t xml:space="preserve">6.235925</x:t>
  </x:si>
  <x:si>
    <x:t xml:space="preserve">-75.5751361</x:t>
  </x:si>
  <x:si>
    <x:t xml:space="preserve">6.235925,-75.5751361</x:t>
  </x:si>
  <x:si>
    <x:t xml:space="preserve">corregimiento de Alta Vista, vereda Manzanares, cabecera de la Quebrada La Coástica (La Peña) y la Perla.</x:t>
  </x:si>
  <x:si>
    <x:t xml:space="preserve">JAUM 27680</x:t>
  </x:si>
  <x:si>
    <x:t xml:space="preserve">Casañas Suárez O.L. 171</x:t>
  </x:si>
  <x:si>
    <x:t xml:space="preserve">CAUP 7082</x:t>
  </x:si>
  <x:si>
    <x:t xml:space="preserve">Colombia, El Tambo, Reserva Natural Tambito.</x:t>
  </x:si>
  <x:si>
    <x:t xml:space="preserve">N 02°30'32"</x:t>
  </x:si>
  <x:si>
    <x:t xml:space="preserve">02°30'32" N</x:t>
  </x:si>
  <x:si>
    <x:t xml:space="preserve">W 77°05'</x:t>
  </x:si>
  <x:si>
    <x:t xml:space="preserve">77°05' W</x:t>
  </x:si>
  <x:si>
    <x:t xml:space="preserve">02°30'32" N, 77°05' W</x:t>
  </x:si>
  <x:si>
    <x:t xml:space="preserve">2.5088889</x:t>
  </x:si>
  <x:si>
    <x:t xml:space="preserve">-77.0833333</x:t>
  </x:si>
  <x:si>
    <x:t xml:space="preserve">2.5088889,-77.0833333</x:t>
  </x:si>
  <x:si>
    <x:t xml:space="preserve">Velásquez et al., 1651</x:t>
  </x:si>
  <x:si>
    <x:t xml:space="preserve">HUA 159538</x:t>
  </x:si>
  <x:si>
    <x:t xml:space="preserve">Colombia, Barbosa, vereda Monte Loro, Cuchilla de Monte Loro, Bosque Guayabal.</x:t>
  </x:si>
  <x:si>
    <x:t xml:space="preserve">N 06°27'22.7"</x:t>
  </x:si>
  <x:si>
    <x:t xml:space="preserve">06°27'22.7" N</x:t>
  </x:si>
  <x:si>
    <x:t xml:space="preserve">W 75°16'05.2"</x:t>
  </x:si>
  <x:si>
    <x:t xml:space="preserve">75°16'05.2" W</x:t>
  </x:si>
  <x:si>
    <x:t xml:space="preserve">06°27'22.7" N, 75°16'05.2" W</x:t>
  </x:si>
  <x:si>
    <x:t xml:space="preserve">6.4563056</x:t>
  </x:si>
  <x:si>
    <x:t xml:space="preserve">-75.2681111</x:t>
  </x:si>
  <x:si>
    <x:t xml:space="preserve">6.4563056,-75.2681111</x:t>
  </x:si>
  <x:si>
    <x:t xml:space="preserve">Barbosa</x:t>
  </x:si>
  <x:si>
    <x:t xml:space="preserve">vereda Monte Loro</x:t>
  </x:si>
  <x:si>
    <x:t xml:space="preserve">Cuchilla de Monte Loro, Bosque Guayabal.</x:t>
  </x:si>
  <x:si>
    <x:t xml:space="preserve">Rodriguez W. &amp; M. Correa M. 3149</x:t>
  </x:si>
  <x:si>
    <x:t xml:space="preserve">HUA 132179</x:t>
  </x:si>
  <x:si>
    <x:t xml:space="preserve">Colombia, Antioquia, Copacabana, vereda Carrizal, sector Alto de Asturias.</x:t>
  </x:si>
  <x:si>
    <x:t xml:space="preserve">N 06°18'20"</x:t>
  </x:si>
  <x:si>
    <x:t xml:space="preserve">06°18'20" N</x:t>
  </x:si>
  <x:si>
    <x:t xml:space="preserve">W 75°30'54.6"</x:t>
  </x:si>
  <x:si>
    <x:t xml:space="preserve">75°30'54.6" W</x:t>
  </x:si>
  <x:si>
    <x:t xml:space="preserve">06°18'20" N, 75°30'54.6" W</x:t>
  </x:si>
  <x:si>
    <x:t xml:space="preserve">6.3055556</x:t>
  </x:si>
  <x:si>
    <x:t xml:space="preserve">-75.5151667</x:t>
  </x:si>
  <x:si>
    <x:t xml:space="preserve">6.3055556,-75.5151667</x:t>
  </x:si>
  <x:si>
    <x:t xml:space="preserve">Copacabana</x:t>
  </x:si>
  <x:si>
    <x:t xml:space="preserve">vereda Carrizal, sector Alto de Asturias.</x:t>
  </x:si>
  <x:si>
    <x:t xml:space="preserve">COL 458815</x:t>
  </x:si>
  <x:si>
    <x:t xml:space="preserve">JAUM 37510</x:t>
  </x:si>
  <x:si>
    <x:t xml:space="preserve">Rodríguez W. et al. 3682</x:t>
  </x:si>
  <x:si>
    <x:t xml:space="preserve">COL 484068</x:t>
  </x:si>
  <x:si>
    <x:t xml:space="preserve">Colombia, Antioquia, Sopetran, corregimiento Horizontes, parte alta del acueducto, cerca del alto La Virgen.</x:t>
  </x:si>
  <x:si>
    <x:t xml:space="preserve">N 06°34'50.9"</x:t>
  </x:si>
  <x:si>
    <x:t xml:space="preserve">06°34'50.9" N</x:t>
  </x:si>
  <x:si>
    <x:t xml:space="preserve">W 75°41'41"</x:t>
  </x:si>
  <x:si>
    <x:t xml:space="preserve">75°41'41" W</x:t>
  </x:si>
  <x:si>
    <x:t xml:space="preserve">06°34'50.9" N, 75°41'41" W</x:t>
  </x:si>
  <x:si>
    <x:t xml:space="preserve">corregimiento Horizontes, parte alta del acueducto, cerca del alto La Virgen.</x:t>
  </x:si>
  <x:si>
    <x:t xml:space="preserve">JAUM 38639</x:t>
  </x:si>
  <x:si>
    <x:t xml:space="preserve">HUA 137357</x:t>
  </x:si>
  <x:si>
    <x:t xml:space="preserve">Rodríguez W. et al. 4133 </x:t>
  </x:si>
  <x:si>
    <x:t xml:space="preserve">HUA 142005</x:t>
  </x:si>
  <x:si>
    <x:t xml:space="preserve">Colombia, Antioquia, Anorí, vereda Santa Gertrudis, finca la Estrella, quebrada que surte de agua la casa.</x:t>
  </x:si>
  <x:si>
    <x:t xml:space="preserve">N 07°07'58.8"</x:t>
  </x:si>
  <x:si>
    <x:t xml:space="preserve">07°07'58.8" N</x:t>
  </x:si>
  <x:si>
    <x:t xml:space="preserve">W 75°09'34.9"</x:t>
  </x:si>
  <x:si>
    <x:t xml:space="preserve">75°09'34.9" W</x:t>
  </x:si>
  <x:si>
    <x:t xml:space="preserve">07°07'58.8" N, 75°09'34.9" W</x:t>
  </x:si>
  <x:si>
    <x:t xml:space="preserve">7.133</x:t>
  </x:si>
  <x:si>
    <x:t xml:space="preserve">-75.1596944</x:t>
  </x:si>
  <x:si>
    <x:t xml:space="preserve">7.133,-75.1596944</x:t>
  </x:si>
  <x:si>
    <x:t xml:space="preserve">vereda Santa Gertrudis, finca la Estrella, quebrada que surte de agua la casa.</x:t>
  </x:si>
  <x:si>
    <x:t xml:space="preserve">Rodriguez W. et al., 4840</x:t>
  </x:si>
  <x:si>
    <x:t xml:space="preserve">HUA 153785</x:t>
  </x:si>
  <x:si>
    <x:t xml:space="preserve">Colombia, Antioquia, Fredonia, vereda Erbe, Microcuenca la Chaparrala, bh-MB. bosque secundario. </x:t>
  </x:si>
  <x:si>
    <x:t xml:space="preserve">N 05°59'01"</x:t>
  </x:si>
  <x:si>
    <x:t xml:space="preserve">05°59'01" N</x:t>
  </x:si>
  <x:si>
    <x:t xml:space="preserve">W 75°38'28.3"</x:t>
  </x:si>
  <x:si>
    <x:t xml:space="preserve">75°38'28.3" W</x:t>
  </x:si>
  <x:si>
    <x:t xml:space="preserve">05°59'01" N, 75°38'28.3" W</x:t>
  </x:si>
  <x:si>
    <x:t xml:space="preserve">vereda Erbe, Microcuenca la Chaparrala, bh-MB. bosque secundario.</x:t>
  </x:si>
  <x:si>
    <x:t xml:space="preserve">Muñoz E.L. et al., 1918</x:t>
  </x:si>
  <x:si>
    <x:t xml:space="preserve">CAUP 18829</x:t>
  </x:si>
  <x:si>
    <x:t xml:space="preserve">HUA 158394</x:t>
  </x:si>
  <x:si>
    <x:t xml:space="preserve">Colombia, Antioquia, Medellín, corregimiento de San Antonio de Prado, vereda La Verde, sector Montes del Encanto.</x:t>
  </x:si>
  <x:si>
    <x:t xml:space="preserve">N 06°12'39.7"</x:t>
  </x:si>
  <x:si>
    <x:t xml:space="preserve">06°12'39.7" N</x:t>
  </x:si>
  <x:si>
    <x:t xml:space="preserve">W 75°39'18.5"</x:t>
  </x:si>
  <x:si>
    <x:t xml:space="preserve">75°39'18.5" W</x:t>
  </x:si>
  <x:si>
    <x:t xml:space="preserve">06°12'39.7" N, 75°39'18.5" W</x:t>
  </x:si>
  <x:si>
    <x:t xml:space="preserve">corregimiento de San Antonio de Prado, vereda La Verde, sector Montes del Encanto.</x:t>
  </x:si>
  <x:si>
    <x:t xml:space="preserve">Sanín D.et al., 5127</x:t>
  </x:si>
  <x:si>
    <x:t xml:space="preserve">NY, COL</x:t>
  </x:si>
  <x:si>
    <x:t xml:space="preserve">Colombia, Antioquia, Urrao, La Encarnación, vereda Calles Abajo, Parque Nacional Natural Las Orquideas, vegetación al borde del camino entre la cabaña de Calles y La Raya, limite entre Urrao y Frontino.</x:t>
  </x:si>
  <x:si>
    <x:t xml:space="preserve">1000-1280</x:t>
  </x:si>
  <x:si>
    <x:t xml:space="preserve">N 06°30'45.2"</x:t>
  </x:si>
  <x:si>
    <x:t xml:space="preserve">06°30'45.2" N</x:t>
  </x:si>
  <x:si>
    <x:t xml:space="preserve">W 76° 15'41.4"</x:t>
  </x:si>
  <x:si>
    <x:t xml:space="preserve">76° 15'41.4" W</x:t>
  </x:si>
  <x:si>
    <x:t xml:space="preserve">06°30'45.2" N, 76° 15'41.4" W</x:t>
  </x:si>
  <x:si>
    <x:t xml:space="preserve">6.5125556</x:t>
  </x:si>
  <x:si>
    <x:t xml:space="preserve">-76.2615</x:t>
  </x:si>
  <x:si>
    <x:t xml:space="preserve">6.5125556,-76.2615</x:t>
  </x:si>
  <x:si>
    <x:t xml:space="preserve">La Encarnación, vereda Calles Abajo, Parque Nacional Natural Las Orquideas, vegetación al borde del camino entre la cabaña de Calles y La Raya, limite entre Urrao y Frontino.</x:t>
  </x:si>
  <x:si>
    <x:t xml:space="preserve">Sanín D.et al., 5133</x:t>
  </x:si>
  <x:si>
    <x:t xml:space="preserve">Colombia, Antioquia, Urrao, corregimiento La Encarnación, vereda Calles Abajo, Parque Nacional Natural Las Orquideas, vegetación al borde, camino entre la cabaña de Calles y La Raya, limite entre Urrao y Frontino.</x:t>
  </x:si>
  <x:si>
    <x:t xml:space="preserve">W 76° 15' 41.4"</x:t>
  </x:si>
  <x:si>
    <x:t xml:space="preserve">76° 15' 41.4" W</x:t>
  </x:si>
  <x:si>
    <x:t xml:space="preserve">06°30'45.2" N, 76° 15' 41.4" W</x:t>
  </x:si>
  <x:si>
    <x:t xml:space="preserve">corregimiento La Encarnación, vereda Calles Abajo, Parque Nacional Natural Las Orquideas, vegetación al borde, camino entre la cabaña de Calles y La Raya, limite entre Urrao y Frontino.</x:t>
  </x:si>
  <x:si>
    <x:t xml:space="preserve">Sanín D.et al., 5196</x:t>
  </x:si>
  <x:si>
    <x:t xml:space="preserve">Colombia, Antioquia, Frontino,  Parque Nacional Natural Las Orquideas, vereda Venados Abajo, despues de la Finca Vista Hermosa, divisorias de aguas entre el río Venados y Quebrada La Selva.</x:t>
  </x:si>
  <x:si>
    <x:t xml:space="preserve">1240-1280</x:t>
  </x:si>
  <x:si>
    <x:t xml:space="preserve">N 06°33'1.3"</x:t>
  </x:si>
  <x:si>
    <x:t xml:space="preserve">06°33'1.3" N</x:t>
  </x:si>
  <x:si>
    <x:t xml:space="preserve">W 76° 18' 54.3"</x:t>
  </x:si>
  <x:si>
    <x:t xml:space="preserve">76° 18' 54.3" W</x:t>
  </x:si>
  <x:si>
    <x:t xml:space="preserve">06°33'1.3" N, 76° 18' 54.3" W</x:t>
  </x:si>
  <x:si>
    <x:t xml:space="preserve">6.5503611</x:t>
  </x:si>
  <x:si>
    <x:t xml:space="preserve">-76.3150833</x:t>
  </x:si>
  <x:si>
    <x:t xml:space="preserve">6.5503611,-76.3150833</x:t>
  </x:si>
  <x:si>
    <x:t xml:space="preserve">Parque Nacional Natural Las Orquideas, vereda Venados Abajo, despues de la Finca Vista Hermosa, divisorias de aguas entre el río Venados y Quebrada La Selva.</x:t>
  </x:si>
  <x:si>
    <x:t xml:space="preserve">Rodríguez W. et al. 3199</x:t>
  </x:si>
  <x:si>
    <x:t xml:space="preserve">JAUM 37566</x:t>
  </x:si>
  <x:si>
    <x:t xml:space="preserve">Colombia, Antioquia, corregimiento de Santa Elena, vereda Las Brisas, sector de Cerro Verde, alrededor de las Antenas de Telecomunicaciones.</x:t>
  </x:si>
  <x:si>
    <x:t xml:space="preserve">N 06°12'12.6"</x:t>
  </x:si>
  <x:si>
    <x:t xml:space="preserve">06°12'12.6" N</x:t>
  </x:si>
  <x:si>
    <x:t xml:space="preserve">W 75°29'14.1"</x:t>
  </x:si>
  <x:si>
    <x:t xml:space="preserve">75°29'14.1" W</x:t>
  </x:si>
  <x:si>
    <x:t xml:space="preserve">06°12'12.6" N, 75°29'14.1" W</x:t>
  </x:si>
  <x:si>
    <x:t xml:space="preserve">6.2035</x:t>
  </x:si>
  <x:si>
    <x:t xml:space="preserve">-75.48725</x:t>
  </x:si>
  <x:si>
    <x:t xml:space="preserve">6.2035,-75.48725</x:t>
  </x:si>
  <x:si>
    <x:t xml:space="preserve">corregimiento de Santa Elena</x:t>
  </x:si>
  <x:si>
    <x:t xml:space="preserve">vereda Las Brisas, sector de Cerro Verde, alrededor de las Antenas de Telecomunicaciones.</x:t>
  </x:si>
  <x:si>
    <x:t xml:space="preserve">Diaz P. S. 3568</x:t>
  </x:si>
  <x:si>
    <x:t xml:space="preserve">COL 000336107</x:t>
  </x:si>
  <x:si>
    <x:t xml:space="preserve">Colombia, Chocó, San José del Palmar, vereda Portachuelo, Finca Barro Blanco.</x:t>
  </x:si>
  <x:si>
    <x:t xml:space="preserve">COL000336107</x:t>
  </x:si>
  <x:si>
    <x:t xml:space="preserve">vereda Portachuelo, Finca Barro Blanco.</x:t>
  </x:si>
  <x:si>
    <x:t xml:space="preserve">Sanín D 1964</x:t>
  </x:si>
  <x:si>
    <x:t xml:space="preserve">Colombia, Antioquia, Medellín, Parque Arví, corregimiento de Santa Helena, vereda Piedras Blancas, bosque rodeado por primeras regeneraciones a 30 min de las represa Piedras Blancas.</x:t>
  </x:si>
  <x:si>
    <x:t xml:space="preserve">W74°51'34.5"</x:t>
  </x:si>
  <x:si>
    <x:t xml:space="preserve">4°51'34.5" W</x:t>
  </x:si>
  <x:si>
    <x:t xml:space="preserve">05°53'50.2" N, 4°51'34.5" W</x:t>
  </x:si>
  <x:si>
    <x:t xml:space="preserve">-4.8595833</x:t>
  </x:si>
  <x:si>
    <x:t xml:space="preserve">5.8972778,-4.8595833</x:t>
  </x:si>
  <x:si>
    <x:t xml:space="preserve">Parque Arví, corregimiento de Santa Helena, vereda Piedras Blancas, bosque rodeado por primeras regeneraciones a 30 min de las represa Piedras Blancas.</x:t>
  </x:si>
  <x:si>
    <x:t xml:space="preserve">S. funckii (Meet.) A.R.Sm.</x:t>
  </x:si>
  <x:si>
    <x:t xml:space="preserve">M. Nee &amp; S. Mori 3833</x:t>
  </x:si>
  <x:si>
    <x:t xml:space="preserve">COL 171392</x:t>
  </x:si>
  <x:si>
    <x:t xml:space="preserve">Antioquia, Piedras Blancas, 2,5 Km de la vía Medellín-Guarne</x:t>
  </x:si>
  <x:si>
    <x:t xml:space="preserve">2200-2600</x:t>
  </x:si>
  <x:si>
    <x:t xml:space="preserve">6° 17' N</x:t>
  </x:si>
  <x:si>
    <x:t xml:space="preserve">75° 30' W</x:t>
  </x:si>
  <x:si>
    <x:t xml:space="preserve">6° 17' N, 75° 30' W</x:t>
  </x:si>
  <x:si>
    <x:t xml:space="preserve">6.2833333,-75.5</x:t>
  </x:si>
  <x:si>
    <x:t xml:space="preserve">Piedras Blancas</x:t>
  </x:si>
  <x:si>
    <x:t xml:space="preserve">2, 5 Km de la vía Medellín-Guarne</x:t>
  </x:si>
  <x:si>
    <x:t xml:space="preserve">S. funckii (Meet.)A.R. Sm.</x:t>
  </x:si>
  <x:si>
    <x:t xml:space="preserve">N. Contreras &amp; D. L. Echeverri 95</x:t>
  </x:si>
  <x:si>
    <x:t xml:space="preserve">Antioquia, Guatapé, Vda. Santa Rita, Finca Montepinar</x:t>
  </x:si>
  <x:si>
    <x:t xml:space="preserve">6°15'N, 75°10' W</x:t>
  </x:si>
  <x:si>
    <x:t xml:space="preserve">S. funckii (Meet.)A.R.Sm.</x:t>
  </x:si>
  <x:si>
    <x:t xml:space="preserve">N. Contreras &amp; N. Contreras 318</x:t>
  </x:si>
  <x:si>
    <x:t xml:space="preserve">Antioquia, Guatapé</x:t>
  </x:si>
  <x:si>
    <x:t xml:space="preserve">6° 15 N</x:t>
  </x:si>
  <x:si>
    <x:t xml:space="preserve">75°10 W</x:t>
  </x:si>
  <x:si>
    <x:t xml:space="preserve">6° 15 N, 75°10 W</x:t>
  </x:si>
  <x:si>
    <x:t xml:space="preserve">S. lasiopus (Klotzsch) A.R. Sm.</x:t>
  </x:si>
  <x:si>
    <x:t xml:space="preserve">Serpocaulon lasiopus</x:t>
  </x:si>
  <x:si>
    <x:t xml:space="preserve">Rodríguez W. et al., 3268 </x:t>
  </x:si>
  <x:si>
    <x:t xml:space="preserve">JAUM 37655</x:t>
  </x:si>
  <x:si>
    <x:t xml:space="preserve">Colombia, Antioquia, Guarne, vereda La Quiebra, sitio La Embajada.</x:t>
  </x:si>
  <x:si>
    <x:t xml:space="preserve">N 06°12'02.8"</x:t>
  </x:si>
  <x:si>
    <x:t xml:space="preserve">06°12'02.8" N</x:t>
  </x:si>
  <x:si>
    <x:t xml:space="preserve">W 75°27'58.4"</x:t>
  </x:si>
  <x:si>
    <x:t xml:space="preserve">75°27'58.4" W</x:t>
  </x:si>
  <x:si>
    <x:t xml:space="preserve">06°12'02.8" N, 75°27'58.4" W</x:t>
  </x:si>
  <x:si>
    <x:t xml:space="preserve">6.2007778</x:t>
  </x:si>
  <x:si>
    <x:t xml:space="preserve">-75.4662222</x:t>
  </x:si>
  <x:si>
    <x:t xml:space="preserve">6.2007778,-75.4662222</x:t>
  </x:si>
  <x:si>
    <x:t xml:space="preserve">vereda La Quiebra, sitio La Embajada.</x:t>
  </x:si>
  <x:si>
    <x:t xml:space="preserve">MEDEL 43818</x:t>
  </x:si>
  <x:si>
    <x:t xml:space="preserve">HUA 132163</x:t>
  </x:si>
  <x:si>
    <x:t xml:space="preserve">Muñoz E.L. &amp; D. Macias P. 636</x:t>
  </x:si>
  <x:si>
    <x:t xml:space="preserve">CAUP 17518</x:t>
  </x:si>
  <x:si>
    <x:t xml:space="preserve">Colombia, Cajibio, vereda El Cofre, orillas del Río Cofre.</x:t>
  </x:si>
  <x:si>
    <x:t xml:space="preserve">N 02°38'</x:t>
  </x:si>
  <x:si>
    <x:t xml:space="preserve">02°38' N</x:t>
  </x:si>
  <x:si>
    <x:t xml:space="preserve">02°38' N, 76°38' W</x:t>
  </x:si>
  <x:si>
    <x:t xml:space="preserve">2.6333333</x:t>
  </x:si>
  <x:si>
    <x:t xml:space="preserve">2.6333333,-76.6333333</x:t>
  </x:si>
  <x:si>
    <x:t xml:space="preserve">6315,763</x:t>
  </x:si>
  <x:si>
    <x:t xml:space="preserve">CAUP_17518</x:t>
  </x:si>
  <x:si>
    <x:t xml:space="preserve">Cajibio</x:t>
  </x:si>
  <x:si>
    <x:t xml:space="preserve">vereda El Cofre</x:t>
  </x:si>
  <x:si>
    <x:t xml:space="preserve">orillas del Río Cofre.</x:t>
  </x:si>
  <x:si>
    <x:t xml:space="preserve">Espinal S. &amp; J.E. Ramos 3592</x:t>
  </x:si>
  <x:si>
    <x:t xml:space="preserve">CUVC 4248</x:t>
  </x:si>
  <x:si>
    <x:t xml:space="preserve">Colombia, Cauca, Popayán.</x:t>
  </x:si>
  <x:si>
    <x:t xml:space="preserve">N 02°30'</x:t>
  </x:si>
  <x:si>
    <x:t xml:space="preserve">02°30' N</x:t>
  </x:si>
  <x:si>
    <x:t xml:space="preserve">W 76°35'</x:t>
  </x:si>
  <x:si>
    <x:t xml:space="preserve">76°35' W</x:t>
  </x:si>
  <x:si>
    <x:t xml:space="preserve">02°30' N, 76°35' W</x:t>
  </x:si>
  <x:si>
    <x:t xml:space="preserve">2.5</x:t>
  </x:si>
  <x:si>
    <x:t xml:space="preserve">-76.5833333</x:t>
  </x:si>
  <x:si>
    <x:t xml:space="preserve">2.5,-76.5833333</x:t>
  </x:si>
  <x:si>
    <x:t xml:space="preserve">Popayán.</x:t>
  </x:si>
  <x:si>
    <x:t xml:space="preserve">CUVC 4247</x:t>
  </x:si>
  <x:si>
    <x:t xml:space="preserve">CUVC 4245</x:t>
  </x:si>
  <x:si>
    <x:t xml:space="preserve">COL 117656</x:t>
  </x:si>
  <x:si>
    <x:t xml:space="preserve">Ramírez-P. B.R. 12768</x:t>
  </x:si>
  <x:si>
    <x:t xml:space="preserve">CAUP 14645</x:t>
  </x:si>
  <x:si>
    <x:t xml:space="preserve">Colombia, Cauca, Popayán, camino enre la vía Totoró y la Vereda Clarete.</x:t>
  </x:si>
  <x:si>
    <x:t xml:space="preserve">W 76°29'</x:t>
  </x:si>
  <x:si>
    <x:t xml:space="preserve">76°29' W</x:t>
  </x:si>
  <x:si>
    <x:t xml:space="preserve">02°27' N, 76°29' W</x:t>
  </x:si>
  <x:si>
    <x:t xml:space="preserve">-76.4833333</x:t>
  </x:si>
  <x:si>
    <x:t xml:space="preserve">2.45,-76.4833333</x:t>
  </x:si>
  <x:si>
    <x:t xml:space="preserve">camino enre la vía Totoró y la Vereda Clarete.</x:t>
  </x:si>
  <x:si>
    <x:t xml:space="preserve">Ramírez-P. B.R. 13653</x:t>
  </x:si>
  <x:si>
    <x:t xml:space="preserve">COL 481715</x:t>
  </x:si>
  <x:si>
    <x:t xml:space="preserve">Colombia, Cauca, Popayán, km 2 vía al Huila, cruce por la Cabaña de don Luis. Quebrada Quitacalzón.</x:t>
  </x:si>
  <x:si>
    <x:t xml:space="preserve">N 02°26'39"</x:t>
  </x:si>
  <x:si>
    <x:t xml:space="preserve">02°26'39" N</x:t>
  </x:si>
  <x:si>
    <x:t xml:space="preserve">W 76°35'25"</x:t>
  </x:si>
  <x:si>
    <x:t xml:space="preserve">76°35'25" W</x:t>
  </x:si>
  <x:si>
    <x:t xml:space="preserve">02°26'39" N, 76°35'25" W</x:t>
  </x:si>
  <x:si>
    <x:t xml:space="preserve">2.4441667</x:t>
  </x:si>
  <x:si>
    <x:t xml:space="preserve">-76.5902778</x:t>
  </x:si>
  <x:si>
    <x:t xml:space="preserve">2.4441667,-76.5902778</x:t>
  </x:si>
  <x:si>
    <x:t xml:space="preserve">km 2 vía al Huila, cruce por la Cabaña de don Luis. Quebrada Quitacalzón.</x:t>
  </x:si>
  <x:si>
    <x:t xml:space="preserve">Ramírez-P. B.R. 13719</x:t>
  </x:si>
  <x:si>
    <x:t xml:space="preserve">COL 481686</x:t>
  </x:si>
  <x:si>
    <x:t xml:space="preserve">Colombia, Cauca, Popayán, Río Palacé, km 25 víaTotoró.</x:t>
  </x:si>
  <x:si>
    <x:t xml:space="preserve">Río Palacé, km 25 víaTotoró.</x:t>
  </x:si>
  <x:si>
    <x:t xml:space="preserve">Alcázar Caicedo A. &amp; S.L. Díaz 297</x:t>
  </x:si>
  <x:si>
    <x:t xml:space="preserve">CAUP 7919</x:t>
  </x:si>
  <x:si>
    <x:t xml:space="preserve">Colombia, Cauca, Popayán, vereda las Guacas, carretera que conduce a la vereda El Cabuyo, fragmento de Bosque ubicado frente a la Finca Las Guacas.</x:t>
  </x:si>
  <x:si>
    <x:t xml:space="preserve">1024,653</x:t>
  </x:si>
  <x:si>
    <x:t xml:space="preserve">vereda las Guacas, carretera que conduce a la vereda El Cabuyo, fragmento de Bosque ubicado frente a la Finca Las Guacas.</x:t>
  </x:si>
  <x:si>
    <x:t xml:space="preserve">Otálora N. 119</x:t>
  </x:si>
  <x:si>
    <x:t xml:space="preserve">CAUP 20560</x:t>
  </x:si>
  <x:si>
    <x:t xml:space="preserve">Colombia, Cauca, Cajibío, Raíces de Vida.</x:t>
  </x:si>
  <x:si>
    <x:t xml:space="preserve">Cajibío</x:t>
  </x:si>
  <x:si>
    <x:t xml:space="preserve">Raíces de Vida.</x:t>
  </x:si>
  <x:si>
    <x:t xml:space="preserve">Foster M.B. &amp; R. Foster 1810</x:t>
  </x:si>
  <x:si>
    <x:t xml:space="preserve">COL 000336123</x:t>
  </x:si>
  <x:si>
    <x:t xml:space="preserve">Colombia, Cundinamarca, Suesca, Hacienda Susatá.</x:t>
  </x:si>
  <x:si>
    <x:t xml:space="preserve">8600 ft</x:t>
  </x:si>
  <x:si>
    <x:t xml:space="preserve">1294,344</x:t>
  </x:si>
  <x:si>
    <x:t xml:space="preserve">COL000336123</x:t>
  </x:si>
  <x:si>
    <x:t xml:space="preserve">Suesca</x:t>
  </x:si>
  <x:si>
    <x:t xml:space="preserve">Hacienda Susatá.</x:t>
  </x:si>
  <x:si>
    <x:t xml:space="preserve">Acosta-Arteaga C.E. 405</x:t>
  </x:si>
  <x:si>
    <x:t xml:space="preserve">COL 000336124</x:t>
  </x:si>
  <x:si>
    <x:t xml:space="preserve">Colombia, Cundinamarca, Cachetá, en el cementerio.</x:t>
  </x:si>
  <x:si>
    <x:t xml:space="preserve">COL000336124</x:t>
  </x:si>
  <x:si>
    <x:t xml:space="preserve">Cachetá</x:t>
  </x:si>
  <x:si>
    <x:t xml:space="preserve">en el cementerio.</x:t>
  </x:si>
  <x:si>
    <x:t xml:space="preserve">Acosta-Arteaga C.E. 423</x:t>
  </x:si>
  <x:si>
    <x:t xml:space="preserve">MEDEL 26133</x:t>
  </x:si>
  <x:si>
    <x:t xml:space="preserve">Colombia, Cundinamarca, Suesca, en la parte inferior de las rocas.</x:t>
  </x:si>
  <x:si>
    <x:t xml:space="preserve">MEDEL26133</x:t>
  </x:si>
  <x:si>
    <x:t xml:space="preserve">en la parte inferior de las rocas.</x:t>
  </x:si>
  <x:si>
    <x:t xml:space="preserve">Acosta-Arteaga C.E. 595</x:t>
  </x:si>
  <x:si>
    <x:t xml:space="preserve">COL 000336144</x:t>
  </x:si>
  <x:si>
    <x:t xml:space="preserve">Colombia, Cundinamarca, Laguna de Ubaque.</x:t>
  </x:si>
  <x:si>
    <x:t xml:space="preserve">COL000336144</x:t>
  </x:si>
  <x:si>
    <x:t xml:space="preserve">Laguna de Ubaque.</x:t>
  </x:si>
  <x:si>
    <x:t xml:space="preserve">Chaparro de Becerra A. &amp; E. Barrera 89</x:t>
  </x:si>
  <x:si>
    <x:t xml:space="preserve">COL 000335867</x:t>
  </x:si>
  <x:si>
    <x:t xml:space="preserve">Colombia, Cundinamarca, San Cayetano, vía Villa Gomez, vereda Chingatubi</x:t>
  </x:si>
  <x:si>
    <x:t xml:space="preserve">251,921</x:t>
  </x:si>
  <x:si>
    <x:t xml:space="preserve">COL000335867</x:t>
  </x:si>
  <x:si>
    <x:t xml:space="preserve">San Cayetano</x:t>
  </x:si>
  <x:si>
    <x:t xml:space="preserve">vía Villa Gomez, vereda Chingatubi</x:t>
  </x:si>
  <x:si>
    <x:t xml:space="preserve">Groenendijk J. P. &amp; N. Rietman 1317</x:t>
  </x:si>
  <x:si>
    <x:t xml:space="preserve">COL 000336136</x:t>
  </x:si>
  <x:si>
    <x:t xml:space="preserve">Garcia-Barriga H. 10919</x:t>
  </x:si>
  <x:si>
    <x:t xml:space="preserve">COL 000336128</x:t>
  </x:si>
  <x:si>
    <x:t xml:space="preserve">Colombia, Cundinamarca, Mosquera, Laguna La Herrera.</x:t>
  </x:si>
  <x:si>
    <x:t xml:space="preserve">COL000336128</x:t>
  </x:si>
  <x:si>
    <x:t xml:space="preserve">Mosquera</x:t>
  </x:si>
  <x:si>
    <x:t xml:space="preserve">Laguna La Herrera.</x:t>
  </x:si>
  <x:si>
    <x:t xml:space="preserve">Acosta-Arteaga C.E. Et al., 2244</x:t>
  </x:si>
  <x:si>
    <x:t xml:space="preserve">COL 000335862</x:t>
  </x:si>
  <x:si>
    <x:t xml:space="preserve">Colombia, Cundinamarca, La Mesa, Laguna de Pedro Palo.</x:t>
  </x:si>
  <x:si>
    <x:t xml:space="preserve">Laguna de Pedro Palo.</x:t>
  </x:si>
  <x:si>
    <x:t xml:space="preserve">S. latissimum (Kunze) A.R. Sm.</x:t>
  </x:si>
  <x:si>
    <x:t xml:space="preserve">Serpocaulon latissimum</x:t>
  </x:si>
  <x:si>
    <x:t xml:space="preserve">Schultes R.E. &amp; I. Cabrera 16501</x:t>
  </x:si>
  <x:si>
    <x:t xml:space="preserve">COL 000335839</x:t>
  </x:si>
  <x:si>
    <x:t xml:space="preserve">Colombia, Amazonas, río Miriparaná, Cerro de la Gente Chiquita in headwaters of Quebrada Guacayá.</x:t>
  </x:si>
  <x:si>
    <x:t xml:space="preserve">COL335839</x:t>
  </x:si>
  <x:si>
    <x:t xml:space="preserve">Amazonas</x:t>
  </x:si>
  <x:si>
    <x:t xml:space="preserve">río Miriparaná</x:t>
  </x:si>
  <x:si>
    <x:t xml:space="preserve">Cerro de la Gente Chiquita in headwaters of Quebrada Guacayá.</x:t>
  </x:si>
  <x:si>
    <x:t xml:space="preserve">Soejarto D.D. 2638</x:t>
  </x:si>
  <x:si>
    <x:t xml:space="preserve">HUA 4134</x:t>
  </x:si>
  <x:si>
    <x:t xml:space="preserve">Colombia, Antioquia, Zaragoza, corregimiento de Providencia, along Río Anorí, vic. Of the hydroelectric plant. </x:t>
  </x:si>
  <x:si>
    <x:t xml:space="preserve">N 07°48'47.67"</x:t>
  </x:si>
  <x:si>
    <x:t xml:space="preserve">07°48'47.67" N</x:t>
  </x:si>
  <x:si>
    <x:t xml:space="preserve">W 75°12'06.27"</x:t>
  </x:si>
  <x:si>
    <x:t xml:space="preserve">75°12'06.27" W</x:t>
  </x:si>
  <x:si>
    <x:t xml:space="preserve">07°48'47.67" N, 75°12'06.27" W</x:t>
  </x:si>
  <x:si>
    <x:t xml:space="preserve">7.8132417</x:t>
  </x:si>
  <x:si>
    <x:t xml:space="preserve">-75.2017417</x:t>
  </x:si>
  <x:si>
    <x:t xml:space="preserve">7.8132417,-75.2017417</x:t>
  </x:si>
  <x:si>
    <x:t xml:space="preserve">El corregimiento Providencia se encuentra en Anorí</x:t>
  </x:si>
  <x:si>
    <x:t xml:space="preserve">HUA20406</x:t>
  </x:si>
  <x:si>
    <x:t xml:space="preserve">Zaragoza</x:t>
  </x:si>
  <x:si>
    <x:t xml:space="preserve">corregimiento de Providencia, along Río Anorí, vic. Of the hydroelectric plant.</x:t>
  </x:si>
  <x:si>
    <x:t xml:space="preserve">COL 151771</x:t>
  </x:si>
  <x:si>
    <x:t xml:space="preserve">Soejarto D.D. 2854</x:t>
  </x:si>
  <x:si>
    <x:t xml:space="preserve">HUA 26405</x:t>
  </x:si>
  <x:si>
    <x:t xml:space="preserve">Colombia, Antioquia, Anorí, corregimiento de Providencia.</x:t>
  </x:si>
  <x:si>
    <x:t xml:space="preserve">400-700</x:t>
  </x:si>
  <x:si>
    <x:t xml:space="preserve">corregimiento de Providencia.</x:t>
  </x:si>
  <x:si>
    <x:t xml:space="preserve">COL 153818</x:t>
  </x:si>
  <x:si>
    <x:t xml:space="preserve">Fonnegra R. et al.,  375</x:t>
  </x:si>
  <x:si>
    <x:t xml:space="preserve">HUA 4182</x:t>
  </x:si>
  <x:si>
    <x:t xml:space="preserve">Colombia, Antioquia, Anorí, corregimiento de Providencia, Planta de Providencia, Valle del Río Anorí, Entre dos Bocas y Anorí.  </x:t>
  </x:si>
  <x:si>
    <x:t xml:space="preserve">corregimiento de Providencia, Planta de Providencia, Valle del Río Anorí, Entre dos Bocas y Anorí.</x:t>
  </x:si>
  <x:si>
    <x:t xml:space="preserve">HUA 4181</x:t>
  </x:si>
  <x:si>
    <x:t xml:space="preserve">Shepherd J.D. 301</x:t>
  </x:si>
  <x:si>
    <x:t xml:space="preserve">HUA 5834</x:t>
  </x:si>
  <x:si>
    <x:t xml:space="preserve">N 07°13'</x:t>
  </x:si>
  <x:si>
    <x:t xml:space="preserve">07°13' N</x:t>
  </x:si>
  <x:si>
    <x:t xml:space="preserve">07°13' N, 75°03' W</x:t>
  </x:si>
  <x:si>
    <x:t xml:space="preserve">7.2166667</x:t>
  </x:si>
  <x:si>
    <x:t xml:space="preserve">7.2166667,-75.05</x:t>
  </x:si>
  <x:si>
    <x:t xml:space="preserve">COL 186832</x:t>
  </x:si>
  <x:si>
    <x:t xml:space="preserve">Callejas R. 246</x:t>
  </x:si>
  <x:si>
    <x:t xml:space="preserve">HUA 6116</x:t>
  </x:si>
  <x:si>
    <x:t xml:space="preserve">Colombia, Antioquia, Cáceres, cabecera municipal El Doce, Bajo cauca, zona entre las quegradas Puri y Corrales.</x:t>
  </x:si>
  <x:si>
    <x:t xml:space="preserve">200-400</x:t>
  </x:si>
  <x:si>
    <x:t xml:space="preserve">N 07°34'42.20"</x:t>
  </x:si>
  <x:si>
    <x:t xml:space="preserve">07°34'42.20" N</x:t>
  </x:si>
  <x:si>
    <x:t xml:space="preserve">W 75°20'54.62"</x:t>
  </x:si>
  <x:si>
    <x:t xml:space="preserve">75°20'54.62" W</x:t>
  </x:si>
  <x:si>
    <x:t xml:space="preserve">07°34'42.20" N, 75°20'54.62" W</x:t>
  </x:si>
  <x:si>
    <x:t xml:space="preserve">7.5783889</x:t>
  </x:si>
  <x:si>
    <x:t xml:space="preserve">-75.3485056</x:t>
  </x:si>
  <x:si>
    <x:t xml:space="preserve">7.5783889,-75.3485056</x:t>
  </x:si>
  <x:si>
    <x:t xml:space="preserve">Cáceres</x:t>
  </x:si>
  <x:si>
    <x:t xml:space="preserve">cabecera municipal El Doce, Bajo cauca, zona entre las quegradas Puri y Corrales.</x:t>
  </x:si>
  <x:si>
    <x:t xml:space="preserve">Marulanda O. et al., 189</x:t>
  </x:si>
  <x:si>
    <x:t xml:space="preserve">HUA 34692</x:t>
  </x:si>
  <x:si>
    <x:t xml:space="preserve">Colombia, Antioquia, Jardín, vereda Las Margaritas, finca La Margarita, bosque al borde del Río Docató.</x:t>
  </x:si>
  <x:si>
    <x:t xml:space="preserve">N 05°35'59.40"</x:t>
  </x:si>
  <x:si>
    <x:t xml:space="preserve">05°35'59.40" N</x:t>
  </x:si>
  <x:si>
    <x:t xml:space="preserve">W 75°49'11.40"</x:t>
  </x:si>
  <x:si>
    <x:t xml:space="preserve">75°49'11.40" W</x:t>
  </x:si>
  <x:si>
    <x:t xml:space="preserve">05°35'59.40" N, 75°49'11.40" W</x:t>
  </x:si>
  <x:si>
    <x:t xml:space="preserve">5.5998333</x:t>
  </x:si>
  <x:si>
    <x:t xml:space="preserve">-75.8198333</x:t>
  </x:si>
  <x:si>
    <x:t xml:space="preserve">5.5998333,-75.8198333</x:t>
  </x:si>
  <x:si>
    <x:t xml:space="preserve">vereda Las Margaritas, finca La Margarita, bosque al borde del Río Docató.</x:t>
  </x:si>
  <x:si>
    <x:t xml:space="preserve">Arbeláez A.L. et al., 190</x:t>
  </x:si>
  <x:si>
    <x:t xml:space="preserve">MEDEL 25777</x:t>
  </x:si>
  <x:si>
    <x:t xml:space="preserve">Colombia, Antioquia, Cáceres, 7 km noreste de Cáceres, sobre troncal de la Paz.</x:t>
  </x:si>
  <x:si>
    <x:t xml:space="preserve">110-130</x:t>
  </x:si>
  <x:si>
    <x:t xml:space="preserve">7 km noreste de Cáceres, sobre troncal de la Paz.</x:t>
  </x:si>
  <x:si>
    <x:t xml:space="preserve">Arbeláez A.L. et al., 292</x:t>
  </x:si>
  <x:si>
    <x:t xml:space="preserve">HUA 44796</x:t>
  </x:si>
  <x:si>
    <x:t xml:space="preserve">Colombia, Antioquia, Jardín, vereda el Salado, bosque al margen del río Docató.</x:t>
  </x:si>
  <x:si>
    <x:t xml:space="preserve">vereda el Salado, bosque al margen del río Docató.</x:t>
  </x:si>
  <x:si>
    <x:t xml:space="preserve">Fonnegra R. et al., 3030</x:t>
  </x:si>
  <x:si>
    <x:t xml:space="preserve">HUA 61780</x:t>
  </x:si>
  <x:si>
    <x:t xml:space="preserve">Colombia, Antioquia, San Carlos, corregimiento Alto de Samaná, vereda Miraflores, al interior de Bosque.</x:t>
  </x:si>
  <x:si>
    <x:t xml:space="preserve">820-900</x:t>
  </x:si>
  <x:si>
    <x:t xml:space="preserve">N 06°06'24.17"</x:t>
  </x:si>
  <x:si>
    <x:t xml:space="preserve">06°06'24.17" N</x:t>
  </x:si>
  <x:si>
    <x:t xml:space="preserve">W 74°57'39.07"</x:t>
  </x:si>
  <x:si>
    <x:t xml:space="preserve">74°57'39.07" W</x:t>
  </x:si>
  <x:si>
    <x:t xml:space="preserve">06°06'24.17" N, 74°57'39.07" W</x:t>
  </x:si>
  <x:si>
    <x:t xml:space="preserve">6.1067139</x:t>
  </x:si>
  <x:si>
    <x:t xml:space="preserve">-74.9608528</x:t>
  </x:si>
  <x:si>
    <x:t xml:space="preserve">6.1067139,-74.9608528</x:t>
  </x:si>
  <x:si>
    <x:t xml:space="preserve">San Carlos</x:t>
  </x:si>
  <x:si>
    <x:t xml:space="preserve">corregimiento Alto de Samaná, vereda Miraflores, al interior de Bosque.</x:t>
  </x:si>
  <x:si>
    <x:t xml:space="preserve">Callejas R. et al., 8797</x:t>
  </x:si>
  <x:si>
    <x:t xml:space="preserve">HUA 68453</x:t>
  </x:si>
  <x:si>
    <x:t xml:space="preserve">Colombia, Antioquia, Anorí, vereda El Carmen, kms 18-20,5 N de Anorí, en la vía a Dos Bocas.</x:t>
  </x:si>
  <x:si>
    <x:t xml:space="preserve">820-910</x:t>
  </x:si>
  <x:si>
    <x:t xml:space="preserve">N 07°15'</x:t>
  </x:si>
  <x:si>
    <x:t xml:space="preserve">07°15' N</x:t>
  </x:si>
  <x:si>
    <x:t xml:space="preserve">W 75°12'</x:t>
  </x:si>
  <x:si>
    <x:t xml:space="preserve">75°12' W</x:t>
  </x:si>
  <x:si>
    <x:t xml:space="preserve">07°15' N, 75°12' W</x:t>
  </x:si>
  <x:si>
    <x:t xml:space="preserve">7.25</x:t>
  </x:si>
  <x:si>
    <x:t xml:space="preserve">-75.2</x:t>
  </x:si>
  <x:si>
    <x:t xml:space="preserve">7.25,-75.2</x:t>
  </x:si>
  <x:si>
    <x:t xml:space="preserve">vereda El Carmen, kms 18-20, 5 N de Anorí, en la vía a Dos Bocas.</x:t>
  </x:si>
  <x:si>
    <x:t xml:space="preserve">Rodriguez et al., 4221</x:t>
  </x:si>
  <x:si>
    <x:t xml:space="preserve">COL 500687</x:t>
  </x:si>
  <x:si>
    <x:t xml:space="preserve">Colombia, Antioquia, Anorí, vereda San Antonio, finca El Cielo.</x:t>
  </x:si>
  <x:si>
    <x:t xml:space="preserve">N 07°16'00.5"</x:t>
  </x:si>
  <x:si>
    <x:t xml:space="preserve">07°16'00.5" N</x:t>
  </x:si>
  <x:si>
    <x:t xml:space="preserve">W 75°03'51.9"</x:t>
  </x:si>
  <x:si>
    <x:t xml:space="preserve">75°03'51.9" W</x:t>
  </x:si>
  <x:si>
    <x:t xml:space="preserve">07°16'00.5" N, 75°03'51.9" W</x:t>
  </x:si>
  <x:si>
    <x:t xml:space="preserve">7.2668056</x:t>
  </x:si>
  <x:si>
    <x:t xml:space="preserve">-75.0644167</x:t>
  </x:si>
  <x:si>
    <x:t xml:space="preserve">7.2668056,-75.0644167</x:t>
  </x:si>
  <x:si>
    <x:t xml:space="preserve">vereda San Antonio, finca El Cielo.</x:t>
  </x:si>
  <x:si>
    <x:t xml:space="preserve">HUA 142021</x:t>
  </x:si>
  <x:si>
    <x:t xml:space="preserve">MEDEL 47568</x:t>
  </x:si>
  <x:si>
    <x:t xml:space="preserve">Rodriguez et al., 4322</x:t>
  </x:si>
  <x:si>
    <x:t xml:space="preserve">HUA 142044</x:t>
  </x:si>
  <x:si>
    <x:t xml:space="preserve">COL 500688</x:t>
  </x:si>
  <x:si>
    <x:t xml:space="preserve">Rodriguez et al., 4460</x:t>
  </x:si>
  <x:si>
    <x:t xml:space="preserve">MEDEL 47569</x:t>
  </x:si>
  <x:si>
    <x:t xml:space="preserve">Colombia, Antioquia, Anorí, vereda Puntiadero, o la Concha abajo, quebradas El Salto y El Claro, sector La Concha Abajo.</x:t>
  </x:si>
  <x:si>
    <x:t xml:space="preserve">N 07°17'01.2"</x:t>
  </x:si>
  <x:si>
    <x:t xml:space="preserve">07°17'01.2" N</x:t>
  </x:si>
  <x:si>
    <x:t xml:space="preserve">W 75°05'17.1"</x:t>
  </x:si>
  <x:si>
    <x:t xml:space="preserve">75°05'17.1" W</x:t>
  </x:si>
  <x:si>
    <x:t xml:space="preserve">07°17'01.2" N, 75°05'17.1" W</x:t>
  </x:si>
  <x:si>
    <x:t xml:space="preserve">7.2836667</x:t>
  </x:si>
  <x:si>
    <x:t xml:space="preserve">-75.0880833</x:t>
  </x:si>
  <x:si>
    <x:t xml:space="preserve">7.2836667,-75.0880833</x:t>
  </x:si>
  <x:si>
    <x:t xml:space="preserve">vereda Puntiadero, o la Concha abajo, quebradas El Salto y El Claro, sector La Concha Abajo.</x:t>
  </x:si>
  <x:si>
    <x:t xml:space="preserve">COL 500689</x:t>
  </x:si>
  <x:si>
    <x:t xml:space="preserve">Rodriguez et al., 4508</x:t>
  </x:si>
  <x:si>
    <x:t xml:space="preserve">HUA 142064</x:t>
  </x:si>
  <x:si>
    <x:t xml:space="preserve">Colombia, Antioquia, Anorí, vereda Madre Seca, quebrada Espiritu Santo.</x:t>
  </x:si>
  <x:si>
    <x:t xml:space="preserve">vereda Madre Seca, quebrada Espiritu Santo.</x:t>
  </x:si>
  <x:si>
    <x:t xml:space="preserve">Fonnegra R. et al., 375</x:t>
  </x:si>
  <x:si>
    <x:t xml:space="preserve">HUA 54664</x:t>
  </x:si>
  <x:si>
    <x:t xml:space="preserve">Colombia, Antioquia, Anorí, corregimiento de Providencia, Valle del Río Anorí, Entre dos Bocas y Anorí.  </x:t>
  </x:si>
  <x:si>
    <x:t xml:space="preserve">corregimiento de Providencia, Valle del Río Anorí, Entre dos Bocas y Anorí.</x:t>
  </x:si>
  <x:si>
    <x:t xml:space="preserve">S. latissimum (R.C. Moran &amp; B. Ollg.) A. R. Sm.</x:t>
  </x:si>
  <x:si>
    <x:t xml:space="preserve">Sanín D. et al., 5151</x:t>
  </x:si>
  <x:si>
    <x:t xml:space="preserve">Colombia, Antioquia, Frontino, Parque Natural Nacional Las Orquideas, sector Venados, vereda Venados Abajo, finca de Gabriel Montoya, a la margen derecha del Río Venados; bosque al borde del camino.</x:t>
  </x:si>
  <x:si>
    <x:t xml:space="preserve">N06° 32' 23.5"</x:t>
  </x:si>
  <x:si>
    <x:t xml:space="preserve">6° 32' 23.5" N</x:t>
  </x:si>
  <x:si>
    <x:t xml:space="preserve">W 76° 19'9.7"</x:t>
  </x:si>
  <x:si>
    <x:t xml:space="preserve">76° 19'9.7" W</x:t>
  </x:si>
  <x:si>
    <x:t xml:space="preserve">6° 32' 23.5" N, 76° 19'9.7" W</x:t>
  </x:si>
  <x:si>
    <x:t xml:space="preserve">-76.3193611</x:t>
  </x:si>
  <x:si>
    <x:t xml:space="preserve">6.5398611,-76.3193611</x:t>
  </x:si>
  <x:si>
    <x:t xml:space="preserve">Parque Natural Nacional Las Orquideas, sector Venados, vereda Venados Abajo, finca de Gabriel Montoya, a la margen derecha del Río Venados; bosque al borde del camino.</x:t>
  </x:si>
  <x:si>
    <x:t xml:space="preserve">Sanín D. et al., 5157</x:t>
  </x:si>
  <x:si>
    <x:t xml:space="preserve">Sanín D. et al., 5109</x:t>
  </x:si>
  <x:si>
    <x:t xml:space="preserve">Colombia, Antioquia, Frontino, Parque Natural Nacional Las Orquideas, sector Venados, vereda Venados Abajo, sitio La Esperanza, cuenca de la Quebrada Arenales.</x:t>
  </x:si>
  <x:si>
    <x:t xml:space="preserve">880-920</x:t>
  </x:si>
  <x:si>
    <x:t xml:space="preserve">N06° 32' 6.8"</x:t>
  </x:si>
  <x:si>
    <x:t xml:space="preserve">6° 32' 6.8" N</x:t>
  </x:si>
  <x:si>
    <x:t xml:space="preserve">W 76° 18'46.3"</x:t>
  </x:si>
  <x:si>
    <x:t xml:space="preserve">76° 18'46.3" W</x:t>
  </x:si>
  <x:si>
    <x:t xml:space="preserve">6° 32' 6.8" N, 76° 18'46.3" W</x:t>
  </x:si>
  <x:si>
    <x:t xml:space="preserve">6.5352222</x:t>
  </x:si>
  <x:si>
    <x:t xml:space="preserve">-76.3128611</x:t>
  </x:si>
  <x:si>
    <x:t xml:space="preserve">6.5352222,-76.3128611</x:t>
  </x:si>
  <x:si>
    <x:t xml:space="preserve">Parque Natural Nacional Las Orquideas, sector Venados, vereda Venados Abajo, sitio La Esperanza, cuenca de la Quebrada Arenales.</x:t>
  </x:si>
  <x:si>
    <x:t xml:space="preserve">Cabrera I. &amp; E. Escallón 3869</x:t>
  </x:si>
  <x:si>
    <x:t xml:space="preserve">CUVC6522</x:t>
  </x:si>
  <x:si>
    <x:t xml:space="preserve">Colombia, Cauca, delta del río Guapi, Isla de los Obregones.</x:t>
  </x:si>
  <x:si>
    <x:t xml:space="preserve">delta del río Guapi</x:t>
  </x:si>
  <x:si>
    <x:t xml:space="preserve">Isla de los Obregones.</x:t>
  </x:si>
  <x:si>
    <x:t xml:space="preserve">Lellinger D.B. &amp; E.R. de la Sota 58</x:t>
  </x:si>
  <x:si>
    <x:t xml:space="preserve">COL 000336457</x:t>
  </x:si>
  <x:si>
    <x:t xml:space="preserve">Colombia, Chocó, río Miniquía, E of Puerto Mutis (Bahia Solano).</x:t>
  </x:si>
  <x:si>
    <x:t xml:space="preserve">0-20</x:t>
  </x:si>
  <x:si>
    <x:t xml:space="preserve">COL000336457</x:t>
  </x:si>
  <x:si>
    <x:t xml:space="preserve">río Miniquía</x:t>
  </x:si>
  <x:si>
    <x:t xml:space="preserve">E of Puerto Mutis (Bahia Solano).</x:t>
  </x:si>
  <x:si>
    <x:t xml:space="preserve">Forero E. et al., 1381</x:t>
  </x:si>
  <x:si>
    <x:t xml:space="preserve">COL 000336465</x:t>
  </x:si>
  <x:si>
    <x:t xml:space="preserve">Colombia, Chocó, río Serrano, afluente del río Atrato, 4-6 km arriba de Guayabal</x:t>
  </x:si>
  <x:si>
    <x:t xml:space="preserve">COL000336465</x:t>
  </x:si>
  <x:si>
    <x:t xml:space="preserve">río Serrano</x:t>
  </x:si>
  <x:si>
    <x:t xml:space="preserve">afluente del río Atrato, 4-6 km arriba de Guayabal</x:t>
  </x:si>
  <x:si>
    <x:t xml:space="preserve">Forero E. et al., 4055</x:t>
  </x:si>
  <x:si>
    <x:t xml:space="preserve">COL 000336464</x:t>
  </x:si>
  <x:si>
    <x:t xml:space="preserve">Colombia, Chocó, Hoya del río San Juan, alrededores de Palestina.</x:t>
  </x:si>
  <x:si>
    <x:t xml:space="preserve">N04° 10'</x:t>
  </x:si>
  <x:si>
    <x:t xml:space="preserve">4° 10' N</x:t>
  </x:si>
  <x:si>
    <x:t xml:space="preserve">W 77° 10'</x:t>
  </x:si>
  <x:si>
    <x:t xml:space="preserve">77° 10' W</x:t>
  </x:si>
  <x:si>
    <x:t xml:space="preserve">4° 10' N, 77° 10' W</x:t>
  </x:si>
  <x:si>
    <x:t xml:space="preserve">alrededores de Palestina.</x:t>
  </x:si>
  <x:si>
    <x:t xml:space="preserve">Forero E. et al., 4881</x:t>
  </x:si>
  <x:si>
    <x:t xml:space="preserve">COL 000336408</x:t>
  </x:si>
  <x:si>
    <x:t xml:space="preserve">Colombia, Chocó, Hoya del río San Juan, río Tamaná, afluente del San Juan, entre Primavera y Santa Rosa.</x:t>
  </x:si>
  <x:si>
    <x:t xml:space="preserve">N 05° 00'</x:t>
  </x:si>
  <x:si>
    <x:t xml:space="preserve">05° 00' N</x:t>
  </x:si>
  <x:si>
    <x:t xml:space="preserve">W 76°44'</x:t>
  </x:si>
  <x:si>
    <x:t xml:space="preserve">76°44' W</x:t>
  </x:si>
  <x:si>
    <x:t xml:space="preserve">05° 00' N, 76°44' W</x:t>
  </x:si>
  <x:si>
    <x:t xml:space="preserve">5</x:t>
  </x:si>
  <x:si>
    <x:t xml:space="preserve">-76.7333333</x:t>
  </x:si>
  <x:si>
    <x:t xml:space="preserve">5,-76.7333333</x:t>
  </x:si>
  <x:si>
    <x:t xml:space="preserve">río Tamaná, afluente del San Juan, entre Primavera y Santa Rosa.</x:t>
  </x:si>
  <x:si>
    <x:t xml:space="preserve">Forero E. et al., 5209</x:t>
  </x:si>
  <x:si>
    <x:t xml:space="preserve">CHOCO 1536</x:t>
  </x:si>
  <x:si>
    <x:t xml:space="preserve">Colombia, Chocó, Hoya del río San Juan, Andagoya, alrededores del campamento de la Cia. Mineros del Chocó.</x:t>
  </x:si>
  <x:si>
    <x:t xml:space="preserve">N 05°06'</x:t>
  </x:si>
  <x:si>
    <x:t xml:space="preserve">05°06' N</x:t>
  </x:si>
  <x:si>
    <x:t xml:space="preserve">W76°42'</x:t>
  </x:si>
  <x:si>
    <x:t xml:space="preserve">76°42' W</x:t>
  </x:si>
  <x:si>
    <x:t xml:space="preserve">05°06' N, 76°42' W</x:t>
  </x:si>
  <x:si>
    <x:t xml:space="preserve">5.1</x:t>
  </x:si>
  <x:si>
    <x:t xml:space="preserve">5.1,-76.7</x:t>
  </x:si>
  <x:si>
    <x:t xml:space="preserve">Andagoya, alrededores del campamento de la Cia. Mineros del Chocó.</x:t>
  </x:si>
  <x:si>
    <x:t xml:space="preserve">Zuluaga R. S 1331</x:t>
  </x:si>
  <x:si>
    <x:t xml:space="preserve">COL 000335762</x:t>
  </x:si>
  <x:si>
    <x:t xml:space="preserve">Colombia, Chocó, Parque Nacional Natural Los Katíos, Alto el Limón.</x:t>
  </x:si>
  <x:si>
    <x:t xml:space="preserve">COL000335762</x:t>
  </x:si>
  <x:si>
    <x:t xml:space="preserve">Parque Nacional Natural Los Katíos</x:t>
  </x:si>
  <x:si>
    <x:t xml:space="preserve">Alto el Limón.</x:t>
  </x:si>
  <x:si>
    <x:t xml:space="preserve">Espina J. et al., 3567</x:t>
  </x:si>
  <x:si>
    <x:t xml:space="preserve">CHOCO 7840</x:t>
  </x:si>
  <x:si>
    <x:t xml:space="preserve">Colombia, Chocó, Bahía Solano, Parque Natural Utría, margen Izquierda de la Ensenada de Utría.</x:t>
  </x:si>
  <x:si>
    <x:t xml:space="preserve">CHOCO7840</x:t>
  </x:si>
  <x:si>
    <x:t xml:space="preserve">Bahía Solano</x:t>
  </x:si>
  <x:si>
    <x:t xml:space="preserve">Parque Natural Utría, margen Izquierda de la Ensenada de Utría.</x:t>
  </x:si>
  <x:si>
    <x:t xml:space="preserve">Sanín D. et al., 2977</x:t>
  </x:si>
  <x:si>
    <x:t xml:space="preserve">Colombia, Chocó, San Jose del Palmar, vereda Damasco, escuela Santa Lucia.</x:t>
  </x:si>
  <x:si>
    <x:t xml:space="preserve">W 76°15' 2.33"</x:t>
  </x:si>
  <x:si>
    <x:t xml:space="preserve">76°15' 2.33" W</x:t>
  </x:si>
  <x:si>
    <x:t xml:space="preserve">04° 52' 9.38" N, 76°15' 2.33" W</x:t>
  </x:si>
  <x:si>
    <x:t xml:space="preserve">vereda Damasco, escuela Santa Lucia.</x:t>
  </x:si>
  <x:si>
    <x:t xml:space="preserve">Sanín D. et al., 2900</x:t>
  </x:si>
  <x:si>
    <x:t xml:space="preserve">Sanín D. et al., 2862</x:t>
  </x:si>
  <x:si>
    <x:t xml:space="preserve">Ledezma E. Pino N. &amp; G. Ramírez 351</x:t>
  </x:si>
  <x:si>
    <x:t xml:space="preserve">CHOCO 13186</x:t>
  </x:si>
  <x:si>
    <x:t xml:space="preserve">Colombia, Chocó, Unión Panamericana, corregimiento de Raspadura.</x:t>
  </x:si>
  <x:si>
    <x:t xml:space="preserve">N 05° 13' 4.01"</x:t>
  </x:si>
  <x:si>
    <x:t xml:space="preserve">05° 13' 4.01" N</x:t>
  </x:si>
  <x:si>
    <x:t xml:space="preserve">W 76° 38' 5.52"</x:t>
  </x:si>
  <x:si>
    <x:t xml:space="preserve">76° 38' 5.52" W</x:t>
  </x:si>
  <x:si>
    <x:t xml:space="preserve">05° 13' 4.01" N, 76° 38' 5.52" W</x:t>
  </x:si>
  <x:si>
    <x:t xml:space="preserve">5.2177806</x:t>
  </x:si>
  <x:si>
    <x:t xml:space="preserve">-76.6348667</x:t>
  </x:si>
  <x:si>
    <x:t xml:space="preserve">5.2177806,-76.6348667</x:t>
  </x:si>
  <x:si>
    <x:t xml:space="preserve">Unión Panamericana</x:t>
  </x:si>
  <x:si>
    <x:t xml:space="preserve">corregimiento de Raspadura.</x:t>
  </x:si>
  <x:si>
    <x:t xml:space="preserve">Fernandez-Alonso J.L. et al., 8450</x:t>
  </x:si>
  <x:si>
    <x:t xml:space="preserve">CHOCO 9277</x:t>
  </x:si>
  <x:si>
    <x:t xml:space="preserve">Colombia, Chocó, Istmina, carretera panamericana entre La Victoria y Puerto Perver.</x:t>
  </x:si>
  <x:si>
    <x:t xml:space="preserve">Puerto Pervel es una localidad del municipio El Cantón del San Pablo, segregado del municipio Istmina</x:t>
  </x:si>
  <x:si>
    <x:t xml:space="preserve">CHOCO9277</x:t>
  </x:si>
  <x:si>
    <x:t xml:space="preserve">Istmina</x:t>
  </x:si>
  <x:si>
    <x:t xml:space="preserve">carretera panamericana entre La Victoria y Puerto Perver.</x:t>
  </x:si>
  <x:si>
    <x:t xml:space="preserve">Sanín D. &amp; E. Sanín 3275</x:t>
  </x:si>
  <x:si>
    <x:t xml:space="preserve">Colombia, Huila, San Agustín, vereda Planares, relicto arriba de la Escuela Platanares.</x:t>
  </x:si>
  <x:si>
    <x:t xml:space="preserve">N 01°59'59.5"</x:t>
  </x:si>
  <x:si>
    <x:t xml:space="preserve">01°59'59.5" N</x:t>
  </x:si>
  <x:si>
    <x:t xml:space="preserve">W 76°17'78.1"</x:t>
  </x:si>
  <x:si>
    <x:t xml:space="preserve">76°17'78.1" W</x:t>
  </x:si>
  <x:si>
    <x:t xml:space="preserve">01°59'59.5" N, 76°17'78.1" W</x:t>
  </x:si>
  <x:si>
    <x:t xml:space="preserve">vereda Planares, relicto arriba de la Escuela Platanares.</x:t>
  </x:si>
  <x:si>
    <x:t xml:space="preserve">O.S. de Benavides 3099</x:t>
  </x:si>
  <x:si>
    <x:t xml:space="preserve">PSO 10676</x:t>
  </x:si>
  <x:si>
    <x:t xml:space="preserve">Colombia, Nariño, corregimiento de Altaquer-La Ensillada.</x:t>
  </x:si>
  <x:si>
    <x:t xml:space="preserve">N 01°15'</x:t>
  </x:si>
  <x:si>
    <x:t xml:space="preserve">01°15' N</x:t>
  </x:si>
  <x:si>
    <x:t xml:space="preserve">W 78°07'</x:t>
  </x:si>
  <x:si>
    <x:t xml:space="preserve">78°07' W</x:t>
  </x:si>
  <x:si>
    <x:t xml:space="preserve">01°15' N, 78°07' W</x:t>
  </x:si>
  <x:si>
    <x:t xml:space="preserve">1.25</x:t>
  </x:si>
  <x:si>
    <x:t xml:space="preserve">-78.1166667</x:t>
  </x:si>
  <x:si>
    <x:t xml:space="preserve">1.25,-78.1166667</x:t>
  </x:si>
  <x:si>
    <x:t xml:space="preserve">corregimiento de Altaquer-La Ensillada.</x:t>
  </x:si>
  <x:si>
    <x:t xml:space="preserve">Ramírez P. B. R. 12199</x:t>
  </x:si>
  <x:si>
    <x:t xml:space="preserve">CAUP 10727</x:t>
  </x:si>
  <x:si>
    <x:t xml:space="preserve">Colombia, Nariño, Tumaco, Llorente, vereda El Pinde, km 71 Tumaco-Pasto, finca La Cabaña.</x:t>
  </x:si>
  <x:si>
    <x:t xml:space="preserve">CAUP10727</x:t>
  </x:si>
  <x:si>
    <x:t xml:space="preserve">Tumaco</x:t>
  </x:si>
  <x:si>
    <x:t xml:space="preserve">Llorente, vereda El Pinde, km 71 Tumaco-Pasto, finca La Cabaña.</x:t>
  </x:si>
  <x:si>
    <x:t xml:space="preserve">PSO 36475</x:t>
  </x:si>
  <x:si>
    <x:t xml:space="preserve">Cuatrecasas J. 10673</x:t>
  </x:si>
  <x:si>
    <x:t xml:space="preserve">COL 000335837</x:t>
  </x:si>
  <x:si>
    <x:t xml:space="preserve">Colombia, Putumayo, Puerto Porvenir, arriba de Puerto Ospina hacia la Loma, selva higrofila del río Putumayo. </x:t>
  </x:si>
  <x:si>
    <x:t xml:space="preserve">COL000335837</x:t>
  </x:si>
  <x:si>
    <x:t xml:space="preserve">Puerto Porvenir</x:t>
  </x:si>
  <x:si>
    <x:t xml:space="preserve">arriba de Puerto Ospina hacia la Loma, selva higrofila del río Putumayo.</x:t>
  </x:si>
  <x:si>
    <x:t xml:space="preserve">Hagemann &amp; Leist 2033</x:t>
  </x:si>
  <x:si>
    <x:t xml:space="preserve">PSO 14733</x:t>
  </x:si>
  <x:si>
    <x:t xml:space="preserve">Colombia, Putumayo, trayecto Puerto Asís a Orito.</x:t>
  </x:si>
  <x:si>
    <x:t xml:space="preserve">N 0°39'28.62"</x:t>
  </x:si>
  <x:si>
    <x:t xml:space="preserve">0°39'28.62" N</x:t>
  </x:si>
  <x:si>
    <x:t xml:space="preserve">W 76°41'34.75"</x:t>
  </x:si>
  <x:si>
    <x:t xml:space="preserve">76°41'34.75" W</x:t>
  </x:si>
  <x:si>
    <x:t xml:space="preserve">0°39'28.62" N, 76°41'34.75" W</x:t>
  </x:si>
  <x:si>
    <x:t xml:space="preserve">0.65795</x:t>
  </x:si>
  <x:si>
    <x:t xml:space="preserve">-76.6929861</x:t>
  </x:si>
  <x:si>
    <x:t xml:space="preserve">0.65795,-76.6929861</x:t>
  </x:si>
  <x:si>
    <x:t xml:space="preserve">trayecto Puerto Asís a Orito.</x:t>
  </x:si>
  <x:si>
    <x:t xml:space="preserve">Croat T.B. 51751</x:t>
  </x:si>
  <x:si>
    <x:t xml:space="preserve">COL 000336466</x:t>
  </x:si>
  <x:si>
    <x:t xml:space="preserve">Colombia, Putumayo, Mocoa, along S bank of río Mocoa</x:t>
  </x:si>
  <x:si>
    <x:t xml:space="preserve">W 76° 33'</x:t>
  </x:si>
  <x:si>
    <x:t xml:space="preserve">76° 33' W</x:t>
  </x:si>
  <x:si>
    <x:t xml:space="preserve">01°10' N, 76° 33' W</x:t>
  </x:si>
  <x:si>
    <x:t xml:space="preserve">-76.55</x:t>
  </x:si>
  <x:si>
    <x:t xml:space="preserve">1.1666667,-76.55</x:t>
  </x:si>
  <x:si>
    <x:t xml:space="preserve">Mocoa</x:t>
  </x:si>
  <x:si>
    <x:t xml:space="preserve">along S bank of río Mocoa</x:t>
  </x:si>
  <x:si>
    <x:t xml:space="preserve">Haught O. 1811</x:t>
  </x:si>
  <x:si>
    <x:t xml:space="preserve">COL 000335840</x:t>
  </x:si>
  <x:si>
    <x:t xml:space="preserve">Colombia, Santander, Puerto Berrio, betwen Carare and Magdalena rivers.</x:t>
  </x:si>
  <x:si>
    <x:t xml:space="preserve">100-700</x:t>
  </x:si>
  <x:si>
    <x:t xml:space="preserve">COL000335840</x:t>
  </x:si>
  <x:si>
    <x:t xml:space="preserve">Puerto Berrio</x:t>
  </x:si>
  <x:si>
    <x:t xml:space="preserve">betwen Carare and Magdalena rivers.</x:t>
  </x:si>
  <x:si>
    <x:t xml:space="preserve">Wolfgang Hagemann 461</x:t>
  </x:si>
  <x:si>
    <x:t xml:space="preserve">COL 338934</x:t>
  </x:si>
  <x:si>
    <x:t xml:space="preserve">Colombia, Valle-El Calima</x:t>
  </x:si>
  <x:si>
    <x:t xml:space="preserve">COL98316</x:t>
  </x:si>
  <x:si>
    <x:t xml:space="preserve">Valle-El Calima</x:t>
  </x:si>
  <x:si>
    <x:t xml:space="preserve">S. levigatum (Cav.) A.R.Sm.</x:t>
  </x:si>
  <x:si>
    <x:t xml:space="preserve">Serpocaulon levigatum</x:t>
  </x:si>
  <x:si>
    <x:t xml:space="preserve">Arbeláez A.L. et al., 513</x:t>
  </x:si>
  <x:si>
    <x:t xml:space="preserve">HUA 76395</x:t>
  </x:si>
  <x:si>
    <x:t xml:space="preserve">Colombia, Antioqiua, Belmira, vereda El Yerbal, sitio Los Patos, margen izquierda del río Chico, Alto de Sabanazos, subparamos.</x:t>
  </x:si>
  <x:si>
    <x:t xml:space="preserve">N 06°35'</x:t>
  </x:si>
  <x:si>
    <x:t xml:space="preserve">06°35' N</x:t>
  </x:si>
  <x:si>
    <x:t xml:space="preserve">W 75°32'</x:t>
  </x:si>
  <x:si>
    <x:t xml:space="preserve">06°35' N, 75°32' W</x:t>
  </x:si>
  <x:si>
    <x:t xml:space="preserve">6.5833333</x:t>
  </x:si>
  <x:si>
    <x:t xml:space="preserve">6.5833333,-75.5333333</x:t>
  </x:si>
  <x:si>
    <x:t xml:space="preserve">HUA76395</x:t>
  </x:si>
  <x:si>
    <x:t xml:space="preserve">vereda El Yerbal, sitio Los Patos, margen izquierda del río Chico, Alto de Sabanazos, subparamos.</x:t>
  </x:si>
  <x:si>
    <x:t xml:space="preserve">Vasco A. &amp; A. M. Benavides 570</x:t>
  </x:si>
  <x:si>
    <x:t xml:space="preserve">HUA 177556</x:t>
  </x:si>
  <x:si>
    <x:t xml:space="preserve">Colombia, Antioquai, Belmira, vereda Los Patos, camino hacia el páramo de Santa Inés. </x:t>
  </x:si>
  <x:si>
    <x:t xml:space="preserve">N 06°37'07"</x:t>
  </x:si>
  <x:si>
    <x:t xml:space="preserve">06°37'07" N</x:t>
  </x:si>
  <x:si>
    <x:t xml:space="preserve">W 75°40'43.8"</x:t>
  </x:si>
  <x:si>
    <x:t xml:space="preserve">75°40'43.8" W</x:t>
  </x:si>
  <x:si>
    <x:t xml:space="preserve">06°37'07" N, 75°40'43.8" W</x:t>
  </x:si>
  <x:si>
    <x:t xml:space="preserve">6.6186111</x:t>
  </x:si>
  <x:si>
    <x:t xml:space="preserve">-75.6788333</x:t>
  </x:si>
  <x:si>
    <x:t xml:space="preserve">6.6186111,-75.6788333</x:t>
  </x:si>
  <x:si>
    <x:t xml:space="preserve">Antioquai</x:t>
  </x:si>
  <x:si>
    <x:t xml:space="preserve">vereda Los Patos, camino hacia el páramo de Santa Inés.</x:t>
  </x:si>
  <x:si>
    <x:t xml:space="preserve">Solano, F. et al., 104</x:t>
  </x:si>
  <x:si>
    <x:t xml:space="preserve">CUCV 2753</x:t>
  </x:si>
  <x:si>
    <x:t xml:space="preserve">Colombia, Antioquia, a un lado de la carretera que conduce al cerro Los Baldios.</x:t>
  </x:si>
  <x:si>
    <x:t xml:space="preserve">a un lado de la carretera que conduce al cerro Los Baldios.</x:t>
  </x:si>
  <x:si>
    <x:t xml:space="preserve">Atehortua L. 337</x:t>
  </x:si>
  <x:si>
    <x:t xml:space="preserve">HUA 7987</x:t>
  </x:si>
  <x:si>
    <x:t xml:space="preserve">Colombia, Antioquia, Fredonia, Cerro Bravo.</x:t>
  </x:si>
  <x:si>
    <x:t xml:space="preserve">N 05°55'40.87"</x:t>
  </x:si>
  <x:si>
    <x:t xml:space="preserve">05°55'40.87" N</x:t>
  </x:si>
  <x:si>
    <x:t xml:space="preserve">W 75°40'18.19"</x:t>
  </x:si>
  <x:si>
    <x:t xml:space="preserve">75°40'18.19" W</x:t>
  </x:si>
  <x:si>
    <x:t xml:space="preserve">05°55'40.87" N, 75°40'18.19" W</x:t>
  </x:si>
  <x:si>
    <x:t xml:space="preserve">5.9280194</x:t>
  </x:si>
  <x:si>
    <x:t xml:space="preserve">-75.6717194</x:t>
  </x:si>
  <x:si>
    <x:t xml:space="preserve">5.9280194,-75.6717194</x:t>
  </x:si>
  <x:si>
    <x:t xml:space="preserve">Cerro Bravo.</x:t>
  </x:si>
  <x:si>
    <x:t xml:space="preserve">Atehortua L. 351</x:t>
  </x:si>
  <x:si>
    <x:t xml:space="preserve">HUA 986</x:t>
  </x:si>
  <x:si>
    <x:t xml:space="preserve">Colombia, Antioquia, El Retiro</x:t>
  </x:si>
  <x:si>
    <x:t xml:space="preserve">N 06°03'26"</x:t>
  </x:si>
  <x:si>
    <x:t xml:space="preserve">06°03'26" N</x:t>
  </x:si>
  <x:si>
    <x:t xml:space="preserve">W 75°30'09"</x:t>
  </x:si>
  <x:si>
    <x:t xml:space="preserve">75°30'09" W</x:t>
  </x:si>
  <x:si>
    <x:t xml:space="preserve">06°03'26" N, 75°30'09" W</x:t>
  </x:si>
  <x:si>
    <x:t xml:space="preserve">6.0572222</x:t>
  </x:si>
  <x:si>
    <x:t xml:space="preserve">-75.5025</x:t>
  </x:si>
  <x:si>
    <x:t xml:space="preserve">6.0572222,-75.5025</x:t>
  </x:si>
  <x:si>
    <x:t xml:space="preserve">El Retiro</x:t>
  </x:si>
  <x:si>
    <x:t xml:space="preserve">Pérez V. 59</x:t>
  </x:si>
  <x:si>
    <x:t xml:space="preserve">HUA 15261</x:t>
  </x:si>
  <x:si>
    <x:t xml:space="preserve">Colombia, Antioquia, Medellín, vereda Matasanos, bosque secundario. </x:t>
  </x:si>
  <x:si>
    <x:t xml:space="preserve">sa.</x:t>
  </x:si>
  <x:si>
    <x:t xml:space="preserve">N 06°18'</x:t>
  </x:si>
  <x:si>
    <x:t xml:space="preserve">06°18' N</x:t>
  </x:si>
  <x:si>
    <x:t xml:space="preserve">W 75°41'</x:t>
  </x:si>
  <x:si>
    <x:t xml:space="preserve">75°41' W</x:t>
  </x:si>
  <x:si>
    <x:t xml:space="preserve">06°18' N, 75°41' W</x:t>
  </x:si>
  <x:si>
    <x:t xml:space="preserve">-75.6833333</x:t>
  </x:si>
  <x:si>
    <x:t xml:space="preserve">6.3,-75.6833333</x:t>
  </x:si>
  <x:si>
    <x:t xml:space="preserve">vereda Matasanos, bosque secundario.</x:t>
  </x:si>
  <x:si>
    <x:t xml:space="preserve">Callejas R. et al., 823</x:t>
  </x:si>
  <x:si>
    <x:t xml:space="preserve">COL 210654</x:t>
  </x:si>
  <x:si>
    <x:t xml:space="preserve">Colombia, Antioquia, Alto de Boqueron, carretera que se dirigje a las antenas receptoras de Telecom.</x:t>
  </x:si>
  <x:si>
    <x:t xml:space="preserve">2100-3150</x:t>
  </x:si>
  <x:si>
    <x:t xml:space="preserve">COL210654</x:t>
  </x:si>
  <x:si>
    <x:t xml:space="preserve">Alto de Boqueron</x:t>
  </x:si>
  <x:si>
    <x:t xml:space="preserve">carretera que se dirigje a las antenas receptoras de Telecom.</x:t>
  </x:si>
  <x:si>
    <x:t xml:space="preserve">Hoyos S. et al., 29</x:t>
  </x:si>
  <x:si>
    <x:t xml:space="preserve">HUA 19835</x:t>
  </x:si>
  <x:si>
    <x:t xml:space="preserve">Colombia, Antioquia, Yarumal, carretera entre Yarumal y El Alto de Ventanas</x:t>
  </x:si>
  <x:si>
    <x:t xml:space="preserve">N 06°57'42.06"</x:t>
  </x:si>
  <x:si>
    <x:t xml:space="preserve">06°57'42.06" N</x:t>
  </x:si>
  <x:si>
    <x:t xml:space="preserve">W 75°25'36.57"</x:t>
  </x:si>
  <x:si>
    <x:t xml:space="preserve">75°25'36.57" W</x:t>
  </x:si>
  <x:si>
    <x:t xml:space="preserve">06°57'42.06" N, 75°25'36.57" W</x:t>
  </x:si>
  <x:si>
    <x:t xml:space="preserve">6.9616833</x:t>
  </x:si>
  <x:si>
    <x:t xml:space="preserve">-75.426825</x:t>
  </x:si>
  <x:si>
    <x:t xml:space="preserve">6.9616833,-75.426825</x:t>
  </x:si>
  <x:si>
    <x:t xml:space="preserve">Yarumal</x:t>
  </x:si>
  <x:si>
    <x:t xml:space="preserve">carretera entre Yarumal y El Alto de Ventanas</x:t>
  </x:si>
  <x:si>
    <x:t xml:space="preserve">JAUM 2281</x:t>
  </x:si>
  <x:si>
    <x:t xml:space="preserve">Bolaños B. et al., 7</x:t>
  </x:si>
  <x:si>
    <x:t xml:space="preserve">JAUM 2244</x:t>
  </x:si>
  <x:si>
    <x:t xml:space="preserve">Colombia, Antioquia, Yarumal.</x:t>
  </x:si>
  <x:si>
    <x:t xml:space="preserve">Yarumal.</x:t>
  </x:si>
  <x:si>
    <x:t xml:space="preserve">Hernandez J., et al., 532</x:t>
  </x:si>
  <x:si>
    <x:t xml:space="preserve">HUA 16883</x:t>
  </x:si>
  <x:si>
    <x:t xml:space="preserve">Colombia, Antioquia, San Cristobal, paraje Boquerón, por la carretera al mar.</x:t>
  </x:si>
  <x:si>
    <x:t xml:space="preserve">2200-2700</x:t>
  </x:si>
  <x:si>
    <x:t xml:space="preserve">N 06°17'</x:t>
  </x:si>
  <x:si>
    <x:t xml:space="preserve">06°17' N</x:t>
  </x:si>
  <x:si>
    <x:t xml:space="preserve">W 75°38'</x:t>
  </x:si>
  <x:si>
    <x:t xml:space="preserve">75°38' W</x:t>
  </x:si>
  <x:si>
    <x:t xml:space="preserve">06°17' N, 75°38' W</x:t>
  </x:si>
  <x:si>
    <x:t xml:space="preserve">6.2833333,-75.6333333</x:t>
  </x:si>
  <x:si>
    <x:t xml:space="preserve">San Cristobal</x:t>
  </x:si>
  <x:si>
    <x:t xml:space="preserve">paraje Boquerón, por la carretera al mar.</x:t>
  </x:si>
  <x:si>
    <x:t xml:space="preserve">Roldan F.J. et al., 41</x:t>
  </x:si>
  <x:si>
    <x:t xml:space="preserve">HUA 24114</x:t>
  </x:si>
  <x:si>
    <x:t xml:space="preserve">Colombia, Antioquia, Guarne, vereda Piedras Blancas cerca de la represa bmh-MB</x:t>
  </x:si>
  <x:si>
    <x:t xml:space="preserve">vereda Piedras Blancas cerca de la represa bmh-MB</x:t>
  </x:si>
  <x:si>
    <x:t xml:space="preserve">Roldán F.J. et al., 64</x:t>
  </x:si>
  <x:si>
    <x:t xml:space="preserve">HUA 24091</x:t>
  </x:si>
  <x:si>
    <x:t xml:space="preserve">Albert de Escobar L. et al., 4517</x:t>
  </x:si>
  <x:si>
    <x:t xml:space="preserve">HUA 21998</x:t>
  </x:si>
  <x:si>
    <x:t xml:space="preserve">Colombia, Antioquia, Caldas, vereda la Corrala, bosque húmedo, finca La Zarza.</x:t>
  </x:si>
  <x:si>
    <x:t xml:space="preserve">vereda la Corrala, bosque húmedo, finca La Zarza.</x:t>
  </x:si>
  <x:si>
    <x:t xml:space="preserve">Albert de Escobar L. et al., 4531</x:t>
  </x:si>
  <x:si>
    <x:t xml:space="preserve">HUA 22012</x:t>
  </x:si>
  <x:si>
    <x:t xml:space="preserve">Albert de Escobar L. &amp; J.R. Giraldo J. 5172a</x:t>
  </x:si>
  <x:si>
    <x:t xml:space="preserve">HUA 23898</x:t>
  </x:si>
  <x:si>
    <x:t xml:space="preserve">Albert de Escobar L. et al., 5241</x:t>
  </x:si>
  <x:si>
    <x:t xml:space="preserve">HUA 25028</x:t>
  </x:si>
  <x:si>
    <x:t xml:space="preserve">Albert de Escobar L. et al., 5870</x:t>
  </x:si>
  <x:si>
    <x:t xml:space="preserve">HUA 26197</x:t>
  </x:si>
  <x:si>
    <x:t xml:space="preserve">Albert de Escobar L. et al., 6005</x:t>
  </x:si>
  <x:si>
    <x:t xml:space="preserve">HUA 27147</x:t>
  </x:si>
  <x:si>
    <x:t xml:space="preserve">Albert de Escobar L. &amp; J.R. Giraldo J. 6712</x:t>
  </x:si>
  <x:si>
    <x:t xml:space="preserve">HUA 28674</x:t>
  </x:si>
  <x:si>
    <x:t xml:space="preserve">Acevedo P. et al., 1405</x:t>
  </x:si>
  <x:si>
    <x:t xml:space="preserve">HUA 40436</x:t>
  </x:si>
  <x:si>
    <x:t xml:space="preserve">Colombia, Antioquia, Yarumal, Llanos de Cuivá, vegetación Páramuna.</x:t>
  </x:si>
  <x:si>
    <x:t xml:space="preserve">Llanos de Cuivá, vegetación Páramuna.</x:t>
  </x:si>
  <x:si>
    <x:t xml:space="preserve">Albert de Escobar L. et al., 6982b</x:t>
  </x:si>
  <x:si>
    <x:t xml:space="preserve">HUA 30660</x:t>
  </x:si>
  <x:si>
    <x:t xml:space="preserve">Colombia, Antioquia, Yarumal, carretera entre Yarumal y Santa Rosa.</x:t>
  </x:si>
  <x:si>
    <x:t xml:space="preserve">carretera entre Yarumal y Santa Rosa.</x:t>
  </x:si>
  <x:si>
    <x:t xml:space="preserve">Zarucchi J.L. et al., 4357</x:t>
  </x:si>
  <x:si>
    <x:t xml:space="preserve">HUA 34423</x:t>
  </x:si>
  <x:si>
    <x:t xml:space="preserve">Colombia, Antioquia, Yarumal, ca 5 km WSW of Yarumal, just W of El Peñol, margin of diturbed forest.</x:t>
  </x:si>
  <x:si>
    <x:t xml:space="preserve">N 06°57'</x:t>
  </x:si>
  <x:si>
    <x:t xml:space="preserve">06°57' N</x:t>
  </x:si>
  <x:si>
    <x:t xml:space="preserve">06°57' N, 75°28' W</x:t>
  </x:si>
  <x:si>
    <x:t xml:space="preserve">6.95</x:t>
  </x:si>
  <x:si>
    <x:t xml:space="preserve">6.95,-75.4666667</x:t>
  </x:si>
  <x:si>
    <x:t xml:space="preserve">ca 5 km WSW of Yarumal, just W of El Peñol, margin of diturbed forest.</x:t>
  </x:si>
  <x:si>
    <x:t xml:space="preserve">Zarucchi J.L. et al., 4633</x:t>
  </x:si>
  <x:si>
    <x:t xml:space="preserve">HUA 39990</x:t>
  </x:si>
  <x:si>
    <x:t xml:space="preserve">Colombia, Antioquia, Medellín, Cerro del Padre Amaya, 6,9 km from Medellín-Santa Fé de Antioquia, highway on road to summit.</x:t>
  </x:si>
  <x:si>
    <x:t xml:space="preserve">Cerro del Padre Amaya, 6, 9 km from Medellín-Santa Fé de Antioquia, highway on road to summit.</x:t>
  </x:si>
  <x:si>
    <x:t xml:space="preserve">Colombia, Antioquia, Medellín, cerro del Padre Amaya, 6,9 km from Medellín-Santa Fé de Antioquia, higway on road to summit.</x:t>
  </x:si>
  <x:si>
    <x:t xml:space="preserve">cerro del Padre Amaya, 6, 9 km from Medellín-Santa Fé de Antioquia, higway on road to summit.</x:t>
  </x:si>
  <x:si>
    <x:t xml:space="preserve">Escobar L.A. &amp; J.S. Zuluaga 76</x:t>
  </x:si>
  <x:si>
    <x:t xml:space="preserve">HUA 36915</x:t>
  </x:si>
  <x:si>
    <x:t xml:space="preserve">Colombia, Antioquia, Unión, vereda Pantalión, finca Sta. Teresita.</x:t>
  </x:si>
  <x:si>
    <x:t xml:space="preserve">N 05°58'25"</x:t>
  </x:si>
  <x:si>
    <x:t xml:space="preserve">05°58'25" N</x:t>
  </x:si>
  <x:si>
    <x:t xml:space="preserve">W 75°21'40.98"</x:t>
  </x:si>
  <x:si>
    <x:t xml:space="preserve">75°21'40.98" W</x:t>
  </x:si>
  <x:si>
    <x:t xml:space="preserve">05°58'25" N, 75°21'40.98" W</x:t>
  </x:si>
  <x:si>
    <x:t xml:space="preserve">5.9736111</x:t>
  </x:si>
  <x:si>
    <x:t xml:space="preserve">-75.3613833</x:t>
  </x:si>
  <x:si>
    <x:t xml:space="preserve">5.9736111,-75.3613833</x:t>
  </x:si>
  <x:si>
    <x:t xml:space="preserve">Unión</x:t>
  </x:si>
  <x:si>
    <x:t xml:space="preserve">vereda Pantalión, finca Sta. Teresita.</x:t>
  </x:si>
  <x:si>
    <x:t xml:space="preserve">Fonnegra R. et al., 2231</x:t>
  </x:si>
  <x:si>
    <x:t xml:space="preserve">HUA 37534</x:t>
  </x:si>
  <x:si>
    <x:t xml:space="preserve">Colombia, Antioquia, Granja Forestal Universidad Nacional, antigua carretera Medellín-Guarne.</x:t>
  </x:si>
  <x:si>
    <x:t xml:space="preserve">N 06°16'48.4"</x:t>
  </x:si>
  <x:si>
    <x:t xml:space="preserve">06°16'48.4" N</x:t>
  </x:si>
  <x:si>
    <x:t xml:space="preserve">06°16'48.4" N, 75°26'33.84" W</x:t>
  </x:si>
  <x:si>
    <x:t xml:space="preserve">6.2801111</x:t>
  </x:si>
  <x:si>
    <x:t xml:space="preserve">6.2801111,-75.4427333</x:t>
  </x:si>
  <x:si>
    <x:t xml:space="preserve">Granja Forestal Universidad Nacional</x:t>
  </x:si>
  <x:si>
    <x:t xml:space="preserve">antigua carretera Medellín-Guarne.</x:t>
  </x:si>
  <x:si>
    <x:t xml:space="preserve">Fonnegra R. et al., 2233</x:t>
  </x:si>
  <x:si>
    <x:t xml:space="preserve">HUA 37514</x:t>
  </x:si>
  <x:si>
    <x:t xml:space="preserve">Colombia, Antioquia, Granja Forestal de la Universidad Nacional, antigua carretera Medellín-Guarne.</x:t>
  </x:si>
  <x:si>
    <x:t xml:space="preserve">W 75°35'</x:t>
  </x:si>
  <x:si>
    <x:t xml:space="preserve">Granja Forestal de la Universidad Nacional</x:t>
  </x:si>
  <x:si>
    <x:t xml:space="preserve">Callejas R. et al., 3741</x:t>
  </x:si>
  <x:si>
    <x:t xml:space="preserve">HUA 42739</x:t>
  </x:si>
  <x:si>
    <x:t xml:space="preserve">Colombia, Antioquia, Jardín-Río Sucio, bosque humedo premontano, 7 km de Jardín, a orilla de riachuelo.</x:t>
  </x:si>
  <x:si>
    <x:t xml:space="preserve">05°30' N, 75°50' W</x:t>
  </x:si>
  <x:si>
    <x:t xml:space="preserve">Jardín-Río Sucio</x:t>
  </x:si>
  <x:si>
    <x:t xml:space="preserve">bosque humedo premontano, 7 km de Jardín, a orilla de riachuelo.</x:t>
  </x:si>
  <x:si>
    <x:t xml:space="preserve">Arbeláez A.L. et al., 111</x:t>
  </x:si>
  <x:si>
    <x:t xml:space="preserve">HUA 47284</x:t>
  </x:si>
  <x:si>
    <x:t xml:space="preserve">Colombia, Antioquia, Sonsón, Páramo de Sonsón.</x:t>
  </x:si>
  <x:si>
    <x:t xml:space="preserve">N 05°41'</x:t>
  </x:si>
  <x:si>
    <x:t xml:space="preserve">W 75°14'</x:t>
  </x:si>
  <x:si>
    <x:t xml:space="preserve">Páramo de Sonsón.</x:t>
  </x:si>
  <x:si>
    <x:t xml:space="preserve">Arbeláez A.L. et al., 115</x:t>
  </x:si>
  <x:si>
    <x:t xml:space="preserve">HUA 47290</x:t>
  </x:si>
  <x:si>
    <x:t xml:space="preserve">Colombia, Antioquia, Sonsón, carretera Sonsón-Los Medios, bosque al lado del río.</x:t>
  </x:si>
  <x:si>
    <x:t xml:space="preserve">W 75°21'</x:t>
  </x:si>
  <x:si>
    <x:t xml:space="preserve">75°21' W</x:t>
  </x:si>
  <x:si>
    <x:t xml:space="preserve">05°41' N, 75°21' W</x:t>
  </x:si>
  <x:si>
    <x:t xml:space="preserve">-75.35</x:t>
  </x:si>
  <x:si>
    <x:t xml:space="preserve">5.6833333,-75.35</x:t>
  </x:si>
  <x:si>
    <x:t xml:space="preserve">carretera Sonsón-Los Medios, bosque al lado del río.</x:t>
  </x:si>
  <x:si>
    <x:t xml:space="preserve">Zarucchi J.L. et al., 5592</x:t>
  </x:si>
  <x:si>
    <x:t xml:space="preserve">COL 477102</x:t>
  </x:si>
  <x:si>
    <x:t xml:space="preserve">Colombia, Antioquia, Frontino, km 15,5 of road Nutibara-Murri, disturbet wet/very wed montane vegetation, roadside.</x:t>
  </x:si>
  <x:si>
    <x:t xml:space="preserve">N 06°45'</x:t>
  </x:si>
  <x:si>
    <x:t xml:space="preserve">06°45' N</x:t>
  </x:si>
  <x:si>
    <x:t xml:space="preserve">W 76°23'</x:t>
  </x:si>
  <x:si>
    <x:t xml:space="preserve">76°23' W</x:t>
  </x:si>
  <x:si>
    <x:t xml:space="preserve">06°45' N, 76°23' W</x:t>
  </x:si>
  <x:si>
    <x:t xml:space="preserve">6.75</x:t>
  </x:si>
  <x:si>
    <x:t xml:space="preserve">-76.3833333</x:t>
  </x:si>
  <x:si>
    <x:t xml:space="preserve">6.75,-76.3833333</x:t>
  </x:si>
  <x:si>
    <x:t xml:space="preserve">km 15, 5 of road Nutibara-Murri, disturbet wet/very wed montane vegetation, roadside.</x:t>
  </x:si>
  <x:si>
    <x:t xml:space="preserve">Arbeláez A.L. et al., 245</x:t>
  </x:si>
  <x:si>
    <x:t xml:space="preserve">HUA 44782</x:t>
  </x:si>
  <x:si>
    <x:t xml:space="preserve">Colombia, Antioquia, Briceño, vereda San Fermín, 2 km despues de Troncal de La Paz sobre desviación a Briseño.</x:t>
  </x:si>
  <x:si>
    <x:t xml:space="preserve">2100-2300</x:t>
  </x:si>
  <x:si>
    <x:t xml:space="preserve">N 07°06'49"</x:t>
  </x:si>
  <x:si>
    <x:t xml:space="preserve">07°06'49" N</x:t>
  </x:si>
  <x:si>
    <x:t xml:space="preserve">W 75°33'</x:t>
  </x:si>
  <x:si>
    <x:t xml:space="preserve">75°33' W</x:t>
  </x:si>
  <x:si>
    <x:t xml:space="preserve">07°06'49" N, 75°33' W</x:t>
  </x:si>
  <x:si>
    <x:t xml:space="preserve">7.1136111</x:t>
  </x:si>
  <x:si>
    <x:t xml:space="preserve">-75.55</x:t>
  </x:si>
  <x:si>
    <x:t xml:space="preserve">7.1136111,-75.55</x:t>
  </x:si>
  <x:si>
    <x:t xml:space="preserve">Briceño</x:t>
  </x:si>
  <x:si>
    <x:t xml:space="preserve">vereda San Fermín, 2 km despues de Troncal de La Paz sobre desviación a Briseño.</x:t>
  </x:si>
  <x:si>
    <x:t xml:space="preserve">Arbeláez A.L. et al., 293</x:t>
  </x:si>
  <x:si>
    <x:t xml:space="preserve">HUA 54292</x:t>
  </x:si>
  <x:si>
    <x:t xml:space="preserve">Colombia, Antioquia, Valdivia, vereda San Fermín, finca San Fermín, bp-MB.</x:t>
  </x:si>
  <x:si>
    <x:t xml:space="preserve">N 07°05'</x:t>
  </x:si>
  <x:si>
    <x:t xml:space="preserve">07°05' N</x:t>
  </x:si>
  <x:si>
    <x:t xml:space="preserve">07°05' N, 75°30' W</x:t>
  </x:si>
  <x:si>
    <x:t xml:space="preserve">7.0833333,-75.5</x:t>
  </x:si>
  <x:si>
    <x:t xml:space="preserve">HUA54292</x:t>
  </x:si>
  <x:si>
    <x:t xml:space="preserve">Valdivia</x:t>
  </x:si>
  <x:si>
    <x:t xml:space="preserve">vereda San Fermín, finca San Fermín, bp-MB.</x:t>
  </x:si>
  <x:si>
    <x:t xml:space="preserve">Arbeláez A.L. et al., 321</x:t>
  </x:si>
  <x:si>
    <x:t xml:space="preserve">HUA 54306</x:t>
  </x:si>
  <x:si>
    <x:t xml:space="preserve">Colombia, Antioquia, Yarumal, vereda El Cedro, sobre la vía Ventanas (Mu. Yarumal)-El Cedro, km 1.9.</x:t>
  </x:si>
  <x:si>
    <x:t xml:space="preserve">1710-1900</x:t>
  </x:si>
  <x:si>
    <x:t xml:space="preserve">N 07°02'</x:t>
  </x:si>
  <x:si>
    <x:t xml:space="preserve">07°02' N</x:t>
  </x:si>
  <x:si>
    <x:t xml:space="preserve">W 75°24'</x:t>
  </x:si>
  <x:si>
    <x:t xml:space="preserve">75°24' W</x:t>
  </x:si>
  <x:si>
    <x:t xml:space="preserve">07°02' N, 75°24' W</x:t>
  </x:si>
  <x:si>
    <x:t xml:space="preserve">7.0333333</x:t>
  </x:si>
  <x:si>
    <x:t xml:space="preserve">-75.4</x:t>
  </x:si>
  <x:si>
    <x:t xml:space="preserve">7.0333333,-75.4</x:t>
  </x:si>
  <x:si>
    <x:t xml:space="preserve">vereda El Cedro, sobre la vía Ventanas (Mu. Yarumal)-El Cedro, km 1.9.</x:t>
  </x:si>
  <x:si>
    <x:t xml:space="preserve">Callejas R. et al., 6375</x:t>
  </x:si>
  <x:si>
    <x:t xml:space="preserve">HUA 51421</x:t>
  </x:si>
  <x:si>
    <x:t xml:space="preserve">Colombia, Antioquia, Sonsón, vía Sonsón-La Soleda, 1,1 km de la troncal principal, vereda Manzanares.</x:t>
  </x:si>
  <x:si>
    <x:t xml:space="preserve">N 05°42'35"</x:t>
  </x:si>
  <x:si>
    <x:t xml:space="preserve">05°42'35" N</x:t>
  </x:si>
  <x:si>
    <x:t xml:space="preserve">W 75°18'39"</x:t>
  </x:si>
  <x:si>
    <x:t xml:space="preserve">75°18'39" W</x:t>
  </x:si>
  <x:si>
    <x:t xml:space="preserve">05°42'35" N, 75°18'39" W</x:t>
  </x:si>
  <x:si>
    <x:t xml:space="preserve">5.7097222</x:t>
  </x:si>
  <x:si>
    <x:t xml:space="preserve">-75.3108333</x:t>
  </x:si>
  <x:si>
    <x:t xml:space="preserve">5.7097222,-75.3108333</x:t>
  </x:si>
  <x:si>
    <x:t xml:space="preserve">vía Sonsón-La Soleda, 1, 1 km de la troncal principal, vereda Manzanares.</x:t>
  </x:si>
  <x:si>
    <x:t xml:space="preserve">Zarucchi J.L. et al., 6816</x:t>
  </x:si>
  <x:si>
    <x:t xml:space="preserve">HUA 56671</x:t>
  </x:si>
  <x:si>
    <x:t xml:space="preserve">Colombia, Antioquia, Medellín, cerro del Padre Amaya, 6,9 km from Medellín-Santa Fé</x:t>
  </x:si>
  <x:si>
    <x:t xml:space="preserve">cerro del Padre Amaya, 6, 9 km from Medellín-Santa Fé</x:t>
  </x:si>
  <x:si>
    <x:t xml:space="preserve">Zarucchi J.L. et al., 6846</x:t>
  </x:si>
  <x:si>
    <x:t xml:space="preserve">HUA 56847</x:t>
  </x:si>
  <x:si>
    <x:t xml:space="preserve">Colombia, Antioquia, Medellín, along road Cerro del Padre Amaya, 2,3 km from main Medellín-Santa Fé de Antioquia road. Disturbet montane forest vegetation.</x:t>
  </x:si>
  <x:si>
    <x:t xml:space="preserve">N 06°19'</x:t>
  </x:si>
  <x:si>
    <x:t xml:space="preserve">06°19' N</x:t>
  </x:si>
  <x:si>
    <x:t xml:space="preserve">06°19' N, 75°41' W</x:t>
  </x:si>
  <x:si>
    <x:t xml:space="preserve">along road Cerro del Padre Amaya, 2, 3 km from main Medellín-Santa Fé de Antioquia road. Disturbet montane forest vegetation.</x:t>
  </x:si>
  <x:si>
    <x:t xml:space="preserve">COL 399038</x:t>
  </x:si>
  <x:si>
    <x:t xml:space="preserve">Colombia, Antioquia, Medellín, cerro del Padre Amaya, 6,9 km from Medellín-Santa Fé, higt way on road to summit, disturbed montane forest.</x:t>
  </x:si>
  <x:si>
    <x:t xml:space="preserve">cerro del Padre Amaya, 6, 9 km from Medellín-Santa Fé, higt way on road to summit, disturbed montane forest.</x:t>
  </x:si>
  <x:si>
    <x:t xml:space="preserve">Zarucchi J.L. et al., 7011</x:t>
  </x:si>
  <x:si>
    <x:t xml:space="preserve">HUA 59807</x:t>
  </x:si>
  <x:si>
    <x:t xml:space="preserve">Colombia, Antioquia, Jardín, vereda Morro Amarillo, Alto de las Flores, ca 5 km of Jardín.</x:t>
  </x:si>
  <x:si>
    <x:t xml:space="preserve">N 05°37'</x:t>
  </x:si>
  <x:si>
    <x:t xml:space="preserve">05°37' N</x:t>
  </x:si>
  <x:si>
    <x:t xml:space="preserve">05°37' N, 75°50' W</x:t>
  </x:si>
  <x:si>
    <x:t xml:space="preserve">vereda Morro Amarillo, Alto de las Flores, ca 5 km of Jardín.</x:t>
  </x:si>
  <x:si>
    <x:t xml:space="preserve">Londoño R. et all., 139</x:t>
  </x:si>
  <x:si>
    <x:t xml:space="preserve">HUA 22750</x:t>
  </x:si>
  <x:si>
    <x:t xml:space="preserve">Colombia, Antioquia, Urrao, Páramo de frontino, El Río.</x:t>
  </x:si>
  <x:si>
    <x:t xml:space="preserve">2050-2170</x:t>
  </x:si>
  <x:si>
    <x:t xml:space="preserve">N 06°46'52.50"</x:t>
  </x:si>
  <x:si>
    <x:t xml:space="preserve">06°46'52.50" N</x:t>
  </x:si>
  <x:si>
    <x:t xml:space="preserve">W 76°07'30.22"</x:t>
  </x:si>
  <x:si>
    <x:t xml:space="preserve">76°07'30.22" W</x:t>
  </x:si>
  <x:si>
    <x:t xml:space="preserve">06°46'52.50" N, 76°07'30.22" W</x:t>
  </x:si>
  <x:si>
    <x:t xml:space="preserve">6.78125</x:t>
  </x:si>
  <x:si>
    <x:t xml:space="preserve">-76.1250611</x:t>
  </x:si>
  <x:si>
    <x:t xml:space="preserve">6.78125,-76.1250611</x:t>
  </x:si>
  <x:si>
    <x:t xml:space="preserve">Páramo de frontino, El Río.</x:t>
  </x:si>
  <x:si>
    <x:t xml:space="preserve">MacDougal &amp; F.J. Roldán 3589</x:t>
  </x:si>
  <x:si>
    <x:t xml:space="preserve">HUA 63507</x:t>
  </x:si>
  <x:si>
    <x:t xml:space="preserve">Colombia, Antioquia, Jardín-Río Sucio, ca 9 km from Jardín, bosque primario o poco perturbado, múy húmedo, y a orillaz del bosque.</x:t>
  </x:si>
  <x:si>
    <x:t xml:space="preserve">N 05°33'</x:t>
  </x:si>
  <x:si>
    <x:t xml:space="preserve">05°33' N</x:t>
  </x:si>
  <x:si>
    <x:t xml:space="preserve">W79°49'</x:t>
  </x:si>
  <x:si>
    <x:t xml:space="preserve">9°49' W</x:t>
  </x:si>
  <x:si>
    <x:t xml:space="preserve">05°33' N, 9°49' W</x:t>
  </x:si>
  <x:si>
    <x:t xml:space="preserve">5.55</x:t>
  </x:si>
  <x:si>
    <x:t xml:space="preserve">-9.8166667</x:t>
  </x:si>
  <x:si>
    <x:t xml:space="preserve">5.55,-9.8166667</x:t>
  </x:si>
  <x:si>
    <x:t xml:space="preserve">ca 9 km from Jardín, bosque primario o poco perturbado, múy húmedo, y a orillaz del bosque.</x:t>
  </x:si>
  <x:si>
    <x:t xml:space="preserve">Luteyn J.L. &amp; O. Escobar 13266</x:t>
  </x:si>
  <x:si>
    <x:t xml:space="preserve">COL 362250</x:t>
  </x:si>
  <x:si>
    <x:t xml:space="preserve">Colombia, Antioquia, Yarumal, 1-5 km along road to San Fermín de Briceño, ca 25 kmof Yarumal.</x:t>
  </x:si>
  <x:si>
    <x:t xml:space="preserve">1830-1900</x:t>
  </x:si>
  <x:si>
    <x:t xml:space="preserve">N 07°01'</x:t>
  </x:si>
  <x:si>
    <x:t xml:space="preserve">07°01' N</x:t>
  </x:si>
  <x:si>
    <x:t xml:space="preserve">07°01' N, 75°35' W</x:t>
  </x:si>
  <x:si>
    <x:t xml:space="preserve">7.0166667</x:t>
  </x:si>
  <x:si>
    <x:t xml:space="preserve">7.0166667,-75.5833333</x:t>
  </x:si>
  <x:si>
    <x:t xml:space="preserve">1-5 km along road to San Fermín de Briceño, ca 25 kmof Yarumal.</x:t>
  </x:si>
  <x:si>
    <x:t xml:space="preserve">HUA 64936</x:t>
  </x:si>
  <x:si>
    <x:t xml:space="preserve">Echeverri D.L. et al., 457</x:t>
  </x:si>
  <x:si>
    <x:t xml:space="preserve">HUA 75409</x:t>
  </x:si>
  <x:si>
    <x:t xml:space="preserve">Colombia, Antioquia, Belmira, vereda El Yerbal, sitio los Patos, margen izquierda del río Chico, alto de Sabanazos, subpáramo.</x:t>
  </x:si>
  <x:si>
    <x:t xml:space="preserve">vereda El Yerbal, sitio los Patos, margen izquierda del río Chico, alto de Sabanazos, subpáramo.</x:t>
  </x:si>
  <x:si>
    <x:t xml:space="preserve">Calle C., D. &amp; S. Muriel R. 99 </x:t>
  </x:si>
  <x:si>
    <x:t xml:space="preserve">HUA 80684</x:t>
  </x:si>
  <x:si>
    <x:t xml:space="preserve">Colombia, Antioquia, Medellín, corregimeinto de Santa Elena, vereda Périco.</x:t>
  </x:si>
  <x:si>
    <x:t xml:space="preserve">corregimeinto de Santa Elena, vereda Périco.</x:t>
  </x:si>
  <x:si>
    <x:t xml:space="preserve">Tuberquia et al., 55</x:t>
  </x:si>
  <x:si>
    <x:t xml:space="preserve">HUA 85063</x:t>
  </x:si>
  <x:si>
    <x:t xml:space="preserve">Colombia, Antioquia, Medellín, vereda San Cristobal, sector Boquerón, Laguna La Selva.</x:t>
  </x:si>
  <x:si>
    <x:t xml:space="preserve">vereda San Cristobal, sector Boquerón, Laguna La Selva.</x:t>
  </x:si>
  <x:si>
    <x:t xml:space="preserve">Callejas R. &amp; F.J. Roldán 10493</x:t>
  </x:si>
  <x:si>
    <x:t xml:space="preserve">HUA 86461</x:t>
  </x:si>
  <x:si>
    <x:t xml:space="preserve">Colombia, Antioquia, Sonsón, vereda Chaverras, quebrada El Padre Sanchéz, 4 km SE. De Sonsón, en la vía al municipio de Nariño.</x:t>
  </x:si>
  <x:si>
    <x:t xml:space="preserve">N 05°39'</x:t>
  </x:si>
  <x:si>
    <x:t xml:space="preserve">05°39' N</x:t>
  </x:si>
  <x:si>
    <x:t xml:space="preserve">W 75°18'</x:t>
  </x:si>
  <x:si>
    <x:t xml:space="preserve">75°18' W</x:t>
  </x:si>
  <x:si>
    <x:t xml:space="preserve">05°39' N, 75°18' W</x:t>
  </x:si>
  <x:si>
    <x:t xml:space="preserve">5.65</x:t>
  </x:si>
  <x:si>
    <x:t xml:space="preserve">-75.3</x:t>
  </x:si>
  <x:si>
    <x:t xml:space="preserve">5.65,-75.3</x:t>
  </x:si>
  <x:si>
    <x:t xml:space="preserve">vereda Chaverras, quebrada El Padre Sanchéz, 4 km SE. De Sonsón, en la vía al municipio de Nariño.</x:t>
  </x:si>
  <x:si>
    <x:t xml:space="preserve">Callejas R. &amp; F.J. Roldán 10506</x:t>
  </x:si>
  <x:si>
    <x:t xml:space="preserve">HUA 83157</x:t>
  </x:si>
  <x:si>
    <x:t xml:space="preserve">Callejas R. &amp; F.J. Roldán 10671</x:t>
  </x:si>
  <x:si>
    <x:t xml:space="preserve">HUA 83197</x:t>
  </x:si>
  <x:si>
    <x:t xml:space="preserve">Colombia, Antioquia, Sonson, vereda Manzanares abajo, 10 km NE de Sonsón, en la vía que conduce a "La Soledad", sitio de colección cerca de la escuela Rural Integrada "Gregorio Gutierrez Gonzalez", bosques perturbados.</x:t>
  </x:si>
  <x:si>
    <x:t xml:space="preserve">2420-2510</x:t>
  </x:si>
  <x:si>
    <x:t xml:space="preserve">N 05°43'</x:t>
  </x:si>
  <x:si>
    <x:t xml:space="preserve">05°43' N</x:t>
  </x:si>
  <x:si>
    <x:t xml:space="preserve">05°43' N, 75°12' W</x:t>
  </x:si>
  <x:si>
    <x:t xml:space="preserve">5.7166667</x:t>
  </x:si>
  <x:si>
    <x:t xml:space="preserve">5.7166667,-75.2</x:t>
  </x:si>
  <x:si>
    <x:t xml:space="preserve">HUA83197</x:t>
  </x:si>
  <x:si>
    <x:t xml:space="preserve">vereda Manzanares abajo, 10 km NE de Sonsón, en la vía que conduce a "La Soledad", sitio de colección cerca de la escuela Rural Integrada "Gregorio Gutierrez Gonzalez", bosques perturbados.</x:t>
  </x:si>
  <x:si>
    <x:t xml:space="preserve">Fonnegra R. et al., 5274</x:t>
  </x:si>
  <x:si>
    <x:t xml:space="preserve">HUA 95037</x:t>
  </x:si>
  <x:si>
    <x:t xml:space="preserve">Colombia, Antioquia, Medellín- Guarne: Parque Ecológico Piedras Blancas, sector Lajas. </x:t>
  </x:si>
  <x:si>
    <x:t xml:space="preserve">06°18' N, 74°29' W</x:t>
  </x:si>
  <x:si>
    <x:t xml:space="preserve">Medellín- Guarne: Parque Ecológico Piedras Blancas</x:t>
  </x:si>
  <x:si>
    <x:t xml:space="preserve">sector Lajas.</x:t>
  </x:si>
  <x:si>
    <x:t xml:space="preserve">Callejas R. &amp; A. Echeverri 11512</x:t>
  </x:si>
  <x:si>
    <x:t xml:space="preserve">HUA 105328</x:t>
  </x:si>
  <x:si>
    <x:t xml:space="preserve">Colombia, Antioquia, Medellín, corregimiento de Santa Elena, vereda del Plan - Piedras Blancas, finca El Naranjal, 18 km SE de Medellín en la via a Santa Elena.</x:t>
  </x:si>
  <x:si>
    <x:t xml:space="preserve">N 06°16'</x:t>
  </x:si>
  <x:si>
    <x:t xml:space="preserve">06°16' N</x:t>
  </x:si>
  <x:si>
    <x:t xml:space="preserve">W 75°34'</x:t>
  </x:si>
  <x:si>
    <x:t xml:space="preserve">75°34' W</x:t>
  </x:si>
  <x:si>
    <x:t xml:space="preserve">06°16' N, 75°34' W</x:t>
  </x:si>
  <x:si>
    <x:t xml:space="preserve">6.2666667</x:t>
  </x:si>
  <x:si>
    <x:t xml:space="preserve">-75.5666667</x:t>
  </x:si>
  <x:si>
    <x:t xml:space="preserve">6.2666667,-75.5666667</x:t>
  </x:si>
  <x:si>
    <x:t xml:space="preserve">corregimiento de Santa Elena, vereda del Plan - Piedras Blancas, finca El Naranjal, 18 km SE de Medellín en la via a Santa Elena.</x:t>
  </x:si>
  <x:si>
    <x:t xml:space="preserve">Callejas R &amp; A. Echeverri 11567</x:t>
  </x:si>
  <x:si>
    <x:t xml:space="preserve">HUA 104720</x:t>
  </x:si>
  <x:si>
    <x:t xml:space="preserve">Colombia, Antioquia, Medellín, corregimeinto de Santa Elena, vereda El Tambo, antigua vía a cultivos de pino en la ruta a Laguna de Guarne.</x:t>
  </x:si>
  <x:si>
    <x:t xml:space="preserve">W 74°29'</x:t>
  </x:si>
  <x:si>
    <x:t xml:space="preserve">74°29' W</x:t>
  </x:si>
  <x:si>
    <x:t xml:space="preserve">-74.4833333</x:t>
  </x:si>
  <x:si>
    <x:t xml:space="preserve">6.3,-74.4833333</x:t>
  </x:si>
  <x:si>
    <x:t xml:space="preserve">HUA104720</x:t>
  </x:si>
  <x:si>
    <x:t xml:space="preserve">corregimeinto de Santa Elena, vereda El Tambo, antigua vía a cultivos de pino en la ruta a Laguna de Guarne.</x:t>
  </x:si>
  <x:si>
    <x:t xml:space="preserve">Gil A. et al., 59</x:t>
  </x:si>
  <x:si>
    <x:t xml:space="preserve">HUA 132498</x:t>
  </x:si>
  <x:si>
    <x:t xml:space="preserve">Colombia, Antioquia, Carmen de Vivoral, corregimiento La Madera, entre torres.</x:t>
  </x:si>
  <x:si>
    <x:t xml:space="preserve">N 06°01'44.3"</x:t>
  </x:si>
  <x:si>
    <x:t xml:space="preserve">06°01'44.3" N</x:t>
  </x:si>
  <x:si>
    <x:t xml:space="preserve">W 75°19'34.6"</x:t>
  </x:si>
  <x:si>
    <x:t xml:space="preserve">75°19'34.6" W</x:t>
  </x:si>
  <x:si>
    <x:t xml:space="preserve">06°01'44.3" N, 75°19'34.6" W</x:t>
  </x:si>
  <x:si>
    <x:t xml:space="preserve">6.0289722</x:t>
  </x:si>
  <x:si>
    <x:t xml:space="preserve">-75.3262778</x:t>
  </x:si>
  <x:si>
    <x:t xml:space="preserve">6.0289722,-75.3262778</x:t>
  </x:si>
  <x:si>
    <x:t xml:space="preserve">Carmen de Vivoral</x:t>
  </x:si>
  <x:si>
    <x:t xml:space="preserve">corregimiento La Madera, entre torres.</x:t>
  </x:si>
  <x:si>
    <x:t xml:space="preserve">Correa M. et al., 461</x:t>
  </x:si>
  <x:si>
    <x:t xml:space="preserve">JAUM 30366</x:t>
  </x:si>
  <x:si>
    <x:t xml:space="preserve">Colombia, Antioquia, Envigado, vertiente occidental, margen izquierda de la Miel, Fuente de Higerón.</x:t>
  </x:si>
  <x:si>
    <x:t xml:space="preserve">N06°10'19"</x:t>
  </x:si>
  <x:si>
    <x:t xml:space="preserve">6°10'19" N</x:t>
  </x:si>
  <x:si>
    <x:t xml:space="preserve">W 75°35'09"</x:t>
  </x:si>
  <x:si>
    <x:t xml:space="preserve">6°10'19" N, 75°35'09" W</x:t>
  </x:si>
  <x:si>
    <x:t xml:space="preserve">vertiente occidental, margen izquierda de la Miel, Fuente de Higerón.</x:t>
  </x:si>
  <x:si>
    <x:t xml:space="preserve">Posada J.A. et al., 315</x:t>
  </x:si>
  <x:si>
    <x:t xml:space="preserve">HUA 107365</x:t>
  </x:si>
  <x:si>
    <x:t xml:space="preserve">Colombia, Antioquia, Medellín- Guarne: Parque Ecológico Piedras Blancas, Quebrada El Molino.</x:t>
  </x:si>
  <x:si>
    <x:t xml:space="preserve">06°18' N, 75°29' W</x:t>
  </x:si>
  <x:si>
    <x:t xml:space="preserve">Quebrada El Molino.</x:t>
  </x:si>
  <x:si>
    <x:t xml:space="preserve">Cardona F. et al., 544 </x:t>
  </x:si>
  <x:si>
    <x:t xml:space="preserve">HUA 110600</x:t>
  </x:si>
  <x:si>
    <x:t xml:space="preserve">Colombia, Antioquia, Medellín, corregimeinto de Santa Elena.</x:t>
  </x:si>
  <x:si>
    <x:t xml:space="preserve">N 06°10'</x:t>
  </x:si>
  <x:si>
    <x:t xml:space="preserve">06°10' N</x:t>
  </x:si>
  <x:si>
    <x:t xml:space="preserve">06°10' N, 75°32' W</x:t>
  </x:si>
  <x:si>
    <x:t xml:space="preserve">6.1666667</x:t>
  </x:si>
  <x:si>
    <x:t xml:space="preserve">6.1666667,-75.5333333</x:t>
  </x:si>
  <x:si>
    <x:t xml:space="preserve">HUA110600</x:t>
  </x:si>
  <x:si>
    <x:t xml:space="preserve">corregimeinto de Santa Elena.</x:t>
  </x:si>
  <x:si>
    <x:t xml:space="preserve">Alzate F. &amp; F. Cardona 492</x:t>
  </x:si>
  <x:si>
    <x:t xml:space="preserve">HUA 123169</x:t>
  </x:si>
  <x:si>
    <x:t xml:space="preserve">Colombia, Antioquia, Medellín, corregimiento de Santa Elena, sector Piedras Blancas.</x:t>
  </x:si>
  <x:si>
    <x:t xml:space="preserve">corregimiento de Santa Elena, sector Piedras Blancas.</x:t>
  </x:si>
  <x:si>
    <x:t xml:space="preserve">Muñoz M. sn.</x:t>
  </x:si>
  <x:si>
    <x:t xml:space="preserve">HUA 116482</x:t>
  </x:si>
  <x:si>
    <x:t xml:space="preserve">Colombia, Antioquia, Medellín, corregimiento de Santa Elena, sitio Los Naranjos.</x:t>
  </x:si>
  <x:si>
    <x:t xml:space="preserve">corregimiento de Santa Elena, sitio Los Naranjos.</x:t>
  </x:si>
  <x:si>
    <x:t xml:space="preserve">Rodríguez  W. 3100</x:t>
  </x:si>
  <x:si>
    <x:t xml:space="preserve">JAUM 37452</x:t>
  </x:si>
  <x:si>
    <x:t xml:space="preserve">Colombia, Antioquia, Medellín, corregimeinto de Santa Elena, vereda Mazo, Estación Biodiversidad-CORANTIOQUIA, bocatoma que conduce al pozo de los patos.</x:t>
  </x:si>
  <x:si>
    <x:t xml:space="preserve">N 06°15'42"</x:t>
  </x:si>
  <x:si>
    <x:t xml:space="preserve">W 75°30'32.3"</x:t>
  </x:si>
  <x:si>
    <x:t xml:space="preserve">75°30'32.3" W</x:t>
  </x:si>
  <x:si>
    <x:t xml:space="preserve">06°15'42" N, 75°30'32.3" W</x:t>
  </x:si>
  <x:si>
    <x:t xml:space="preserve">-75.5089722</x:t>
  </x:si>
  <x:si>
    <x:t xml:space="preserve">6.2616667,-75.5089722</x:t>
  </x:si>
  <x:si>
    <x:t xml:space="preserve">corregimeinto de Santa Elena, vereda Mazo, Estación Biodiversidad-CORANTIOQUIA, bocatoma que conduce al pozo de los patos.</x:t>
  </x:si>
  <x:si>
    <x:t xml:space="preserve">COL 458813</x:t>
  </x:si>
  <x:si>
    <x:t xml:space="preserve">HUA 132174</x:t>
  </x:si>
  <x:si>
    <x:t xml:space="preserve">Rodríguez W., et al., 3387</x:t>
  </x:si>
  <x:si>
    <x:t xml:space="preserve">HUA 137329</x:t>
  </x:si>
  <x:si>
    <x:t xml:space="preserve">Colombia, Antioquia, Belmira, vereda El Golfo, quebrada El Mogote.</x:t>
  </x:si>
  <x:si>
    <x:t xml:space="preserve">N 06°36'39.2"</x:t>
  </x:si>
  <x:si>
    <x:t xml:space="preserve">06°36'39.2" N</x:t>
  </x:si>
  <x:si>
    <x:t xml:space="preserve">W 75°39'58.1"</x:t>
  </x:si>
  <x:si>
    <x:t xml:space="preserve">75°39'58.1" W</x:t>
  </x:si>
  <x:si>
    <x:t xml:space="preserve">06°36'39.2" N, 75°39'58.1" W</x:t>
  </x:si>
  <x:si>
    <x:t xml:space="preserve">6.6108889</x:t>
  </x:si>
  <x:si>
    <x:t xml:space="preserve">-75.6661389</x:t>
  </x:si>
  <x:si>
    <x:t xml:space="preserve">6.6108889,-75.6661389</x:t>
  </x:si>
  <x:si>
    <x:t xml:space="preserve">vereda El Golfo, quebrada El Mogote.</x:t>
  </x:si>
  <x:si>
    <x:t xml:space="preserve">JAUM 38641</x:t>
  </x:si>
  <x:si>
    <x:t xml:space="preserve">Rodriguez W. &amp; M.Arboleda 3452</x:t>
  </x:si>
  <x:si>
    <x:t xml:space="preserve">HUA 137335</x:t>
  </x:si>
  <x:si>
    <x:t xml:space="preserve">Colombia, Antioquia, Belmira, vereda La Salazar (parte baja), quebrada El Diablo.</x:t>
  </x:si>
  <x:si>
    <x:t xml:space="preserve">N 06°35'45.3"</x:t>
  </x:si>
  <x:si>
    <x:t xml:space="preserve">W 75°39'13"</x:t>
  </x:si>
  <x:si>
    <x:t xml:space="preserve">vereda La Salazar (parte baja), quebrada El Diablo.</x:t>
  </x:si>
  <x:si>
    <x:t xml:space="preserve">COL 484019</x:t>
  </x:si>
  <x:si>
    <x:t xml:space="preserve">Rodríguez W. et al., 3387</x:t>
  </x:si>
  <x:si>
    <x:t xml:space="preserve">MEDEL 46599</x:t>
  </x:si>
  <x:si>
    <x:t xml:space="preserve">Rodríguez W., et al., 3651</x:t>
  </x:si>
  <x:si>
    <x:t xml:space="preserve">COL 484018</x:t>
  </x:si>
  <x:si>
    <x:t xml:space="preserve">Colombia, Antioquia, Liborina, vereda Barrio Nuevo, margén izquierda de la quebrada La Honda, nacimientos, bh-MB, interior de rastrojo alto.</x:t>
  </x:si>
  <x:si>
    <x:t xml:space="preserve">vereda Barrio Nuevo, margén izquierda de la quebrada La Honda, nacimientos, bh-MB, interior de rastrojo alto.</x:t>
  </x:si>
  <x:si>
    <x:t xml:space="preserve">David H. &amp; J. Idarraga 486</x:t>
  </x:si>
  <x:si>
    <x:t xml:space="preserve">HUA 145195</x:t>
  </x:si>
  <x:si>
    <x:t xml:space="preserve">Colombia, Antioquia, Medellín, corregimeinto de Santa Elena, Reserva Natural Montevico, sector Casapalo.</x:t>
  </x:si>
  <x:si>
    <x:t xml:space="preserve">N 06°12'48"</x:t>
  </x:si>
  <x:si>
    <x:t xml:space="preserve">W 75°29'32.2"</x:t>
  </x:si>
  <x:si>
    <x:t xml:space="preserve">corregimeinto de Santa Elena, Reserva Natural Montevico, sector Casapalo.</x:t>
  </x:si>
  <x:si>
    <x:t xml:space="preserve">Fonnegra R. et al., 8211</x:t>
  </x:si>
  <x:si>
    <x:t xml:space="preserve">HUA 140466</x:t>
  </x:si>
  <x:si>
    <x:t xml:space="preserve">Colombia, Antioquia, Santa Rosa de Osos, vereda Chaquiro, sitio San Andrés de Cuérquia.</x:t>
  </x:si>
  <x:si>
    <x:t xml:space="preserve">N 06°14'12.6"</x:t>
  </x:si>
  <x:si>
    <x:t xml:space="preserve">06°14'12.6" N</x:t>
  </x:si>
  <x:si>
    <x:t xml:space="preserve">W 75°18'07.8"</x:t>
  </x:si>
  <x:si>
    <x:t xml:space="preserve">75°18'07.8" W</x:t>
  </x:si>
  <x:si>
    <x:t xml:space="preserve">06°14'12.6" N, 75°18'07.8" W</x:t>
  </x:si>
  <x:si>
    <x:t xml:space="preserve">6.2368333</x:t>
  </x:si>
  <x:si>
    <x:t xml:space="preserve">-75.3021667</x:t>
  </x:si>
  <x:si>
    <x:t xml:space="preserve">6.2368333,-75.3021667</x:t>
  </x:si>
  <x:si>
    <x:t xml:space="preserve">HUA140466</x:t>
  </x:si>
  <x:si>
    <x:t xml:space="preserve">vereda Chaquiro, sitio San Andrés de Cuérquia.</x:t>
  </x:si>
  <x:si>
    <x:t xml:space="preserve">Rodríguez W., et al., 4878</x:t>
  </x:si>
  <x:si>
    <x:t xml:space="preserve">HUA 153787</x:t>
  </x:si>
  <x:si>
    <x:t xml:space="preserve">Colombia, Antioquia, Fredonia, vereda Erbe, microcuenca La Chaparrala.</x:t>
  </x:si>
  <x:si>
    <x:t xml:space="preserve">N 05°59'08.5"</x:t>
  </x:si>
  <x:si>
    <x:t xml:space="preserve">05°59'08.5" N</x:t>
  </x:si>
  <x:si>
    <x:t xml:space="preserve">W 75°38'06.8"</x:t>
  </x:si>
  <x:si>
    <x:t xml:space="preserve">75°38'06.8" W</x:t>
  </x:si>
  <x:si>
    <x:t xml:space="preserve">05°59'08.5" N, 75°38'06.8" W</x:t>
  </x:si>
  <x:si>
    <x:t xml:space="preserve">5.9856944</x:t>
  </x:si>
  <x:si>
    <x:t xml:space="preserve">5.9856944,-75.6352222</x:t>
  </x:si>
  <x:si>
    <x:t xml:space="preserve">vereda Erbe, microcuenca La Chaparrala.</x:t>
  </x:si>
  <x:si>
    <x:t xml:space="preserve">Rodríguez W., et al., 5011</x:t>
  </x:si>
  <x:si>
    <x:t xml:space="preserve">HUA 153791</x:t>
  </x:si>
  <x:si>
    <x:t xml:space="preserve">Colombia, Antioquia, Jardín, vereda Quebrada Bonita, sector Alto de Ventanas, limites entre Antioquia y Caldas.</x:t>
  </x:si>
  <x:si>
    <x:t xml:space="preserve">N 05°32'30.4"</x:t>
  </x:si>
  <x:si>
    <x:t xml:space="preserve">05°32'30.4" N</x:t>
  </x:si>
  <x:si>
    <x:t xml:space="preserve">W 75°48'27.1"</x:t>
  </x:si>
  <x:si>
    <x:t xml:space="preserve">75°48'27.1" W</x:t>
  </x:si>
  <x:si>
    <x:t xml:space="preserve">05°32'30.4" N, 75°48'27.1" W</x:t>
  </x:si>
  <x:si>
    <x:t xml:space="preserve">5.5417778</x:t>
  </x:si>
  <x:si>
    <x:t xml:space="preserve">-75.8075278</x:t>
  </x:si>
  <x:si>
    <x:t xml:space="preserve">5.5417778,-75.8075278</x:t>
  </x:si>
  <x:si>
    <x:t xml:space="preserve">vereda Quebrada Bonita, sector Alto de Ventanas, limites entre Antioquia y Caldas.</x:t>
  </x:si>
  <x:si>
    <x:t xml:space="preserve">Rodríguez W., et al., 5475</x:t>
  </x:si>
  <x:si>
    <x:t xml:space="preserve">HUA 154680</x:t>
  </x:si>
  <x:si>
    <x:t xml:space="preserve">Colombia, Antioquia, Bello, corregimiento de San Félix, alto de Las Baldias, sector Antenas de El Colombiano.</x:t>
  </x:si>
  <x:si>
    <x:t xml:space="preserve">2950-3050</x:t>
  </x:si>
  <x:si>
    <x:t xml:space="preserve">N 06°20'30"</x:t>
  </x:si>
  <x:si>
    <x:t xml:space="preserve">06°20'30" N</x:t>
  </x:si>
  <x:si>
    <x:t xml:space="preserve">W 75°38'50"</x:t>
  </x:si>
  <x:si>
    <x:t xml:space="preserve">75°38'50" W</x:t>
  </x:si>
  <x:si>
    <x:t xml:space="preserve">06°20'30" N, 75°38'50" W</x:t>
  </x:si>
  <x:si>
    <x:t xml:space="preserve">6.3416667</x:t>
  </x:si>
  <x:si>
    <x:t xml:space="preserve">-75.6472222</x:t>
  </x:si>
  <x:si>
    <x:t xml:space="preserve">6.3416667,-75.6472222</x:t>
  </x:si>
  <x:si>
    <x:t xml:space="preserve">corregimiento de San Félix, alto de Las Baldias, sector Antenas de El Colombiano.</x:t>
  </x:si>
  <x:si>
    <x:t xml:space="preserve">Rodríguez W., et al., 5556</x:t>
  </x:si>
  <x:si>
    <x:t xml:space="preserve">HUA 154692</x:t>
  </x:si>
  <x:si>
    <x:t xml:space="preserve">Colombia, Antioquia, Angelopolis, vereda Romeral, sector Bocatoma, acueducto multiveredal, quebrada Las Animas. </x:t>
  </x:si>
  <x:si>
    <x:t xml:space="preserve">N 06°09'29"</x:t>
  </x:si>
  <x:si>
    <x:t xml:space="preserve">06°09'29" N</x:t>
  </x:si>
  <x:si>
    <x:t xml:space="preserve">W 75°42'05"</x:t>
  </x:si>
  <x:si>
    <x:t xml:space="preserve">75°42'05" W</x:t>
  </x:si>
  <x:si>
    <x:t xml:space="preserve">06°09'29" N, 75°42'05" W</x:t>
  </x:si>
  <x:si>
    <x:t xml:space="preserve">Angelopolis</x:t>
  </x:si>
  <x:si>
    <x:t xml:space="preserve">vereda Romeral, sector Bocatoma, acueducto multiveredal, quebrada Las Animas.</x:t>
  </x:si>
  <x:si>
    <x:t xml:space="preserve">Rodríguez W., et al., 5881</x:t>
  </x:si>
  <x:si>
    <x:t xml:space="preserve">HUA 158373</x:t>
  </x:si>
  <x:si>
    <x:t xml:space="preserve">Colombia, Antioquia, Medellín, vereda Yarumalito, divisoria de aguas con el municipio de Heliconia, cerca al relleno sanitario "El Guacal".</x:t>
  </x:si>
  <x:si>
    <x:t xml:space="preserve">N 06°15'18.52"</x:t>
  </x:si>
  <x:si>
    <x:t xml:space="preserve">06°15'18.52" N</x:t>
  </x:si>
  <x:si>
    <x:t xml:space="preserve">W 75°42'40.64"</x:t>
  </x:si>
  <x:si>
    <x:t xml:space="preserve">75°42'40.64" W</x:t>
  </x:si>
  <x:si>
    <x:t xml:space="preserve">06°15'18.52" N, 75°42'40.64" W</x:t>
  </x:si>
  <x:si>
    <x:t xml:space="preserve">6.2551444</x:t>
  </x:si>
  <x:si>
    <x:t xml:space="preserve">-75.7112889</x:t>
  </x:si>
  <x:si>
    <x:t xml:space="preserve">6.2551444,-75.7112889</x:t>
  </x:si>
  <x:si>
    <x:t xml:space="preserve">vereda Yarumalito, divisoria de aguas con el municipio de Heliconia, cerca al relleno sanitario "El Guacal".</x:t>
  </x:si>
  <x:si>
    <x:t xml:space="preserve">Benavides A.M. &amp; D. Jimenez 4078</x:t>
  </x:si>
  <x:si>
    <x:t xml:space="preserve">HUA 159299</x:t>
  </x:si>
  <x:si>
    <x:t xml:space="preserve">Colombia, Antioquia, Medellín, Parque Regional Arví, bosque Silletero.</x:t>
  </x:si>
  <x:si>
    <x:t xml:space="preserve">HUA159299</x:t>
  </x:si>
  <x:si>
    <x:t xml:space="preserve">Parque Regional Arví, bosque Silletero.</x:t>
  </x:si>
  <x:si>
    <x:t xml:space="preserve">Sanín D. et al., 5124</x:t>
  </x:si>
  <x:si>
    <x:t xml:space="preserve">Colombia, Antioquia, Urrao, corregimiento de La Encarnación, camino entra el páramo El Almorzadero y poco antes de la cabaña de Calles.</x:t>
  </x:si>
  <x:si>
    <x:t xml:space="preserve">D_Sanín5124</x:t>
  </x:si>
  <x:si>
    <x:t xml:space="preserve">corregimiento de La Encarnación, camino entra el páramo El Almorzadero y poco antes de la cabaña de Calles.</x:t>
  </x:si>
  <x:si>
    <x:t xml:space="preserve">Jaramillo-Mejía R. &amp; T. van der Hammen 4149</x:t>
  </x:si>
  <x:si>
    <x:t xml:space="preserve">COL 000336186</x:t>
  </x:si>
  <x:si>
    <x:t xml:space="preserve">Colombia, Boyacá, camino al Alto de Onzaga a Soatá.</x:t>
  </x:si>
  <x:si>
    <x:t xml:space="preserve">COL000336186</x:t>
  </x:si>
  <x:si>
    <x:t xml:space="preserve">camino al Alto de Onzaga a Soatá.</x:t>
  </x:si>
  <x:si>
    <x:t xml:space="preserve">Jaramillo-Mejía R. &amp; T. van der Hammen 4248</x:t>
  </x:si>
  <x:si>
    <x:t xml:space="preserve">COL 000336187</x:t>
  </x:si>
  <x:si>
    <x:t xml:space="preserve">Colombia, Boyacá, carretera entre Uvita y Cusagui, Alto de las Borregas.</x:t>
  </x:si>
  <x:si>
    <x:t xml:space="preserve">COL000336187</x:t>
  </x:si>
  <x:si>
    <x:t xml:space="preserve">carretera entre Uvita y Cusagui</x:t>
  </x:si>
  <x:si>
    <x:t xml:space="preserve">Alto de las Borregas.</x:t>
  </x:si>
  <x:si>
    <x:t xml:space="preserve">Mendoza H 1938</x:t>
  </x:si>
  <x:si>
    <x:t xml:space="preserve">COL 000336222</x:t>
  </x:si>
  <x:si>
    <x:t xml:space="preserve">Colombia, Boyacá, Villa de Leyva, vereda La Capilla, cerca de la Antena de radioaficionados.</x:t>
  </x:si>
  <x:si>
    <x:t xml:space="preserve">N 05°41'14"</x:t>
  </x:si>
  <x:si>
    <x:t xml:space="preserve">05°41'14" N</x:t>
  </x:si>
  <x:si>
    <x:t xml:space="preserve">W 73°29'35"</x:t>
  </x:si>
  <x:si>
    <x:t xml:space="preserve">73°29'35" W</x:t>
  </x:si>
  <x:si>
    <x:t xml:space="preserve">05°41'14" N, 73°29'35" W</x:t>
  </x:si>
  <x:si>
    <x:t xml:space="preserve">5.6872222</x:t>
  </x:si>
  <x:si>
    <x:t xml:space="preserve">-73.4930556</x:t>
  </x:si>
  <x:si>
    <x:t xml:space="preserve">5.6872222,-73.4930556</x:t>
  </x:si>
  <x:si>
    <x:t xml:space="preserve">vereda La Capilla, cerca de la Antena de radioaficionados.</x:t>
  </x:si>
  <x:si>
    <x:t xml:space="preserve">Albert de Escobar L. &amp; J. Brand 2098</x:t>
  </x:si>
  <x:si>
    <x:t xml:space="preserve">HUA 15293</x:t>
  </x:si>
  <x:si>
    <x:t xml:space="preserve">Colombia, Caldas, Pensilvania, vereda Líbano.</x:t>
  </x:si>
  <x:si>
    <x:t xml:space="preserve">vereda Líbano.</x:t>
  </x:si>
  <x:si>
    <x:t xml:space="preserve">Albert de Escobar L. &amp; J. Brand 2118</x:t>
  </x:si>
  <x:si>
    <x:t xml:space="preserve">HUA 15321</x:t>
  </x:si>
  <x:si>
    <x:t xml:space="preserve">Colombia, Caldas, Pensilvania, vereda Líbano, crece al borde de la Quebrada Negra, entre potrero.</x:t>
  </x:si>
  <x:si>
    <x:t xml:space="preserve">vereda Líbano, crece al borde de la Quebrada Negra, entre potrero.</x:t>
  </x:si>
  <x:si>
    <x:t xml:space="preserve">de Fraume M. et al., 598</x:t>
  </x:si>
  <x:si>
    <x:t xml:space="preserve">COL 305171</x:t>
  </x:si>
  <x:si>
    <x:t xml:space="preserve">Colombia, Caldas, Manizales, cordillera Central, Monteleón.</x:t>
  </x:si>
  <x:si>
    <x:t xml:space="preserve">cordillera Central, Monteleón.</x:t>
  </x:si>
  <x:si>
    <x:t xml:space="preserve">FAUC 2155</x:t>
  </x:si>
  <x:si>
    <x:t xml:space="preserve">HUA 62084</x:t>
  </x:si>
  <x:si>
    <x:t xml:space="preserve">Alvear-P. M. &amp; F. Sánchez 628</x:t>
  </x:si>
  <x:si>
    <x:t xml:space="preserve">COL 462744</x:t>
  </x:si>
  <x:si>
    <x:t xml:space="preserve">Colombia, Caldas, Manizales, vereda La Esperanza, Reserva Torre IV, cerca de la quebrada El Diamante, debajo de la carretera hacia Bogotá, parche de bosque ralo, en el borde de quebrada.</x:t>
  </x:si>
  <x:si>
    <x:t xml:space="preserve">2700-2750</x:t>
  </x:si>
  <x:si>
    <x:t xml:space="preserve">N 05°1'46"</x:t>
  </x:si>
  <x:si>
    <x:t xml:space="preserve">05°1'46" N</x:t>
  </x:si>
  <x:si>
    <x:t xml:space="preserve">W 75°23'26"</x:t>
  </x:si>
  <x:si>
    <x:t xml:space="preserve">75°23'26" W</x:t>
  </x:si>
  <x:si>
    <x:t xml:space="preserve">05°1'46" N, 75°23'26" W</x:t>
  </x:si>
  <x:si>
    <x:t xml:space="preserve">5.0294444</x:t>
  </x:si>
  <x:si>
    <x:t xml:space="preserve">-75.3905556</x:t>
  </x:si>
  <x:si>
    <x:t xml:space="preserve">5.0294444,-75.3905556</x:t>
  </x:si>
  <x:si>
    <x:t xml:space="preserve">vereda La Esperanza, Reserva Torre IV, cerca de la quebrada El Diamante, debajo de la carretera hacia Bogotá, parche de bosque ralo, en el borde de quebrada.</x:t>
  </x:si>
  <x:si>
    <x:t xml:space="preserve">Sanín D. 104</x:t>
  </x:si>
  <x:si>
    <x:t xml:space="preserve">HUQ 29530</x:t>
  </x:si>
  <x:si>
    <x:t xml:space="preserve">Colombia, Caldas, Manizales, Reserva Río Blanco.</x:t>
  </x:si>
  <x:si>
    <x:t xml:space="preserve">N 05°04'55.58"</x:t>
  </x:si>
  <x:si>
    <x:t xml:space="preserve">05°04'55.58" N</x:t>
  </x:si>
  <x:si>
    <x:t xml:space="preserve">W 75°27'48.17"</x:t>
  </x:si>
  <x:si>
    <x:t xml:space="preserve">75°27'48.17" W</x:t>
  </x:si>
  <x:si>
    <x:t xml:space="preserve">05°04'55.58" N, 75°27'48.17" W</x:t>
  </x:si>
  <x:si>
    <x:t xml:space="preserve">5.0821056</x:t>
  </x:si>
  <x:si>
    <x:t xml:space="preserve">-75.4633806</x:t>
  </x:si>
  <x:si>
    <x:t xml:space="preserve">5.0821056,-75.4633806</x:t>
  </x:si>
  <x:si>
    <x:t xml:space="preserve">Reserva Río Blanco.</x:t>
  </x:si>
  <x:si>
    <x:t xml:space="preserve">Sanín D. 768</x:t>
  </x:si>
  <x:si>
    <x:t xml:space="preserve">FAUC 15161</x:t>
  </x:si>
  <x:si>
    <x:t xml:space="preserve">Colombia, Caldas, Neira, vereda Manga Bonita, finca San Juan</x:t>
  </x:si>
  <x:si>
    <x:t xml:space="preserve">N 05°9'58.2"</x:t>
  </x:si>
  <x:si>
    <x:t xml:space="preserve">05°9'58.2" N</x:t>
  </x:si>
  <x:si>
    <x:t xml:space="preserve">W 75°24'40.7"</x:t>
  </x:si>
  <x:si>
    <x:t xml:space="preserve">75°24'40.7" W</x:t>
  </x:si>
  <x:si>
    <x:t xml:space="preserve">05°9'58.2" N, 75°24'40.7" W</x:t>
  </x:si>
  <x:si>
    <x:t xml:space="preserve">-75.4113056</x:t>
  </x:si>
  <x:si>
    <x:t xml:space="preserve">5.1661667,-75.4113056</x:t>
  </x:si>
  <x:si>
    <x:t xml:space="preserve">vereda Manga Bonita, finca San Juan</x:t>
  </x:si>
  <x:si>
    <x:t xml:space="preserve">Sanín D. 2805</x:t>
  </x:si>
  <x:si>
    <x:t xml:space="preserve">HUA XX</x:t>
  </x:si>
  <x:si>
    <x:t xml:space="preserve">Colombia, Caldas, Riosucio, vereda El Claren, corregimiento de Bonafon, Finca El Mirador.</x:t>
  </x:si>
  <x:si>
    <x:t xml:space="preserve">Sanín D. et al., 2199</x:t>
  </x:si>
  <x:si>
    <x:t xml:space="preserve">Colombia, Caldas, Villamaría, vereda Alto del Castillo, Finca La Palma.</x:t>
  </x:si>
  <x:si>
    <x:t xml:space="preserve">2500-2800</x:t>
  </x:si>
  <x:si>
    <x:t xml:space="preserve">N 05°00'</x:t>
  </x:si>
  <x:si>
    <x:t xml:space="preserve">05°00' N</x:t>
  </x:si>
  <x:si>
    <x:t xml:space="preserve">05°00' N, 75°30' W</x:t>
  </x:si>
  <x:si>
    <x:t xml:space="preserve">5,-75.5</x:t>
  </x:si>
  <x:si>
    <x:t xml:space="preserve">vereda Alto del Castillo, Finca La Palma.</x:t>
  </x:si>
  <x:si>
    <x:t xml:space="preserve">Coca L.F. &amp; C.A. Duque-Buitrago 66</x:t>
  </x:si>
  <x:si>
    <x:t xml:space="preserve">Colombia, Caldas, Aránzazu, vereda El Diamante, finca El Porvenir.</x:t>
  </x:si>
  <x:si>
    <x:t xml:space="preserve">N 05°15'37.1"</x:t>
  </x:si>
  <x:si>
    <x:t xml:space="preserve">05°15'37.1" N</x:t>
  </x:si>
  <x:si>
    <x:t xml:space="preserve">W 75°25'31.4"</x:t>
  </x:si>
  <x:si>
    <x:t xml:space="preserve">75°25'31.4" W</x:t>
  </x:si>
  <x:si>
    <x:t xml:space="preserve">05°15'37.1" N, 75°25'31.4" W</x:t>
  </x:si>
  <x:si>
    <x:t xml:space="preserve">5.2603056</x:t>
  </x:si>
  <x:si>
    <x:t xml:space="preserve">-75.4253889</x:t>
  </x:si>
  <x:si>
    <x:t xml:space="preserve">5.2603056,-75.4253889</x:t>
  </x:si>
  <x:si>
    <x:t xml:space="preserve">Aránzazu</x:t>
  </x:si>
  <x:si>
    <x:t xml:space="preserve">vereda El Diamante, finca El Porvenir.</x:t>
  </x:si>
  <x:si>
    <x:t xml:space="preserve">Sanín D. et al., 3315</x:t>
  </x:si>
  <x:si>
    <x:t xml:space="preserve">Colombia, Caldas, Manizales, Villamaría, vereda Montaño, finca San Antonio, relicto nor-oriente de la casa.</x:t>
  </x:si>
  <x:si>
    <x:t xml:space="preserve">N 04°59'5.57"</x:t>
  </x:si>
  <x:si>
    <x:t xml:space="preserve">W 75°27'4.10"</x:t>
  </x:si>
  <x:si>
    <x:t xml:space="preserve">Villamaría, vereda Montaño, finca San Antonio, relicto nor-oriente de la casa.</x:t>
  </x:si>
  <x:si>
    <x:t xml:space="preserve">Sanín D. et al., 5700</x:t>
  </x:si>
  <x:si>
    <x:t xml:space="preserve">Colombia, Caldas, Manizales, Cerro San Cancio, base izquierda de la vía, regeneración avanzada.</x:t>
  </x:si>
  <x:si>
    <x:t xml:space="preserve">N 05°02'36.09"</x:t>
  </x:si>
  <x:si>
    <x:t xml:space="preserve">05°02'36.09" N</x:t>
  </x:si>
  <x:si>
    <x:t xml:space="preserve">W 75°29'0.79"</x:t>
  </x:si>
  <x:si>
    <x:t xml:space="preserve">75°29'0.79" W</x:t>
  </x:si>
  <x:si>
    <x:t xml:space="preserve">05°02'36.09" N, 75°29'0.79" W</x:t>
  </x:si>
  <x:si>
    <x:t xml:space="preserve">5.0433583</x:t>
  </x:si>
  <x:si>
    <x:t xml:space="preserve">-75.4835528</x:t>
  </x:si>
  <x:si>
    <x:t xml:space="preserve">5.0433583,-75.4835528</x:t>
  </x:si>
  <x:si>
    <x:t xml:space="preserve">Cerro San Cancio, base izquierda de la vía, regeneración avanzada.</x:t>
  </x:si>
  <x:si>
    <x:t xml:space="preserve">Killip E.P. 38464</x:t>
  </x:si>
  <x:si>
    <x:t xml:space="preserve">COL 24855</x:t>
  </x:si>
  <x:si>
    <x:t xml:space="preserve">Colombia, Cauca, La Capilla, 25 km al norte de Popayán.</x:t>
  </x:si>
  <x:si>
    <x:t xml:space="preserve">COL24855</x:t>
  </x:si>
  <x:si>
    <x:t xml:space="preserve">La Capilla</x:t>
  </x:si>
  <x:si>
    <x:t xml:space="preserve">25 km al norte de Popayán.</x:t>
  </x:si>
  <x:si>
    <x:t xml:space="preserve">Grant M.L. 10658</x:t>
  </x:si>
  <x:si>
    <x:t xml:space="preserve">COL 000336212</x:t>
  </x:si>
  <x:si>
    <x:t xml:space="preserve">Colombia, Cauca, 5 km east of Timbío.</x:t>
  </x:si>
  <x:si>
    <x:t xml:space="preserve">COL000336212</x:t>
  </x:si>
  <x:si>
    <x:t xml:space="preserve">5 km east of Timbío.</x:t>
  </x:si>
  <x:si>
    <x:t xml:space="preserve">Espinal S &amp; J.E. Ramos 3200</x:t>
  </x:si>
  <x:si>
    <x:t xml:space="preserve">CUVC 3672</x:t>
  </x:si>
  <x:si>
    <x:t xml:space="preserve">Colombia, Cauca, Munchique.</x:t>
  </x:si>
  <x:si>
    <x:t xml:space="preserve">N 02°45'52.62"</x:t>
  </x:si>
  <x:si>
    <x:t xml:space="preserve">02°45'52.62" N</x:t>
  </x:si>
  <x:si>
    <x:t xml:space="preserve">W 76°45'51.20"</x:t>
  </x:si>
  <x:si>
    <x:t xml:space="preserve">76°45'51.20" W</x:t>
  </x:si>
  <x:si>
    <x:t xml:space="preserve">02°45'52.62" N, 76°45'51.20" W</x:t>
  </x:si>
  <x:si>
    <x:t xml:space="preserve">2.7646167</x:t>
  </x:si>
  <x:si>
    <x:t xml:space="preserve">-76.7642222</x:t>
  </x:si>
  <x:si>
    <x:t xml:space="preserve">2.7646167,-76.7642222</x:t>
  </x:si>
  <x:si>
    <x:t xml:space="preserve">CUVC3672</x:t>
  </x:si>
  <x:si>
    <x:t xml:space="preserve">Munchique.</x:t>
  </x:si>
  <x:si>
    <x:t xml:space="preserve">Prado M. &amp; N. Pinilla 67</x:t>
  </x:si>
  <x:si>
    <x:t xml:space="preserve">CAUP 5876</x:t>
  </x:si>
  <x:si>
    <x:t xml:space="preserve">Colombia, Cauca, Tambo, cuenca alta del río Sucio-Patía, vereda Munchique, camino hacia Carpinterías.</x:t>
  </x:si>
  <x:si>
    <x:t xml:space="preserve">Tambo</x:t>
  </x:si>
  <x:si>
    <x:t xml:space="preserve">cuenca alta del río Sucio-Patía, vereda Munchique, camino hacia Carpinterías.</x:t>
  </x:si>
  <x:si>
    <x:t xml:space="preserve">Becking M.L. et al., 1542</x:t>
  </x:si>
  <x:si>
    <x:t xml:space="preserve">COL 365202</x:t>
  </x:si>
  <x:si>
    <x:t xml:space="preserve">Colombia, Cauca, Argelia, cuch. Naranjal, cuenca Guitara (Micay), robledal Andino.</x:t>
  </x:si>
  <x:si>
    <x:t xml:space="preserve">N 02°15'21.36"</x:t>
  </x:si>
  <x:si>
    <x:t xml:space="preserve">02°15'21.36" N</x:t>
  </x:si>
  <x:si>
    <x:t xml:space="preserve">W 77°14'54.30"</x:t>
  </x:si>
  <x:si>
    <x:t xml:space="preserve">77°14'54.30" W</x:t>
  </x:si>
  <x:si>
    <x:t xml:space="preserve">02°15'21.36" N, 77°14'54.30" W</x:t>
  </x:si>
  <x:si>
    <x:t xml:space="preserve">2.2559333</x:t>
  </x:si>
  <x:si>
    <x:t xml:space="preserve">-77.2484167</x:t>
  </x:si>
  <x:si>
    <x:t xml:space="preserve">2.2559333,-77.2484167</x:t>
  </x:si>
  <x:si>
    <x:t xml:space="preserve">cuch. Naranjal, cuenca Guitara (Micay), robledal Andino.</x:t>
  </x:si>
  <x:si>
    <x:t xml:space="preserve">Gonzalez C. 1027</x:t>
  </x:si>
  <x:si>
    <x:t xml:space="preserve">CAUP 5571</x:t>
  </x:si>
  <x:si>
    <x:t xml:space="preserve">Colombia, Cauca, Toribio.</x:t>
  </x:si>
  <x:si>
    <x:t xml:space="preserve">N 02°57'29"</x:t>
  </x:si>
  <x:si>
    <x:t xml:space="preserve">02°57'29" N</x:t>
  </x:si>
  <x:si>
    <x:t xml:space="preserve">W 76°16'17"</x:t>
  </x:si>
  <x:si>
    <x:t xml:space="preserve">76°16'17" W</x:t>
  </x:si>
  <x:si>
    <x:t xml:space="preserve">02°57'29" N, 76°16'17" W</x:t>
  </x:si>
  <x:si>
    <x:t xml:space="preserve">2.9580556</x:t>
  </x:si>
  <x:si>
    <x:t xml:space="preserve">-76.2713889</x:t>
  </x:si>
  <x:si>
    <x:t xml:space="preserve">2.9580556,-76.2713889</x:t>
  </x:si>
  <x:si>
    <x:t xml:space="preserve">Toribio.</x:t>
  </x:si>
  <x:si>
    <x:t xml:space="preserve">Ribera-Díaz O. et al., 970</x:t>
  </x:si>
  <x:si>
    <x:t xml:space="preserve">COL 000336247</x:t>
  </x:si>
  <x:si>
    <x:t xml:space="preserve">Colombia, Cauca, Inza, vereda El Carmen, entre la vía Popayán-Inza, en inmediaciones entre las torres 162 y 164.</x:t>
  </x:si>
  <x:si>
    <x:t xml:space="preserve">COL000336247</x:t>
  </x:si>
  <x:si>
    <x:t xml:space="preserve">Inza</x:t>
  </x:si>
  <x:si>
    <x:t xml:space="preserve">vereda El Carmen, entre la vía Popayán-Inza, en inmediaciones entre las torres 162 y 164.</x:t>
  </x:si>
  <x:si>
    <x:t xml:space="preserve">Diaz S.L. &amp; C. Alcázar 51</x:t>
  </x:si>
  <x:si>
    <x:t xml:space="preserve">CAUP 15243</x:t>
  </x:si>
  <x:si>
    <x:t xml:space="preserve">Colombia, Cauca, Puracé, vía Popayán-Puracé, orilla de la Carretera.</x:t>
  </x:si>
  <x:si>
    <x:t xml:space="preserve">N 02°23'72'</x:t>
  </x:si>
  <x:si>
    <x:t xml:space="preserve">02°23'72' N</x:t>
  </x:si>
  <x:si>
    <x:t xml:space="preserve">W 76°26'30"</x:t>
  </x:si>
  <x:si>
    <x:t xml:space="preserve">76°26'30" W</x:t>
  </x:si>
  <x:si>
    <x:t xml:space="preserve">02°23'72' N, 76°26'30" W</x:t>
  </x:si>
  <x:si>
    <x:t xml:space="preserve">2.3853333</x:t>
  </x:si>
  <x:si>
    <x:t xml:space="preserve">-76.4416667</x:t>
  </x:si>
  <x:si>
    <x:t xml:space="preserve">2.3853333,-76.4416667</x:t>
  </x:si>
  <x:si>
    <x:t xml:space="preserve">vía Popayán-Puracé, orilla de la Carretera.</x:t>
  </x:si>
  <x:si>
    <x:t xml:space="preserve">Casañas Súarez O.L. 563</x:t>
  </x:si>
  <x:si>
    <x:t xml:space="preserve">CAUP 7130</x:t>
  </x:si>
  <x:si>
    <x:t xml:space="preserve">Colombia, Cauca, Tambo, Parque Nacional Natural Munchique, La Romelia.</x:t>
  </x:si>
  <x:si>
    <x:t xml:space="preserve">Parque Nacional Natural Munchique, La Romelia.</x:t>
  </x:si>
  <x:si>
    <x:t xml:space="preserve">Muñoz E.L. 699</x:t>
  </x:si>
  <x:si>
    <x:t xml:space="preserve">CAUP 17557</x:t>
  </x:si>
  <x:si>
    <x:t xml:space="preserve">Colombia, Cauca, Popayán, Quintana, vereda San Pedro.</x:t>
  </x:si>
  <x:si>
    <x:t xml:space="preserve">N 02°26'14.6"</x:t>
  </x:si>
  <x:si>
    <x:t xml:space="preserve">02°26'14.6" N</x:t>
  </x:si>
  <x:si>
    <x:t xml:space="preserve">W 76°25'49.7"</x:t>
  </x:si>
  <x:si>
    <x:t xml:space="preserve">76°25'49.7" W</x:t>
  </x:si>
  <x:si>
    <x:t xml:space="preserve">02°26'14.6" N, 76°25'49.7" W</x:t>
  </x:si>
  <x:si>
    <x:t xml:space="preserve">2.4373889</x:t>
  </x:si>
  <x:si>
    <x:t xml:space="preserve">-76.4304722</x:t>
  </x:si>
  <x:si>
    <x:t xml:space="preserve">2.4373889,-76.4304722</x:t>
  </x:si>
  <x:si>
    <x:t xml:space="preserve">Quintana, vereda San Pedro.</x:t>
  </x:si>
  <x:si>
    <x:t xml:space="preserve">Sandoval C.L. et al., 159</x:t>
  </x:si>
  <x:si>
    <x:t xml:space="preserve">CAUP 16982</x:t>
  </x:si>
  <x:si>
    <x:t xml:space="preserve">Colombia, Cauca, Popayán, Quintana,Cerro Pusná.</x:t>
  </x:si>
  <x:si>
    <x:t xml:space="preserve">2650-3044</x:t>
  </x:si>
  <x:si>
    <x:t xml:space="preserve">Quintana, Cerro Pusná.</x:t>
  </x:si>
  <x:si>
    <x:t xml:space="preserve">Aguilar J.A. 723</x:t>
  </x:si>
  <x:si>
    <x:t xml:space="preserve">CAUP 15194</x:t>
  </x:si>
  <x:si>
    <x:t xml:space="preserve">Colombia, Cauca, Bolívar, corregimiento de Los Milagros, en limites con Nariño, ascenso al Páramo de Granadillos.</x:t>
  </x:si>
  <x:si>
    <x:t xml:space="preserve">corregimiento de Los Milagros, en limites con Nariño, ascenso al Páramo de Granadillos.</x:t>
  </x:si>
  <x:si>
    <x:t xml:space="preserve">Muñoz E.L. et al., 1739</x:t>
  </x:si>
  <x:si>
    <x:t xml:space="preserve">CAUP 18443</x:t>
  </x:si>
  <x:si>
    <x:t xml:space="preserve">Colombia, Cauca, Inza, vereda Río Sucio, Jardín Botánico Las Delicias.</x:t>
  </x:si>
  <x:si>
    <x:t xml:space="preserve">N 02°33'</x:t>
  </x:si>
  <x:si>
    <x:t xml:space="preserve">02°33' N</x:t>
  </x:si>
  <x:si>
    <x:t xml:space="preserve">W 76°04'</x:t>
  </x:si>
  <x:si>
    <x:t xml:space="preserve">76°04' W</x:t>
  </x:si>
  <x:si>
    <x:t xml:space="preserve">02°33' N, 76°04' W</x:t>
  </x:si>
  <x:si>
    <x:t xml:space="preserve">2.55</x:t>
  </x:si>
  <x:si>
    <x:t xml:space="preserve">-76.0666667</x:t>
  </x:si>
  <x:si>
    <x:t xml:space="preserve">2.55,-76.0666667</x:t>
  </x:si>
  <x:si>
    <x:t xml:space="preserve">vereda Río Sucio, Jardín Botánico Las Delicias.</x:t>
  </x:si>
  <x:si>
    <x:t xml:space="preserve">Forero E. 2256</x:t>
  </x:si>
  <x:si>
    <x:t xml:space="preserve">COL 000336364</x:t>
  </x:si>
  <x:si>
    <x:t xml:space="preserve">Colombia, Chocó, carretera Anserma Nuevo-San Jose del palmar, limite con el Valle del Cauca, Alto del Galapago.</x:t>
  </x:si>
  <x:si>
    <x:t xml:space="preserve">COL000336364</x:t>
  </x:si>
  <x:si>
    <x:t xml:space="preserve">carretera Anserma Nuevo-San Jose del palmar</x:t>
  </x:si>
  <x:si>
    <x:t xml:space="preserve">limite con el Valle del Cauca, Alto del Galapago.</x:t>
  </x:si>
  <x:si>
    <x:t xml:space="preserve">Díaz S. 3708</x:t>
  </x:si>
  <x:si>
    <x:t xml:space="preserve">COL 242759</x:t>
  </x:si>
  <x:si>
    <x:t xml:space="preserve">Colombia, Chocó, San José del Palmar, vereda Corcovados, La Esperanza.</x:t>
  </x:si>
  <x:si>
    <x:t xml:space="preserve">COL242759</x:t>
  </x:si>
  <x:si>
    <x:t xml:space="preserve">vereda Corcovados, La Esperanza.</x:t>
  </x:si>
  <x:si>
    <x:t xml:space="preserve">Huertas G. &amp; L. Camargo 5053</x:t>
  </x:si>
  <x:si>
    <x:t xml:space="preserve">COL 000336293</x:t>
  </x:si>
  <x:si>
    <x:t xml:space="preserve">Colombia, Cundinamarca, Cordillera Oriental, Facatativa, Los Alpes.</x:t>
  </x:si>
  <x:si>
    <x:t xml:space="preserve">La vereda Los Alpes pertenece al municipio de Albán</x:t>
  </x:si>
  <x:si>
    <x:t xml:space="preserve">COL000336293</x:t>
  </x:si>
  <x:si>
    <x:t xml:space="preserve">Facatativa, Los Alpes.</x:t>
  </x:si>
  <x:si>
    <x:t xml:space="preserve">Garcia-Barriga H. 20472</x:t>
  </x:si>
  <x:si>
    <x:t xml:space="preserve">COL 000336376</x:t>
  </x:si>
  <x:si>
    <x:t xml:space="preserve">Colombia, Cundinamarca, Sasaima, vereda de Guane, entre los ríos Gualibá y Guane.</x:t>
  </x:si>
  <x:si>
    <x:t xml:space="preserve">COL000336376</x:t>
  </x:si>
  <x:si>
    <x:t xml:space="preserve">vereda de Guane, entre los ríos Gualibá y Guane.</x:t>
  </x:si>
  <x:si>
    <x:t xml:space="preserve">Acosta-Arteaga C.E. et al., 106</x:t>
  </x:si>
  <x:si>
    <x:t xml:space="preserve">COL 0003336291</x:t>
  </x:si>
  <x:si>
    <x:t xml:space="preserve">Colombia, Cundinamarca, km 60 y 61, de la carretera Guasca.Gachetá.</x:t>
  </x:si>
  <x:si>
    <x:t xml:space="preserve">km 60 y 61</x:t>
  </x:si>
  <x:si>
    <x:t xml:space="preserve">de la carretera Guasca.Gachetá.</x:t>
  </x:si>
  <x:si>
    <x:t xml:space="preserve">Acosta-Arteaga C.E. et al., 449</x:t>
  </x:si>
  <x:si>
    <x:t xml:space="preserve">MEDEL 16199</x:t>
  </x:si>
  <x:si>
    <x:t xml:space="preserve">Colombia, Cundinamarca, Usaquén, camino de La Calera.</x:t>
  </x:si>
  <x:si>
    <x:t xml:space="preserve">MEDEL16199</x:t>
  </x:si>
  <x:si>
    <x:t xml:space="preserve">Usaquén</x:t>
  </x:si>
  <x:si>
    <x:t xml:space="preserve">camino de La Calera.</x:t>
  </x:si>
  <x:si>
    <x:t xml:space="preserve">Díaz S. 3145</x:t>
  </x:si>
  <x:si>
    <x:t xml:space="preserve">COL 000336262</x:t>
  </x:si>
  <x:si>
    <x:t xml:space="preserve">Colombia, Cundinamarca, San Bernardo, vereda Santa Rita.</x:t>
  </x:si>
  <x:si>
    <x:t xml:space="preserve">COL000336262</x:t>
  </x:si>
  <x:si>
    <x:t xml:space="preserve">San Bernardo</x:t>
  </x:si>
  <x:si>
    <x:t xml:space="preserve">vereda Santa Rita.</x:t>
  </x:si>
  <x:si>
    <x:t xml:space="preserve">Linares E. &amp; G. Morales 2266</x:t>
  </x:si>
  <x:si>
    <x:t xml:space="preserve">COL 0003362907</x:t>
  </x:si>
  <x:si>
    <x:t xml:space="preserve">Colombia, Cundinamarca, Cabrera, vereda San Isidro.</x:t>
  </x:si>
  <x:si>
    <x:t xml:space="preserve">COL0003362907</x:t>
  </x:si>
  <x:si>
    <x:t xml:space="preserve">Cabrera</x:t>
  </x:si>
  <x:si>
    <x:t xml:space="preserve">vereda San Isidro.</x:t>
  </x:si>
  <x:si>
    <x:t xml:space="preserve">Hernandes S. M. 362</x:t>
  </x:si>
  <x:si>
    <x:t xml:space="preserve">COL 000336281</x:t>
  </x:si>
  <x:si>
    <x:t xml:space="preserve">Colombia, Cundinamarca, Subachoque, vereda El Tobal, finca El Cerro.</x:t>
  </x:si>
  <x:si>
    <x:t xml:space="preserve">COL000336281</x:t>
  </x:si>
  <x:si>
    <x:t xml:space="preserve">Subachoque</x:t>
  </x:si>
  <x:si>
    <x:t xml:space="preserve">vereda El Tobal, finca El Cerro.</x:t>
  </x:si>
  <x:si>
    <x:t xml:space="preserve">Díaz-P. et al., 517</x:t>
  </x:si>
  <x:si>
    <x:t xml:space="preserve">COL 000336152</x:t>
  </x:si>
  <x:si>
    <x:t xml:space="preserve">Colombia, Huila, La Plata, vereda Agua Bonita, finca Merenberg.</x:t>
  </x:si>
  <x:si>
    <x:t xml:space="preserve">vereda Agua Bonita, finca Merenberg.</x:t>
  </x:si>
  <x:si>
    <x:t xml:space="preserve">Cabrera I. et al., 5081</x:t>
  </x:si>
  <x:si>
    <x:t xml:space="preserve">CUCV 7587</x:t>
  </x:si>
  <x:si>
    <x:t xml:space="preserve">Colombia, Huila, vía Popayán y La Plara, </x:t>
  </x:si>
  <x:si>
    <x:t xml:space="preserve">N 02°23'49.81"</x:t>
  </x:si>
  <x:si>
    <x:t xml:space="preserve">02°23'49.81" N</x:t>
  </x:si>
  <x:si>
    <x:t xml:space="preserve">W 75°53'35.45"</x:t>
  </x:si>
  <x:si>
    <x:t xml:space="preserve">75°53'35.45" W</x:t>
  </x:si>
  <x:si>
    <x:t xml:space="preserve">02°23'49.81" N, 75°53'35.45" W</x:t>
  </x:si>
  <x:si>
    <x:t xml:space="preserve">2.3971694</x:t>
  </x:si>
  <x:si>
    <x:t xml:space="preserve">-75.8931806</x:t>
  </x:si>
  <x:si>
    <x:t xml:space="preserve">2.3971694,-75.8931806</x:t>
  </x:si>
  <x:si>
    <x:t xml:space="preserve">vía Popayán y La Plara</x:t>
  </x:si>
  <x:si>
    <x:t xml:space="preserve">Osorio G. 156</x:t>
  </x:si>
  <x:si>
    <x:t xml:space="preserve">COL 000336176</x:t>
  </x:si>
  <x:si>
    <x:t xml:space="preserve">Colombia, Huila, Acevedo, carretera a San Adolfo-La Victoria.</x:t>
  </x:si>
  <x:si>
    <x:t xml:space="preserve">COL000336176</x:t>
  </x:si>
  <x:si>
    <x:t xml:space="preserve">carretera a San Adolfo-La Victoria.</x:t>
  </x:si>
  <x:si>
    <x:t xml:space="preserve">Lozano G. et al., 4236</x:t>
  </x:si>
  <x:si>
    <x:t xml:space="preserve">COL 000336164</x:t>
  </x:si>
  <x:si>
    <x:t xml:space="preserve">Colombia, Huila, La Argentina, arriba de la finca Palmira.</x:t>
  </x:si>
  <x:si>
    <x:t xml:space="preserve">2100-2320</x:t>
  </x:si>
  <x:si>
    <x:t xml:space="preserve">La finca Palmira está en la vereda El Progreso del municipio La Argentina</x:t>
  </x:si>
  <x:si>
    <x:t xml:space="preserve">COL000336496</x:t>
  </x:si>
  <x:si>
    <x:t xml:space="preserve">arriba de la finca Palmira.</x:t>
  </x:si>
  <x:si>
    <x:t xml:space="preserve">Lozano G. et al., 4314</x:t>
  </x:si>
  <x:si>
    <x:t xml:space="preserve">COL 000336306</x:t>
  </x:si>
  <x:si>
    <x:t xml:space="preserve">Ceballos C.E. &amp; V. Lasso 223</x:t>
  </x:si>
  <x:si>
    <x:t xml:space="preserve">CAUP 20316</x:t>
  </x:si>
  <x:si>
    <x:t xml:space="preserve">Colombia, Huila, San Agustín, Parque Arqueológico NAcional</x:t>
  </x:si>
  <x:si>
    <x:t xml:space="preserve">Parque Arqueológico NAcional</x:t>
  </x:si>
  <x:si>
    <x:t xml:space="preserve">Ótalora N. 239</x:t>
  </x:si>
  <x:si>
    <x:t xml:space="preserve">CAUP 20539</x:t>
  </x:si>
  <x:si>
    <x:t xml:space="preserve">Colombia, Huila, Nátaga, Serrania de las Nieves, vereda El Orozco, finca Miraflores.</x:t>
  </x:si>
  <x:si>
    <x:t xml:space="preserve">N 02°32'42.44"</x:t>
  </x:si>
  <x:si>
    <x:t xml:space="preserve">02°32'42.44" N</x:t>
  </x:si>
  <x:si>
    <x:t xml:space="preserve">W 75°48'30.10"</x:t>
  </x:si>
  <x:si>
    <x:t xml:space="preserve">75°48'30.10" W</x:t>
  </x:si>
  <x:si>
    <x:t xml:space="preserve">02°32'42.44" N, 75°48'30.10" W</x:t>
  </x:si>
  <x:si>
    <x:t xml:space="preserve">2.5451222</x:t>
  </x:si>
  <x:si>
    <x:t xml:space="preserve">-75.8083611</x:t>
  </x:si>
  <x:si>
    <x:t xml:space="preserve">2.5451222,-75.8083611</x:t>
  </x:si>
  <x:si>
    <x:t xml:space="preserve">Serrania de las Nieves, vereda El Orozco, finca Miraflores.</x:t>
  </x:si>
  <x:si>
    <x:t xml:space="preserve">Ótalora N. 262</x:t>
  </x:si>
  <x:si>
    <x:t xml:space="preserve">CAUP 20623</x:t>
  </x:si>
  <x:si>
    <x:t xml:space="preserve">Sanín D. &amp; E. Sanín 3262</x:t>
  </x:si>
  <x:si>
    <x:t xml:space="preserve">Colombia, Huila, San Agustín, vereda Planares, relicto arriba de la Escuela Planares.</x:t>
  </x:si>
  <x:si>
    <x:t xml:space="preserve">N 01°59'5.95"</x:t>
  </x:si>
  <x:si>
    <x:t xml:space="preserve">01°59'5.95" N</x:t>
  </x:si>
  <x:si>
    <x:t xml:space="preserve">W 76°17'7.81"</x:t>
  </x:si>
  <x:si>
    <x:t xml:space="preserve">76°17'7.81" W</x:t>
  </x:si>
  <x:si>
    <x:t xml:space="preserve">01°59'5.95" N, 76°17'7.81" W</x:t>
  </x:si>
  <x:si>
    <x:t xml:space="preserve">vereda Planares, relicto arriba de la Escuela Planares.</x:t>
  </x:si>
  <x:si>
    <x:t xml:space="preserve">Sanín D. &amp; E. Sanín 3218</x:t>
  </x:si>
  <x:si>
    <x:t xml:space="preserve">Colombia, Huila, Pitalito, vereda Charguayaco, reserva de la Comunidad El Arroyuelo.</x:t>
  </x:si>
  <x:si>
    <x:t xml:space="preserve">N 01°46'8.33"</x:t>
  </x:si>
  <x:si>
    <x:t xml:space="preserve">01°46'8.33" N</x:t>
  </x:si>
  <x:si>
    <x:t xml:space="preserve">W 76°1'7.44"</x:t>
  </x:si>
  <x:si>
    <x:t xml:space="preserve">76°1'7.44" W</x:t>
  </x:si>
  <x:si>
    <x:t xml:space="preserve">01°46'8.33" N, 76°1'7.44" W</x:t>
  </x:si>
  <x:si>
    <x:t xml:space="preserve">vereda Charguayaco, reserva de la Comunidad El Arroyuelo.</x:t>
  </x:si>
  <x:si>
    <x:t xml:space="preserve">Llanos F. &amp; W.F. Gerardino 2891</x:t>
  </x:si>
  <x:si>
    <x:t xml:space="preserve">COL 000336241</x:t>
  </x:si>
  <x:si>
    <x:t xml:space="preserve">Colombia, Huila, Neiva, vereda La Plata, río Las Ceibas, vegetacion que comunica al campamento principal.</x:t>
  </x:si>
  <x:si>
    <x:t xml:space="preserve">COL000336241</x:t>
  </x:si>
  <x:si>
    <x:t xml:space="preserve">Neiva</x:t>
  </x:si>
  <x:si>
    <x:t xml:space="preserve">vereda La Plata, río Las Ceibas, vegetacion que comunica al campamento principal.</x:t>
  </x:si>
  <x:si>
    <x:t xml:space="preserve">Llanos F. et al., 3369</x:t>
  </x:si>
  <x:si>
    <x:t xml:space="preserve">CUVC 31905</x:t>
  </x:si>
  <x:si>
    <x:t xml:space="preserve">Colombia, Hulia, Campoalegre, vereda Alto El Roble.</x:t>
  </x:si>
  <x:si>
    <x:t xml:space="preserve">N 02°41'25.73"</x:t>
  </x:si>
  <x:si>
    <x:t xml:space="preserve">02°41'25.73" N</x:t>
  </x:si>
  <x:si>
    <x:t xml:space="preserve">W 75°19'41.77"</x:t>
  </x:si>
  <x:si>
    <x:t xml:space="preserve">75°19'41.77" W</x:t>
  </x:si>
  <x:si>
    <x:t xml:space="preserve">02°41'25.73" N, 75°19'41.77" W</x:t>
  </x:si>
  <x:si>
    <x:t xml:space="preserve">2.6904806</x:t>
  </x:si>
  <x:si>
    <x:t xml:space="preserve">-75.3282694</x:t>
  </x:si>
  <x:si>
    <x:t xml:space="preserve">2.6904806,-75.3282694</x:t>
  </x:si>
  <x:si>
    <x:t xml:space="preserve">Hulia</x:t>
  </x:si>
  <x:si>
    <x:t xml:space="preserve">vereda Alto El Roble.</x:t>
  </x:si>
  <x:si>
    <x:t xml:space="preserve">Diaz-Ibarra S.L. 282 </x:t>
  </x:si>
  <x:si>
    <x:t xml:space="preserve">PSO 36179</x:t>
  </x:si>
  <x:si>
    <x:t xml:space="preserve">Colombia, La Cruz, corregimiento Alto Mayo, vereda Escandoy, Cerro Negro.</x:t>
  </x:si>
  <x:si>
    <x:t xml:space="preserve">2900-3100</x:t>
  </x:si>
  <x:si>
    <x:t xml:space="preserve">N 01°36'03.62"</x:t>
  </x:si>
  <x:si>
    <x:t xml:space="preserve">01°36'03.62" N</x:t>
  </x:si>
  <x:si>
    <x:t xml:space="preserve">W 76°58'17.43"</x:t>
  </x:si>
  <x:si>
    <x:t xml:space="preserve">76°58'17.43" W</x:t>
  </x:si>
  <x:si>
    <x:t xml:space="preserve">01°36'03.62" N, 76°58'17.43" W</x:t>
  </x:si>
  <x:si>
    <x:t xml:space="preserve">1.6010056</x:t>
  </x:si>
  <x:si>
    <x:t xml:space="preserve">-76.9715083</x:t>
  </x:si>
  <x:si>
    <x:t xml:space="preserve">1.6010056,-76.9715083</x:t>
  </x:si>
  <x:si>
    <x:t xml:space="preserve">La Cruz</x:t>
  </x:si>
  <x:si>
    <x:t xml:space="preserve">corregimiento Alto Mayo</x:t>
  </x:si>
  <x:si>
    <x:t xml:space="preserve">vereda Escandoy, Cerro Negro.</x:t>
  </x:si>
  <x:si>
    <x:t xml:space="preserve">Romero-Castañeda R. 7545</x:t>
  </x:si>
  <x:si>
    <x:t xml:space="preserve">COL 000336237</x:t>
  </x:si>
  <x:si>
    <x:t xml:space="preserve">Colombia, Magdalena, Cordillera Oriental, camino a Codazzi-Machiques, antes de la frontera.</x:t>
  </x:si>
  <x:si>
    <x:t xml:space="preserve">COL000336237</x:t>
  </x:si>
  <x:si>
    <x:t xml:space="preserve">camino a Codazzi-Machiques, antes de la frontera.</x:t>
  </x:si>
  <x:si>
    <x:t xml:space="preserve">Kirkbride J.H. &amp; E. Forero 1902</x:t>
  </x:si>
  <x:si>
    <x:t xml:space="preserve">COL 000336220</x:t>
  </x:si>
  <x:si>
    <x:t xml:space="preserve">Colombia, Magdalena, Sierra Nevada de Santa Marta, NE end of Serrania San Javier.</x:t>
  </x:si>
  <x:si>
    <x:t xml:space="preserve">N 10°53'</x:t>
  </x:si>
  <x:si>
    <x:t xml:space="preserve">10°53' N</x:t>
  </x:si>
  <x:si>
    <x:t xml:space="preserve">W 74°01'</x:t>
  </x:si>
  <x:si>
    <x:t xml:space="preserve">74°01' W</x:t>
  </x:si>
  <x:si>
    <x:t xml:space="preserve">10°53' N, 74°01' W</x:t>
  </x:si>
  <x:si>
    <x:t xml:space="preserve">10.8833333</x:t>
  </x:si>
  <x:si>
    <x:t xml:space="preserve">-74.0166667</x:t>
  </x:si>
  <x:si>
    <x:t xml:space="preserve">10.8833333,-74.0166667</x:t>
  </x:si>
  <x:si>
    <x:t xml:space="preserve">NE end of Serrania San Javier.</x:t>
  </x:si>
  <x:si>
    <x:t xml:space="preserve">Kirkbride J.H. 2036</x:t>
  </x:si>
  <x:si>
    <x:t xml:space="preserve">COL 000336201</x:t>
  </x:si>
  <x:si>
    <x:t xml:space="preserve">Colombia, Magdalena, Sierra Nevada de Santa Marta, on trail from finca Reflejo to finca Cecilia in quebrada E of Quebrada Indiana.</x:t>
  </x:si>
  <x:si>
    <x:t xml:space="preserve">N 10°59'</x:t>
  </x:si>
  <x:si>
    <x:t xml:space="preserve">10°59' N</x:t>
  </x:si>
  <x:si>
    <x:t xml:space="preserve">W 73°59'</x:t>
  </x:si>
  <x:si>
    <x:t xml:space="preserve">73°59' W</x:t>
  </x:si>
  <x:si>
    <x:t xml:space="preserve">10°59' N, 73°59' W</x:t>
  </x:si>
  <x:si>
    <x:t xml:space="preserve">10.9833333</x:t>
  </x:si>
  <x:si>
    <x:t xml:space="preserve">-73.9833333</x:t>
  </x:si>
  <x:si>
    <x:t xml:space="preserve">10.9833333,-73.9833333</x:t>
  </x:si>
  <x:si>
    <x:t xml:space="preserve">on trail from finca Reflejo to finca Cecilia in quebrada E of Quebrada Indiana.</x:t>
  </x:si>
  <x:si>
    <x:t xml:space="preserve">Jaramillo R. et al., 5284</x:t>
  </x:si>
  <x:si>
    <x:t xml:space="preserve">COL 000336202</x:t>
  </x:si>
  <x:si>
    <x:t xml:space="preserve">Colombia, Magdalena, Sierra Nevada de Santa Marta, transecto del Alto Río Buritaca.</x:t>
  </x:si>
  <x:si>
    <x:t xml:space="preserve">transecto del Alto Río Buritaca.</x:t>
  </x:si>
  <x:si>
    <x:t xml:space="preserve">Sanín D. et al., 1596</x:t>
  </x:si>
  <x:si>
    <x:t xml:space="preserve">Colombia, Manizales, Malteria, Granja Tesorito, Universidad de Caldas.</x:t>
  </x:si>
  <x:si>
    <x:t xml:space="preserve">N 05°1'4"</x:t>
  </x:si>
  <x:si>
    <x:t xml:space="preserve">05°1'4" N</x:t>
  </x:si>
  <x:si>
    <x:t xml:space="preserve">W 75°25'22"</x:t>
  </x:si>
  <x:si>
    <x:t xml:space="preserve">75°25'22" W</x:t>
  </x:si>
  <x:si>
    <x:t xml:space="preserve">05°1'4" N, 75°25'22" W</x:t>
  </x:si>
  <x:si>
    <x:t xml:space="preserve">5.0177778</x:t>
  </x:si>
  <x:si>
    <x:t xml:space="preserve">-75.4227778</x:t>
  </x:si>
  <x:si>
    <x:t xml:space="preserve">5.0177778,-75.4227778</x:t>
  </x:si>
  <x:si>
    <x:t xml:space="preserve">D_Sanín1596</x:t>
  </x:si>
  <x:si>
    <x:t xml:space="preserve">Malteria</x:t>
  </x:si>
  <x:si>
    <x:t xml:space="preserve">Granja Tesorito, Universidad de Caldas.</x:t>
  </x:si>
  <x:si>
    <x:t xml:space="preserve">Grant M. L. 9932</x:t>
  </x:si>
  <x:si>
    <x:t xml:space="preserve">COL 000336163</x:t>
  </x:si>
  <x:si>
    <x:t xml:space="preserve">Colombia, Meta, Villavicencio, Cordillera Oriental, ridge between Río Negro and Río Manzanarez, 20 km west of Villavicencio.</x:t>
  </x:si>
  <x:si>
    <x:t xml:space="preserve">Río Negro está ubicado en Villavicencio, mientras que Río Manzanares está en Acacías. Ubiqué el punto al occidente de V/cencio, en la mitad de ambos ríos, correspondiendo a Acacías.</x:t>
  </x:si>
  <x:si>
    <x:t xml:space="preserve">COL000336163</x:t>
  </x:si>
  <x:si>
    <x:t xml:space="preserve">Villavicencio</x:t>
  </x:si>
  <x:si>
    <x:t xml:space="preserve">Cordillera Oriental, ridge between Río Negro and Río Manzanarez, 20 km west of Villavicencio.</x:t>
  </x:si>
  <x:si>
    <x:t xml:space="preserve">Grant M.L. 9932</x:t>
  </x:si>
  <x:si>
    <x:t xml:space="preserve">COL 000336336</x:t>
  </x:si>
  <x:si>
    <x:t xml:space="preserve">Colombia, Meta, al w de Villavicencio, ridge betwen Río Negro and Río Manzanares, 20 km west of Villavicencio.</x:t>
  </x:si>
  <x:si>
    <x:t xml:space="preserve">al w de Villavicencio</x:t>
  </x:si>
  <x:si>
    <x:t xml:space="preserve">ridge betwen Río Negro and Río Manzanares, 20 km west of Villavicencio.</x:t>
  </x:si>
  <x:si>
    <x:t xml:space="preserve">Idrobo J.M. &amp; R.E. Schultes 1135</x:t>
  </x:si>
  <x:si>
    <x:t xml:space="preserve">COL 000336361</x:t>
  </x:si>
  <x:si>
    <x:t xml:space="preserve">Colombia, Meta, Cordillera La Macarena (extremo nordeste), macizo Rengifo, cumbre y alrededores.</x:t>
  </x:si>
  <x:si>
    <x:t xml:space="preserve">Cordillera La Macarena (extremo nordeste)</x:t>
  </x:si>
  <x:si>
    <x:t xml:space="preserve">macizo Rengifo, cumbre y alrededores.</x:t>
  </x:si>
  <x:si>
    <x:t xml:space="preserve">Jaramillo R. 7324</x:t>
  </x:si>
  <x:si>
    <x:t xml:space="preserve">COL 000336256</x:t>
  </x:si>
  <x:si>
    <x:t xml:space="preserve">Colombia, Meta, Acacías, Colonia Penal y Agrícola de Oriente, Cuchilla de la Meseta del Mirador, arriba del Campamento de la Argentina.</x:t>
  </x:si>
  <x:si>
    <x:t xml:space="preserve">COL000336256</x:t>
  </x:si>
  <x:si>
    <x:t xml:space="preserve">Colonia Penal y Agrícola de Oriente, Cuchilla de la Meseta del Mirador, arriba del Campamento de la Argentina.</x:t>
  </x:si>
  <x:si>
    <x:t xml:space="preserve">Jaramillo R. 7287</x:t>
  </x:si>
  <x:si>
    <x:t xml:space="preserve">COL 000336184</x:t>
  </x:si>
  <x:si>
    <x:t xml:space="preserve">Barclay H.G. 4673</x:t>
  </x:si>
  <x:si>
    <x:t xml:space="preserve">COL 95779</x:t>
  </x:si>
  <x:si>
    <x:t xml:space="preserve">Colombia, Nariño, road betwen Pasto and Río Bobo, bosque and pasture.</x:t>
  </x:si>
  <x:si>
    <x:t xml:space="preserve">road betwen Pasto and Río Bobo</x:t>
  </x:si>
  <x:si>
    <x:t xml:space="preserve">bosque and pasture.</x:t>
  </x:si>
  <x:si>
    <x:t xml:space="preserve">Hernández E., et al., 307</x:t>
  </x:si>
  <x:si>
    <x:t xml:space="preserve">PSO 4260</x:t>
  </x:si>
  <x:si>
    <x:t xml:space="preserve">Colombia, Nariño, Ipiales, carretera entre La Victoria y el río San Francisco.</x:t>
  </x:si>
  <x:si>
    <x:t xml:space="preserve">N 0°49'18.34"</x:t>
  </x:si>
  <x:si>
    <x:t xml:space="preserve">0°49'18.34" N</x:t>
  </x:si>
  <x:si>
    <x:t xml:space="preserve">W 77°38'30.04"</x:t>
  </x:si>
  <x:si>
    <x:t xml:space="preserve">77°38'30.04" W</x:t>
  </x:si>
  <x:si>
    <x:t xml:space="preserve">0°49'18.34" N, 77°38'30.04" W</x:t>
  </x:si>
  <x:si>
    <x:t xml:space="preserve">0.8217611</x:t>
  </x:si>
  <x:si>
    <x:t xml:space="preserve">-77.6416778</x:t>
  </x:si>
  <x:si>
    <x:t xml:space="preserve">0.8217611,-77.6416778</x:t>
  </x:si>
  <x:si>
    <x:t xml:space="preserve">carretera entre La Victoria y el río San Francisco.</x:t>
  </x:si>
  <x:si>
    <x:t xml:space="preserve">Hageman W. &amp; Leist 1872</x:t>
  </x:si>
  <x:si>
    <x:t xml:space="preserve">PSO 28207</x:t>
  </x:si>
  <x:si>
    <x:t xml:space="preserve">Colombia, Nariño, Ipiales, km 32 carretera La Victoria-Monopamba. El Motilón.</x:t>
  </x:si>
  <x:si>
    <x:t xml:space="preserve">km 32 carretera La Victoria-Monopamba. El Motilón.</x:t>
  </x:si>
  <x:si>
    <x:t xml:space="preserve">COL 000336151</x:t>
  </x:si>
  <x:si>
    <x:t xml:space="preserve">López-Jurado G. &amp; J. Riascos 582</x:t>
  </x:si>
  <x:si>
    <x:t xml:space="preserve">PSO 9282</x:t>
  </x:si>
  <x:si>
    <x:t xml:space="preserve">Colombia, Nariño, Pasto-El Encanto, Isla La Corota.</x:t>
  </x:si>
  <x:si>
    <x:t xml:space="preserve">PSO9381</x:t>
  </x:si>
  <x:si>
    <x:t xml:space="preserve">Pasto-El Encanto</x:t>
  </x:si>
  <x:si>
    <x:t xml:space="preserve">Isla La Corota.</x:t>
  </x:si>
  <x:si>
    <x:t xml:space="preserve">López-Jurado G. &amp; J. Riascos 575</x:t>
  </x:si>
  <x:si>
    <x:t xml:space="preserve">PSO 9278</x:t>
  </x:si>
  <x:si>
    <x:t xml:space="preserve">López-Jurado G. &amp; J. Riascos 565</x:t>
  </x:si>
  <x:si>
    <x:t xml:space="preserve">PSO 9281</x:t>
  </x:si>
  <x:si>
    <x:t xml:space="preserve">López-Jurado G. &amp; J. Riascos 604</x:t>
  </x:si>
  <x:si>
    <x:t xml:space="preserve">PSO 9284</x:t>
  </x:si>
  <x:si>
    <x:t xml:space="preserve">de Benavides O.S. 1952</x:t>
  </x:si>
  <x:si>
    <x:t xml:space="preserve">PSO 9381</x:t>
  </x:si>
  <x:si>
    <x:t xml:space="preserve">Colombia, Nariño, Pasto, Isla La Corota.</x:t>
  </x:si>
  <x:si>
    <x:t xml:space="preserve">de Benavides O.S. 2101</x:t>
  </x:si>
  <x:si>
    <x:t xml:space="preserve">Ramírez P. B.R. 3464</x:t>
  </x:si>
  <x:si>
    <x:t xml:space="preserve">PSO 26291</x:t>
  </x:si>
  <x:si>
    <x:t xml:space="preserve">Colombia, Nariño, La Unión, cerro La Jacoba.</x:t>
  </x:si>
  <x:si>
    <x:t xml:space="preserve">2000-2400</x:t>
  </x:si>
  <x:si>
    <x:t xml:space="preserve">N 01°36'18.56"</x:t>
  </x:si>
  <x:si>
    <x:t xml:space="preserve">01°36'18.56" N</x:t>
  </x:si>
  <x:si>
    <x:t xml:space="preserve">W 77°08'01.09"</x:t>
  </x:si>
  <x:si>
    <x:t xml:space="preserve">77°08'01.09" W</x:t>
  </x:si>
  <x:si>
    <x:t xml:space="preserve">01°36'18.56" N, 77°08'01.09" W</x:t>
  </x:si>
  <x:si>
    <x:t xml:space="preserve">1.6051556</x:t>
  </x:si>
  <x:si>
    <x:t xml:space="preserve">-77.1336361</x:t>
  </x:si>
  <x:si>
    <x:t xml:space="preserve">1.6051556,-77.1336361</x:t>
  </x:si>
  <x:si>
    <x:t xml:space="preserve">cerro La Jacoba.</x:t>
  </x:si>
  <x:si>
    <x:t xml:space="preserve">Ramírez P. B.R. &amp; J.A. Cuayal M. 3910</x:t>
  </x:si>
  <x:si>
    <x:t xml:space="preserve">PSO 27443</x:t>
  </x:si>
  <x:si>
    <x:t xml:space="preserve">Colombia, Nariño, Pasto, corregimiento de Chachagüi, Bosque El Común.-El Encanto, Isla La Corota.</x:t>
  </x:si>
  <x:si>
    <x:t xml:space="preserve">PSO27443</x:t>
  </x:si>
  <x:si>
    <x:t xml:space="preserve">corregimiento de Chachagüi, Bosque El Común.-El Encanto, Isla La Corota.</x:t>
  </x:si>
  <x:si>
    <x:t xml:space="preserve">Ramírez P. B.R. 4662</x:t>
  </x:si>
  <x:si>
    <x:t xml:space="preserve">PSO 28096</x:t>
  </x:si>
  <x:si>
    <x:t xml:space="preserve">Colombia, Nariño, Sandoná, orillas de la Quebrada Santa Rosa.</x:t>
  </x:si>
  <x:si>
    <x:t xml:space="preserve">N 01°17'10.60"</x:t>
  </x:si>
  <x:si>
    <x:t xml:space="preserve">01°17'10.60" N</x:t>
  </x:si>
  <x:si>
    <x:t xml:space="preserve">W 77°28'15.79"</x:t>
  </x:si>
  <x:si>
    <x:t xml:space="preserve">77°28'15.79" W</x:t>
  </x:si>
  <x:si>
    <x:t xml:space="preserve">01°17'10.60" N, 77°28'15.79" W</x:t>
  </x:si>
  <x:si>
    <x:t xml:space="preserve">1.2862778</x:t>
  </x:si>
  <x:si>
    <x:t xml:space="preserve">-77.4710528</x:t>
  </x:si>
  <x:si>
    <x:t xml:space="preserve">1.2862778,-77.4710528</x:t>
  </x:si>
  <x:si>
    <x:t xml:space="preserve">Sandoná</x:t>
  </x:si>
  <x:si>
    <x:t xml:space="preserve">orillas de la Quebrada Santa Rosa.</x:t>
  </x:si>
  <x:si>
    <x:t xml:space="preserve">Ramírez P. B.R. 6219</x:t>
  </x:si>
  <x:si>
    <x:t xml:space="preserve">PSO 30378</x:t>
  </x:si>
  <x:si>
    <x:t xml:space="preserve">N 01°21'41"</x:t>
  </x:si>
  <x:si>
    <x:t xml:space="preserve">01°21'41" N</x:t>
  </x:si>
  <x:si>
    <x:t xml:space="preserve">W 77°17'00.74"</x:t>
  </x:si>
  <x:si>
    <x:t xml:space="preserve">77°17'00.74" W</x:t>
  </x:si>
  <x:si>
    <x:t xml:space="preserve">01°21'41" N, 77°17'00.74" W</x:t>
  </x:si>
  <x:si>
    <x:t xml:space="preserve">1.3613889</x:t>
  </x:si>
  <x:si>
    <x:t xml:space="preserve">-77.2835389</x:t>
  </x:si>
  <x:si>
    <x:t xml:space="preserve">1.3613889,-77.2835389</x:t>
  </x:si>
  <x:si>
    <x:t xml:space="preserve">Bittner J. &amp; O. Guzman 2700</x:t>
  </x:si>
  <x:si>
    <x:t xml:space="preserve">PSO 35317</x:t>
  </x:si>
  <x:si>
    <x:t xml:space="preserve">Colombia, Nariño, Bosque de Daza, bosque secundario intervenido.</x:t>
  </x:si>
  <x:si>
    <x:t xml:space="preserve">N 01°17'21"</x:t>
  </x:si>
  <x:si>
    <x:t xml:space="preserve">01°17'21" N</x:t>
  </x:si>
  <x:si>
    <x:t xml:space="preserve">W 77°15'30"</x:t>
  </x:si>
  <x:si>
    <x:t xml:space="preserve">77°15'30" W</x:t>
  </x:si>
  <x:si>
    <x:t xml:space="preserve">01°17'21" N, 77°15'30" W</x:t>
  </x:si>
  <x:si>
    <x:t xml:space="preserve">1.2891667</x:t>
  </x:si>
  <x:si>
    <x:t xml:space="preserve">-77.2583333</x:t>
  </x:si>
  <x:si>
    <x:t xml:space="preserve">1.2891667,-77.2583333</x:t>
  </x:si>
  <x:si>
    <x:t xml:space="preserve">PSO35317</x:t>
  </x:si>
  <x:si>
    <x:t xml:space="preserve">Bosque de Daza</x:t>
  </x:si>
  <x:si>
    <x:t xml:space="preserve">bosque secundario intervenido.</x:t>
  </x:si>
  <x:si>
    <x:t xml:space="preserve">Díaz S.L. 282</x:t>
  </x:si>
  <x:si>
    <x:t xml:space="preserve">CAUP 2551</x:t>
  </x:si>
  <x:si>
    <x:t xml:space="preserve">Colombia, Nariño, La Cruz, corregimiento de Alto Mayo, vereda Escandoy, cerro Negro</x:t>
  </x:si>
  <x:si>
    <x:t xml:space="preserve">corregimiento de Alto Mayo, vereda Escandoy, cerro Negro</x:t>
  </x:si>
  <x:si>
    <x:t xml:space="preserve">Díaz-P. et al., 906</x:t>
  </x:si>
  <x:si>
    <x:t xml:space="preserve">COL 184437</x:t>
  </x:si>
  <x:si>
    <x:t xml:space="preserve">1990-2440</x:t>
  </x:si>
  <x:si>
    <x:t xml:space="preserve">31/07/1877</x:t>
  </x:si>
  <x:si>
    <x:t xml:space="preserve">Bischler H. 1943</x:t>
  </x:si>
  <x:si>
    <x:t xml:space="preserve">COL 000336197</x:t>
  </x:si>
  <x:si>
    <x:t xml:space="preserve">Colombia, Norte de Santander, Sarare, Santa Librada.</x:t>
  </x:si>
  <x:si>
    <x:t xml:space="preserve">1300-1600</x:t>
  </x:si>
  <x:si>
    <x:t xml:space="preserve">COL000336197</x:t>
  </x:si>
  <x:si>
    <x:t xml:space="preserve">Santa Librada.</x:t>
  </x:si>
  <x:si>
    <x:t xml:space="preserve">Mora L.E. 4564</x:t>
  </x:si>
  <x:si>
    <x:t xml:space="preserve">COL 119659</x:t>
  </x:si>
  <x:si>
    <x:t xml:space="preserve">Colombia, Norte de Santander, montes aledaños al río Chitagá.</x:t>
  </x:si>
  <x:si>
    <x:t xml:space="preserve">2000-2550</x:t>
  </x:si>
  <x:si>
    <x:t xml:space="preserve">COL119659</x:t>
  </x:si>
  <x:si>
    <x:t xml:space="preserve">montes aledaños al río Chitagá.</x:t>
  </x:si>
  <x:si>
    <x:t xml:space="preserve">Croat T.B. 56406</x:t>
  </x:si>
  <x:si>
    <x:t xml:space="preserve">COL 000336280</x:t>
  </x:si>
  <x:si>
    <x:t xml:space="preserve">Colombia, Norte de Santander, along road between Pamplona and Chorro Colorado, vía Chiquira, at km 128 marker.</x:t>
  </x:si>
  <x:si>
    <x:t xml:space="preserve">N 07°22'</x:t>
  </x:si>
  <x:si>
    <x:t xml:space="preserve">07°22' N</x:t>
  </x:si>
  <x:si>
    <x:t xml:space="preserve">W 72°38'</x:t>
  </x:si>
  <x:si>
    <x:t xml:space="preserve">72°38' W</x:t>
  </x:si>
  <x:si>
    <x:t xml:space="preserve">07°22' N, 72°38' W</x:t>
  </x:si>
  <x:si>
    <x:t xml:space="preserve">7.3666667</x:t>
  </x:si>
  <x:si>
    <x:t xml:space="preserve">-72.6333333</x:t>
  </x:si>
  <x:si>
    <x:t xml:space="preserve">7.3666667,-72.6333333</x:t>
  </x:si>
  <x:si>
    <x:t xml:space="preserve">along road between Pamplona and Chorro Colorado</x:t>
  </x:si>
  <x:si>
    <x:t xml:space="preserve">vía Chiquira, at km 128 marker.</x:t>
  </x:si>
  <x:si>
    <x:t xml:space="preserve">Galindo R. et al., 450</x:t>
  </x:si>
  <x:si>
    <x:t xml:space="preserve">COL 000336300</x:t>
  </x:si>
  <x:si>
    <x:t xml:space="preserve">Colombia, Norte de Santander, La Playa de Belén, Parque Nacional Natural los Estoraques. Bosques de Piritama.</x:t>
  </x:si>
  <x:si>
    <x:t xml:space="preserve">COL000336300</x:t>
  </x:si>
  <x:si>
    <x:t xml:space="preserve">La Playa de Belén</x:t>
  </x:si>
  <x:si>
    <x:t xml:space="preserve">Parque Nacional Natural los Estoraques. Bosques de Piritama.</x:t>
  </x:si>
  <x:si>
    <x:t xml:space="preserve">Cuatrecasas J. 11654</x:t>
  </x:si>
  <x:si>
    <x:t xml:space="preserve">COL 23210</x:t>
  </x:si>
  <x:si>
    <x:t xml:space="preserve">Colombia, Putumayo, Valle del Sibundoy, alta cuenca del río Putumayo, lado sur.</x:t>
  </x:si>
  <x:si>
    <x:t xml:space="preserve">COL23210</x:t>
  </x:si>
  <x:si>
    <x:t xml:space="preserve">Valle del Sibundoy</x:t>
  </x:si>
  <x:si>
    <x:t xml:space="preserve">alta cuenca del río Putumayo, lado sur.</x:t>
  </x:si>
  <x:si>
    <x:t xml:space="preserve">Foster M.B. &amp; R. Foster 1943</x:t>
  </x:si>
  <x:si>
    <x:t xml:space="preserve">COL 62967</x:t>
  </x:si>
  <x:si>
    <x:t xml:space="preserve">Colombia, Putumayo, Valle del Sibundoy.</x:t>
  </x:si>
  <x:si>
    <x:t xml:space="preserve">N 01°12'06.27"</x:t>
  </x:si>
  <x:si>
    <x:t xml:space="preserve">01°12'06.27" N</x:t>
  </x:si>
  <x:si>
    <x:t xml:space="preserve">W 76°54'55.18"</x:t>
  </x:si>
  <x:si>
    <x:t xml:space="preserve">76°54'55.18" W</x:t>
  </x:si>
  <x:si>
    <x:t xml:space="preserve">01°12'06.27" N, 76°54'55.18" W</x:t>
  </x:si>
  <x:si>
    <x:t xml:space="preserve">1.2017417</x:t>
  </x:si>
  <x:si>
    <x:t xml:space="preserve">-76.9153278</x:t>
  </x:si>
  <x:si>
    <x:t xml:space="preserve">1.2017417,-76.9153278</x:t>
  </x:si>
  <x:si>
    <x:t xml:space="preserve">Valle del Sibundoy.</x:t>
  </x:si>
  <x:si>
    <x:t xml:space="preserve">Bristol M.L. 404</x:t>
  </x:si>
  <x:si>
    <x:t xml:space="preserve">PSO 536</x:t>
  </x:si>
  <x:si>
    <x:t xml:space="preserve">COL 100305</x:t>
  </x:si>
  <x:si>
    <x:t xml:space="preserve">Bristol M.L. 427</x:t>
  </x:si>
  <x:si>
    <x:t xml:space="preserve">COL 100299</x:t>
  </x:si>
  <x:si>
    <x:t xml:space="preserve">PSO 4487</x:t>
  </x:si>
  <x:si>
    <x:t xml:space="preserve">Porter D.M. 1082</x:t>
  </x:si>
  <x:si>
    <x:t xml:space="preserve">COL 000336166</x:t>
  </x:si>
  <x:si>
    <x:t xml:space="preserve">Colombia, Putumayo, Valle del Sibundoy, Santiago.</x:t>
  </x:si>
  <x:si>
    <x:t xml:space="preserve">COL000336166</x:t>
  </x:si>
  <x:si>
    <x:t xml:space="preserve">Santiago.</x:t>
  </x:si>
  <x:si>
    <x:t xml:space="preserve">Hagemann W. &amp; Leist 1503</x:t>
  </x:si>
  <x:si>
    <x:t xml:space="preserve">COL 000336393</x:t>
  </x:si>
  <x:si>
    <x:t xml:space="preserve">Colombia, Putumayo, 50 km de El Pepino en dirección occidental.</x:t>
  </x:si>
  <x:si>
    <x:t xml:space="preserve">50 km de El Pepino en dirección occidental.</x:t>
  </x:si>
  <x:si>
    <x:t xml:space="preserve">PSO 9527</x:t>
  </x:si>
  <x:si>
    <x:t xml:space="preserve">Colombia, Putumayo, San Francisco-Páramo de San Francisco.</x:t>
  </x:si>
  <x:si>
    <x:t xml:space="preserve">N 01°11'54.36"</x:t>
  </x:si>
  <x:si>
    <x:t xml:space="preserve">01°11'54.36" N</x:t>
  </x:si>
  <x:si>
    <x:t xml:space="preserve">W 77°03'30.52"</x:t>
  </x:si>
  <x:si>
    <x:t xml:space="preserve">77°03'30.52" W</x:t>
  </x:si>
  <x:si>
    <x:t xml:space="preserve">01°11'54.36" N, 77°03'30.52" W</x:t>
  </x:si>
  <x:si>
    <x:t xml:space="preserve">1.1984333</x:t>
  </x:si>
  <x:si>
    <x:t xml:space="preserve">-77.0584778</x:t>
  </x:si>
  <x:si>
    <x:t xml:space="preserve">1.1984333,-77.0584778</x:t>
  </x:si>
  <x:si>
    <x:t xml:space="preserve">PSO9527</x:t>
  </x:si>
  <x:si>
    <x:t xml:space="preserve">San Francisco-Páramo de San Francisco.</x:t>
  </x:si>
  <x:si>
    <x:t xml:space="preserve">Arbeláez G. et al., 93</x:t>
  </x:si>
  <x:si>
    <x:t xml:space="preserve">HUQ 2933</x:t>
  </x:si>
  <x:si>
    <x:t xml:space="preserve">Colombia, Quindio, Calarca, parte alta de Peñas Blancas.</x:t>
  </x:si>
  <x:si>
    <x:t xml:space="preserve">HUQ2933</x:t>
  </x:si>
  <x:si>
    <x:t xml:space="preserve">parte alta de Peñas Blancas.</x:t>
  </x:si>
  <x:si>
    <x:t xml:space="preserve">Arbeláez G. et al., 1057</x:t>
  </x:si>
  <x:si>
    <x:t xml:space="preserve">HUQ 2955</x:t>
  </x:si>
  <x:si>
    <x:t xml:space="preserve">Colombia, Quindio, Filandia, carretera El Roble-Morro Azul.</x:t>
  </x:si>
  <x:si>
    <x:t xml:space="preserve">N 06°10'19"</x:t>
  </x:si>
  <x:si>
    <x:t xml:space="preserve">06°10'19" N, 75°38' W</x:t>
  </x:si>
  <x:si>
    <x:t xml:space="preserve">6.1719444,-75.6333333</x:t>
  </x:si>
  <x:si>
    <x:t xml:space="preserve">carretera El Roble-Morro Azul.</x:t>
  </x:si>
  <x:si>
    <x:t xml:space="preserve">HUA 6184055</x:t>
  </x:si>
  <x:si>
    <x:t xml:space="preserve">Arbeláez G. et al., 1256</x:t>
  </x:si>
  <x:si>
    <x:t xml:space="preserve">HUA 61909</x:t>
  </x:si>
  <x:si>
    <x:t xml:space="preserve">Colombia, Quindio, Salento, carretera Salento-La Ceja.</x:t>
  </x:si>
  <x:si>
    <x:t xml:space="preserve">carretera Salento-La Ceja.</x:t>
  </x:si>
  <x:si>
    <x:t xml:space="preserve">HUQ 2971</x:t>
  </x:si>
  <x:si>
    <x:t xml:space="preserve">Arbeláez S. G. et al., 1855</x:t>
  </x:si>
  <x:si>
    <x:t xml:space="preserve">HUQ 3998</x:t>
  </x:si>
  <x:si>
    <x:t xml:space="preserve">Arbeláez G. et al., 2081</x:t>
  </x:si>
  <x:si>
    <x:t xml:space="preserve">HUQ 3995</x:t>
  </x:si>
  <x:si>
    <x:t xml:space="preserve">Colombia, Quindio, Pijao, vereda Río Azul, finca El Espartillal, a 3 km de la casa, bosque a orilla de carretera nueva.</x:t>
  </x:si>
  <x:si>
    <x:t xml:space="preserve">N 04°22'37"</x:t>
  </x:si>
  <x:si>
    <x:t xml:space="preserve">04°22'37" N</x:t>
  </x:si>
  <x:si>
    <x:t xml:space="preserve">W 75°43'04.48"</x:t>
  </x:si>
  <x:si>
    <x:t xml:space="preserve">75°43'04.48" W</x:t>
  </x:si>
  <x:si>
    <x:t xml:space="preserve">04°22'37" N, 75°43'04.48" W</x:t>
  </x:si>
  <x:si>
    <x:t xml:space="preserve">4.3769444</x:t>
  </x:si>
  <x:si>
    <x:t xml:space="preserve">-75.7179111</x:t>
  </x:si>
  <x:si>
    <x:t xml:space="preserve">4.3769444,-75.7179111</x:t>
  </x:si>
  <x:si>
    <x:t xml:space="preserve">HUQ3995</x:t>
  </x:si>
  <x:si>
    <x:t xml:space="preserve">vereda Río Azul, finca El Espartillal, a 3 km de la casa, bosque a orilla de carretera nueva.</x:t>
  </x:si>
  <x:si>
    <x:t xml:space="preserve">Agudelo C.A. et al., 1586</x:t>
  </x:si>
  <x:si>
    <x:t xml:space="preserve">HUQ 10054</x:t>
  </x:si>
  <x:si>
    <x:t xml:space="preserve">Colombia, Quindio, Salento, Reserva Natural Alto Quindío, Acaime.</x:t>
  </x:si>
  <x:si>
    <x:t xml:space="preserve">Reserva Natural Alto Quindío, Acaime.</x:t>
  </x:si>
  <x:si>
    <x:t xml:space="preserve">Velez M.C. et al., 3425</x:t>
  </x:si>
  <x:si>
    <x:t xml:space="preserve">COL 12801</x:t>
  </x:si>
  <x:si>
    <x:t xml:space="preserve">Colombia, Quindio, Calarca, vereda Planadas.</x:t>
  </x:si>
  <x:si>
    <x:t xml:space="preserve">N 04°32'05.37"</x:t>
  </x:si>
  <x:si>
    <x:t xml:space="preserve">04°32'05.37" N</x:t>
  </x:si>
  <x:si>
    <x:t xml:space="preserve">W 75°37'53.48"</x:t>
  </x:si>
  <x:si>
    <x:t xml:space="preserve">75°37'53.48" W</x:t>
  </x:si>
  <x:si>
    <x:t xml:space="preserve">04°32'05.37" N, 75°37'53.48" W</x:t>
  </x:si>
  <x:si>
    <x:t xml:space="preserve">4.534825</x:t>
  </x:si>
  <x:si>
    <x:t xml:space="preserve">-75.6315222</x:t>
  </x:si>
  <x:si>
    <x:t xml:space="preserve">4.534825,-75.6315222</x:t>
  </x:si>
  <x:si>
    <x:t xml:space="preserve">vereda Planadas.</x:t>
  </x:si>
  <x:si>
    <x:t xml:space="preserve">Vélez C. et al., 3670</x:t>
  </x:si>
  <x:si>
    <x:t xml:space="preserve">HUQ 12860</x:t>
  </x:si>
  <x:si>
    <x:t xml:space="preserve">Colombia, Quindio, Cordoba, finca Palma Hermosa, vereda Las Auras, Bosque de Aliso perturbado.</x:t>
  </x:si>
  <x:si>
    <x:t xml:space="preserve">finca Palma Hermosa, vereda Las Auras, Bosque de Aliso perturbado.</x:t>
  </x:si>
  <x:si>
    <x:t xml:space="preserve">Vélez C. et al., 5028</x:t>
  </x:si>
  <x:si>
    <x:t xml:space="preserve">COL 409947</x:t>
  </x:si>
  <x:si>
    <x:t xml:space="preserve">Colombia, Quindio, Genova, vereda San Juan Alto, finca La Caucasia, bosque intervenido al borde de camino.</x:t>
  </x:si>
  <x:si>
    <x:t xml:space="preserve">N 04°20'22.94"</x:t>
  </x:si>
  <x:si>
    <x:t xml:space="preserve">04°20'22.94" N</x:t>
  </x:si>
  <x:si>
    <x:t xml:space="preserve">W 75°47'27.33"</x:t>
  </x:si>
  <x:si>
    <x:t xml:space="preserve">75°47'27.33" W</x:t>
  </x:si>
  <x:si>
    <x:t xml:space="preserve">04°20'22.94" N, 75°47'27.33" W</x:t>
  </x:si>
  <x:si>
    <x:t xml:space="preserve">4.3397056</x:t>
  </x:si>
  <x:si>
    <x:t xml:space="preserve">-75.790925</x:t>
  </x:si>
  <x:si>
    <x:t xml:space="preserve">4.3397056,-75.790925</x:t>
  </x:si>
  <x:si>
    <x:t xml:space="preserve">vereda San Juan Alto, finca La Caucasia, bosque intervenido al borde de camino.</x:t>
  </x:si>
  <x:si>
    <x:t xml:space="preserve">Vélez C. 5826</x:t>
  </x:si>
  <x:si>
    <x:t xml:space="preserve">COL 410030</x:t>
  </x:si>
  <x:si>
    <x:t xml:space="preserve">Colombia, Quindio, Genova, vereda Río Gris Alto, reserva Natural El Jardín.</x:t>
  </x:si>
  <x:si>
    <x:t xml:space="preserve">HUQ18667</x:t>
  </x:si>
  <x:si>
    <x:t xml:space="preserve">vereda Río Gris Alto, reserva Natural El Jardín.</x:t>
  </x:si>
  <x:si>
    <x:t xml:space="preserve">COL 410029</x:t>
  </x:si>
  <x:si>
    <x:t xml:space="preserve">Rivera N. et al., 83</x:t>
  </x:si>
  <x:si>
    <x:t xml:space="preserve">HUQ 18667</x:t>
  </x:si>
  <x:si>
    <x:t xml:space="preserve">Sanín D. et al., 3103</x:t>
  </x:si>
  <x:si>
    <x:t xml:space="preserve">HUQ XXX</x:t>
  </x:si>
  <x:si>
    <x:t xml:space="preserve">Colombia, Quindio, Salento, vereda Boquia, sector Pata Sonla, flanco sur-oriental del río Boquia, alfrente del departamento del Quindio y detrás la Reserva Natural Otún Quimbaya.</x:t>
  </x:si>
  <x:si>
    <x:t xml:space="preserve">N 04°38'32"</x:t>
  </x:si>
  <x:si>
    <x:t xml:space="preserve">04°38'32" N</x:t>
  </x:si>
  <x:si>
    <x:t xml:space="preserve">W 75°32'9.18"</x:t>
  </x:si>
  <x:si>
    <x:t xml:space="preserve">75°32'9.18" W</x:t>
  </x:si>
  <x:si>
    <x:t xml:space="preserve">04°38'32" N, 75°32'9.18" W</x:t>
  </x:si>
  <x:si>
    <x:t xml:space="preserve">4.6422222</x:t>
  </x:si>
  <x:si>
    <x:t xml:space="preserve">-75.5358833</x:t>
  </x:si>
  <x:si>
    <x:t xml:space="preserve">4.6422222,-75.5358833</x:t>
  </x:si>
  <x:si>
    <x:t xml:space="preserve">vereda Boquia, sector Pata Sonla, flanco sur-oriental del río Boquia, alfrente del departamento del Quindio y detrás la Reserva Natural Otún Quimbaya.</x:t>
  </x:si>
  <x:si>
    <x:t xml:space="preserve">Sanín D. et al., 3107</x:t>
  </x:si>
  <x:si>
    <x:t xml:space="preserve">Colombia, Quindío, Salento, vereda Cocora, vía a Estrella de Agua, Camino con mosaico sucecional de aliso.</x:t>
  </x:si>
  <x:si>
    <x:t xml:space="preserve">vereda Cocora, vía a Estrella de Agua, Camino con mosaico sucecional de aliso.</x:t>
  </x:si>
  <x:si>
    <x:t xml:space="preserve">Wilde A. 2542</x:t>
  </x:si>
  <x:si>
    <x:t xml:space="preserve">COL 315942</x:t>
  </x:si>
  <x:si>
    <x:t xml:space="preserve">Colombia, Risaralda, Santa Rosa de Cabal, finca El Cortijo.</x:t>
  </x:si>
  <x:si>
    <x:t xml:space="preserve">N 04°51'</x:t>
  </x:si>
  <x:si>
    <x:t xml:space="preserve">04°51' N</x:t>
  </x:si>
  <x:si>
    <x:t xml:space="preserve">04°51' N, 75°32' W</x:t>
  </x:si>
  <x:si>
    <x:t xml:space="preserve">4.85</x:t>
  </x:si>
  <x:si>
    <x:t xml:space="preserve">4.85,-75.5333333</x:t>
  </x:si>
  <x:si>
    <x:t xml:space="preserve">finca El Cortijo.</x:t>
  </x:si>
  <x:si>
    <x:t xml:space="preserve">Henao J. 21</x:t>
  </x:si>
  <x:si>
    <x:t xml:space="preserve">HUQ 4773</x:t>
  </x:si>
  <x:si>
    <x:t xml:space="preserve">Colombia, Risaralda, Marsella, vereda El Nudo, reserva forestal.</x:t>
  </x:si>
  <x:si>
    <x:t xml:space="preserve">N 04°57'49.62"</x:t>
  </x:si>
  <x:si>
    <x:t xml:space="preserve">04°57'49.62" N</x:t>
  </x:si>
  <x:si>
    <x:t xml:space="preserve">W 75°43'37.10"</x:t>
  </x:si>
  <x:si>
    <x:t xml:space="preserve">75°43'37.10" W</x:t>
  </x:si>
  <x:si>
    <x:t xml:space="preserve">04°57'49.62" N, 75°43'37.10" W</x:t>
  </x:si>
  <x:si>
    <x:t xml:space="preserve">4.9637833</x:t>
  </x:si>
  <x:si>
    <x:t xml:space="preserve">-75.7269722</x:t>
  </x:si>
  <x:si>
    <x:t xml:space="preserve">4.9637833,-75.7269722</x:t>
  </x:si>
  <x:si>
    <x:t xml:space="preserve">Marsella</x:t>
  </x:si>
  <x:si>
    <x:t xml:space="preserve">vereda El Nudo, reserva forestal.</x:t>
  </x:si>
  <x:si>
    <x:t xml:space="preserve">Croat T.B. &amp; M.P. Galeano 70776</x:t>
  </x:si>
  <x:si>
    <x:t xml:space="preserve">COL 347782</x:t>
  </x:si>
  <x:si>
    <x:t xml:space="preserve">Colombia, Risaralda, Parque Nacional Ucumari, vereda La Pastora, trail from El Cedral to La Pastora.</x:t>
  </x:si>
  <x:si>
    <x:t xml:space="preserve">N 04°02'</x:t>
  </x:si>
  <x:si>
    <x:t xml:space="preserve">04°02' N</x:t>
  </x:si>
  <x:si>
    <x:t xml:space="preserve">04°02' N, 75°30' W</x:t>
  </x:si>
  <x:si>
    <x:t xml:space="preserve">4.0333333</x:t>
  </x:si>
  <x:si>
    <x:t xml:space="preserve">4.0333333,-75.5</x:t>
  </x:si>
  <x:si>
    <x:t xml:space="preserve">Parque Nacional Ucumari</x:t>
  </x:si>
  <x:si>
    <x:t xml:space="preserve">vereda La Pastora, trail from El Cedral to La Pastora.</x:t>
  </x:si>
  <x:si>
    <x:t xml:space="preserve">Alvarez L.M. &amp; C.M. Ospina 2171</x:t>
  </x:si>
  <x:si>
    <x:t xml:space="preserve">FAUC 18764</x:t>
  </x:si>
  <x:si>
    <x:t xml:space="preserve">Colombia, Risaralda, Pereira, vereda Yarumal, finca Sinaí.</x:t>
  </x:si>
  <x:si>
    <x:t xml:space="preserve">1400-1600</x:t>
  </x:si>
  <x:si>
    <x:t xml:space="preserve">N 05°2.5'</x:t>
  </x:si>
  <x:si>
    <x:t xml:space="preserve">05°2.5' N</x:t>
  </x:si>
  <x:si>
    <x:t xml:space="preserve">W 75°7.2'</x:t>
  </x:si>
  <x:si>
    <x:t xml:space="preserve">75°7.2' W</x:t>
  </x:si>
  <x:si>
    <x:t xml:space="preserve">05°2.5' N, 75°7.2' W</x:t>
  </x:si>
  <x:si>
    <x:t xml:space="preserve">5.0416667</x:t>
  </x:si>
  <x:si>
    <x:t xml:space="preserve">-75.12</x:t>
  </x:si>
  <x:si>
    <x:t xml:space="preserve">5.0416667,-75.12</x:t>
  </x:si>
  <x:si>
    <x:t xml:space="preserve">FAUC18764</x:t>
  </x:si>
  <x:si>
    <x:t xml:space="preserve">vereda Yarumal, finca Sinaí.</x:t>
  </x:si>
  <x:si>
    <x:t xml:space="preserve">Sanín D. &amp; J.C. Mancera 949</x:t>
  </x:si>
  <x:si>
    <x:t xml:space="preserve">FAUC 5789</x:t>
  </x:si>
  <x:si>
    <x:t xml:space="preserve">Colombia, Risaralda, Santuario, Parque Nacional Natural Tatamá, Cerro Churumbelo, vereda Baja Esmeralda.</x:t>
  </x:si>
  <x:si>
    <x:t xml:space="preserve">FAUC5789</x:t>
  </x:si>
  <x:si>
    <x:t xml:space="preserve">Parque Nacional Natural Tatamá, Cerro Churumbelo, vereda Baja Esmeralda.</x:t>
  </x:si>
  <x:si>
    <x:t xml:space="preserve">Sanín D. et al., 2442</x:t>
  </x:si>
  <x:si>
    <x:t xml:space="preserve">N 04°43'7.52"</x:t>
  </x:si>
  <x:si>
    <x:t xml:space="preserve">04°43'7.52" N</x:t>
  </x:si>
  <x:si>
    <x:t xml:space="preserve">W 75°34'6.33"</x:t>
  </x:si>
  <x:si>
    <x:t xml:space="preserve">75°34'6.33" W</x:t>
  </x:si>
  <x:si>
    <x:t xml:space="preserve">04°43'7.52" N, 75°34'6.33" W</x:t>
  </x:si>
  <x:si>
    <x:t xml:space="preserve">4.7187556</x:t>
  </x:si>
  <x:si>
    <x:t xml:space="preserve">-75.568425</x:t>
  </x:si>
  <x:si>
    <x:t xml:space="preserve">4.7187556,-75.568425</x:t>
  </x:si>
  <x:si>
    <x:t xml:space="preserve">Sanín D. et al., 2495</x:t>
  </x:si>
  <x:si>
    <x:t xml:space="preserve">Colombia, Risaralda, Santa Rosa de Cabal, Reserva Central Hidroelectrica de Caldas, Zona Amortiguadora del Parque Los Nevados.</x:t>
  </x:si>
  <x:si>
    <x:t xml:space="preserve">2122-2611</x:t>
  </x:si>
  <x:si>
    <x:t xml:space="preserve">N 04°48'8.05"</x:t>
  </x:si>
  <x:si>
    <x:t xml:space="preserve">04°48'8.05" N</x:t>
  </x:si>
  <x:si>
    <x:t xml:space="preserve">W 75°32'9.63"</x:t>
  </x:si>
  <x:si>
    <x:t xml:space="preserve">75°32'9.63" W</x:t>
  </x:si>
  <x:si>
    <x:t xml:space="preserve">04°48'8.05" N, 75°32'9.63" W</x:t>
  </x:si>
  <x:si>
    <x:t xml:space="preserve">4.8022361</x:t>
  </x:si>
  <x:si>
    <x:t xml:space="preserve">-75.5360083</x:t>
  </x:si>
  <x:si>
    <x:t xml:space="preserve">4.8022361,-75.5360083</x:t>
  </x:si>
  <x:si>
    <x:t xml:space="preserve">Reserva Central Hidroelectrica de Caldas, Zona Amortiguadora del Parque Los Nevados.</x:t>
  </x:si>
  <x:si>
    <x:t xml:space="preserve">Sanín D. et al., 4240</x:t>
  </x:si>
  <x:si>
    <x:t xml:space="preserve">N 5.1244244</x:t>
  </x:si>
  <x:si>
    <x:t xml:space="preserve">W -76.0416654</x:t>
  </x:si>
  <x:si>
    <x:t xml:space="preserve">-76.0416654 W</x:t>
  </x:si>
  <x:si>
    <x:t xml:space="preserve">5.1244244 N, -76.0416654 W</x:t>
  </x:si>
  <x:si>
    <x:t xml:space="preserve">Sanín D. et al. 4240</x:t>
  </x:si>
  <x:si>
    <x:t xml:space="preserve">W 76.0416654</x:t>
  </x:si>
  <x:si>
    <x:t xml:space="preserve">Killip E.P. &amp; A.C. Smith 15147</x:t>
  </x:si>
  <x:si>
    <x:t xml:space="preserve">COL 000336356</x:t>
  </x:si>
  <x:si>
    <x:t xml:space="preserve">Colombia, Santander, Mesa de los Santos.</x:t>
  </x:si>
  <x:si>
    <x:t xml:space="preserve">COL000336356</x:t>
  </x:si>
  <x:si>
    <x:t xml:space="preserve">Mesa de los Santos.</x:t>
  </x:si>
  <x:si>
    <x:t xml:space="preserve">Murillo M.T. &amp; R. Jaramillo Mejía 1127</x:t>
  </x:si>
  <x:si>
    <x:t xml:space="preserve">COL 000336265</x:t>
  </x:si>
  <x:si>
    <x:t xml:space="preserve">Colombia, Santander, carretera entre Bucaramanga y Pamplona, arriba de Corcova.</x:t>
  </x:si>
  <x:si>
    <x:t xml:space="preserve">carretera entre Bucaramanga y Pamplona</x:t>
  </x:si>
  <x:si>
    <x:t xml:space="preserve">arriba de Corcova.</x:t>
  </x:si>
  <x:si>
    <x:t xml:space="preserve">Duque-Jaramillo J.M. 3339</x:t>
  </x:si>
  <x:si>
    <x:t xml:space="preserve">FAUC 297</x:t>
  </x:si>
  <x:si>
    <x:t xml:space="preserve">Colombia, Tolima, Agua Bonita.</x:t>
  </x:si>
  <x:si>
    <x:t xml:space="preserve">N 04°35'45.30"</x:t>
  </x:si>
  <x:si>
    <x:t xml:space="preserve">04°35'45.30" N</x:t>
  </x:si>
  <x:si>
    <x:t xml:space="preserve">W 75°09'41.51"</x:t>
  </x:si>
  <x:si>
    <x:t xml:space="preserve">75°09'41.51" W</x:t>
  </x:si>
  <x:si>
    <x:t xml:space="preserve">04°35'45.30" N, 75°09'41.51" W</x:t>
  </x:si>
  <x:si>
    <x:t xml:space="preserve">4.5959167</x:t>
  </x:si>
  <x:si>
    <x:t xml:space="preserve">-75.1615306</x:t>
  </x:si>
  <x:si>
    <x:t xml:space="preserve">4.5959167,-75.1615306</x:t>
  </x:si>
  <x:si>
    <x:t xml:space="preserve">Agua Bonita.</x:t>
  </x:si>
  <x:si>
    <x:t xml:space="preserve">Idrobo J.M. et al., 10452</x:t>
  </x:si>
  <x:si>
    <x:t xml:space="preserve">COL 000336168</x:t>
  </x:si>
  <x:si>
    <x:t xml:space="preserve">Colombia, Tolima, Santa Isabel, vereda Purima, Cerro Purima, cordillera Central, vertiente Oriental.</x:t>
  </x:si>
  <x:si>
    <x:t xml:space="preserve">vereda Purima, Cerro Purima, cordillera Central, vertiente Oriental.</x:t>
  </x:si>
  <x:si>
    <x:t xml:space="preserve">COL 217602</x:t>
  </x:si>
  <x:si>
    <x:t xml:space="preserve">Colombia, Tolima, Santa Isabel, vereda Purima, Finca El Prado, cordillera Central, vertiente Oriental.</x:t>
  </x:si>
  <x:si>
    <x:t xml:space="preserve">vereda Purima, Finca El Prado, cordillera Central, vertiente Oriental.</x:t>
  </x:si>
  <x:si>
    <x:t xml:space="preserve">Albert de Escobar L. et al., 4162</x:t>
  </x:si>
  <x:si>
    <x:t xml:space="preserve">HUA 21002</x:t>
  </x:si>
  <x:si>
    <x:t xml:space="preserve">Colombia, Tolima, 9 km de Murillo hacia el Líbano</x:t>
  </x:si>
  <x:si>
    <x:t xml:space="preserve">9 km de Murillo hacia el Líbano</x:t>
  </x:si>
  <x:si>
    <x:t xml:space="preserve">Agudelo C.A. et al., 3289</x:t>
  </x:si>
  <x:si>
    <x:t xml:space="preserve">HUQ 20058</x:t>
  </x:si>
  <x:si>
    <x:t xml:space="preserve">Colombia, Tolima, Ibagué, corregimiento de Toche, finca Las Cruces.</x:t>
  </x:si>
  <x:si>
    <x:t xml:space="preserve">N 04°26'</x:t>
  </x:si>
  <x:si>
    <x:t xml:space="preserve">04°26' N</x:t>
  </x:si>
  <x:si>
    <x:t xml:space="preserve">04°26' N, 75°14' W</x:t>
  </x:si>
  <x:si>
    <x:t xml:space="preserve">4.4333333</x:t>
  </x:si>
  <x:si>
    <x:t xml:space="preserve">4.4333333,-75.2333333</x:t>
  </x:si>
  <x:si>
    <x:t xml:space="preserve">HUQ20058</x:t>
  </x:si>
  <x:si>
    <x:t xml:space="preserve">corregimiento de Toche, finca Las Cruces.</x:t>
  </x:si>
  <x:si>
    <x:t xml:space="preserve">Agudelo C.A. et al., 3460</x:t>
  </x:si>
  <x:si>
    <x:t xml:space="preserve">HUQ 20046</x:t>
  </x:si>
  <x:si>
    <x:t xml:space="preserve">Colombia, Tolima, Ibagué, corregimiento de Toche, finca Gallego.</x:t>
  </x:si>
  <x:si>
    <x:t xml:space="preserve">2600-2900</x:t>
  </x:si>
  <x:si>
    <x:t xml:space="preserve">N 04°26'00.00"</x:t>
  </x:si>
  <x:si>
    <x:t xml:space="preserve">04°26'00.00" N</x:t>
  </x:si>
  <x:si>
    <x:t xml:space="preserve">04°26'00.00" N, 75°14' W</x:t>
  </x:si>
  <x:si>
    <x:t xml:space="preserve">HUQ20046</x:t>
  </x:si>
  <x:si>
    <x:t xml:space="preserve">corregimiento de Toche, finca Gallego.</x:t>
  </x:si>
  <x:si>
    <x:t xml:space="preserve">Medina T. A. 1116</x:t>
  </x:si>
  <x:si>
    <x:t xml:space="preserve">TOLI 7868</x:t>
  </x:si>
  <x:si>
    <x:t xml:space="preserve">Colombia, Tolima, Ibagué, Juntas, finca El Silencio.</x:t>
  </x:si>
  <x:si>
    <x:t xml:space="preserve">N 04°36'12"</x:t>
  </x:si>
  <x:si>
    <x:t xml:space="preserve">04°36'12" N</x:t>
  </x:si>
  <x:si>
    <x:t xml:space="preserve">W 75°20'02.4"</x:t>
  </x:si>
  <x:si>
    <x:t xml:space="preserve">75°20'02.4" W</x:t>
  </x:si>
  <x:si>
    <x:t xml:space="preserve">04°36'12" N, 75°20'02.4" W</x:t>
  </x:si>
  <x:si>
    <x:t xml:space="preserve">4.6033333</x:t>
  </x:si>
  <x:si>
    <x:t xml:space="preserve">-75.334</x:t>
  </x:si>
  <x:si>
    <x:t xml:space="preserve">4.6033333,-75.334</x:t>
  </x:si>
  <x:si>
    <x:t xml:space="preserve">Juntas, finca El Silencio.</x:t>
  </x:si>
  <x:si>
    <x:t xml:space="preserve">Sanín D. et al., 3177</x:t>
  </x:si>
  <x:si>
    <x:t xml:space="preserve">Colombia, Tolima, Ibagué, corregimiento de Juntas, vía escuela El Salto.</x:t>
  </x:si>
  <x:si>
    <x:t xml:space="preserve">N 04°37'45.3"</x:t>
  </x:si>
  <x:si>
    <x:t xml:space="preserve">04°37'45.3" N</x:t>
  </x:si>
  <x:si>
    <x:t xml:space="preserve">04°37'45.3" N, 75°16'9.31" W</x:t>
  </x:si>
  <x:si>
    <x:t xml:space="preserve">corregimiento de Juntas, vía escuela El Salto.</x:t>
  </x:si>
  <x:si>
    <x:t xml:space="preserve">Ruiz R. &amp; E. Correa 934</x:t>
  </x:si>
  <x:si>
    <x:t xml:space="preserve">CAUP 2920</x:t>
  </x:si>
  <x:si>
    <x:t xml:space="preserve">Colombia, Valle, Palmira, Potrerillo, La Nevera, finca EL Orisol, carretera Potrerillo-Ataco.</x:t>
  </x:si>
  <x:si>
    <x:t xml:space="preserve">N 03°28'23.09"</x:t>
  </x:si>
  <x:si>
    <x:t xml:space="preserve">03°28'23.09" N</x:t>
  </x:si>
  <x:si>
    <x:t xml:space="preserve">W 76°31'19.41"</x:t>
  </x:si>
  <x:si>
    <x:t xml:space="preserve">76°31'19.41" W</x:t>
  </x:si>
  <x:si>
    <x:t xml:space="preserve">03°28'23.09" N, 76°31'19.41" W</x:t>
  </x:si>
  <x:si>
    <x:t xml:space="preserve">3.4730806</x:t>
  </x:si>
  <x:si>
    <x:t xml:space="preserve">-76.5220583</x:t>
  </x:si>
  <x:si>
    <x:t xml:space="preserve">3.4730806,-76.5220583</x:t>
  </x:si>
  <x:si>
    <x:t xml:space="preserve">CAUP2920</x:t>
  </x:si>
  <x:si>
    <x:t xml:space="preserve">Potrerillo, La Nevera, finca EL Orisol, carretera Potrerillo-Ataco.</x:t>
  </x:si>
  <x:si>
    <x:t xml:space="preserve">Silverstone-Sopkin P. &amp; J. Giraldo-G. 6414</x:t>
  </x:si>
  <x:si>
    <x:t xml:space="preserve">CUVC 26521</x:t>
  </x:si>
  <x:si>
    <x:t xml:space="preserve">Colombia, Valle, Buga, Carretera Buga-El Placer a 33 km al este de Hotel Guadalajara, Finca El Diluvio, cordillera Central, vertiente occidental.</x:t>
  </x:si>
  <x:si>
    <x:t xml:space="preserve">N 04°12'28.84"</x:t>
  </x:si>
  <x:si>
    <x:t xml:space="preserve">04°12'28.84" N</x:t>
  </x:si>
  <x:si>
    <x:t xml:space="preserve">W 76°09'29.11"</x:t>
  </x:si>
  <x:si>
    <x:t xml:space="preserve">76°09'29.11" W</x:t>
  </x:si>
  <x:si>
    <x:t xml:space="preserve">04°12'28.84" N, 76°09'29.11" W</x:t>
  </x:si>
  <x:si>
    <x:t xml:space="preserve">4.2080111</x:t>
  </x:si>
  <x:si>
    <x:t xml:space="preserve">-76.1580861</x:t>
  </x:si>
  <x:si>
    <x:t xml:space="preserve">4.2080111,-76.1580861</x:t>
  </x:si>
  <x:si>
    <x:t xml:space="preserve">CUVC26521</x:t>
  </x:si>
  <x:si>
    <x:t xml:space="preserve">Buga</x:t>
  </x:si>
  <x:si>
    <x:t xml:space="preserve">Carretera Buga-El Placer a 33 km al este de Hotel Guadalajara, Finca El Diluvio, cordillera Central, vertiente occidental.</x:t>
  </x:si>
  <x:si>
    <x:t xml:space="preserve">Duque-Jaramillo J.M. 1892</x:t>
  </x:si>
  <x:si>
    <x:t xml:space="preserve">COL 43908</x:t>
  </x:si>
  <x:si>
    <x:t xml:space="preserve">Colombia, Valle del Cauca, Hoya del Río Calí, El Recuerdo.</x:t>
  </x:si>
  <x:si>
    <x:t xml:space="preserve">N 02°35'</x:t>
  </x:si>
  <x:si>
    <x:t xml:space="preserve">02°35' N</x:t>
  </x:si>
  <x:si>
    <x:t xml:space="preserve">W 76°36'</x:t>
  </x:si>
  <x:si>
    <x:t xml:space="preserve">76°36' W</x:t>
  </x:si>
  <x:si>
    <x:t xml:space="preserve">02°35' N, 76°36' W</x:t>
  </x:si>
  <x:si>
    <x:t xml:space="preserve">2.5833333</x:t>
  </x:si>
  <x:si>
    <x:t xml:space="preserve">-76.6</x:t>
  </x:si>
  <x:si>
    <x:t xml:space="preserve">2.5833333,-76.6</x:t>
  </x:si>
  <x:si>
    <x:t xml:space="preserve">Sarria S. 740</x:t>
  </x:si>
  <x:si>
    <x:t xml:space="preserve">COL 000336229</x:t>
  </x:si>
  <x:si>
    <x:t xml:space="preserve">Colombia, Valle del Cauca, Florida, corregimiento de Pueblo Nuevo, de las Dantas a la vereda Cajones, margen derecha del río Desbaratado.</x:t>
  </x:si>
  <x:si>
    <x:t xml:space="preserve">COL000336229</x:t>
  </x:si>
  <x:si>
    <x:t xml:space="preserve">Florida</x:t>
  </x:si>
  <x:si>
    <x:t xml:space="preserve">corregimiento de Pueblo Nuevo, de las Dantas a la vereda Cajones, margen derecha del río Desbaratado.</x:t>
  </x:si>
  <x:si>
    <x:t xml:space="preserve">Sanín D. &amp; E. Sanín 2704</x:t>
  </x:si>
  <x:si>
    <x:t xml:space="preserve">Serpocaulon loriceum (L.) A.R. Sm.</x:t>
  </x:si>
  <x:si>
    <x:t xml:space="preserve">Serpocaulon loriceum</x:t>
  </x:si>
  <x:si>
    <x:t xml:space="preserve">Arbeláez A.L. Et al., 49</x:t>
  </x:si>
  <x:si>
    <x:t xml:space="preserve">Colombia, Antioquia, La Unión, Carretera de la Unión a San Miguel.</x:t>
  </x:si>
  <x:si>
    <x:t xml:space="preserve">Carretera de la Unión a San Miguel.</x:t>
  </x:si>
  <x:si>
    <x:t xml:space="preserve">Ruiz M. 309</x:t>
  </x:si>
  <x:si>
    <x:t xml:space="preserve">CUVC 39538</x:t>
  </x:si>
  <x:si>
    <x:t xml:space="preserve">Colombia, Cundinamarca, Laguna del Cacique de Guatavita.</x:t>
  </x:si>
  <x:si>
    <x:t xml:space="preserve">CUVC39538</x:t>
  </x:si>
  <x:si>
    <x:t xml:space="preserve">Laguna del Cacique de Guatavita.</x:t>
  </x:si>
  <x:si>
    <x:t xml:space="preserve">Bustos p. G. Et al., 151</x:t>
  </x:si>
  <x:si>
    <x:t xml:space="preserve">COL 418409</x:t>
  </x:si>
  <x:si>
    <x:t xml:space="preserve">Colombia, Antioquia, Santander, Piedecuesta, vereda Cristales, trocha que conduce al nor-este de la Estación.</x:t>
  </x:si>
  <x:si>
    <x:t xml:space="preserve">2800-32000</x:t>
  </x:si>
  <x:si>
    <x:t xml:space="preserve">Piedecuesta, vereda Cristales, trocha que conduce al nor-este de la Estación.</x:t>
  </x:si>
  <x:si>
    <x:t xml:space="preserve">Sanín D. 3221</x:t>
  </x:si>
  <x:si>
    <x:t xml:space="preserve">Colombia, Huila, Pitalito, vereda Charguayaco, Reserva de la Comunidad el Arroyuelo.</x:t>
  </x:si>
  <x:si>
    <x:t xml:space="preserve">vereda Charguayaco, Reserva de la Comunidad el Arroyuelo.</x:t>
  </x:si>
  <x:si>
    <x:t xml:space="preserve">Sanín D. 3186</x:t>
  </x:si>
  <x:si>
    <x:t xml:space="preserve">Sanín D. et al., 5087</x:t>
  </x:si>
  <x:si>
    <x:t xml:space="preserve">Colombia, Antioquia, Frontino, Parque Nacional Natural Las Orquideas, sector de Venedos, vereda Venados Abajo, sitio La Miquera, bosque dominado por Weittinia, Alfaroa y Aiphanes, abierto y con sotobosque denso.</x:t>
  </x:si>
  <x:si>
    <x:t xml:space="preserve">1000-1300</x:t>
  </x:si>
  <x:si>
    <x:t xml:space="preserve">N 06°32'23"</x:t>
  </x:si>
  <x:si>
    <x:t xml:space="preserve">06°32'23" N</x:t>
  </x:si>
  <x:si>
    <x:t xml:space="preserve">W 76°17'59"</x:t>
  </x:si>
  <x:si>
    <x:t xml:space="preserve">76°17'59" W</x:t>
  </x:si>
  <x:si>
    <x:t xml:space="preserve">06°32'23" N, 76°17'59" W</x:t>
  </x:si>
  <x:si>
    <x:t xml:space="preserve">6.5397222</x:t>
  </x:si>
  <x:si>
    <x:t xml:space="preserve">-76.2997222</x:t>
  </x:si>
  <x:si>
    <x:t xml:space="preserve">6.5397222,-76.2997222</x:t>
  </x:si>
  <x:si>
    <x:t xml:space="preserve">Parque Nacional Natural Las Orquideas, sector de Venedos, vereda Venados Abajo, sitio La Miquera, bosque dominado por Weittinia, Alfaroa y Aiphanes, abierto y con sotobosque denso.</x:t>
  </x:si>
  <x:si>
    <x:t xml:space="preserve">Lozano G et al., 5491</x:t>
  </x:si>
  <x:si>
    <x:t xml:space="preserve">COL 331362</x:t>
  </x:si>
  <x:si>
    <x:t xml:space="preserve">Colombia, Norte de Santander, Herrán, Parque Nacional Tama, sector Orocue, hacia El Alto del Pesebre.</x:t>
  </x:si>
  <x:si>
    <x:t xml:space="preserve">2650-3020</x:t>
  </x:si>
  <x:si>
    <x:t xml:space="preserve">Parque Nacional Tama, sector Orocue, hacia El Alto del Pesebre.</x:t>
  </x:si>
  <x:si>
    <x:t xml:space="preserve">Croat T. B. 51856</x:t>
  </x:si>
  <x:si>
    <x:t xml:space="preserve">COL 302208</x:t>
  </x:si>
  <x:si>
    <x:t xml:space="preserve">Colombia, Putumayo, Allong road between Pasto and Mocoa in vicinity of km 95 near Restaurante Buenos aires.</x:t>
  </x:si>
  <x:si>
    <x:t xml:space="preserve">COL302208</x:t>
  </x:si>
  <x:si>
    <x:t xml:space="preserve">Allong road between Pasto and Mocoa in vicinity of km 95 near Restaurante Buenos aires.</x:t>
  </x:si>
  <x:si>
    <x:t xml:space="preserve">S. maritimum (Hieron.) A.R. Sm.</x:t>
  </x:si>
  <x:si>
    <x:t xml:space="preserve">Serpocaulon maritimum</x:t>
  </x:si>
  <x:si>
    <x:t xml:space="preserve">Killip E.P. 35490</x:t>
  </x:si>
  <x:si>
    <x:t xml:space="preserve">COL 000336463</x:t>
  </x:si>
  <x:si>
    <x:t xml:space="preserve">Colombia, Chocó, Andagoya.</x:t>
  </x:si>
  <x:si>
    <x:t xml:space="preserve">70-100</x:t>
  </x:si>
  <x:si>
    <x:t xml:space="preserve">COL000336463</x:t>
  </x:si>
  <x:si>
    <x:t xml:space="preserve">Andagoya.</x:t>
  </x:si>
  <x:si>
    <x:t xml:space="preserve">Foster M.B. &amp; R. Foster 2086</x:t>
  </x:si>
  <x:si>
    <x:t xml:space="preserve">COL 63936</x:t>
  </x:si>
  <x:si>
    <x:t xml:space="preserve">Colombia, Nariño, Altaquér.</x:t>
  </x:si>
  <x:si>
    <x:t xml:space="preserve">Altaquér.</x:t>
  </x:si>
  <x:si>
    <x:t xml:space="preserve">Hageman W. &amp; Leist 1448</x:t>
  </x:si>
  <x:si>
    <x:t xml:space="preserve">COL 214376</x:t>
  </x:si>
  <x:si>
    <x:t xml:space="preserve">Colombia, Valle del Cauca, Hoya del río Anchicayá.</x:t>
  </x:si>
  <x:si>
    <x:t xml:space="preserve">COL214294</x:t>
  </x:si>
  <x:si>
    <x:t xml:space="preserve">Hoya del río Anchicayá.</x:t>
  </x:si>
  <x:si>
    <x:t xml:space="preserve">Hageman W. &amp; Leist 1713</x:t>
  </x:si>
  <x:si>
    <x:t xml:space="preserve">PSO 28148</x:t>
  </x:si>
  <x:si>
    <x:t xml:space="preserve">Colombia, Nariño, Barbacoas, carretera Junín-El Diviso.</x:t>
  </x:si>
  <x:si>
    <x:t xml:space="preserve">COL214288</x:t>
  </x:si>
  <x:si>
    <x:t xml:space="preserve">Barbacoas</x:t>
  </x:si>
  <x:si>
    <x:t xml:space="preserve">carretera Junín-El Diviso.</x:t>
  </x:si>
  <x:si>
    <x:t xml:space="preserve">Hageman W. &amp; Leist 1750</x:t>
  </x:si>
  <x:si>
    <x:t xml:space="preserve">COL 214288</x:t>
  </x:si>
  <x:si>
    <x:t xml:space="preserve">Colombia, Nariño, 5 km de Junín en dirección a Barbacoas.</x:t>
  </x:si>
  <x:si>
    <x:t xml:space="preserve">5 km de Junín en dirección a Barbacoas.</x:t>
  </x:si>
  <x:si>
    <x:t xml:space="preserve">Leist &amp; Möhle 2149</x:t>
  </x:si>
  <x:si>
    <x:t xml:space="preserve">PSO 13147</x:t>
  </x:si>
  <x:si>
    <x:t xml:space="preserve">Colombia, Nariño, Barbacoas, vecindad El Diviso.</x:t>
  </x:si>
  <x:si>
    <x:t xml:space="preserve">vecindad El Diviso.</x:t>
  </x:si>
  <x:si>
    <x:t xml:space="preserve">Sudgen A. 32</x:t>
  </x:si>
  <x:si>
    <x:t xml:space="preserve">COL 000335777</x:t>
  </x:si>
  <x:si>
    <x:t xml:space="preserve">Colombia, Guajira, Serranía del Macuira.</x:t>
  </x:si>
  <x:si>
    <x:t xml:space="preserve">COL000335777</x:t>
  </x:si>
  <x:si>
    <x:t xml:space="preserve">Guajira</x:t>
  </x:si>
  <x:si>
    <x:t xml:space="preserve">Serranía del Macuira.</x:t>
  </x:si>
  <x:si>
    <x:t xml:space="preserve">COL 000336468</x:t>
  </x:si>
  <x:si>
    <x:t xml:space="preserve">Forero E et al., 5259</x:t>
  </x:si>
  <x:si>
    <x:t xml:space="preserve">COL 000336458</x:t>
  </x:si>
  <x:si>
    <x:t xml:space="preserve">Colombia, Choco, Hoya del río San Juan, carretera Andagoya-Condoto, cerca de Andagoya.</x:t>
  </x:si>
  <x:si>
    <x:t xml:space="preserve">W 76° 40'</x:t>
  </x:si>
  <x:si>
    <x:t xml:space="preserve">76° 40' W</x:t>
  </x:si>
  <x:si>
    <x:t xml:space="preserve">05°06' N, 76° 40' W</x:t>
  </x:si>
  <x:si>
    <x:t xml:space="preserve">-76.6666667</x:t>
  </x:si>
  <x:si>
    <x:t xml:space="preserve">5.1,-76.6666667</x:t>
  </x:si>
  <x:si>
    <x:t xml:space="preserve">Choco</x:t>
  </x:si>
  <x:si>
    <x:t xml:space="preserve">carretera Andagoya-Condoto, cerca de Andagoya.</x:t>
  </x:si>
  <x:si>
    <x:t xml:space="preserve">Díaz P. S. 3424</x:t>
  </x:si>
  <x:si>
    <x:t xml:space="preserve">COL 000336435</x:t>
  </x:si>
  <x:si>
    <x:t xml:space="preserve">Colombia, Chocó, Nóvita, inspección de Curundó, margen derecha del río Ingará.</x:t>
  </x:si>
  <x:si>
    <x:t xml:space="preserve">400-550</x:t>
  </x:si>
  <x:si>
    <x:t xml:space="preserve">El río Ingará nace en San José del Palmar</x:t>
  </x:si>
  <x:si>
    <x:t xml:space="preserve">COL000336435</x:t>
  </x:si>
  <x:si>
    <x:t xml:space="preserve">Nóvita</x:t>
  </x:si>
  <x:si>
    <x:t xml:space="preserve">inspección de Curundó, margen derecha del río Ingará.</x:t>
  </x:si>
  <x:si>
    <x:t xml:space="preserve">Díaz P. S. 3928</x:t>
  </x:si>
  <x:si>
    <x:t xml:space="preserve">COL 000336425</x:t>
  </x:si>
  <x:si>
    <x:t xml:space="preserve">Colombia, Chocó, San Jose del Palmar, vereda La Badea.</x:t>
  </x:si>
  <x:si>
    <x:t xml:space="preserve">COL000336425</x:t>
  </x:si>
  <x:si>
    <x:t xml:space="preserve">vereda La Badea.</x:t>
  </x:si>
  <x:si>
    <x:t xml:space="preserve">Barbosa C. 1907</x:t>
  </x:si>
  <x:si>
    <x:t xml:space="preserve">COL 000336427</x:t>
  </x:si>
  <x:si>
    <x:t xml:space="preserve">Colombia, Magdalena, Cerro Las Bovedas.</x:t>
  </x:si>
  <x:si>
    <x:t xml:space="preserve">COL000336427</x:t>
  </x:si>
  <x:si>
    <x:t xml:space="preserve">Cerro Las Bovedas.</x:t>
  </x:si>
  <x:si>
    <x:t xml:space="preserve">Juncosa A. 2004</x:t>
  </x:si>
  <x:si>
    <x:t xml:space="preserve">CUVC 17458</x:t>
  </x:si>
  <x:si>
    <x:t xml:space="preserve">Colombia, Valle del Cauca, Buenaventura-El Queremal, old road from Cali, about km 32,5. Plants by roadside.</x:t>
  </x:si>
  <x:si>
    <x:t xml:space="preserve">N 03°30'</x:t>
  </x:si>
  <x:si>
    <x:t xml:space="preserve">W 76° 45'</x:t>
  </x:si>
  <x:si>
    <x:t xml:space="preserve">76° 45' W</x:t>
  </x:si>
  <x:si>
    <x:t xml:space="preserve">03°30' N, 76° 45' W</x:t>
  </x:si>
  <x:si>
    <x:t xml:space="preserve">-76.75</x:t>
  </x:si>
  <x:si>
    <x:t xml:space="preserve">3.5,-76.75</x:t>
  </x:si>
  <x:si>
    <x:t xml:space="preserve">Buenaventura-El Queremal</x:t>
  </x:si>
  <x:si>
    <x:t xml:space="preserve">old road from Cali, about km 32, 5. Plants by roadside.</x:t>
  </x:si>
  <x:si>
    <x:t xml:space="preserve">CUVC 11441</x:t>
  </x:si>
  <x:si>
    <x:t xml:space="preserve">Gentry A.H. et al., 60548</x:t>
  </x:si>
  <x:si>
    <x:t xml:space="preserve">PSO 18410</x:t>
  </x:si>
  <x:si>
    <x:t xml:space="preserve">Colombia, Nariño, La Planada Reserve, 7 km from Chucunes, cloud forest.</x:t>
  </x:si>
  <x:si>
    <x:t xml:space="preserve">N01° 05'</x:t>
  </x:si>
  <x:si>
    <x:t xml:space="preserve">1° 05' N</x:t>
  </x:si>
  <x:si>
    <x:t xml:space="preserve">W78°01'</x:t>
  </x:si>
  <x:si>
    <x:t xml:space="preserve">8°01' W</x:t>
  </x:si>
  <x:si>
    <x:t xml:space="preserve">1° 05' N, 8°01' W</x:t>
  </x:si>
  <x:si>
    <x:t xml:space="preserve">1.0833333</x:t>
  </x:si>
  <x:si>
    <x:t xml:space="preserve">-8.0166667</x:t>
  </x:si>
  <x:si>
    <x:t xml:space="preserve">1.0833333,-8.0166667</x:t>
  </x:si>
  <x:si>
    <x:t xml:space="preserve">La Planada Reserve</x:t>
  </x:si>
  <x:si>
    <x:t xml:space="preserve">7 km from Chucunes, cloud forest.</x:t>
  </x:si>
  <x:si>
    <x:t xml:space="preserve">Sanín D., et al., 5134</x:t>
  </x:si>
  <x:si>
    <x:t xml:space="preserve">Colombia, Antioquia, Urrao, corregimiento de Encarnación, vereda Calles Abajo, Parque Nacional Natural Las Orquideas, vegetación al margen del camino entre la Cabaña de Calles y La Raya, limite entre Frontino y Urrao.</x:t>
  </x:si>
  <x:si>
    <x:t xml:space="preserve">W 76°15'41.4"</x:t>
  </x:si>
  <x:si>
    <x:t xml:space="preserve">76°15'41.4" W</x:t>
  </x:si>
  <x:si>
    <x:t xml:space="preserve">06°30'45.2" N, 76°15'41.4" W</x:t>
  </x:si>
  <x:si>
    <x:t xml:space="preserve">corregimiento de Encarnación, vereda Calles Abajo, Parque Nacional Natural Las Orquideas, vegetación al margen del camino entre la Cabaña de Calles y La Raya, limite entre Frontino y Urrao.</x:t>
  </x:si>
  <x:si>
    <x:t xml:space="preserve">COL 271495</x:t>
  </x:si>
  <x:si>
    <x:t xml:space="preserve">Colombia, Nariño, vecindad El Diviso.</x:t>
  </x:si>
  <x:si>
    <x:t xml:space="preserve">S. nanegalense (Sodiro) A.R. Sm.</x:t>
  </x:si>
  <x:si>
    <x:t xml:space="preserve">Serpocaulon nanegalense</x:t>
  </x:si>
  <x:si>
    <x:t xml:space="preserve">Pérez-M. A. 166</x:t>
  </x:si>
  <x:si>
    <x:t xml:space="preserve">HUA 19297</x:t>
  </x:si>
  <x:si>
    <x:t xml:space="preserve">Colombia, Antioquia, Belmira, corregimiento de Labores.</x:t>
  </x:si>
  <x:si>
    <x:t xml:space="preserve">N 06°36'26.44"</x:t>
  </x:si>
  <x:si>
    <x:t xml:space="preserve">06°36'26.44" N</x:t>
  </x:si>
  <x:si>
    <x:t xml:space="preserve">W 75°39'57.25"</x:t>
  </x:si>
  <x:si>
    <x:t xml:space="preserve">75°39'57.25" W</x:t>
  </x:si>
  <x:si>
    <x:t xml:space="preserve">06°36'26.44" N, 75°39'57.25" W</x:t>
  </x:si>
  <x:si>
    <x:t xml:space="preserve">6.6073444</x:t>
  </x:si>
  <x:si>
    <x:t xml:space="preserve">-75.6659028</x:t>
  </x:si>
  <x:si>
    <x:t xml:space="preserve">6.6073444,-75.6659028</x:t>
  </x:si>
  <x:si>
    <x:t xml:space="preserve">corregimiento de Labores.</x:t>
  </x:si>
  <x:si>
    <x:t xml:space="preserve">Zarucchi J.L. et al., 6847</x:t>
  </x:si>
  <x:si>
    <x:t xml:space="preserve">HUA 56848</x:t>
  </x:si>
  <x:si>
    <x:t xml:space="preserve">Colombia, Antioquia, Medellín, along to road to Cerro del Padre Amaya, 2,3 km from main Medellín-Santa Fé de Antioquia, road.</x:t>
  </x:si>
  <x:si>
    <x:t xml:space="preserve">6.3166667</x:t>
  </x:si>
  <x:si>
    <x:t xml:space="preserve">6.3166667,-75.6833333</x:t>
  </x:si>
  <x:si>
    <x:t xml:space="preserve">along to road to Cerro del Padre Amaya, 2, 3 km from main Medellín-Santa Fé de Antioquia, road.</x:t>
  </x:si>
  <x:si>
    <x:t xml:space="preserve">Albert de Escobar L. et al., 8538</x:t>
  </x:si>
  <x:si>
    <x:t xml:space="preserve">HUA 48394</x:t>
  </x:si>
  <x:si>
    <x:t xml:space="preserve">Colombia, Antioquia, Caldas, vereda LA Corrala, bosque húmedo, Finca La Zarza.</x:t>
  </x:si>
  <x:si>
    <x:t xml:space="preserve">N 06°05'24"</x:t>
  </x:si>
  <x:si>
    <x:t xml:space="preserve">06°05'24" N</x:t>
  </x:si>
  <x:si>
    <x:t xml:space="preserve">06°05'24" N, 75°38'16.80" W</x:t>
  </x:si>
  <x:si>
    <x:t xml:space="preserve">vereda LA Corrala, bosque húmedo, Finca La Zarza.</x:t>
  </x:si>
  <x:si>
    <x:t xml:space="preserve">Rodríguez W. et al., 3418 </x:t>
  </x:si>
  <x:si>
    <x:t xml:space="preserve">COL 484017</x:t>
  </x:si>
  <x:si>
    <x:t xml:space="preserve">Colombia, Antioquia, Belmira, vereda Montañita, quebrada Montañita.</x:t>
  </x:si>
  <x:si>
    <x:t xml:space="preserve">N 06°37'18.7"</x:t>
  </x:si>
  <x:si>
    <x:t xml:space="preserve">06°37'18.7" N</x:t>
  </x:si>
  <x:si>
    <x:t xml:space="preserve">W 75°40'30"</x:t>
  </x:si>
  <x:si>
    <x:t xml:space="preserve">75°40'30" W</x:t>
  </x:si>
  <x:si>
    <x:t xml:space="preserve">06°37'18.7" N, 75°40'30" W</x:t>
  </x:si>
  <x:si>
    <x:t xml:space="preserve">6.6218611</x:t>
  </x:si>
  <x:si>
    <x:t xml:space="preserve">-75.675</x:t>
  </x:si>
  <x:si>
    <x:t xml:space="preserve">6.6218611,-75.675</x:t>
  </x:si>
  <x:si>
    <x:t xml:space="preserve">vereda Montañita, quebrada Montañita.</x:t>
  </x:si>
  <x:si>
    <x:t xml:space="preserve">Rivas A. &amp; A.F. Ruíz 642</x:t>
  </x:si>
  <x:si>
    <x:t xml:space="preserve">HUA 152989</x:t>
  </x:si>
  <x:si>
    <x:t xml:space="preserve">Colombia, Antioquia, Jardín, vereda La Herrera, finca El Imperio.</x:t>
  </x:si>
  <x:si>
    <x:t xml:space="preserve">N 05°29'13.2"</x:t>
  </x:si>
  <x:si>
    <x:t xml:space="preserve">05°29'13.2" N</x:t>
  </x:si>
  <x:si>
    <x:t xml:space="preserve">W 75°53'52.6"</x:t>
  </x:si>
  <x:si>
    <x:t xml:space="preserve">75°53'52.6" W</x:t>
  </x:si>
  <x:si>
    <x:t xml:space="preserve">05°29'13.2" N, 75°53'52.6" W</x:t>
  </x:si>
  <x:si>
    <x:t xml:space="preserve">-75.8979444</x:t>
  </x:si>
  <x:si>
    <x:t xml:space="preserve">5.487,-75.8979444</x:t>
  </x:si>
  <x:si>
    <x:t xml:space="preserve">vereda La Herrera, finca El Imperio.</x:t>
  </x:si>
  <x:si>
    <x:t xml:space="preserve">Rodríguez W. et al., 3662 </x:t>
  </x:si>
  <x:si>
    <x:t xml:space="preserve">COL 487644</x:t>
  </x:si>
  <x:si>
    <x:t xml:space="preserve">Colombia, Antioquia, Belmira, vereda El Yuyal, quebrada La Aldaña.</x:t>
  </x:si>
  <x:si>
    <x:t xml:space="preserve">N 06°35'59.8"</x:t>
  </x:si>
  <x:si>
    <x:t xml:space="preserve">06°35'59.8" N</x:t>
  </x:si>
  <x:si>
    <x:t xml:space="preserve">W 75°41'26.2"</x:t>
  </x:si>
  <x:si>
    <x:t xml:space="preserve">75°41'26.2" W</x:t>
  </x:si>
  <x:si>
    <x:t xml:space="preserve">06°35'59.8" N, 75°41'26.2" W</x:t>
  </x:si>
  <x:si>
    <x:t xml:space="preserve">6.5999444</x:t>
  </x:si>
  <x:si>
    <x:t xml:space="preserve">-75.6906111</x:t>
  </x:si>
  <x:si>
    <x:t xml:space="preserve">6.5999444,-75.6906111</x:t>
  </x:si>
  <x:si>
    <x:t xml:space="preserve">vereda El Yuyal, quebrada La Aldaña.</x:t>
  </x:si>
  <x:si>
    <x:t xml:space="preserve">HUA 137354</x:t>
  </x:si>
  <x:si>
    <x:t xml:space="preserve">JAUM 38644</x:t>
  </x:si>
  <x:si>
    <x:t xml:space="preserve">Rodríguez W. et al., 3715</x:t>
  </x:si>
  <x:si>
    <x:t xml:space="preserve">HUA 137361</x:t>
  </x:si>
  <x:si>
    <x:t xml:space="preserve">Colombia, Antioquia, Belmira, vereda La Amoladora, sector Montefrio, limite con los municipios de San Pedro de los Milagros y San Jerónimo.</x:t>
  </x:si>
  <x:si>
    <x:t xml:space="preserve">N 06°30'16.8"</x:t>
  </x:si>
  <x:si>
    <x:t xml:space="preserve">06°30'16.8" N</x:t>
  </x:si>
  <x:si>
    <x:t xml:space="preserve">W 75°39'16.3"</x:t>
  </x:si>
  <x:si>
    <x:t xml:space="preserve">75°39'16.3" W</x:t>
  </x:si>
  <x:si>
    <x:t xml:space="preserve">06°30'16.8" N, 75°39'16.3" W</x:t>
  </x:si>
  <x:si>
    <x:t xml:space="preserve">6.5046667</x:t>
  </x:si>
  <x:si>
    <x:t xml:space="preserve">-75.6545278</x:t>
  </x:si>
  <x:si>
    <x:t xml:space="preserve">6.5046667,-75.6545278</x:t>
  </x:si>
  <x:si>
    <x:t xml:space="preserve">HUA137361</x:t>
  </x:si>
  <x:si>
    <x:t xml:space="preserve">vereda La Amoladora, sector Montefrio, limite con los municipios de San Pedro de los Milagros y San Jerónimo.</x:t>
  </x:si>
  <x:si>
    <x:t xml:space="preserve">COL 487641</x:t>
  </x:si>
  <x:si>
    <x:t xml:space="preserve">Rodríguez W. et al., 3715 </x:t>
  </x:si>
  <x:si>
    <x:t xml:space="preserve">MEDEL 46601</x:t>
  </x:si>
  <x:si>
    <x:t xml:space="preserve">Rodríguez W. et al., 4940 </x:t>
  </x:si>
  <x:si>
    <x:t xml:space="preserve">HUA 153835</x:t>
  </x:si>
  <x:si>
    <x:t xml:space="preserve">Colombia, Antioquia, Jardín, vereda La Mesenía, sector Paramillo.</x:t>
  </x:si>
  <x:si>
    <x:t xml:space="preserve">vereda La Mesenía, sector Paramillo.</x:t>
  </x:si>
  <x:si>
    <x:t xml:space="preserve">Rodríguez W. et al., 5000 </x:t>
  </x:si>
  <x:si>
    <x:t xml:space="preserve">HUA 153840</x:t>
  </x:si>
  <x:si>
    <x:t xml:space="preserve">Rodríguez W. et al., 5023 </x:t>
  </x:si>
  <x:si>
    <x:t xml:space="preserve">HUA 153843</x:t>
  </x:si>
  <x:si>
    <x:t xml:space="preserve">Rodríguez W. et al., 5469 </x:t>
  </x:si>
  <x:si>
    <x:t xml:space="preserve">HUA 154679</x:t>
  </x:si>
  <x:si>
    <x:t xml:space="preserve">Colombia, Antioquia, Bello, corregimiento de San Felix, alto de Las Baldivias, sector Antenas de El Colombiano.</x:t>
  </x:si>
  <x:si>
    <x:t xml:space="preserve">corregimiento de San Felix, alto de Las Baldivias, sector Antenas de El Colombiano.</x:t>
  </x:si>
  <x:si>
    <x:t xml:space="preserve">Rodríguez W. et al., 5970</x:t>
  </x:si>
  <x:si>
    <x:t xml:space="preserve">HUA 158379</x:t>
  </x:si>
  <x:si>
    <x:t xml:space="preserve">Colombia, Antioquia, Medellín, corregimiento de San Antonio del Prado, vereda Yarumalito, divisoria de aguas, con el municipio de Heliconia, cerca del relleno sanitario El Guacal..</x:t>
  </x:si>
  <x:si>
    <x:t xml:space="preserve">N 06°15'16.73"</x:t>
  </x:si>
  <x:si>
    <x:t xml:space="preserve">06°15'16.73" N</x:t>
  </x:si>
  <x:si>
    <x:t xml:space="preserve">W 75°42'40.99"</x:t>
  </x:si>
  <x:si>
    <x:t xml:space="preserve">75°42'40.99" W</x:t>
  </x:si>
  <x:si>
    <x:t xml:space="preserve">06°15'16.73" N, 75°42'40.99" W</x:t>
  </x:si>
  <x:si>
    <x:t xml:space="preserve">6.2546472</x:t>
  </x:si>
  <x:si>
    <x:t xml:space="preserve">-75.7113861</x:t>
  </x:si>
  <x:si>
    <x:t xml:space="preserve">6.2546472,-75.7113861</x:t>
  </x:si>
  <x:si>
    <x:t xml:space="preserve">corregimiento de San Antonio del Prado, vereda Yarumalito, divisoria de aguas, con el municipio de Heliconia, cerca del relleno sanitario El Guacal..</x:t>
  </x:si>
  <x:si>
    <x:t xml:space="preserve">Rodríguez W. et al., 5970 </x:t>
  </x:si>
  <x:si>
    <x:t xml:space="preserve">MEDEL 50981</x:t>
  </x:si>
  <x:si>
    <x:t xml:space="preserve">Colombia, Antioquia, Medellín, corregimiento de San Antonio del Prado, vereda Yarumalito, divisoria de aguas, con el municipio de Heliconia, cerca del relleno sanitario El Guacal.</x:t>
  </x:si>
  <x:si>
    <x:t xml:space="preserve">corregimiento de San Antonio del Prado, vereda Yarumalito, divisoria de aguas, con el municipio de Heliconia, cerca del relleno sanitario El Guacal.</x:t>
  </x:si>
  <x:si>
    <x:t xml:space="preserve">Sanín D. et el., 5105</x:t>
  </x:si>
  <x:si>
    <x:t xml:space="preserve">Colombia, Antioquia, Belmira, Páramo de Belmira, localidad Montañita.</x:t>
  </x:si>
  <x:si>
    <x:t xml:space="preserve">N 06°37.318'</x:t>
  </x:si>
  <x:si>
    <x:t xml:space="preserve">06°37.318' N</x:t>
  </x:si>
  <x:si>
    <x:t xml:space="preserve">W 75°38.697'</x:t>
  </x:si>
  <x:si>
    <x:t xml:space="preserve">75°38.697' W</x:t>
  </x:si>
  <x:si>
    <x:t xml:space="preserve">06°37.318' N, 75°38.697' W</x:t>
  </x:si>
  <x:si>
    <x:t xml:space="preserve">Páramo de Belmira, localidad Montañita.</x:t>
  </x:si>
  <x:si>
    <x:t xml:space="preserve">Sanín D. et al., 5067</x:t>
  </x:si>
  <x:si>
    <x:t xml:space="preserve">Hagemann W. 678</x:t>
  </x:si>
  <x:si>
    <x:t xml:space="preserve">COL 00336451</x:t>
  </x:si>
  <x:si>
    <x:t xml:space="preserve">Colombia, Boyacá, Paramó de Sogamoso.</x:t>
  </x:si>
  <x:si>
    <x:t xml:space="preserve">El verdadero nombre del páramo de Sogamoso es Páramo de Siscunsí</x:t>
  </x:si>
  <x:si>
    <x:t xml:space="preserve">COL00336451</x:t>
  </x:si>
  <x:si>
    <x:t xml:space="preserve">Paramó de Sogamoso.</x:t>
  </x:si>
  <x:si>
    <x:t xml:space="preserve">Murillo J. et al., 2932</x:t>
  </x:si>
  <x:si>
    <x:t xml:space="preserve">COL 475677</x:t>
  </x:si>
  <x:si>
    <x:t xml:space="preserve">Muñoz E. E.L. et al., 1409</x:t>
  </x:si>
  <x:si>
    <x:t xml:space="preserve">CAUP 18125</x:t>
  </x:si>
  <x:si>
    <x:t xml:space="preserve">Colombia, Cauca, Inza, vereda Río Sucio, Jardín Botánico las Delicias, km 62.</x:t>
  </x:si>
  <x:si>
    <x:t xml:space="preserve">vereda Río Sucio, Jardín Botánico las Delicias, km 62.</x:t>
  </x:si>
  <x:si>
    <x:t xml:space="preserve">Jaramillo Mejía R. et al., 3438</x:t>
  </x:si>
  <x:si>
    <x:t xml:space="preserve">COL 000336446</x:t>
  </x:si>
  <x:si>
    <x:t xml:space="preserve">Colombia, Cundinamarca, San Miguel, extremo SW de la Sabana de Bogotá.</x:t>
  </x:si>
  <x:si>
    <x:t xml:space="preserve">COL000336446</x:t>
  </x:si>
  <x:si>
    <x:t xml:space="preserve">San Miguel</x:t>
  </x:si>
  <x:si>
    <x:t xml:space="preserve">extremo SW de la Sabana de Bogotá.</x:t>
  </x:si>
  <x:si>
    <x:t xml:space="preserve">Jaramillo Mejía R. et al., 3419</x:t>
  </x:si>
  <x:si>
    <x:t xml:space="preserve">COL 000336439</x:t>
  </x:si>
  <x:si>
    <x:t xml:space="preserve">Linares E. &amp; Sanchez R. 2892</x:t>
  </x:si>
  <x:si>
    <x:t xml:space="preserve">COL 441477</x:t>
  </x:si>
  <x:si>
    <x:t xml:space="preserve">Colombia, Cundinamarca, vereda La Concepción.</x:t>
  </x:si>
  <x:si>
    <x:t xml:space="preserve">COL441477</x:t>
  </x:si>
  <x:si>
    <x:t xml:space="preserve">vereda La Concepción.</x:t>
  </x:si>
  <x:si>
    <x:t xml:space="preserve">Murillo M.T. 430</x:t>
  </x:si>
  <x:si>
    <x:t xml:space="preserve">COL 90981</x:t>
  </x:si>
  <x:si>
    <x:t xml:space="preserve">Colombia, Cundinamarca, Sibaté, Bosques de San Miguel.</x:t>
  </x:si>
  <x:si>
    <x:t xml:space="preserve">El alto de San Miguel figura en la vereda El Peñón, Sibaté</x:t>
  </x:si>
  <x:si>
    <x:t xml:space="preserve">COL90981</x:t>
  </x:si>
  <x:si>
    <x:t xml:space="preserve">Sibaté</x:t>
  </x:si>
  <x:si>
    <x:t xml:space="preserve">Bosques de San Miguel.</x:t>
  </x:si>
  <x:si>
    <x:t xml:space="preserve">Wolfgang Hagemann &amp; Leist 1827</x:t>
  </x:si>
  <x:si>
    <x:t xml:space="preserve">COL 214242</x:t>
  </x:si>
  <x:si>
    <x:t xml:space="preserve">Colombia, Nariño, carretera La Vicoria-Monopamba, km 32 Motión.</x:t>
  </x:si>
  <x:si>
    <x:t xml:space="preserve">N 0°46'</x:t>
  </x:si>
  <x:si>
    <x:t xml:space="preserve">0°46' N</x:t>
  </x:si>
  <x:si>
    <x:t xml:space="preserve">W 77°07'</x:t>
  </x:si>
  <x:si>
    <x:t xml:space="preserve">77°07' W</x:t>
  </x:si>
  <x:si>
    <x:t xml:space="preserve">0°46' N, 77°07' W</x:t>
  </x:si>
  <x:si>
    <x:t xml:space="preserve">0.7666667</x:t>
  </x:si>
  <x:si>
    <x:t xml:space="preserve">-77.1166667</x:t>
  </x:si>
  <x:si>
    <x:t xml:space="preserve">0.7666667,-77.1166667</x:t>
  </x:si>
  <x:si>
    <x:t xml:space="preserve">COL214350</x:t>
  </x:si>
  <x:si>
    <x:t xml:space="preserve">carretera La Vicoria-Monopamba</x:t>
  </x:si>
  <x:si>
    <x:t xml:space="preserve">km 32 Motión.</x:t>
  </x:si>
  <x:si>
    <x:t xml:space="preserve">PSO 28181</x:t>
  </x:si>
  <x:si>
    <x:t xml:space="preserve">Killip E. P. &amp; A. C. Smith 19985</x:t>
  </x:si>
  <x:si>
    <x:t xml:space="preserve">COL 000336470</x:t>
  </x:si>
  <x:si>
    <x:t xml:space="preserve">Colombia, Norte de Santander, road from Pamplona to Toledo, crossings the divide betwen Río La Teja (Maracaibo drainage) and río Mesme (Orinoco drainage).</x:t>
  </x:si>
  <x:si>
    <x:t xml:space="preserve">2800-3000</x:t>
  </x:si>
  <x:si>
    <x:t xml:space="preserve">La quebrada La Teja se encuentra en Herrán, cerca de la frontera con Venezuela</x:t>
  </x:si>
  <x:si>
    <x:t xml:space="preserve">COL000336470</x:t>
  </x:si>
  <x:si>
    <x:t xml:space="preserve">road from Pamplona to Toledo</x:t>
  </x:si>
  <x:si>
    <x:t xml:space="preserve">crossings the divide betwen Río La Teja (Maracaibo drainage) and río Mesme (Orinoco drainage).</x:t>
  </x:si>
  <x:si>
    <x:t xml:space="preserve">Orozco C. I. et al., 1719</x:t>
  </x:si>
  <x:si>
    <x:t xml:space="preserve">COL 000335765</x:t>
  </x:si>
  <x:si>
    <x:t xml:space="preserve">Colombia, Norte de Santander, Herrán, Parque Nacional Natural Tamá, sector Orocue.</x:t>
  </x:si>
  <x:si>
    <x:t xml:space="preserve">Parque Nacional Natural Tamá, sector Orocue.</x:t>
  </x:si>
  <x:si>
    <x:t xml:space="preserve">Harker M.A. et  al., 226</x:t>
  </x:si>
  <x:si>
    <x:t xml:space="preserve">COL 0003335760</x:t>
  </x:si>
  <x:si>
    <x:t xml:space="preserve">Colombia, Norte de Santander, Herrán, Parque Nacional Natural Tamá, camino al Alto de la Piñuela</x:t>
  </x:si>
  <x:si>
    <x:t xml:space="preserve">No encontré el alto La Piñuela, usé el mismo punto del PNN Tamá</x:t>
  </x:si>
  <x:si>
    <x:t xml:space="preserve">Parque Nacional Natural Tamá, camino al Alto de la Piñuela</x:t>
  </x:si>
  <x:si>
    <x:t xml:space="preserve">Bristol M.L. 608</x:t>
  </x:si>
  <x:si>
    <x:t xml:space="preserve">Colombia, Putumayo, Valle del Sibundoy, 3km.n. Sibundoy.</x:t>
  </x:si>
  <x:si>
    <x:t xml:space="preserve">PSO28181</x:t>
  </x:si>
  <x:si>
    <x:t xml:space="preserve">3km.n. Sibundoy.</x:t>
  </x:si>
  <x:si>
    <x:t xml:space="preserve">COL 100596</x:t>
  </x:si>
  <x:si>
    <x:t xml:space="preserve">Vélez C. et al., 5031</x:t>
  </x:si>
  <x:si>
    <x:t xml:space="preserve">HUQ 14716</x:t>
  </x:si>
  <x:si>
    <x:t xml:space="preserve">Colombia, Quindío, Genova, vereda San Juan Alto, finca Caucasia, bosque intervenido, borde de camino.</x:t>
  </x:si>
  <x:si>
    <x:t xml:space="preserve">vereda San Juan Alto, finca Caucasia, bosque intervenido, borde de camino.</x:t>
  </x:si>
  <x:si>
    <x:t xml:space="preserve">Sanín D. et al., 4262</x:t>
  </x:si>
  <x:si>
    <x:t xml:space="preserve">N 5.124424</x:t>
  </x:si>
  <x:si>
    <x:t xml:space="preserve">5.124424 N</x:t>
  </x:si>
  <x:si>
    <x:t xml:space="preserve">5.124424 N, -76.0416654 W</x:t>
  </x:si>
  <x:si>
    <x:t xml:space="preserve">Sanín D. et al., 4303</x:t>
  </x:si>
  <x:si>
    <x:t xml:space="preserve">Arbelaez A.L. et al., 92</x:t>
  </x:si>
  <x:si>
    <x:t xml:space="preserve">HUA 41726</x:t>
  </x:si>
  <x:si>
    <x:t xml:space="preserve">Colombia, Sonsón, Páramo de Sonsón.</x:t>
  </x:si>
  <x:si>
    <x:t xml:space="preserve">Sanín D. &amp; E. Sanín 2732</x:t>
  </x:si>
  <x:si>
    <x:t xml:space="preserve">Colombia, Valle del Cauca, Calí, Parque Natural Los Farallones de Calí, Vereda Pance, Reserva Amor y Paz, vía a Balcones, zona de transición de Bosque Alto Andino-Páramo.</x:t>
  </x:si>
  <x:si>
    <x:t xml:space="preserve">Parque Natural Los Farallones de Calí, Vereda Pance, Reserva Amor y Paz, vía a Balcones, zona de transición de Bosque Alto Andino-Páramo.</x:t>
  </x:si>
  <x:si>
    <x:t xml:space="preserve">S. patentissimum (Mett. Ex Kunth)A.R. Sm.</x:t>
  </x:si>
  <x:si>
    <x:t xml:space="preserve">Serpocaulon patentissimum</x:t>
  </x:si>
  <x:si>
    <x:t xml:space="preserve">Acevedo P. et al. 1318  (HUA)</x:t>
  </x:si>
  <x:si>
    <x:t xml:space="preserve">Antioquia: Frontino, corregimiento Nutibara, Región Murrí, vía hacia la Blanquita, area de pastoreo.</x:t>
  </x:si>
  <x:si>
    <x:t xml:space="preserve">Trepador, 8 m de estensión</x:t>
  </x:si>
  <x:si>
    <x:t xml:space="preserve">La vía hacia la Blanquita en el corregimiento Nutibara, figura en la vereda El Pozo</x:t>
  </x:si>
  <x:si>
    <x:t xml:space="preserve">P_Acevedo1318</x:t>
  </x:si>
  <x:si>
    <x:t xml:space="preserve">Antioquia: Frontino</x:t>
  </x:si>
  <x:si>
    <x:t xml:space="preserve">corregimiento Nutibara</x:t>
  </x:si>
  <x:si>
    <x:t xml:space="preserve">Región Murrí, vía hacia la Blanquita, area de pastoreo.</x:t>
  </x:si>
  <x:si>
    <x:t xml:space="preserve">A. L. Arbelaez et al. 325 (HUA)</x:t>
  </x:si>
  <x:si>
    <x:t xml:space="preserve">Antioquia: Frontino, corregimiento La Blanquita, 14.6 km al oeste de Nutibara, colecciones hechas 4-7 km del alto de Cuevas a la Blanquita,</x:t>
  </x:si>
  <x:si>
    <x:t xml:space="preserve"> 1350-1450</x:t>
  </x:si>
  <x:si>
    <x:t xml:space="preserve">06°40' N</x:t>
  </x:si>
  <x:si>
    <x:t xml:space="preserve">76°15' W</x:t>
  </x:si>
  <x:si>
    <x:t xml:space="preserve">06°40' N, 76°15' W</x:t>
  </x:si>
  <x:si>
    <x:t xml:space="preserve">6.6666667</x:t>
  </x:si>
  <x:si>
    <x:t xml:space="preserve">-76.25</x:t>
  </x:si>
  <x:si>
    <x:t xml:space="preserve">6.6666667,-76.25</x:t>
  </x:si>
  <x:si>
    <x:t xml:space="preserve">A_ Arbelaez325</x:t>
  </x:si>
  <x:si>
    <x:t xml:space="preserve">corregimiento La Blanquita</x:t>
  </x:si>
  <x:si>
    <x:t xml:space="preserve">14.6 km al oeste de Nutibara, colecciones hechas 4-7 km del alto de Cuevas a la Blanquita, </x:t>
  </x:si>
  <x:si>
    <x:t xml:space="preserve">B.R. Rámirez-P. 3379 (PSO)</x:t>
  </x:si>
  <x:si>
    <x:t xml:space="preserve">Nariño: Barbacoas, km 1, El Mirador-Junín.</x:t>
  </x:si>
  <x:si>
    <x:t xml:space="preserve">Nariño: Barbacoas</x:t>
  </x:si>
  <x:si>
    <x:t xml:space="preserve">km 1</x:t>
  </x:si>
  <x:si>
    <x:t xml:space="preserve">El Mirador-Junín.</x:t>
  </x:si>
  <x:si>
    <x:t xml:space="preserve">J. Bittner 2473 (PSO)</x:t>
  </x:si>
  <x:si>
    <x:t xml:space="preserve">Nariño: reserva Natural la Planada, sendero el Hondon SW of the science center.</x:t>
  </x:si>
  <x:si>
    <x:t xml:space="preserve">1850-1950</x:t>
  </x:si>
  <x:si>
    <x:t xml:space="preserve">01°09'37" N</x:t>
  </x:si>
  <x:si>
    <x:t xml:space="preserve">77°59'13" W</x:t>
  </x:si>
  <x:si>
    <x:t xml:space="preserve">01°09'37" N, 77°59'13" W</x:t>
  </x:si>
  <x:si>
    <x:t xml:space="preserve">1.1602778</x:t>
  </x:si>
  <x:si>
    <x:t xml:space="preserve">-77.9869444</x:t>
  </x:si>
  <x:si>
    <x:t xml:space="preserve">1.1602778,-77.9869444</x:t>
  </x:si>
  <x:si>
    <x:t xml:space="preserve">Nariño: reserva Natural la Planada</x:t>
  </x:si>
  <x:si>
    <x:t xml:space="preserve">sendero el Hondon SW of the science center.</x:t>
  </x:si>
  <x:si>
    <x:t xml:space="preserve">Herrera G. 9140 (PSO) </x:t>
  </x:si>
  <x:si>
    <x:t xml:space="preserve">Nariño: reserva Natural la Planada, sendero  el Rondon cerca 2 km del Centro de Investigación.</x:t>
  </x:si>
  <x:si>
    <x:t xml:space="preserve">01°09'55" N</x:t>
  </x:si>
  <x:si>
    <x:t xml:space="preserve">77°58'44" W</x:t>
  </x:si>
  <x:si>
    <x:t xml:space="preserve">01°09'55" N, 77°58'44" W</x:t>
  </x:si>
  <x:si>
    <x:t xml:space="preserve">1.1652778</x:t>
  </x:si>
  <x:si>
    <x:t xml:space="preserve">-77.9788889</x:t>
  </x:si>
  <x:si>
    <x:t xml:space="preserve">1.1652778,-77.9788889</x:t>
  </x:si>
  <x:si>
    <x:t xml:space="preserve">sendero  el Rondon cerca 2 km del Centro de Investigación.</x:t>
  </x:si>
  <x:si>
    <x:t xml:space="preserve">Herrera G.  9272 (PSO) </x:t>
  </x:si>
  <x:si>
    <x:t xml:space="preserve">Nariño: reserva Natural la Planada, sendero entre el Hondon y los Horquetas, Bosque primario.</x:t>
  </x:si>
  <x:si>
    <x:t xml:space="preserve">sendero entre el Hondon y los Horquetas</x:t>
  </x:si>
  <x:si>
    <x:t xml:space="preserve">Bosque primario.</x:t>
  </x:si>
  <x:si>
    <x:t xml:space="preserve">O.de Benavides 9711 (PSO)</x:t>
  </x:si>
  <x:si>
    <x:t xml:space="preserve">Nariño: Reserva Natural la Planada.Reservas El Mar y la Calladita.</x:t>
  </x:si>
  <x:si>
    <x:t xml:space="preserve">Trepadora</x:t>
  </x:si>
  <x:si>
    <x:t xml:space="preserve">O.de Benavides 9294 (PSO)</x:t>
  </x:si>
  <x:si>
    <x:t xml:space="preserve">Nariño: Ricaurte, trayecto San Isidro-La Planada.</x:t>
  </x:si>
  <x:si>
    <x:t xml:space="preserve">Nariño: Ricaurte</x:t>
  </x:si>
  <x:si>
    <x:t xml:space="preserve">trayecto San Isidro-La Planada.</x:t>
  </x:si>
  <x:si>
    <x:t xml:space="preserve">T.B. Croat 71573 (PSO)</x:t>
  </x:si>
  <x:si>
    <x:t xml:space="preserve">Nariño: Ricaurte, vicinity Ricaurte; along Río Imbí, ca 2-3 km above Ecopetrol campamento Palmar, located 3 km of Ricaurte, along trail to Ramos (indigenous settlement).</x:t>
  </x:si>
  <x:si>
    <x:t xml:space="preserve">He, reptante</x:t>
  </x:si>
  <x:si>
    <x:t xml:space="preserve">vicinity Ricaurte; along Río Imbí</x:t>
  </x:si>
  <x:si>
    <x:t xml:space="preserve">ca 2-3 km above Ecopetrol campamento Palmar, located 3 km of Ricaurte, along trail to Ramos (indigenous settlement).</x:t>
  </x:si>
  <x:si>
    <x:t xml:space="preserve">T.B. Croat 71437 (PSO)</x:t>
  </x:si>
  <x:si>
    <x:t xml:space="preserve">Nariño: Vicinity of "Palmar", in valley of río Imbi, 3 km NW of Ricaurte (along road between Pasto and Tumaco), ca 1 km E of Texas Gulf Pipeline Maintainence Station, along slopes above Río Imbii</x:t>
  </x:si>
  <x:si>
    <x:t xml:space="preserve">Epifito, reptante</x:t>
  </x:si>
  <x:si>
    <x:t xml:space="preserve">Nariño: Vicinity of "Palmar"</x:t>
  </x:si>
  <x:si>
    <x:t xml:space="preserve">in valley of río Imbi</x:t>
  </x:si>
  <x:si>
    <x:t xml:space="preserve">3 km NW of Ricaurte (along road between Pasto and Tumaco), ca 1 km E of Texas Gulf Pipeline Maintainence Station, along slopes above Río Imbii</x:t>
  </x:si>
  <x:si>
    <x:t xml:space="preserve">T.B. Croat &amp; J.F. Gaskin 80188 (CUVC)</x:t>
  </x:si>
  <x:si>
    <x:t xml:space="preserve">Valle del Cauca, Along road to Dapa from main Cali-Buenaventura Higway. </x:t>
  </x:si>
  <x:si>
    <x:t xml:space="preserve">03°32'10" N</x:t>
  </x:si>
  <x:si>
    <x:t xml:space="preserve">76°36'37" W</x:t>
  </x:si>
  <x:si>
    <x:t xml:space="preserve">03°32'10" N, 76°36'37" W</x:t>
  </x:si>
  <x:si>
    <x:t xml:space="preserve">3.5361111</x:t>
  </x:si>
  <x:si>
    <x:t xml:space="preserve">-76.6102778</x:t>
  </x:si>
  <x:si>
    <x:t xml:space="preserve">3.5361111,-76.6102778</x:t>
  </x:si>
  <x:si>
    <x:t xml:space="preserve">Along road to Dapa from main Cali-Buenaventura Higway.</x:t>
  </x:si>
  <x:si>
    <x:t xml:space="preserve">S. polystichum (Link) A.R.Sm.</x:t>
  </x:si>
  <x:si>
    <x:t xml:space="preserve">Serpocaulon polystichum</x:t>
  </x:si>
  <x:si>
    <x:t xml:space="preserve">Rodríguez et al. 5089</x:t>
  </x:si>
  <x:si>
    <x:t xml:space="preserve">Colombia, Antioquia, Angelópolis, Sector Bocatoma acueducto, Quebrada Las Animas</x:t>
  </x:si>
  <x:si>
    <x:t xml:space="preserve">6°6'55"N</x:t>
  </x:si>
  <x:si>
    <x:t xml:space="preserve">75°41'16"W</x:t>
  </x:si>
  <x:si>
    <x:t xml:space="preserve">6°6'55"N, 75°41'16"W</x:t>
  </x:si>
  <x:si>
    <x:t xml:space="preserve">6.1152778</x:t>
  </x:si>
  <x:si>
    <x:t xml:space="preserve">-75.6877778</x:t>
  </x:si>
  <x:si>
    <x:t xml:space="preserve">6.1152778, -75.6877778</x:t>
  </x:si>
  <x:si>
    <x:t xml:space="preserve">2684,830</x:t>
  </x:si>
  <x:si>
    <x:t xml:space="preserve">Rodríguez5089</x:t>
  </x:si>
  <x:si>
    <x:t xml:space="preserve">Barbosa 10033</x:t>
  </x:si>
  <x:si>
    <x:t xml:space="preserve">FMB</x:t>
  </x:si>
  <x:si>
    <x:t xml:space="preserve">Caldas, Samaná, cruce camino a Florencia con Carretera a Pueblo Nuevo, con 24 de Pensilvania</x:t>
  </x:si>
  <x:si>
    <x:t xml:space="preserve">5°30'8"N</x:t>
  </x:si>
  <x:si>
    <x:t xml:space="preserve">75°7'33"W</x:t>
  </x:si>
  <x:si>
    <x:t xml:space="preserve">5°30'8"N, 75°7'33"W</x:t>
  </x:si>
  <x:si>
    <x:t xml:space="preserve">5.5022222, -75.1258333</x:t>
  </x:si>
  <x:si>
    <x:t xml:space="preserve">1060,914</x:t>
  </x:si>
  <x:si>
    <x:t xml:space="preserve">Barbosa_10033</x:t>
  </x:si>
  <x:si>
    <x:t xml:space="preserve">Franco et al. 1628</x:t>
  </x:si>
  <x:si>
    <x:t xml:space="preserve">COL</x:t>
  </x:si>
  <x:si>
    <x:t xml:space="preserve">Chocó, San José del Palmar, vereda El Corcovado, Finca Ayaconas</x:t>
  </x:si>
  <x:si>
    <x:t xml:space="preserve">Alba L. Arbeláez et al. 534</x:t>
  </x:si>
  <x:si>
    <x:t xml:space="preserve">MO 6349160</x:t>
  </x:si>
  <x:si>
    <x:t xml:space="preserve">Magdalena, Vereda La tagua, sitio Filo Cartagena. Colecciones realizadas entre la vereda La Tagua y Filo Cartagena.</x:t>
  </x:si>
  <x:si>
    <x:t xml:space="preserve">900-1545</x:t>
  </x:si>
  <x:si>
    <x:t xml:space="preserve">Lellinger &amp; de la Sota 856</x:t>
  </x:si>
  <x:si>
    <x:t xml:space="preserve">Valle del Cauca, at both sides of the principal ridge of the Serrania de los Paraguas, along trail from El Cairo to río Blanco, ca. 8 km SW of El Cairo</x:t>
  </x:si>
  <x:si>
    <x:t xml:space="preserve">Bischler 2144</x:t>
  </x:si>
  <x:si>
    <x:t xml:space="preserve">Santander, Sarare, Alto el Mirador</x:t>
  </x:si>
  <x:si>
    <x:t xml:space="preserve">1800-2100</x:t>
  </x:si>
  <x:si>
    <x:t xml:space="preserve">7°8'21"N</x:t>
  </x:si>
  <x:si>
    <x:t xml:space="preserve">72°15'46"W</x:t>
  </x:si>
  <x:si>
    <x:t xml:space="preserve">7°8'21"N, 72°15'46"W</x:t>
  </x:si>
  <x:si>
    <x:t xml:space="preserve">7.1391667</x:t>
  </x:si>
  <x:si>
    <x:t xml:space="preserve">-72.2627778</x:t>
  </x:si>
  <x:si>
    <x:t xml:space="preserve">7.1391667, -72.2627778</x:t>
  </x:si>
  <x:si>
    <x:t xml:space="preserve">8019,447</x:t>
  </x:si>
  <x:si>
    <x:t xml:space="preserve">Montero &amp; Gamboa 22</x:t>
  </x:si>
  <x:si>
    <x:t xml:space="preserve">Valle del Cauca, Cali, vereda Pico de Águila</x:t>
  </x:si>
  <x:si>
    <x:t xml:space="preserve">S. psychotrium (Sodiro) A. R. Sm.</x:t>
  </x:si>
  <x:si>
    <x:t xml:space="preserve">Serpocaulon psychotrium</x:t>
  </x:si>
  <x:si>
    <x:t xml:space="preserve">Alfonso R. &amp; E. Ayarze 421</x:t>
  </x:si>
  <x:si>
    <x:t xml:space="preserve">COL 000335834</x:t>
  </x:si>
  <x:si>
    <x:t xml:space="preserve">Colombia, Amazonas, Peña Roja, Isla Sumaeta, llanura aluvial del río Caquetá.</x:t>
  </x:si>
  <x:si>
    <x:t xml:space="preserve">COL335834</x:t>
  </x:si>
  <x:si>
    <x:t xml:space="preserve">Peña Roja</x:t>
  </x:si>
  <x:si>
    <x:t xml:space="preserve">Isla Sumaeta, llanura aluvial del río Caquetá.</x:t>
  </x:si>
  <x:si>
    <x:t xml:space="preserve">COL 000335804</x:t>
  </x:si>
  <x:si>
    <x:t xml:space="preserve">COL 000335803</x:t>
  </x:si>
  <x:si>
    <x:t xml:space="preserve">Orozco C.I. et al., 369</x:t>
  </x:si>
  <x:si>
    <x:t xml:space="preserve">COL 401218</x:t>
  </x:si>
  <x:si>
    <x:t xml:space="preserve">Colombia, Antioquia, San Rafael, vereda Bizcocho, finca La Selva.</x:t>
  </x:si>
  <x:si>
    <x:t xml:space="preserve">COL401218</x:t>
  </x:si>
  <x:si>
    <x:t xml:space="preserve">San Rafael</x:t>
  </x:si>
  <x:si>
    <x:t xml:space="preserve">vereda Bizcocho, finca La Selva.</x:t>
  </x:si>
  <x:si>
    <x:t xml:space="preserve">COL 401435</x:t>
  </x:si>
  <x:si>
    <x:t xml:space="preserve">COL 438311</x:t>
  </x:si>
  <x:si>
    <x:t xml:space="preserve">MacDougal J.M. &amp; J. Betancur 4088</x:t>
  </x:si>
  <x:si>
    <x:t xml:space="preserve">HUA 62851</x:t>
  </x:si>
  <x:si>
    <x:t xml:space="preserve">Colombia, Antioquia, Amalfí, entre Amalfí y Medellín, 13,5 km SW de Amalfí, bosque de Roble, bosque primario perturbado.</x:t>
  </x:si>
  <x:si>
    <x:t xml:space="preserve">06°54' N</x:t>
  </x:si>
  <x:si>
    <x:t xml:space="preserve">75°06'</x:t>
  </x:si>
  <x:si>
    <x:t xml:space="preserve">75°06' W</x:t>
  </x:si>
  <x:si>
    <x:t xml:space="preserve">06°54' N, 75°06' W</x:t>
  </x:si>
  <x:si>
    <x:t xml:space="preserve">6.9</x:t>
  </x:si>
  <x:si>
    <x:t xml:space="preserve">-75.1</x:t>
  </x:si>
  <x:si>
    <x:t xml:space="preserve">6.9,-75.1</x:t>
  </x:si>
  <x:si>
    <x:t xml:space="preserve">Amalfí</x:t>
  </x:si>
  <x:si>
    <x:t xml:space="preserve">entre Amalfí y Medellín, 13, 5 km SW de Amalfí, bosque de Roble, bosque primario perturbado.</x:t>
  </x:si>
  <x:si>
    <x:t xml:space="preserve">HUA 62852</x:t>
  </x:si>
  <x:si>
    <x:t xml:space="preserve">HUA 62853</x:t>
  </x:si>
  <x:si>
    <x:t xml:space="preserve">Contreras N. &amp; D. L. Echeverri 330</x:t>
  </x:si>
  <x:si>
    <x:t xml:space="preserve">HUA 71327</x:t>
  </x:si>
  <x:si>
    <x:t xml:space="preserve">Colombia, Antioquia, Guatapé, Vereda Santa Rita, Finca Montepinar. </x:t>
  </x:si>
  <x:si>
    <x:t xml:space="preserve">75°10'</x:t>
  </x:si>
  <x:si>
    <x:t xml:space="preserve">Vereda Santa Rita, Finca Montepinar.</x:t>
  </x:si>
  <x:si>
    <x:t xml:space="preserve">Giraldo-Cañas D. A. 71</x:t>
  </x:si>
  <x:si>
    <x:t xml:space="preserve">HUA 76316</x:t>
  </x:si>
  <x:si>
    <x:t xml:space="preserve">Colombia, Antioquia, Cocorná, vereda La Piñuela, Carretera a San Francisco.</x:t>
  </x:si>
  <x:si>
    <x:t xml:space="preserve">1000-1500</x:t>
  </x:si>
  <x:si>
    <x:t xml:space="preserve">75°08'</x:t>
  </x:si>
  <x:si>
    <x:t xml:space="preserve">vereda La Piñuela, Carretera a San Francisco.</x:t>
  </x:si>
  <x:si>
    <x:t xml:space="preserve">HUA 76317</x:t>
  </x:si>
  <x:si>
    <x:t xml:space="preserve">Echeverry D. L. 504</x:t>
  </x:si>
  <x:si>
    <x:t xml:space="preserve">HUA 76611</x:t>
  </x:si>
  <x:si>
    <x:t xml:space="preserve">Colombia, Antioquia, Barbosa, vereda La Pradera.</x:t>
  </x:si>
  <x:si>
    <x:t xml:space="preserve">N 06°30'</x:t>
  </x:si>
  <x:si>
    <x:t xml:space="preserve">06°30' N</x:t>
  </x:si>
  <x:si>
    <x:t xml:space="preserve">06°30' N, 75°18' W</x:t>
  </x:si>
  <x:si>
    <x:t xml:space="preserve">6.5,-75.3</x:t>
  </x:si>
  <x:si>
    <x:t xml:space="preserve">vereda La Pradera.</x:t>
  </x:si>
  <x:si>
    <x:t xml:space="preserve">Echeverri-B. D.L. 504</x:t>
  </x:si>
  <x:si>
    <x:t xml:space="preserve">HUA 81456</x:t>
  </x:si>
  <x:si>
    <x:t xml:space="preserve">Rivas A. et al., 56</x:t>
  </x:si>
  <x:si>
    <x:t xml:space="preserve">HUA 124804</x:t>
  </x:si>
  <x:si>
    <x:t xml:space="preserve">Colombia, Antioquia, Amalfí, Area de influencia del Proyecto hidroelectrico Porce II, Bosque Tenche, vía Medellin Amalfi</x:t>
  </x:si>
  <x:si>
    <x:t xml:space="preserve">6°47' N</x:t>
  </x:si>
  <x:si>
    <x:t xml:space="preserve">6°47' N, 75°08' W</x:t>
  </x:si>
  <x:si>
    <x:t xml:space="preserve">6.7833333</x:t>
  </x:si>
  <x:si>
    <x:t xml:space="preserve">6.7833333,-75.1333333</x:t>
  </x:si>
  <x:si>
    <x:t xml:space="preserve">HUA124804</x:t>
  </x:si>
  <x:si>
    <x:t xml:space="preserve">Area de influencia del Proyecto hidroelectrico Porce II, Bosque Tenche, vía Medellin Amalfi</x:t>
  </x:si>
  <x:si>
    <x:t xml:space="preserve">Velazquez C. et al.,1705</x:t>
  </x:si>
  <x:si>
    <x:t xml:space="preserve">HUA 159550</x:t>
  </x:si>
  <x:si>
    <x:t xml:space="preserve">Colombia, Antioquia, Barbosa, vereda Dos Quebradas, hoya de Dos Quebradas, borde de quebrada.</x:t>
  </x:si>
  <x:si>
    <x:t xml:space="preserve">N 06°26'40.2"</x:t>
  </x:si>
  <x:si>
    <x:t xml:space="preserve">06°26'40.2" N</x:t>
  </x:si>
  <x:si>
    <x:t xml:space="preserve">W 75°12'55.1"</x:t>
  </x:si>
  <x:si>
    <x:t xml:space="preserve">75°12'55.1" W</x:t>
  </x:si>
  <x:si>
    <x:t xml:space="preserve">06°26'40.2" N, 75°12'55.1" W</x:t>
  </x:si>
  <x:si>
    <x:t xml:space="preserve">6.4445</x:t>
  </x:si>
  <x:si>
    <x:t xml:space="preserve">-75.2153056</x:t>
  </x:si>
  <x:si>
    <x:t xml:space="preserve">6.4445,-75.2153056</x:t>
  </x:si>
  <x:si>
    <x:t xml:space="preserve">HUA159550</x:t>
  </x:si>
  <x:si>
    <x:t xml:space="preserve">vereda Dos Quebradas, hoya de Dos Quebradas, borde de quebrada.</x:t>
  </x:si>
  <x:si>
    <x:t xml:space="preserve">HUA 159552</x:t>
  </x:si>
  <x:si>
    <x:t xml:space="preserve">HUA 159551</x:t>
  </x:si>
  <x:si>
    <x:t xml:space="preserve">Roldán F.J. et al., 3396</x:t>
  </x:si>
  <x:si>
    <x:t xml:space="preserve">HUA 122343</x:t>
  </x:si>
  <x:si>
    <x:t xml:space="preserve">Colombia, Antioquia, Amalfí, zona central hidroelectrica Porce II Fragmento Tenche.</x:t>
  </x:si>
  <x:si>
    <x:t xml:space="preserve">06°47' N</x:t>
  </x:si>
  <x:si>
    <x:t xml:space="preserve">06°47' N, 75°08' W</x:t>
  </x:si>
  <x:si>
    <x:t xml:space="preserve">zona central hidroelectrica Porce II Fragmento Tenche.</x:t>
  </x:si>
  <x:si>
    <x:t xml:space="preserve">HUA 122344</x:t>
  </x:si>
  <x:si>
    <x:t xml:space="preserve">Rodríguez W. et al., 4138</x:t>
  </x:si>
  <x:si>
    <x:t xml:space="preserve">HUA 142007</x:t>
  </x:si>
  <x:si>
    <x:t xml:space="preserve">Colombia, Antioquia, Anorí, vereda Santa Gertrudis, finca La Estrella, quebrada que surte de agua la casa.</x:t>
  </x:si>
  <x:si>
    <x:t xml:space="preserve">vereda Santa Gertrudis, finca La Estrella, quebrada que surte de agua la casa.</x:t>
  </x:si>
  <x:si>
    <x:t xml:space="preserve">HUA 142008</x:t>
  </x:si>
  <x:si>
    <x:t xml:space="preserve">Jaramillo-Mejía R. et al., 3602</x:t>
  </x:si>
  <x:si>
    <x:t xml:space="preserve">COL 000335815</x:t>
  </x:si>
  <x:si>
    <x:t xml:space="preserve">Colombia, Boyacá, Pauna, carretera Pauna-Borbur.</x:t>
  </x:si>
  <x:si>
    <x:t xml:space="preserve">COL000335815</x:t>
  </x:si>
  <x:si>
    <x:t xml:space="preserve">Pauna</x:t>
  </x:si>
  <x:si>
    <x:t xml:space="preserve">carretera Pauna-Borbur.</x:t>
  </x:si>
  <x:si>
    <x:t xml:space="preserve">Palacios P. et al., 2738</x:t>
  </x:si>
  <x:si>
    <x:t xml:space="preserve">COL 000222314</x:t>
  </x:si>
  <x:si>
    <x:t xml:space="preserve">Colombia, Caqueta, Sierra de Chiribiquete, cerca del Campamento Base.</x:t>
  </x:si>
  <x:si>
    <x:t xml:space="preserve">N 0°56'15"</x:t>
  </x:si>
  <x:si>
    <x:t xml:space="preserve">0°56'15" N</x:t>
  </x:si>
  <x:si>
    <x:t xml:space="preserve">W 72°42'06"</x:t>
  </x:si>
  <x:si>
    <x:t xml:space="preserve">72°42'06" W</x:t>
  </x:si>
  <x:si>
    <x:t xml:space="preserve">0°56'15" N, 72°42'06" W</x:t>
  </x:si>
  <x:si>
    <x:t xml:space="preserve">0.9375</x:t>
  </x:si>
  <x:si>
    <x:t xml:space="preserve">-72.7016667</x:t>
  </x:si>
  <x:si>
    <x:t xml:space="preserve">0.9375,-72.7016667</x:t>
  </x:si>
  <x:si>
    <x:t xml:space="preserve">Sierra de Chiribiquete</x:t>
  </x:si>
  <x:si>
    <x:t xml:space="preserve">cerca del Campamento Base.</x:t>
  </x:si>
  <x:si>
    <x:t xml:space="preserve">Palacios P. et al., 2737</x:t>
  </x:si>
  <x:si>
    <x:t xml:space="preserve">COL 000335797</x:t>
  </x:si>
  <x:si>
    <x:t xml:space="preserve">Rangel-Ch. J.O. et al., 12534</x:t>
  </x:si>
  <x:si>
    <x:t xml:space="preserve">COL 000335818</x:t>
  </x:si>
  <x:si>
    <x:t xml:space="preserve">Colombia, Cesar, Agustin Cadazzi, Serrania del Perijá, vereda El Milagro, Finca de Miguel San Juan.</x:t>
  </x:si>
  <x:si>
    <x:t xml:space="preserve">N 10°03'</x:t>
  </x:si>
  <x:si>
    <x:t xml:space="preserve">10°03' N</x:t>
  </x:si>
  <x:si>
    <x:t xml:space="preserve">W 73°03'</x:t>
  </x:si>
  <x:si>
    <x:t xml:space="preserve">73°03' W</x:t>
  </x:si>
  <x:si>
    <x:t xml:space="preserve">10°03' N, 73°03' W</x:t>
  </x:si>
  <x:si>
    <x:t xml:space="preserve">10.05</x:t>
  </x:si>
  <x:si>
    <x:t xml:space="preserve">-73.05</x:t>
  </x:si>
  <x:si>
    <x:t xml:space="preserve">10.05,-73.05</x:t>
  </x:si>
  <x:si>
    <x:t xml:space="preserve">Agustin Cadazzi</x:t>
  </x:si>
  <x:si>
    <x:t xml:space="preserve">Serrania del Perijá, vereda El Milagro, Finca de Miguel San Juan.</x:t>
  </x:si>
  <x:si>
    <x:t xml:space="preserve">Rangel-Ch. J.O. et al., 12551</x:t>
  </x:si>
  <x:si>
    <x:t xml:space="preserve">COL 000335816</x:t>
  </x:si>
  <x:si>
    <x:t xml:space="preserve">Jaramillo-Mejía R. &amp; T. van der Hammen 4795</x:t>
  </x:si>
  <x:si>
    <x:t xml:space="preserve">COL 000335799</x:t>
  </x:si>
  <x:si>
    <x:t xml:space="preserve">Colombia, Cundinamarca, carretera arriba de Sasaima, hacienda La Isabela.</x:t>
  </x:si>
  <x:si>
    <x:t xml:space="preserve">hacienda La Isabela.</x:t>
  </x:si>
  <x:si>
    <x:t xml:space="preserve">Acosta-Arteaga C.E 218</x:t>
  </x:si>
  <x:si>
    <x:t xml:space="preserve">COL 000335811</x:t>
  </x:si>
  <x:si>
    <x:t xml:space="preserve">Colombia, Cundinamarca, Sasaima, km 66.</x:t>
  </x:si>
  <x:si>
    <x:t xml:space="preserve">COL000335811</x:t>
  </x:si>
  <x:si>
    <x:t xml:space="preserve">km 66.</x:t>
  </x:si>
  <x:si>
    <x:t xml:space="preserve">Sarmiento F. &amp; M.T. Murillo 406</x:t>
  </x:si>
  <x:si>
    <x:t xml:space="preserve">COL 000335801</x:t>
  </x:si>
  <x:si>
    <x:t xml:space="preserve">Colombia, Cundinamarca, km 68 de la carretera Bogotá-Villavicencio.</x:t>
  </x:si>
  <x:si>
    <x:t xml:space="preserve">COL000335801</x:t>
  </x:si>
  <x:si>
    <x:t xml:space="preserve">km 68 de la carretera Bogotá-Villavicencio.</x:t>
  </x:si>
  <x:si>
    <x:t xml:space="preserve">Lozano G. et al., 7695</x:t>
  </x:si>
  <x:si>
    <x:t xml:space="preserve">COL 000335820</x:t>
  </x:si>
  <x:si>
    <x:t xml:space="preserve">Colombia, Cundinamarca, Yacopí, vereda La Laguna, inspección de policía de Guadualito.</x:t>
  </x:si>
  <x:si>
    <x:t xml:space="preserve">COL000335820</x:t>
  </x:si>
  <x:si>
    <x:t xml:space="preserve">Yacopí</x:t>
  </x:si>
  <x:si>
    <x:t xml:space="preserve">vereda La Laguna, inspección de policía de Guadualito.</x:t>
  </x:si>
  <x:si>
    <x:t xml:space="preserve">Marulanda O &amp; S. Márquez 1865</x:t>
  </x:si>
  <x:si>
    <x:t xml:space="preserve">HUA 89506</x:t>
  </x:si>
  <x:si>
    <x:t xml:space="preserve">Colombia, Guaviare, San José del Guaviare, confluencia Caño Perdido-Río Losada.</x:t>
  </x:si>
  <x:si>
    <x:t xml:space="preserve">N 02°11'</x:t>
  </x:si>
  <x:si>
    <x:t xml:space="preserve">02°11' N</x:t>
  </x:si>
  <x:si>
    <x:t xml:space="preserve">W 74°3'</x:t>
  </x:si>
  <x:si>
    <x:t xml:space="preserve">74°3' W</x:t>
  </x:si>
  <x:si>
    <x:t xml:space="preserve">02°11' N, 74°3' W</x:t>
  </x:si>
  <x:si>
    <x:t xml:space="preserve">2.1833333</x:t>
  </x:si>
  <x:si>
    <x:t xml:space="preserve">-74.05</x:t>
  </x:si>
  <x:si>
    <x:t xml:space="preserve">2.1833333,-74.05</x:t>
  </x:si>
  <x:si>
    <x:t xml:space="preserve">Guaviare</x:t>
  </x:si>
  <x:si>
    <x:t xml:space="preserve">San José del Guaviare</x:t>
  </x:si>
  <x:si>
    <x:t xml:space="preserve">confluencia Caño Perdido-Río Losada.</x:t>
  </x:si>
  <x:si>
    <x:t xml:space="preserve">Llanos F. et al., 2375</x:t>
  </x:si>
  <x:si>
    <x:t xml:space="preserve">COL 453556</x:t>
  </x:si>
  <x:si>
    <x:t xml:space="preserve">Colombia, Huila, Rivera, vereda Honda Alta.</x:t>
  </x:si>
  <x:si>
    <x:t xml:space="preserve">1370-1550</x:t>
  </x:si>
  <x:si>
    <x:t xml:space="preserve">vereda Honda Alta.</x:t>
  </x:si>
  <x:si>
    <x:t xml:space="preserve">FMB 81247</x:t>
  </x:si>
  <x:si>
    <x:t xml:space="preserve">Colombia, Huila, Pitalito, vereda El triunfo, finca El Pedregal, 300 m arriba d ela casa de doña Isabel Chaus, entrando 10 m desde el borde donde colinda con un cafetal.</x:t>
  </x:si>
  <x:si>
    <x:t xml:space="preserve">N 01°48'32.4"</x:t>
  </x:si>
  <x:si>
    <x:t xml:space="preserve">01°48'32.4" N</x:t>
  </x:si>
  <x:si>
    <x:t xml:space="preserve">W 76°0'59.4"</x:t>
  </x:si>
  <x:si>
    <x:t xml:space="preserve">76°0'59.4" W</x:t>
  </x:si>
  <x:si>
    <x:t xml:space="preserve">01°48'32.4" N, 76°0'59.4" W</x:t>
  </x:si>
  <x:si>
    <x:t xml:space="preserve">vereda El triunfo, finca El Pedregal, 300 m arriba d ela casa de doña Isabel Chaus, entrando 10 m desde el borde donde colinda con un cafetal.</x:t>
  </x:si>
  <x:si>
    <x:t xml:space="preserve">FMB 88061</x:t>
  </x:si>
  <x:si>
    <x:t xml:space="preserve">Colombia, Huila, Palestina, vereda Santa Bárbara, finca La Esperanza, bajando 10 m por la ladera de la montaña hacia el río Guarapas.</x:t>
  </x:si>
  <x:si>
    <x:t xml:space="preserve">N 01°43'42.5"</x:t>
  </x:si>
  <x:si>
    <x:t xml:space="preserve">01°43'42.5" N</x:t>
  </x:si>
  <x:si>
    <x:t xml:space="preserve">W 76°6'54.8"</x:t>
  </x:si>
  <x:si>
    <x:t xml:space="preserve">76°6'54.8" W</x:t>
  </x:si>
  <x:si>
    <x:t xml:space="preserve">01°43'42.5" N, 76°6'54.8" W</x:t>
  </x:si>
  <x:si>
    <x:t xml:space="preserve">1.7284722</x:t>
  </x:si>
  <x:si>
    <x:t xml:space="preserve">-76.1152222</x:t>
  </x:si>
  <x:si>
    <x:t xml:space="preserve">1.7284722,-76.1152222</x:t>
  </x:si>
  <x:si>
    <x:t xml:space="preserve">Palestina</x:t>
  </x:si>
  <x:si>
    <x:t xml:space="preserve">vereda Santa Bárbara, finca La Esperanza, bajando 10 m por la ladera de la montaña hacia el río Guarapas.</x:t>
  </x:si>
  <x:si>
    <x:t xml:space="preserve">S. ptilorhizon (H. Christ.) A.R. Sm.</x:t>
  </x:si>
  <x:si>
    <x:t xml:space="preserve">Serpocaulon ptilorhizon</x:t>
  </x:si>
  <x:si>
    <x:t xml:space="preserve">Aguirre-C. J. 752</x:t>
  </x:si>
  <x:si>
    <x:t xml:space="preserve">COL 324447</x:t>
  </x:si>
  <x:si>
    <x:t xml:space="preserve">Colombia, Antioquia, Medellín, Piedras Blancas, en bosques de Quercus.</x:t>
  </x:si>
  <x:si>
    <x:t xml:space="preserve">W75°29'</x:t>
  </x:si>
  <x:si>
    <x:t xml:space="preserve">5°29' W</x:t>
  </x:si>
  <x:si>
    <x:t xml:space="preserve">06°18' N, 5°29' W</x:t>
  </x:si>
  <x:si>
    <x:t xml:space="preserve">-5.4833333</x:t>
  </x:si>
  <x:si>
    <x:t xml:space="preserve">6.3,-5.4833333</x:t>
  </x:si>
  <x:si>
    <x:t xml:space="preserve">Piedras Blancas, en bosques de Quercus.</x:t>
  </x:si>
  <x:si>
    <x:t xml:space="preserve">COL 324449</x:t>
  </x:si>
  <x:si>
    <x:t xml:space="preserve">Echeverri-B. D.L. 70a</x:t>
  </x:si>
  <x:si>
    <x:t xml:space="preserve">HUA 38855</x:t>
  </x:si>
  <x:si>
    <x:t xml:space="preserve">Colombia, Antioquia, Guatapé, vereda Santa Rita, bosque pluvial.</x:t>
  </x:si>
  <x:si>
    <x:t xml:space="preserve">W 75°10</x:t>
  </x:si>
  <x:si>
    <x:t xml:space="preserve">06°16' N, 75°10 W</x:t>
  </x:si>
  <x:si>
    <x:t xml:space="preserve">6.2666667,-75.1666667</x:t>
  </x:si>
  <x:si>
    <x:t xml:space="preserve">vereda Santa Rita, bosque pluvial.</x:t>
  </x:si>
  <x:si>
    <x:t xml:space="preserve">Echeverri-B. D.L. 78</x:t>
  </x:si>
  <x:si>
    <x:t xml:space="preserve">HUA 38844</x:t>
  </x:si>
  <x:si>
    <x:t xml:space="preserve">Arbelaez A.L. et al., 113</x:t>
  </x:si>
  <x:si>
    <x:t xml:space="preserve">Betancur J. et al., 880</x:t>
  </x:si>
  <x:si>
    <x:t xml:space="preserve">HUA 55904</x:t>
  </x:si>
  <x:si>
    <x:t xml:space="preserve">Colombia, Antioquia, Amalfi: vereda El Oso, 13-16 km de Amalfi a Medellín, cordillera Central, bhPM. </x:t>
  </x:si>
  <x:si>
    <x:t xml:space="preserve">N 06°54.35'</x:t>
  </x:si>
  <x:si>
    <x:t xml:space="preserve">06°54.35' N</x:t>
  </x:si>
  <x:si>
    <x:t xml:space="preserve">06°54.35' N, 75°8.07' W</x:t>
  </x:si>
  <x:si>
    <x:t xml:space="preserve">6.9058333</x:t>
  </x:si>
  <x:si>
    <x:t xml:space="preserve">6.9058333,-75.1345</x:t>
  </x:si>
  <x:si>
    <x:t xml:space="preserve">Amalfi: vereda El Oso</x:t>
  </x:si>
  <x:si>
    <x:t xml:space="preserve">13-16 km de Amalfi a Medellín, cordillera Central, bhPM.</x:t>
  </x:si>
  <x:si>
    <x:t xml:space="preserve">Echeverri-B. D. &amp; N. Contreras 195</x:t>
  </x:si>
  <x:si>
    <x:t xml:space="preserve">HUA 66464</x:t>
  </x:si>
  <x:si>
    <x:t xml:space="preserve">Colombia, Antioquia, Guatapé, vereda Santa Rita, finca Montepinar, bosque pluvial.</x:t>
  </x:si>
  <x:si>
    <x:t xml:space="preserve">vereda Santa Rita, finca Montepinar, bosque pluvial.</x:t>
  </x:si>
  <x:si>
    <x:t xml:space="preserve">Contreras N. &amp; D.L. Echeverri 227</x:t>
  </x:si>
  <x:si>
    <x:t xml:space="preserve">HUA 67334</x:t>
  </x:si>
  <x:si>
    <x:t xml:space="preserve">Fonnegra R. et al., 5329</x:t>
  </x:si>
  <x:si>
    <x:t xml:space="preserve">COL 419416</x:t>
  </x:si>
  <x:si>
    <x:t xml:space="preserve">Colombia, Antioquia, Medellín-Guarne, Parque Ecológico Piedras Blancas, secor Las Lajas.</x:t>
  </x:si>
  <x:si>
    <x:t xml:space="preserve">4581,461</x:t>
  </x:si>
  <x:si>
    <x:t xml:space="preserve">Parque Ecológico Piedras Blancas, secor Las Lajas.</x:t>
  </x:si>
  <x:si>
    <x:t xml:space="preserve">HUA 095097</x:t>
  </x:si>
  <x:si>
    <x:t xml:space="preserve">Rodríguez W. et al., 3149</x:t>
  </x:si>
  <x:si>
    <x:t xml:space="preserve">Colombia, Antioquia, Copacabana, vereda Carrisal, sector Alto de Asturias.</x:t>
  </x:si>
  <x:si>
    <x:t xml:space="preserve">N 06°18'20.2"</x:t>
  </x:si>
  <x:si>
    <x:t xml:space="preserve">06°18'20.2" N</x:t>
  </x:si>
  <x:si>
    <x:t xml:space="preserve">06°18'20.2" N, 75°30'54.6" W</x:t>
  </x:si>
  <x:si>
    <x:t xml:space="preserve">6.3056111</x:t>
  </x:si>
  <x:si>
    <x:t xml:space="preserve">6.3056111,-75.5151667</x:t>
  </x:si>
  <x:si>
    <x:t xml:space="preserve">vereda Carrisal, sector Alto de Asturias.</x:t>
  </x:si>
  <x:si>
    <x:t xml:space="preserve">David H. &amp; J. Idarraga 485</x:t>
  </x:si>
  <x:si>
    <x:t xml:space="preserve">HUA 145194</x:t>
  </x:si>
  <x:si>
    <x:t xml:space="preserve">Colombia, Antioquia, Medellín, corregimeinto de Santa Elena, Reserva Natural Montevivo, sector Casapalo. bhMB</x:t>
  </x:si>
  <x:si>
    <x:t xml:space="preserve">corregimeinto de Santa Elena, Reserva Natural Montevivo, sector Casapalo. bhMB</x:t>
  </x:si>
  <x:si>
    <x:t xml:space="preserve">Rodríguez W. et al., 4008</x:t>
  </x:si>
  <x:si>
    <x:t xml:space="preserve">Colombia, Antioquia, Anorí, reserva la Forzosa.</x:t>
  </x:si>
  <x:si>
    <x:t xml:space="preserve">N 06°59'15.6"</x:t>
  </x:si>
  <x:si>
    <x:t xml:space="preserve">06°59'15.6" N</x:t>
  </x:si>
  <x:si>
    <x:t xml:space="preserve">W 75°08'35.6</x:t>
  </x:si>
  <x:si>
    <x:t xml:space="preserve">75°08'35.6 W</x:t>
  </x:si>
  <x:si>
    <x:t xml:space="preserve">06°59'15.6" N, 75°08'35.6 W</x:t>
  </x:si>
  <x:si>
    <x:t xml:space="preserve">reserva la Forzosa.</x:t>
  </x:si>
  <x:si>
    <x:t xml:space="preserve">D. Sanín 2211</x:t>
  </x:si>
  <x:si>
    <x:t xml:space="preserve">HUA </x:t>
  </x:si>
  <x:si>
    <x:t xml:space="preserve">Colombia, Antioquia, Rionegro, vereda Llano Grande, en el bosque de Corpoica La Selva.</x:t>
  </x:si>
  <x:si>
    <x:t xml:space="preserve">D_Sanín2211</x:t>
  </x:si>
  <x:si>
    <x:t xml:space="preserve">vereda Llano Grande, en el bosque de Corpoica La Selva.</x:t>
  </x:si>
  <x:si>
    <x:t xml:space="preserve">S. richardii (Klotszsch) A.R. Sm</x:t>
  </x:si>
  <x:si>
    <x:t xml:space="preserve">Serpocaulon richardii</x:t>
  </x:si>
  <x:si>
    <x:t xml:space="preserve">Schultes R.E. &amp; I. Cabrera 19049</x:t>
  </x:si>
  <x:si>
    <x:t xml:space="preserve">COL 60869</x:t>
  </x:si>
  <x:si>
    <x:t xml:space="preserve">Colombia, Putumayo, Mocoa.</x:t>
  </x:si>
  <x:si>
    <x:t xml:space="preserve">N 01°09'21.59"</x:t>
  </x:si>
  <x:si>
    <x:t xml:space="preserve">01°09'21.59" N</x:t>
  </x:si>
  <x:si>
    <x:t xml:space="preserve">W 76°38'49.37"</x:t>
  </x:si>
  <x:si>
    <x:t xml:space="preserve">76°38'49.37" W</x:t>
  </x:si>
  <x:si>
    <x:t xml:space="preserve">01°09'21.59" N, 76°38'49.37" W</x:t>
  </x:si>
  <x:si>
    <x:t xml:space="preserve">1.1559972</x:t>
  </x:si>
  <x:si>
    <x:t xml:space="preserve">-76.6470472</x:t>
  </x:si>
  <x:si>
    <x:t xml:space="preserve">1.1559972,-76.6470472</x:t>
  </x:si>
  <x:si>
    <x:t xml:space="preserve">4850,192</x:t>
  </x:si>
  <x:si>
    <x:t xml:space="preserve">Mocoa.</x:t>
  </x:si>
  <x:si>
    <x:t xml:space="preserve">Jaramillo Mejia R. &amp; T. van der Hammen 4784</x:t>
  </x:si>
  <x:si>
    <x:t xml:space="preserve">COL 000335794</x:t>
  </x:si>
  <x:si>
    <x:t xml:space="preserve">Colombia, Cundinamarca, Carretera arriba de Sasaima, Hacienda la Isabella.</x:t>
  </x:si>
  <x:si>
    <x:t xml:space="preserve">Carretera arriba de Sasaima</x:t>
  </x:si>
  <x:si>
    <x:t xml:space="preserve">Hacienda la Isabella.</x:t>
  </x:si>
  <x:si>
    <x:t xml:space="preserve">Jaramillo-Mejía 3650</x:t>
  </x:si>
  <x:si>
    <x:t xml:space="preserve">Colombia, Boyacá, carretera a Pauna–Otro Mundo</x:t>
  </x:si>
  <x:si>
    <x:t xml:space="preserve">527,141</x:t>
  </x:si>
  <x:si>
    <x:t xml:space="preserve">Jaramillo_3650</x:t>
  </x:si>
  <x:si>
    <x:t xml:space="preserve">D. Sanín y Alejandro Pérez 7917</x:t>
  </x:si>
  <x:si>
    <x:t xml:space="preserve">Colombia, Mocoa, Villa Garzón, Reserva Natural Paway, margen derecha del río pepino</x:t>
  </x:si>
  <x:si>
    <x:t xml:space="preserve">1°05'15.6"N</x:t>
  </x:si>
  <x:si>
    <x:t xml:space="preserve">76°37'42.4"W</x:t>
  </x:si>
  <x:si>
    <x:t xml:space="preserve">1.0876667</x:t>
  </x:si>
  <x:si>
    <x:t xml:space="preserve">-76.6284444</x:t>
  </x:si>
  <x:si>
    <x:t xml:space="preserve">1.0876667, -76.6284444</x:t>
  </x:si>
  <x:si>
    <x:t xml:space="preserve">3138,971</x:t>
  </x:si>
  <x:si>
    <x:t xml:space="preserve">D_Sanín7917</x:t>
  </x:si>
  <x:si>
    <x:t xml:space="preserve">S. sessilifolium (Desv.) A.R. Sm.</x:t>
  </x:si>
  <x:si>
    <x:t xml:space="preserve">Serpocaulon sessilifolium</x:t>
  </x:si>
  <x:si>
    <x:t xml:space="preserve">Arbeláez A.L. et al., 50</x:t>
  </x:si>
  <x:si>
    <x:t xml:space="preserve">HUA 46147</x:t>
  </x:si>
  <x:si>
    <x:t xml:space="preserve">Colombia, Antioquia, La Unión, carretera de la Unión-San Miguel.</x:t>
  </x:si>
  <x:si>
    <x:t xml:space="preserve">N 05°58'</x:t>
  </x:si>
  <x:si>
    <x:t xml:space="preserve">05°58' N</x:t>
  </x:si>
  <x:si>
    <x:t xml:space="preserve">W 75°21'41"</x:t>
  </x:si>
  <x:si>
    <x:t xml:space="preserve">75°21'41" W</x:t>
  </x:si>
  <x:si>
    <x:t xml:space="preserve">05°58' N, 75°21'41" W</x:t>
  </x:si>
  <x:si>
    <x:t xml:space="preserve">5.9666667</x:t>
  </x:si>
  <x:si>
    <x:t xml:space="preserve">-75.3613889</x:t>
  </x:si>
  <x:si>
    <x:t xml:space="preserve">5.9666667,-75.3613889</x:t>
  </x:si>
  <x:si>
    <x:t xml:space="preserve">carretera de la Unión-San Miguel.</x:t>
  </x:si>
  <x:si>
    <x:t xml:space="preserve">Fernandez M.E. et al., 116</x:t>
  </x:si>
  <x:si>
    <x:t xml:space="preserve">MEDEL 32596</x:t>
  </x:si>
  <x:si>
    <x:t xml:space="preserve">Colombia, Antioquia, Belmira, Sabanas, Sabanazo y Santa Inés.</x:t>
  </x:si>
  <x:si>
    <x:t xml:space="preserve">3000-3240</x:t>
  </x:si>
  <x:si>
    <x:t xml:space="preserve">N 06°37'33.5"</x:t>
  </x:si>
  <x:si>
    <x:t xml:space="preserve">06°37'33.5" N</x:t>
  </x:si>
  <x:si>
    <x:t xml:space="preserve">W 75°40'</x:t>
  </x:si>
  <x:si>
    <x:t xml:space="preserve">75°40' W</x:t>
  </x:si>
  <x:si>
    <x:t xml:space="preserve">06°37'33.5" N, 75°40' W</x:t>
  </x:si>
  <x:si>
    <x:t xml:space="preserve">6.6259722</x:t>
  </x:si>
  <x:si>
    <x:t xml:space="preserve">-75.6666667</x:t>
  </x:si>
  <x:si>
    <x:t xml:space="preserve">6.6259722,-75.6666667</x:t>
  </x:si>
  <x:si>
    <x:t xml:space="preserve">Sabanas, Sabanazo y Santa Inés.</x:t>
  </x:si>
  <x:si>
    <x:t xml:space="preserve">Gil A. et al., 470</x:t>
  </x:si>
  <x:si>
    <x:t xml:space="preserve">HUA 132531</x:t>
  </x:si>
  <x:si>
    <x:t xml:space="preserve">Colombia, Antioquia, Abejorral, vereda El Buey, finca El Recreo</x:t>
  </x:si>
  <x:si>
    <x:t xml:space="preserve">N 05°51'</x:t>
  </x:si>
  <x:si>
    <x:t xml:space="preserve">05°51' N</x:t>
  </x:si>
  <x:si>
    <x:t xml:space="preserve">W 75°22'</x:t>
  </x:si>
  <x:si>
    <x:t xml:space="preserve">75°22' W</x:t>
  </x:si>
  <x:si>
    <x:t xml:space="preserve">05°51' N, 75°22' W</x:t>
  </x:si>
  <x:si>
    <x:t xml:space="preserve">vereda El Buey, finca El Recreo</x:t>
  </x:si>
  <x:si>
    <x:t xml:space="preserve">Rodriguez W. et al., 3344</x:t>
  </x:si>
  <x:si>
    <x:t xml:space="preserve">JAUM 38649</x:t>
  </x:si>
  <x:si>
    <x:t xml:space="preserve">Colombia, Antioquia, Belmira, Alrededores de la sienaga El Morro.</x:t>
  </x:si>
  <x:si>
    <x:t xml:space="preserve">Alrededores de la sienaga El Morro.</x:t>
  </x:si>
  <x:si>
    <x:t xml:space="preserve">HUA 137451</x:t>
  </x:si>
  <x:si>
    <x:t xml:space="preserve">Rodriguez W. et al., 3430</x:t>
  </x:si>
  <x:si>
    <x:t xml:space="preserve">HUA 137333</x:t>
  </x:si>
  <x:si>
    <x:t xml:space="preserve">Colombia, Antioquia, Belmira, camino de páramo de Santa Ínes, area de reserva.</x:t>
  </x:si>
  <x:si>
    <x:t xml:space="preserve">N 06°41'34.2"</x:t>
  </x:si>
  <x:si>
    <x:t xml:space="preserve">06°41'34.2" N</x:t>
  </x:si>
  <x:si>
    <x:t xml:space="preserve">W 75°41'48.2"</x:t>
  </x:si>
  <x:si>
    <x:t xml:space="preserve">75°41'48.2" W</x:t>
  </x:si>
  <x:si>
    <x:t xml:space="preserve">06°41'34.2" N, 75°41'48.2" W</x:t>
  </x:si>
  <x:si>
    <x:t xml:space="preserve">6.6928333</x:t>
  </x:si>
  <x:si>
    <x:t xml:space="preserve">-75.6967222</x:t>
  </x:si>
  <x:si>
    <x:t xml:space="preserve">6.6928333,-75.6967222</x:t>
  </x:si>
  <x:si>
    <x:t xml:space="preserve">camino de páramo de Santa Ínes, area de reserva.</x:t>
  </x:si>
  <x:si>
    <x:t xml:space="preserve">Rodriguez W. et al., 3534</x:t>
  </x:si>
  <x:si>
    <x:t xml:space="preserve">COL 486806</x:t>
  </x:si>
  <x:si>
    <x:t xml:space="preserve">Colombia, Antioquia, San José de la Montaña, vereda La Margarita, camino hacia el alto del Cristo.</x:t>
  </x:si>
  <x:si>
    <x:t xml:space="preserve">San José de la Montaña</x:t>
  </x:si>
  <x:si>
    <x:t xml:space="preserve">vereda La Margarita, camino hacia el alto del Cristo.</x:t>
  </x:si>
  <x:si>
    <x:t xml:space="preserve">JAUM 38651</x:t>
  </x:si>
  <x:si>
    <x:t xml:space="preserve">Rodriguez W. et al., 3486</x:t>
  </x:si>
  <x:si>
    <x:t xml:space="preserve">HUA 137339</x:t>
  </x:si>
  <x:si>
    <x:t xml:space="preserve">Colombia, Antioquia, Belmira, sistema de páramo de Santa Ínes, sector Sabanas</x:t>
  </x:si>
  <x:si>
    <x:t xml:space="preserve">W 75°39'24.2"</x:t>
  </x:si>
  <x:si>
    <x:t xml:space="preserve">75°39'24.2" W</x:t>
  </x:si>
  <x:si>
    <x:t xml:space="preserve">06°37'33.5" N, 75°39'24.2" W</x:t>
  </x:si>
  <x:si>
    <x:t xml:space="preserve">-75.6567222</x:t>
  </x:si>
  <x:si>
    <x:t xml:space="preserve">6.6259722,-75.6567222</x:t>
  </x:si>
  <x:si>
    <x:t xml:space="preserve">sistema de páramo de Santa Ínes, sector Sabanas</x:t>
  </x:si>
  <x:si>
    <x:t xml:space="preserve">HUA 137340</x:t>
  </x:si>
  <x:si>
    <x:t xml:space="preserve">COL 487607</x:t>
  </x:si>
  <x:si>
    <x:t xml:space="preserve">Callejas R. et al., 13364</x:t>
  </x:si>
  <x:si>
    <x:t xml:space="preserve">HUA 159486</x:t>
  </x:si>
  <x:si>
    <x:t xml:space="preserve">Colombia, Antioquia, Angostura, finca EL Cordal, quebrada El Pajarito, bosques de robles plantados, 2 km NE del peaje de Santa Rosa de Osos, sobre la vía a Medellín-Costa Atlantica, bmh-P.</x:t>
  </x:si>
  <x:si>
    <x:t xml:space="preserve">N 06°53'19"</x:t>
  </x:si>
  <x:si>
    <x:t xml:space="preserve">06°53'19" N</x:t>
  </x:si>
  <x:si>
    <x:t xml:space="preserve">W 75°21'20"</x:t>
  </x:si>
  <x:si>
    <x:t xml:space="preserve">75°21'20" W</x:t>
  </x:si>
  <x:si>
    <x:t xml:space="preserve">06°53'19" N, 75°21'20" W</x:t>
  </x:si>
  <x:si>
    <x:t xml:space="preserve">6.8886111</x:t>
  </x:si>
  <x:si>
    <x:t xml:space="preserve">-75.3555556</x:t>
  </x:si>
  <x:si>
    <x:t xml:space="preserve">6.8886111,-75.3555556</x:t>
  </x:si>
  <x:si>
    <x:t xml:space="preserve">Angostura</x:t>
  </x:si>
  <x:si>
    <x:t xml:space="preserve">finca EL Cordal, quebrada El Pajarito, bosques de robles plantados, 2 km NE del peaje de Santa Rosa de Osos, sobre la vía a Medellín-Costa Atlantica, bmh-P.</x:t>
  </x:si>
  <x:si>
    <x:t xml:space="preserve">Rodriguez W.  et al., 5674</x:t>
  </x:si>
  <x:si>
    <x:t xml:space="preserve">HUA 154742</x:t>
  </x:si>
  <x:si>
    <x:t xml:space="preserve">Colombia, Antioquia, Medellín, corregimiento de San Antonio de Prado, vereda Astilleros, divisoria de aguas de las quebradas Doña María y Ana Díaz, sector Piedra Galana.</x:t>
  </x:si>
  <x:si>
    <x:t xml:space="preserve">2580-2650</x:t>
  </x:si>
  <x:si>
    <x:t xml:space="preserve">N 06°15'13"</x:t>
  </x:si>
  <x:si>
    <x:t xml:space="preserve">06°15'13" N</x:t>
  </x:si>
  <x:si>
    <x:t xml:space="preserve">W 75°40'10"</x:t>
  </x:si>
  <x:si>
    <x:t xml:space="preserve">75°40'10" W</x:t>
  </x:si>
  <x:si>
    <x:t xml:space="preserve">06°15'13" N, 75°40'10" W</x:t>
  </x:si>
  <x:si>
    <x:t xml:space="preserve">6.2536111</x:t>
  </x:si>
  <x:si>
    <x:t xml:space="preserve">-75.6694444</x:t>
  </x:si>
  <x:si>
    <x:t xml:space="preserve">6.2536111,-75.6694444</x:t>
  </x:si>
  <x:si>
    <x:t xml:space="preserve">corregimiento de San Antonio de Prado, vereda Astilleros, divisoria de aguas de las quebradas Doña María y Ana Díaz, sector Piedra Galana.</x:t>
  </x:si>
  <x:si>
    <x:t xml:space="preserve">Sanín D. et al., 5002</x:t>
  </x:si>
  <x:si>
    <x:t xml:space="preserve">N 06°37.319</x:t>
  </x:si>
  <x:si>
    <x:t xml:space="preserve">06°37.319 N</x:t>
  </x:si>
  <x:si>
    <x:t xml:space="preserve">06°37.319 N, 75°38.697' W</x:t>
  </x:si>
  <x:si>
    <x:t xml:space="preserve">Murillo J. &amp; C. Méndez 3479</x:t>
  </x:si>
  <x:si>
    <x:t xml:space="preserve">COL 000153082</x:t>
  </x:si>
  <x:si>
    <x:t xml:space="preserve">Colombia, Boyacá, Santa María, vereda Caño Negro, camino a Palo Negro, entre las fincas Santa Rosita, El Recuerdo y El Tesoro, hacia Cuchilla Negra.</x:t>
  </x:si>
  <x:si>
    <x:t xml:space="preserve">COL000153082</x:t>
  </x:si>
  <x:si>
    <x:t xml:space="preserve">Santa María</x:t>
  </x:si>
  <x:si>
    <x:t xml:space="preserve">vereda Caño Negro, camino a Palo Negro, entre las fincas Santa Rosita, El Recuerdo y El Tesoro, hacia Cuchilla Negra.</x:t>
  </x:si>
  <x:si>
    <x:t xml:space="preserve">Sanín D. 100</x:t>
  </x:si>
  <x:si>
    <x:t xml:space="preserve">Colombia, Caldas, Manizales, vereda Las Palomas, Reserva Río Blanco.</x:t>
  </x:si>
  <x:si>
    <x:t xml:space="preserve">vereda Las Palomas, Reserva Río Blanco.</x:t>
  </x:si>
  <x:si>
    <x:t xml:space="preserve">Sanín D. &amp; B. Gonzalez-Echeverry 2362</x:t>
  </x:si>
  <x:si>
    <x:t xml:space="preserve">Colombia, Caldas, Salamina, corregimiento de San Felix, finca La Samaria, vía Monte Loro-Valle Alto, relictos a mano dereccha del Bosque El Retiro.</x:t>
  </x:si>
  <x:si>
    <x:t xml:space="preserve">W 75°20'</x:t>
  </x:si>
  <x:si>
    <x:t xml:space="preserve">75°20' W</x:t>
  </x:si>
  <x:si>
    <x:t xml:space="preserve">05°26' N, 75°20' W</x:t>
  </x:si>
  <x:si>
    <x:t xml:space="preserve">5.4333333,-75.3333333</x:t>
  </x:si>
  <x:si>
    <x:t xml:space="preserve">corregimiento de San Felix, finca La Samaria, vía Monte Loro-Valle Alto, relictos a mano dereccha del Bosque El Retiro.</x:t>
  </x:si>
  <x:si>
    <x:t xml:space="preserve">Sanín D. &amp; B. Gonzalez Echeverry 2332</x:t>
  </x:si>
  <x:si>
    <x:t xml:space="preserve">Sanín D. &amp; B. Gonzalez Echeverry 2357</x:t>
  </x:si>
  <x:si>
    <x:t xml:space="preserve">Sanín D. &amp; B. Gonzalez Echeverry 2362</x:t>
  </x:si>
  <x:si>
    <x:t xml:space="preserve">HUQ XXx</x:t>
  </x:si>
  <x:si>
    <x:t xml:space="preserve">Sanín D. 3459</x:t>
  </x:si>
  <x:si>
    <x:t xml:space="preserve">Colombia, Caldas, Salamina, corregimiento de San Felix, sector La Samaria, relictos detrás de la escuela.</x:t>
  </x:si>
  <x:si>
    <x:t xml:space="preserve">N 04°59'8.49"</x:t>
  </x:si>
  <x:si>
    <x:t xml:space="preserve">04°59'8.49" N</x:t>
  </x:si>
  <x:si>
    <x:t xml:space="preserve">W 75°10'9.321"</x:t>
  </x:si>
  <x:si>
    <x:t xml:space="preserve">75°10'9.321" W</x:t>
  </x:si>
  <x:si>
    <x:t xml:space="preserve">04°59'8.49" N, 75°10'9.321" W</x:t>
  </x:si>
  <x:si>
    <x:t xml:space="preserve">4.9856917</x:t>
  </x:si>
  <x:si>
    <x:t xml:space="preserve">-75.1692558</x:t>
  </x:si>
  <x:si>
    <x:t xml:space="preserve">4.9856917,-75.1692558</x:t>
  </x:si>
  <x:si>
    <x:t xml:space="preserve">corregimiento de San Felix, sector La Samaria, relictos detrás de la escuela.</x:t>
  </x:si>
  <x:si>
    <x:t xml:space="preserve">Sanín D. &amp; B. Gonzalez Echeverry 4320</x:t>
  </x:si>
  <x:si>
    <x:t xml:space="preserve">Colombia, Caldas, Salamina, corregimiento de San Felix, vía a Marulanda, quebrada frente a la finca El Bergel, entre potrero y el bosque de galeria de la quebrada.</x:t>
  </x:si>
  <x:si>
    <x:t xml:space="preserve">corregimiento de San Felix, vía a Marulanda, quebrada frente a la finca El Bergel, entre potrero y el bosque de galeria de la quebrada.</x:t>
  </x:si>
  <x:si>
    <x:t xml:space="preserve"> Idrobo J.M. et al., 3562</x:t>
  </x:si>
  <x:si>
    <x:t xml:space="preserve">COL 66714</x:t>
  </x:si>
  <x:si>
    <x:t xml:space="preserve">Colombia, Cauca, Páramo de Las Papas, entre El Boquerón y La Hoyola.</x:t>
  </x:si>
  <x:si>
    <x:t xml:space="preserve">3200-3510</x:t>
  </x:si>
  <x:si>
    <x:t xml:space="preserve">N 02°17'24.98"</x:t>
  </x:si>
  <x:si>
    <x:t xml:space="preserve">02°17'24.98" N</x:t>
  </x:si>
  <x:si>
    <x:t xml:space="preserve">W 76°22'52.78"</x:t>
  </x:si>
  <x:si>
    <x:t xml:space="preserve">76°22'52.78" W</x:t>
  </x:si>
  <x:si>
    <x:t xml:space="preserve">02°17'24.98" N, 76°22'52.78" W</x:t>
  </x:si>
  <x:si>
    <x:t xml:space="preserve">2.2902722</x:t>
  </x:si>
  <x:si>
    <x:t xml:space="preserve">-76.3813278</x:t>
  </x:si>
  <x:si>
    <x:t xml:space="preserve">2.2902722,-76.3813278</x:t>
  </x:si>
  <x:si>
    <x:t xml:space="preserve">Páramo de Las Papas</x:t>
  </x:si>
  <x:si>
    <x:t xml:space="preserve">entre El Boquerón y La Hoyola.</x:t>
  </x:si>
  <x:si>
    <x:t xml:space="preserve">Sandoval C.L. et al., 36</x:t>
  </x:si>
  <x:si>
    <x:t xml:space="preserve">CAUP 16874</x:t>
  </x:si>
  <x:si>
    <x:t xml:space="preserve">Colombia, Cauca, Popayán, corregimiento de Quintana, Cerro Toma Aire, bosque cerca de la casa del camino, hacia el páramo.</x:t>
  </x:si>
  <x:si>
    <x:t xml:space="preserve">N 02°46'57.76"</x:t>
  </x:si>
  <x:si>
    <x:t xml:space="preserve">02°46'57.76" N</x:t>
  </x:si>
  <x:si>
    <x:t xml:space="preserve">W 76°15'01.64"</x:t>
  </x:si>
  <x:si>
    <x:t xml:space="preserve">76°15'01.64" W</x:t>
  </x:si>
  <x:si>
    <x:t xml:space="preserve">02°46'57.76" N, 76°15'01.64" W</x:t>
  </x:si>
  <x:si>
    <x:t xml:space="preserve">2.7827111</x:t>
  </x:si>
  <x:si>
    <x:t xml:space="preserve">-76.2504556</x:t>
  </x:si>
  <x:si>
    <x:t xml:space="preserve">2.7827111,-76.2504556</x:t>
  </x:si>
  <x:si>
    <x:t xml:space="preserve">corregimiento de Quintana, Cerro Toma Aire, bosque cerca de la casa del camino, hacia el páramo.</x:t>
  </x:si>
  <x:si>
    <x:t xml:space="preserve">Muñoz E.L. 1853</x:t>
  </x:si>
  <x:si>
    <x:t xml:space="preserve">CAUP 18702</x:t>
  </x:si>
  <x:si>
    <x:t xml:space="preserve">Colombia, Cauca, Silvia, Páramo el Abejorro, vía al páramo Cresta de Gallo, vereda La Marqueza.</x:t>
  </x:si>
  <x:si>
    <x:t xml:space="preserve">N 02°35'35.32"</x:t>
  </x:si>
  <x:si>
    <x:t xml:space="preserve">02°35'35.32" N</x:t>
  </x:si>
  <x:si>
    <x:t xml:space="preserve">W 76°19'45.56"</x:t>
  </x:si>
  <x:si>
    <x:t xml:space="preserve">76°19'45.56" W</x:t>
  </x:si>
  <x:si>
    <x:t xml:space="preserve">02°35'35.32" N, 76°19'45.56" W</x:t>
  </x:si>
  <x:si>
    <x:t xml:space="preserve">2.5931444</x:t>
  </x:si>
  <x:si>
    <x:t xml:space="preserve">-76.3293222</x:t>
  </x:si>
  <x:si>
    <x:t xml:space="preserve">2.5931444,-76.3293222</x:t>
  </x:si>
  <x:si>
    <x:t xml:space="preserve">Silvia</x:t>
  </x:si>
  <x:si>
    <x:t xml:space="preserve">Páramo el Abejorro, vía al páramo Cresta de Gallo, vereda La Marqueza.</x:t>
  </x:si>
  <x:si>
    <x:t xml:space="preserve">Ramirez-Ch. H.E. 359</x:t>
  </x:si>
  <x:si>
    <x:t xml:space="preserve">CAUP 18557</x:t>
  </x:si>
  <x:si>
    <x:t xml:space="preserve">Colombia, Cauca, Bolívar, corregimiento de Los Milagros, Vereda Aguas Regadas, alrededor de la Laguna.</x:t>
  </x:si>
  <x:si>
    <x:t xml:space="preserve">N 01°49'06"</x:t>
  </x:si>
  <x:si>
    <x:t xml:space="preserve">01°49'06" N</x:t>
  </x:si>
  <x:si>
    <x:t xml:space="preserve">W 76°53'22"</x:t>
  </x:si>
  <x:si>
    <x:t xml:space="preserve">76°53'22" W</x:t>
  </x:si>
  <x:si>
    <x:t xml:space="preserve">01°49'06" N, 76°53'22" W</x:t>
  </x:si>
  <x:si>
    <x:t xml:space="preserve">1.8183333</x:t>
  </x:si>
  <x:si>
    <x:t xml:space="preserve">-76.8894444</x:t>
  </x:si>
  <x:si>
    <x:t xml:space="preserve">1.8183333,-76.8894444</x:t>
  </x:si>
  <x:si>
    <x:t xml:space="preserve">corregimiento de Los Milagros, Vereda Aguas Regadas, alrededor de la Laguna.</x:t>
  </x:si>
  <x:si>
    <x:t xml:space="preserve">Sanín D. &amp; E. Sanín 3294</x:t>
  </x:si>
  <x:si>
    <x:t xml:space="preserve">W 76° 26.645'</x:t>
  </x:si>
  <x:si>
    <x:t xml:space="preserve">76° 26.645' W</x:t>
  </x:si>
  <x:si>
    <x:t xml:space="preserve">02°22.846' N, 76° 26.645' W</x:t>
  </x:si>
  <x:si>
    <x:t xml:space="preserve"> Idrobo J.M. et al., 3428</x:t>
  </x:si>
  <x:si>
    <x:t xml:space="preserve">COL 65435</x:t>
  </x:si>
  <x:si>
    <x:t xml:space="preserve">Huertas G. &amp; L. A. Camargo 5802</x:t>
  </x:si>
  <x:si>
    <x:t xml:space="preserve">COL 000160818</x:t>
  </x:si>
  <x:si>
    <x:t xml:space="preserve">Colombia, Cundinamarca, Fómeque, Páramo de Chingaza, La Laja y alrededores.</x:t>
  </x:si>
  <x:si>
    <x:t xml:space="preserve">2700-3250</x:t>
  </x:si>
  <x:si>
    <x:t xml:space="preserve">COL000160818</x:t>
  </x:si>
  <x:si>
    <x:t xml:space="preserve">Páramo de Chingaza, La Laja y alrededores.</x:t>
  </x:si>
  <x:si>
    <x:t xml:space="preserve">Cabrera I. et al., 5246</x:t>
  </x:si>
  <x:si>
    <x:t xml:space="preserve">CUVC 15516</x:t>
  </x:si>
  <x:si>
    <x:t xml:space="preserve">Colombia, Huila, entre Popayán y La Plata, bhPM.</x:t>
  </x:si>
  <x:si>
    <x:t xml:space="preserve">N 02°23'43.17"</x:t>
  </x:si>
  <x:si>
    <x:t xml:space="preserve">02°23'43.17" N</x:t>
  </x:si>
  <x:si>
    <x:t xml:space="preserve">W 75°53'28.33"</x:t>
  </x:si>
  <x:si>
    <x:t xml:space="preserve">75°53'28.33" W</x:t>
  </x:si>
  <x:si>
    <x:t xml:space="preserve">02°23'43.17" N, 75°53'28.33" W</x:t>
  </x:si>
  <x:si>
    <x:t xml:space="preserve">2.395325</x:t>
  </x:si>
  <x:si>
    <x:t xml:space="preserve">-75.8912028</x:t>
  </x:si>
  <x:si>
    <x:t xml:space="preserve">2.395325,-75.8912028</x:t>
  </x:si>
  <x:si>
    <x:t xml:space="preserve">entre Popayán y La Plata</x:t>
  </x:si>
  <x:si>
    <x:t xml:space="preserve">bhPM.</x:t>
  </x:si>
  <x:si>
    <x:t xml:space="preserve">Osorio G. 34</x:t>
  </x:si>
  <x:si>
    <x:t xml:space="preserve">COL 248475</x:t>
  </x:si>
  <x:si>
    <x:t xml:space="preserve">Colombia, Huila, Pitalito, vía Mocoa.</x:t>
  </x:si>
  <x:si>
    <x:t xml:space="preserve">N 01°51'09.87"</x:t>
  </x:si>
  <x:si>
    <x:t xml:space="preserve">01°51'09.87" N</x:t>
  </x:si>
  <x:si>
    <x:t xml:space="preserve">W 76°02'08.10"</x:t>
  </x:si>
  <x:si>
    <x:t xml:space="preserve">76°02'08.10" W</x:t>
  </x:si>
  <x:si>
    <x:t xml:space="preserve">01°51'09.87" N, 76°02'08.10" W</x:t>
  </x:si>
  <x:si>
    <x:t xml:space="preserve">1.8527417</x:t>
  </x:si>
  <x:si>
    <x:t xml:space="preserve">-76.0355833</x:t>
  </x:si>
  <x:si>
    <x:t xml:space="preserve">1.8527417,-76.0355833</x:t>
  </x:si>
  <x:si>
    <x:t xml:space="preserve">vía Mocoa.</x:t>
  </x:si>
  <x:si>
    <x:t xml:space="preserve">COL 248476</x:t>
  </x:si>
  <x:si>
    <x:t xml:space="preserve">Lozano G. et al., 4214</x:t>
  </x:si>
  <x:si>
    <x:t xml:space="preserve">COL 000336496</x:t>
  </x:si>
  <x:si>
    <x:t xml:space="preserve">Colombia, Huila, La Argelia, arriba de la finca Palmira.</x:t>
  </x:si>
  <x:si>
    <x:t xml:space="preserve">La Argelia</x:t>
  </x:si>
  <x:si>
    <x:t xml:space="preserve">Lozano G. et al., 4256</x:t>
  </x:si>
  <x:si>
    <x:t xml:space="preserve">COL 277622</x:t>
  </x:si>
  <x:si>
    <x:t xml:space="preserve">Colombia, Huila, Argentina, arriba de la finca Palmira.</x:t>
  </x:si>
  <x:si>
    <x:t xml:space="preserve">N 02°11'48.55"</x:t>
  </x:si>
  <x:si>
    <x:t xml:space="preserve">02°11'48.55" N</x:t>
  </x:si>
  <x:si>
    <x:t xml:space="preserve">W 75°58'36.91"</x:t>
  </x:si>
  <x:si>
    <x:t xml:space="preserve">75°58'36.91" W</x:t>
  </x:si>
  <x:si>
    <x:t xml:space="preserve">02°11'48.55" N, 75°58'36.91" W</x:t>
  </x:si>
  <x:si>
    <x:t xml:space="preserve">2.1968194</x:t>
  </x:si>
  <x:si>
    <x:t xml:space="preserve">-75.9769194</x:t>
  </x:si>
  <x:si>
    <x:t xml:space="preserve">2.1968194,-75.9769194</x:t>
  </x:si>
  <x:si>
    <x:t xml:space="preserve">Argentina</x:t>
  </x:si>
  <x:si>
    <x:t xml:space="preserve">Betancur J. &amp; S. Churchill 2064</x:t>
  </x:si>
  <x:si>
    <x:t xml:space="preserve">COL 371562</x:t>
  </x:si>
  <x:si>
    <x:t xml:space="preserve">Colombia, Huila, Neiva,-San Vicente del Caguán, Valle de Balsillas, Bosques colinados que rodean el Valle, Cordillera Oriental. Bp-MB</x:t>
  </x:si>
  <x:si>
    <x:t xml:space="preserve">N 02°55'17.88"</x:t>
  </x:si>
  <x:si>
    <x:t xml:space="preserve">02°55'17.88" N</x:t>
  </x:si>
  <x:si>
    <x:t xml:space="preserve">W 75°16'35.50"</x:t>
  </x:si>
  <x:si>
    <x:t xml:space="preserve">75°16'35.50" W</x:t>
  </x:si>
  <x:si>
    <x:t xml:space="preserve">02°55'17.88" N, 75°16'35.50" W</x:t>
  </x:si>
  <x:si>
    <x:t xml:space="preserve">2.9216333</x:t>
  </x:si>
  <x:si>
    <x:t xml:space="preserve">-75.2765278</x:t>
  </x:si>
  <x:si>
    <x:t xml:space="preserve">2.9216333,-75.2765278</x:t>
  </x:si>
  <x:si>
    <x:t xml:space="preserve">-San Vicente del Caguán, Valle de Balsillas, Bosques colinados que rodean el Valle, Cordillera Oriental. Bp-MB</x:t>
  </x:si>
  <x:si>
    <x:t xml:space="preserve">Sanín D &amp; E. Sanín 3198</x:t>
  </x:si>
  <x:si>
    <x:t xml:space="preserve">Colombia, Huila, Pitalito, vereda Charguayaco, Reserva de la Comunidad El Arroyuelo.</x:t>
  </x:si>
  <x:si>
    <x:t xml:space="preserve">vereda Charguayaco, Reserva de la Comunidad El Arroyuelo.</x:t>
  </x:si>
  <x:si>
    <x:t xml:space="preserve">Sanín D. &amp; E. Sanín 3204</x:t>
  </x:si>
  <x:si>
    <x:t xml:space="preserve">Guarín-M. R. 509</x:t>
  </x:si>
  <x:si>
    <x:t xml:space="preserve">PSO 4552</x:t>
  </x:si>
  <x:si>
    <x:t xml:space="preserve">Colombia, Nariño, Pasto, camino que conduce del Cementerio a Morazurco.</x:t>
  </x:si>
  <x:si>
    <x:t xml:space="preserve">camino que conduce del Cementerio a Morazurco.</x:t>
  </x:si>
  <x:si>
    <x:t xml:space="preserve">López-Jurado G. &amp; J. Riascos 602</x:t>
  </x:si>
  <x:si>
    <x:t xml:space="preserve">PSO 9285</x:t>
  </x:si>
  <x:si>
    <x:t xml:space="preserve">Colombia, Nariño, Pasto-El Encanto, Isla La Corota</x:t>
  </x:si>
  <x:si>
    <x:t xml:space="preserve">N 01°17'</x:t>
  </x:si>
  <x:si>
    <x:t xml:space="preserve">01°17' N</x:t>
  </x:si>
  <x:si>
    <x:t xml:space="preserve">W 78°14'</x:t>
  </x:si>
  <x:si>
    <x:t xml:space="preserve">78°14' W</x:t>
  </x:si>
  <x:si>
    <x:t xml:space="preserve">01°17' N, 78°14' W</x:t>
  </x:si>
  <x:si>
    <x:t xml:space="preserve">1.2833333</x:t>
  </x:si>
  <x:si>
    <x:t xml:space="preserve">-78.2333333</x:t>
  </x:si>
  <x:si>
    <x:t xml:space="preserve">1.2833333,-78.2333333</x:t>
  </x:si>
  <x:si>
    <x:t xml:space="preserve">Isla La Corota</x:t>
  </x:si>
  <x:si>
    <x:t xml:space="preserve">de Benavides O.S. 1980</x:t>
  </x:si>
  <x:si>
    <x:t xml:space="preserve">PSO 9409</x:t>
  </x:si>
  <x:si>
    <x:t xml:space="preserve">Colombia, Nariño, Pasto, Corregimiento El Encanto, Isla La Corota</x:t>
  </x:si>
  <x:si>
    <x:t xml:space="preserve">Corregimiento El Encanto, Isla La Corota</x:t>
  </x:si>
  <x:si>
    <x:t xml:space="preserve">de Benavides O.S.  2028</x:t>
  </x:si>
  <x:si>
    <x:t xml:space="preserve">PSO 9456</x:t>
  </x:si>
  <x:si>
    <x:t xml:space="preserve">Colombia, Nariño, Pasto, Volcan Galeras.</x:t>
  </x:si>
  <x:si>
    <x:t xml:space="preserve">Volcan Galeras.</x:t>
  </x:si>
  <x:si>
    <x:t xml:space="preserve"> de Benavides O. 2565</x:t>
  </x:si>
  <x:si>
    <x:t xml:space="preserve">PSO 10078</x:t>
  </x:si>
  <x:si>
    <x:t xml:space="preserve">Colombia, Nariño, Pasto, Bosque de daza.</x:t>
  </x:si>
  <x:si>
    <x:t xml:space="preserve">Bosque de daza.</x:t>
  </x:si>
  <x:si>
    <x:t xml:space="preserve">Pantoja-Ch. G.A. &amp; B.R. Ramírez-P. 81</x:t>
  </x:si>
  <x:si>
    <x:t xml:space="preserve">PSO 39068</x:t>
  </x:si>
  <x:si>
    <x:t xml:space="preserve">Vélez M.C. et al., 3961</x:t>
  </x:si>
  <x:si>
    <x:t xml:space="preserve">HUQ 13235</x:t>
  </x:si>
  <x:si>
    <x:t xml:space="preserve">Colombia, Quindio, Salento, camino La Montaña, Reserva Estrella de Agua.</x:t>
  </x:si>
  <x:si>
    <x:t xml:space="preserve">2800-3180</x:t>
  </x:si>
  <x:si>
    <x:t xml:space="preserve">camino La Montaña, Reserva Estrella de Agua.</x:t>
  </x:si>
  <x:si>
    <x:t xml:space="preserve">Chacón M.L. &amp; G. Giraldo 50</x:t>
  </x:si>
  <x:si>
    <x:t xml:space="preserve">HUQ 14711</x:t>
  </x:si>
  <x:si>
    <x:t xml:space="preserve">Colombia, Quindio, Salento, Reserva Estrella de Agua.</x:t>
  </x:si>
  <x:si>
    <x:t xml:space="preserve">Reserva Estrella de Agua.</x:t>
  </x:si>
  <x:si>
    <x:t xml:space="preserve">Vélez M.C. et a., 7309</x:t>
  </x:si>
  <x:si>
    <x:t xml:space="preserve">HUQ 24919</x:t>
  </x:si>
  <x:si>
    <x:t xml:space="preserve">Colombia, Quindio, Salento, Cuchilla de Morro Azul.</x:t>
  </x:si>
  <x:si>
    <x:t xml:space="preserve">Cuchilla de Morro Azul.</x:t>
  </x:si>
  <x:si>
    <x:t xml:space="preserve">Sanín D. et al., 3084</x:t>
  </x:si>
  <x:si>
    <x:t xml:space="preserve">Colombia, Quindio, Salento, vereda Boquia, sector La Patasola, flanco sur-oriental del río Boquia, frente al depto del Quindio y detrás del santuario Otún Quimbaya.</x:t>
  </x:si>
  <x:si>
    <x:t xml:space="preserve">W 75°37'2.14"</x:t>
  </x:si>
  <x:si>
    <x:t xml:space="preserve">75°37'2.14" W</x:t>
  </x:si>
  <x:si>
    <x:t xml:space="preserve">04°41'6.20" N, 75°37'2.14" W</x:t>
  </x:si>
  <x:si>
    <x:t xml:space="preserve">vereda Boquia, sector La Patasola, flanco sur-oriental del río Boquia, frente al depto del Quindio y detrás del santuario Otún Quimbaya.</x:t>
  </x:si>
  <x:si>
    <x:t xml:space="preserve">Colombia, Quindio, Salento, vereda Boquía, Sector La Pata Sola, flanco sur-oriental del río Boquía, frente al departamento del Quindio y detrás del Santuarío Otun Quimbaya.</x:t>
  </x:si>
  <x:si>
    <x:t xml:space="preserve">vereda Boquía, Sector La Pata Sola, flanco sur-oriental del río Boquía, frente al departamento del Quindio y detrás del Santuarío Otun Quimbaya.</x:t>
  </x:si>
  <x:si>
    <x:t xml:space="preserve">Sanín D. et al., 3090</x:t>
  </x:si>
  <x:si>
    <x:t xml:space="preserve">Sanín D. et al., 3087</x:t>
  </x:si>
  <x:si>
    <x:t xml:space="preserve">Sanín D. et al., 3115</x:t>
  </x:si>
  <x:si>
    <x:t xml:space="preserve">Colombia, Quindio, Salento, vereda Cocorá, vía Estrella de Agua, camino con mozaicos de sucesión de Alnus acuminata.</x:t>
  </x:si>
  <x:si>
    <x:t xml:space="preserve">vereda Cocorá, vía Estrella de Agua, camino con mozaicos de sucesión de Alnus acuminata.</x:t>
  </x:si>
  <x:si>
    <x:t xml:space="preserve">D. Sanín &amp; J.C. Mancera 939</x:t>
  </x:si>
  <x:si>
    <x:t xml:space="preserve">FAUC 10365</x:t>
  </x:si>
  <x:si>
    <x:t xml:space="preserve">Colombia, Risaralda, Santuario, vereda Baja Esmeralda, Cerro Churumbelo, Zona Amortiguadora P.N.N. Tatamá.</x:t>
  </x:si>
  <x:si>
    <x:t xml:space="preserve">vereda Baja Esmeralda, Cerro Churumbelo, Zona Amortiguadora P.N.N. Tatamá.</x:t>
  </x:si>
  <x:si>
    <x:t xml:space="preserve">Duque-Quintero J.M. 15</x:t>
  </x:si>
  <x:si>
    <x:t xml:space="preserve">FAUC 10780</x:t>
  </x:si>
  <x:si>
    <x:t xml:space="preserve">Colombia, Risaralda, Pereira, Santuario Otún Quimbaya.</x:t>
  </x:si>
  <x:si>
    <x:t xml:space="preserve">Santuario Otún Quimbaya.</x:t>
  </x:si>
  <x:si>
    <x:t xml:space="preserve">Duque-Quintero J.M. 17</x:t>
  </x:si>
  <x:si>
    <x:t xml:space="preserve">FAUC 10698</x:t>
  </x:si>
  <x:si>
    <x:t xml:space="preserve">Sanín D. et al., 4235</x:t>
  </x:si>
  <x:si>
    <x:t xml:space="preserve">Colombia, Risaralda, Santuario, P.N.N. Tatamá sector Monte Sancudo.</x:t>
  </x:si>
  <x:si>
    <x:t xml:space="preserve">P.N.N. Tatamá sector Monte Sancudo.</x:t>
  </x:si>
  <x:si>
    <x:t xml:space="preserve">Sanín D. &amp; V. Torrez 5124</x:t>
  </x:si>
  <x:si>
    <x:t xml:space="preserve">Colombia, Risaralda, Pereira, Santuario de Fauna y Flora Otún Quimbaya, senderos al interior del Santuario.</x:t>
  </x:si>
  <x:si>
    <x:t xml:space="preserve">Santuario de Fauna y Flora Otún Quimbaya, senderos al interior del Santuario.</x:t>
  </x:si>
  <x:si>
    <x:t xml:space="preserve">Jaramillo Mejía R. &amp; T. van der Hammen 4442</x:t>
  </x:si>
  <x:si>
    <x:t xml:space="preserve">COL 000336495</x:t>
  </x:si>
  <x:si>
    <x:t xml:space="preserve">Colombia, Santander, carretera del páramo de Guantiva a Onzaga.</x:t>
  </x:si>
  <x:si>
    <x:t xml:space="preserve">carretera del páramo de Guantiva a Onzaga.</x:t>
  </x:si>
  <x:si>
    <x:t xml:space="preserve">Bustos-P. G. 181</x:t>
  </x:si>
  <x:si>
    <x:t xml:space="preserve">COL 418777</x:t>
  </x:si>
  <x:si>
    <x:t xml:space="preserve">Colombia, Santander, Piedecuesta, vereda Cristales, trocha que conduce al nor-este de la Estación.</x:t>
  </x:si>
  <x:si>
    <x:t xml:space="preserve">COL418777</x:t>
  </x:si>
  <x:si>
    <x:t xml:space="preserve">Piedecuesta</x:t>
  </x:si>
  <x:si>
    <x:t xml:space="preserve">vereda Cristales, trocha que conduce al nor-este de la Estación.</x:t>
  </x:si>
  <x:si>
    <x:t xml:space="preserve">Sanín D. et al., 3147</x:t>
  </x:si>
  <x:si>
    <x:t xml:space="preserve">TOLI XXX</x:t>
  </x:si>
  <x:si>
    <x:t xml:space="preserve">Colombia, Tolima, Ibague, El Bergel, vía Termales de Cañón, Escuela Rural, bosuqes a mano derecha, sur este.</x:t>
  </x:si>
  <x:si>
    <x:t xml:space="preserve">El Bergel, vía Termales de Cañón, Escuela Rural, bosuqes a mano derecha, sur este.</x:t>
  </x:si>
  <x:si>
    <x:t xml:space="preserve">Sanín D. et al., 3148</x:t>
  </x:si>
  <x:si>
    <x:t xml:space="preserve">Sanín D. et al., 3170</x:t>
  </x:si>
  <x:si>
    <x:t xml:space="preserve">Colombia, Tolima, Ibague, corregimiento de Juntas, vía a la Escuela El Salto.</x:t>
  </x:si>
  <x:si>
    <x:t xml:space="preserve">corregimiento de Juntas, vía a la Escuela El Salto.</x:t>
  </x:si>
  <x:si>
    <x:t xml:space="preserve">Sanín D. &amp; E. Sanín 2731</x:t>
  </x:si>
  <x:si>
    <x:t xml:space="preserve">CAVC XXX</x:t>
  </x:si>
  <x:si>
    <x:t xml:space="preserve">Colombia, Valle del Cauca, Calí, Vereda Pance, P.N.N. Farallones de Calí, Reserva Amor y Paz, vía Valcones, transcición entre Bosque alto andino y páramo.</x:t>
  </x:si>
  <x:si>
    <x:t xml:space="preserve">Vereda Pance, P.N.N. Farallones de Calí, Reserva Amor y Paz, vía Valcones, transcición entre Bosque alto andino y páramo.</x:t>
  </x:si>
  <x:si>
    <x:t xml:space="preserve">Sanín D.  4205</x:t>
  </x:si>
  <x:si>
    <x:t xml:space="preserve">Colombia, Valle del Cauca, Buenaventura, Vista Hermosa, Piangüita.</x:t>
  </x:si>
  <x:si>
    <x:t xml:space="preserve">N 03°50'24.7"</x:t>
  </x:si>
  <x:si>
    <x:t xml:space="preserve">03°50'24.7" N</x:t>
  </x:si>
  <x:si>
    <x:t xml:space="preserve">W 77°11'41"</x:t>
  </x:si>
  <x:si>
    <x:t xml:space="preserve">77°11'41" W</x:t>
  </x:si>
  <x:si>
    <x:t xml:space="preserve">03°50'24.7" N, 77°11'41" W</x:t>
  </x:si>
  <x:si>
    <x:t xml:space="preserve">3.8401944</x:t>
  </x:si>
  <x:si>
    <x:t xml:space="preserve">-77.1947222</x:t>
  </x:si>
  <x:si>
    <x:t xml:space="preserve">3.8401944,-77.1947222</x:t>
  </x:si>
  <x:si>
    <x:t xml:space="preserve">Buenaventura</x:t>
  </x:si>
  <x:si>
    <x:t xml:space="preserve">Vista Hermosa, Piangüita.</x:t>
  </x:si>
  <x:si>
    <x:t xml:space="preserve">S. subandinum (Sodiro) A.R: Sm.</x:t>
  </x:si>
  <x:si>
    <x:t xml:space="preserve">Serpocaulon subandinum</x:t>
  </x:si>
  <x:si>
    <x:t xml:space="preserve">Londoño R. et al., 126A</x:t>
  </x:si>
  <x:si>
    <x:t xml:space="preserve">MEDEL 26047</x:t>
  </x:si>
  <x:si>
    <x:t xml:space="preserve">Colombia, Antioquia, Urrao, Páramo de Frontino, El Río.</x:t>
  </x:si>
  <x:si>
    <x:t xml:space="preserve">Páramo de Frontino, El Río.</x:t>
  </x:si>
  <x:si>
    <x:t xml:space="preserve">Londoño R. et al., 326</x:t>
  </x:si>
  <x:si>
    <x:t xml:space="preserve">MEDEL 25984</x:t>
  </x:si>
  <x:si>
    <x:t xml:space="preserve">Rodríguez W. et al., W. 3722</x:t>
  </x:si>
  <x:si>
    <x:t xml:space="preserve">COL 484067</x:t>
  </x:si>
  <x:si>
    <x:t xml:space="preserve">Colombia, Antioquia, Belmira, vereda La Amoladora, sector Montefrío, límites con los municipios de San Pedro de los Milagros y San Jerónimo.</x:t>
  </x:si>
  <x:si>
    <x:t xml:space="preserve">vereda La Amoladora, sector Montefrío, límites con los municipios de San Pedro de los Milagros y San Jerónimo.</x:t>
  </x:si>
  <x:si>
    <x:t xml:space="preserve">MEDEL 46598</x:t>
  </x:si>
  <x:si>
    <x:t xml:space="preserve">JAUM 38640</x:t>
  </x:si>
  <x:si>
    <x:t xml:space="preserve">HUA 484067</x:t>
  </x:si>
  <x:si>
    <x:t xml:space="preserve">Sanín D. et al., 5075</x:t>
  </x:si>
  <x:si>
    <x:t xml:space="preserve">N 06°37.318</x:t>
  </x:si>
  <x:si>
    <x:t xml:space="preserve">06°37.318 N</x:t>
  </x:si>
  <x:si>
    <x:t xml:space="preserve">W 75°38.697</x:t>
  </x:si>
  <x:si>
    <x:t xml:space="preserve">75°38.697 W</x:t>
  </x:si>
  <x:si>
    <x:t xml:space="preserve">06°37.318 N, 75°38.697 W</x:t>
  </x:si>
  <x:si>
    <x:t xml:space="preserve">Jaramillo Mejía R. et al., 3706</x:t>
  </x:si>
  <x:si>
    <x:t xml:space="preserve">COL 000336409</x:t>
  </x:si>
  <x:si>
    <x:t xml:space="preserve">Colombia, Boyacá, arriba de la carretera Tunja-Arcabuco, quebrada afluente del río Pómeca.</x:t>
  </x:si>
  <x:si>
    <x:t xml:space="preserve">COL000336437</x:t>
  </x:si>
  <x:si>
    <x:t xml:space="preserve">arriba de la carretera Tunja-Arcabuco</x:t>
  </x:si>
  <x:si>
    <x:t xml:space="preserve">quebrada afluente del río Pómeca.</x:t>
  </x:si>
  <x:si>
    <x:t xml:space="preserve">Jaramillo Mejía R. et al., 2869</x:t>
  </x:si>
  <x:si>
    <x:t xml:space="preserve">COL 000336437</x:t>
  </x:si>
  <x:si>
    <x:t xml:space="preserve">Colombia, Boyacá, Arriba de la carretera Tunja-Arcabuco, en la vertiente del río Pómeca.</x:t>
  </x:si>
  <x:si>
    <x:t xml:space="preserve">Hr o He</x:t>
  </x:si>
  <x:si>
    <x:t xml:space="preserve">Arriba de la carretera Tunja-Arcabuco</x:t>
  </x:si>
  <x:si>
    <x:t xml:space="preserve">en la vertiente del río Pómeca.</x:t>
  </x:si>
  <x:si>
    <x:t xml:space="preserve">Acosta-Arteaga C.E. 1098AC</x:t>
  </x:si>
  <x:si>
    <x:t xml:space="preserve">Colombia, Boyacá, Samacá, inmediaciones de La Represa Teatinos.</x:t>
  </x:si>
  <x:si>
    <x:t xml:space="preserve">inmediaciones de La Represa Teatinos.</x:t>
  </x:si>
  <x:si>
    <x:t xml:space="preserve">Rangel-Ch.  J. O. 11543</x:t>
  </x:si>
  <x:si>
    <x:t xml:space="preserve">COL 000335779</x:t>
  </x:si>
  <x:si>
    <x:t xml:space="preserve">Colombia, Boyacá, Duitama, vereda El Carmen, bosque arriba de la casa de don Acinieto.</x:t>
  </x:si>
  <x:si>
    <x:t xml:space="preserve">COL000335779</x:t>
  </x:si>
  <x:si>
    <x:t xml:space="preserve">Duitama</x:t>
  </x:si>
  <x:si>
    <x:t xml:space="preserve">vereda El Carmen, bosque arriba de la casa de don Acinieto.</x:t>
  </x:si>
  <x:si>
    <x:t xml:space="preserve">Murillo J.C. et al., 2964</x:t>
  </x:si>
  <x:si>
    <x:t xml:space="preserve">COL 000336101</x:t>
  </x:si>
  <x:si>
    <x:t xml:space="preserve">Colombia, Boyacá, Villa de Leyva, Santuario de Fauna y Flora de Iguaque, alrededor de la cabaña Mamarramos.</x:t>
  </x:si>
  <x:si>
    <x:t xml:space="preserve">COL000336101</x:t>
  </x:si>
  <x:si>
    <x:t xml:space="preserve">Santuario de Fauna y Flora de Iguaque, alrededor de la cabaña Mamarramos.</x:t>
  </x:si>
  <x:si>
    <x:t xml:space="preserve">Bischler H. 1464</x:t>
  </x:si>
  <x:si>
    <x:t xml:space="preserve">COL 74761</x:t>
  </x:si>
  <x:si>
    <x:t xml:space="preserve">Colombia, Caldas, Nevado del Ruíz, Los Chorros, cerca de la estación termal.</x:t>
  </x:si>
  <x:si>
    <x:t xml:space="preserve">N 04°55'36.82"</x:t>
  </x:si>
  <x:si>
    <x:t xml:space="preserve">04°55'36.82" N</x:t>
  </x:si>
  <x:si>
    <x:t xml:space="preserve">W 75°24'58.34"</x:t>
  </x:si>
  <x:si>
    <x:t xml:space="preserve">75°24'58.34" W</x:t>
  </x:si>
  <x:si>
    <x:t xml:space="preserve">04°55'36.82" N, 75°24'58.34" W</x:t>
  </x:si>
  <x:si>
    <x:t xml:space="preserve">4.9268944</x:t>
  </x:si>
  <x:si>
    <x:t xml:space="preserve">-75.4162056</x:t>
  </x:si>
  <x:si>
    <x:t xml:space="preserve">4.9268944,-75.4162056</x:t>
  </x:si>
  <x:si>
    <x:t xml:space="preserve">Nevado del Ruíz</x:t>
  </x:si>
  <x:si>
    <x:t xml:space="preserve">Los Chorros, cerca de la estación termal.</x:t>
  </x:si>
  <x:si>
    <x:t xml:space="preserve">Colombia, Caldas, carretera entre Manizales y El Nevado del Ruiz, Los Chorros.</x:t>
  </x:si>
  <x:si>
    <x:t xml:space="preserve">carretera entre Manizales y El Nevado del Ruiz</x:t>
  </x:si>
  <x:si>
    <x:t xml:space="preserve">Murillo M.T. 491</x:t>
  </x:si>
  <x:si>
    <x:t xml:space="preserve">COL 91312</x:t>
  </x:si>
  <x:si>
    <x:t xml:space="preserve">Colombia, Caldas, Villamaría, de Termales hacia abajo.</x:t>
  </x:si>
  <x:si>
    <x:t xml:space="preserve">Sanín D. &amp; B. Gonzalez Echeverry 2355</x:t>
  </x:si>
  <x:si>
    <x:t xml:space="preserve">Colombia, Caldas, Salamina, corregimiento de San Felix, finca Samaria, vía Monte Loro-Valle Alto, relictos a mano derecha del Bosque El Retiro.</x:t>
  </x:si>
  <x:si>
    <x:t xml:space="preserve">corregimiento de San Felix, finca Samaria, vía Monte Loro-Valle Alto, relictos a mano derecha del Bosque El Retiro.</x:t>
  </x:si>
  <x:si>
    <x:t xml:space="preserve">Sanín D. et al., 2759</x:t>
  </x:si>
  <x:si>
    <x:t xml:space="preserve">Colombia, Caldas, Manizales, Finca L a Linea, entre la Reserva Torre IV y Río Blanco, entrada por Letras, vía por camino que conduce con las Minas de Malteria.</x:t>
  </x:si>
  <x:si>
    <x:t xml:space="preserve">Finca L a Linea, entre la Reserva Torre IV y Río Blanco, entrada por Letras, vía por camino que conduce con las Minas de Malteria.</x:t>
  </x:si>
  <x:si>
    <x:t xml:space="preserve">Sanín D. &amp; A. B. Bohórquez 4318</x:t>
  </x:si>
  <x:si>
    <x:t xml:space="preserve">Colombia, Caldas, Salamina, corregimiento de San Felix, vía a Marulanda, quebrada frente a la finca El Bergel, entre el potrero y el bosque.</x:t>
  </x:si>
  <x:si>
    <x:t xml:space="preserve">corregimiento de San Felix, vía a Marulanda, quebrada frente a la finca El Bergel, entre el potrero y el bosque.</x:t>
  </x:si>
  <x:si>
    <x:t xml:space="preserve">Jaramillo-Mejia R. 5323</x:t>
  </x:si>
  <x:si>
    <x:t xml:space="preserve">COL 185838</x:t>
  </x:si>
  <x:si>
    <x:t xml:space="preserve">Colombia, Cauca, Parque Nacional del Puracé. Trocha de la carretera a la Laguna del Buey.</x:t>
  </x:si>
  <x:si>
    <x:t xml:space="preserve">N 02°18'40.39"</x:t>
  </x:si>
  <x:si>
    <x:t xml:space="preserve">02°18'40.39" N</x:t>
  </x:si>
  <x:si>
    <x:t xml:space="preserve">W 76°23'32.24"</x:t>
  </x:si>
  <x:si>
    <x:t xml:space="preserve">76°23'32.24" W</x:t>
  </x:si>
  <x:si>
    <x:t xml:space="preserve">02°18'40.39" N, 76°23'32.24" W</x:t>
  </x:si>
  <x:si>
    <x:t xml:space="preserve">2.3112194</x:t>
  </x:si>
  <x:si>
    <x:t xml:space="preserve">-76.3922889</x:t>
  </x:si>
  <x:si>
    <x:t xml:space="preserve">2.3112194,-76.3922889</x:t>
  </x:si>
  <x:si>
    <x:t xml:space="preserve">Parque Nacional del Puracé. Trocha de la carretera a la Laguna del Buey.</x:t>
  </x:si>
  <x:si>
    <x:t xml:space="preserve">Muñoz E. E.L. 746</x:t>
  </x:si>
  <x:si>
    <x:t xml:space="preserve">CAUP 17598</x:t>
  </x:si>
  <x:si>
    <x:t xml:space="preserve">Colombia, Cauca, Popayán, corregimiento de Quintana, vereda San Pedro.</x:t>
  </x:si>
  <x:si>
    <x:t xml:space="preserve">corregimiento de Quintana, vereda San Pedro.</x:t>
  </x:si>
  <x:si>
    <x:t xml:space="preserve">Aguilar J.A. 126</x:t>
  </x:si>
  <x:si>
    <x:t xml:space="preserve">CAUP 6865</x:t>
  </x:si>
  <x:si>
    <x:t xml:space="preserve">Colombia, Cauca, Bolivar, corregimiento San Juan, en la montaña.</x:t>
  </x:si>
  <x:si>
    <x:t xml:space="preserve">corregimiento San Juan, en la montaña.</x:t>
  </x:si>
  <x:si>
    <x:t xml:space="preserve">Sandoval C.L. et al., 35</x:t>
  </x:si>
  <x:si>
    <x:t xml:space="preserve">CAUP 16873</x:t>
  </x:si>
  <x:si>
    <x:t xml:space="preserve">Sandoval C.L. et al., 123</x:t>
  </x:si>
  <x:si>
    <x:t xml:space="preserve">CAUP 16940</x:t>
  </x:si>
  <x:si>
    <x:t xml:space="preserve">Colombia, Cauca, Popayán, corregimiento de Quintana. Bajando hasta el Cedral.</x:t>
  </x:si>
  <x:si>
    <x:t xml:space="preserve">2600-3000</x:t>
  </x:si>
  <x:si>
    <x:t xml:space="preserve">corregimiento de Quintana. Bajando hasta el Cedral.</x:t>
  </x:si>
  <x:si>
    <x:t xml:space="preserve">Aguilar J.A. 748</x:t>
  </x:si>
  <x:si>
    <x:t xml:space="preserve">CAUP 15214</x:t>
  </x:si>
  <x:si>
    <x:t xml:space="preserve">Colombia, Cauca, Bolivar, corregimiento Los Milagros, en los limites con el departamento de Nariño, ascenso al páramo de Granadillos.</x:t>
  </x:si>
  <x:si>
    <x:t xml:space="preserve">corregimiento Los Milagros, en los limites con el departamento de Nariño, ascenso al páramo de Granadillos.</x:t>
  </x:si>
  <x:si>
    <x:t xml:space="preserve">Muñoz E. E.L. 1721</x:t>
  </x:si>
  <x:si>
    <x:t xml:space="preserve">CAUP 18424</x:t>
  </x:si>
  <x:si>
    <x:t xml:space="preserve">Colombia, Cauca, Inza, vereda Río Sucio, Jardín Botanico Las Delicias, km 62</x:t>
  </x:si>
  <x:si>
    <x:t xml:space="preserve">N 02°33'00.01"</x:t>
  </x:si>
  <x:si>
    <x:t xml:space="preserve">02°33'00.01" N</x:t>
  </x:si>
  <x:si>
    <x:t xml:space="preserve">02°33'00.01" N, 76°04' W</x:t>
  </x:si>
  <x:si>
    <x:t xml:space="preserve">2.5500028</x:t>
  </x:si>
  <x:si>
    <x:t xml:space="preserve">2.5500028,-76.0666667</x:t>
  </x:si>
  <x:si>
    <x:t xml:space="preserve">vereda Río Sucio, Jardín Botanico Las Delicias, km 62</x:t>
  </x:si>
  <x:si>
    <x:t xml:space="preserve">Muñoz-E. E.L. 1851</x:t>
  </x:si>
  <x:si>
    <x:t xml:space="preserve">CAUP 13700</x:t>
  </x:si>
  <x:si>
    <x:t xml:space="preserve">Colombia, Cauca, Silvia, Páramo El Abejorro, vía Páramo Cresta de Gallo, vereda La Marqueza.</x:t>
  </x:si>
  <x:si>
    <x:t xml:space="preserve">CAUP13700</x:t>
  </x:si>
  <x:si>
    <x:t xml:space="preserve">Páramo El Abejorro, vía Páramo Cresta de Gallo, vereda La Marqueza.</x:t>
  </x:si>
  <x:si>
    <x:t xml:space="preserve">Muñoz L. 16</x:t>
  </x:si>
  <x:si>
    <x:t xml:space="preserve">CAUP 20235</x:t>
  </x:si>
  <x:si>
    <x:t xml:space="preserve">Colombia, Cauca, Timbío, Robles, 9 km desde Popayán, vereda Tupacinga.</x:t>
  </x:si>
  <x:si>
    <x:t xml:space="preserve">N 02°21'03.70"</x:t>
  </x:si>
  <x:si>
    <x:t xml:space="preserve">02°21'03.70" N</x:t>
  </x:si>
  <x:si>
    <x:t xml:space="preserve">W 76°40'54.11"</x:t>
  </x:si>
  <x:si>
    <x:t xml:space="preserve">76°40'54.11" W</x:t>
  </x:si>
  <x:si>
    <x:t xml:space="preserve">02°21'03.70" N, 76°40'54.11" W</x:t>
  </x:si>
  <x:si>
    <x:t xml:space="preserve">2.3510278</x:t>
  </x:si>
  <x:si>
    <x:t xml:space="preserve">-76.6816972</x:t>
  </x:si>
  <x:si>
    <x:t xml:space="preserve">2.3510278,-76.6816972</x:t>
  </x:si>
  <x:si>
    <x:t xml:space="preserve">Timbío</x:t>
  </x:si>
  <x:si>
    <x:t xml:space="preserve">Robles, 9 km desde Popayán, vereda Tupacinga.</x:t>
  </x:si>
  <x:si>
    <x:t xml:space="preserve">Cortes J. 23</x:t>
  </x:si>
  <x:si>
    <x:t xml:space="preserve">CAUP 2026</x:t>
  </x:si>
  <x:si>
    <x:t xml:space="preserve">Colombia, Cauca, Totoro, finca Potrero del río.</x:t>
  </x:si>
  <x:si>
    <x:t xml:space="preserve">finca Potrero del río.</x:t>
  </x:si>
  <x:si>
    <x:t xml:space="preserve">Jaramillo-Mejia R. &amp; T. van der Hammen 5264</x:t>
  </x:si>
  <x:si>
    <x:t xml:space="preserve">COL 185856</x:t>
  </x:si>
  <x:si>
    <x:t xml:space="preserve">Colombia, Cauca: Cordillera Central, Parque Nacional del Puracé. Zona del río San Nicolas. Meseta de la cascada del río San Nicolas.</x:t>
  </x:si>
  <x:si>
    <x:t xml:space="preserve">Cauca: Cordillera Central</x:t>
  </x:si>
  <x:si>
    <x:t xml:space="preserve">Parque Nacional del Puracé. Zona del río San Nicolas. Meseta de la cascada del río San Nicolas.</x:t>
  </x:si>
  <x:si>
    <x:t xml:space="preserve">Rangel Ch. J. O. et al., 11111</x:t>
  </x:si>
  <x:si>
    <x:t xml:space="preserve">COL 000336112</x:t>
  </x:si>
  <x:si>
    <x:t xml:space="preserve">Colombia, Cesar, 32 km SE de Manaure, arriba de la Laguna.</x:t>
  </x:si>
  <x:si>
    <x:t xml:space="preserve">N 10°25'</x:t>
  </x:si>
  <x:si>
    <x:t xml:space="preserve">10°25' N</x:t>
  </x:si>
  <x:si>
    <x:t xml:space="preserve">W 72°53'</x:t>
  </x:si>
  <x:si>
    <x:t xml:space="preserve">72°53' W</x:t>
  </x:si>
  <x:si>
    <x:t xml:space="preserve">10°25' N, 72°53' W</x:t>
  </x:si>
  <x:si>
    <x:t xml:space="preserve">10.4166667</x:t>
  </x:si>
  <x:si>
    <x:t xml:space="preserve">-72.8833333</x:t>
  </x:si>
  <x:si>
    <x:t xml:space="preserve">10.4166667,-72.8833333</x:t>
  </x:si>
  <x:si>
    <x:t xml:space="preserve">Ubiqué los 32 km al SE de Manaure en el municipio Agustín Codazzi</x:t>
  </x:si>
  <x:si>
    <x:t xml:space="preserve">32 km SE de Manaure</x:t>
  </x:si>
  <x:si>
    <x:t xml:space="preserve">arriba de la Laguna.</x:t>
  </x:si>
  <x:si>
    <x:t xml:space="preserve">Cortés S. 971</x:t>
  </x:si>
  <x:si>
    <x:t xml:space="preserve">COL 000336097</x:t>
  </x:si>
  <x:si>
    <x:t xml:space="preserve">Colombia, Cundimanarca, Bogotá, Sabana de Bogotá, Usme, vereda Olarte.</x:t>
  </x:si>
  <x:si>
    <x:t xml:space="preserve">COL000336097</x:t>
  </x:si>
  <x:si>
    <x:t xml:space="preserve">Cundimanarca</x:t>
  </x:si>
  <x:si>
    <x:t xml:space="preserve">Sabana de Bogotá, Usme, vereda Olarte.</x:t>
  </x:si>
  <x:si>
    <x:t xml:space="preserve">Cuatrecasas J. &amp; R. Jaramillo 12018</x:t>
  </x:si>
  <x:si>
    <x:t xml:space="preserve">COL 35746</x:t>
  </x:si>
  <x:si>
    <x:t xml:space="preserve">Colombia, Cundinamarca, extremo sudeste de la Sabana de Bogotá, en San Miguel.</x:t>
  </x:si>
  <x:si>
    <x:t xml:space="preserve">extremo sudeste de la Sabana de Bogotá</x:t>
  </x:si>
  <x:si>
    <x:t xml:space="preserve">en San Miguel.</x:t>
  </x:si>
  <x:si>
    <x:t xml:space="preserve">Acosta-Arteaga C.E. 339</x:t>
  </x:si>
  <x:si>
    <x:t xml:space="preserve">COL 000336119</x:t>
  </x:si>
  <x:si>
    <x:t xml:space="preserve">Colombia, Cundinamarca, Páramo de Usaquén, carretera al Boquerón.</x:t>
  </x:si>
  <x:si>
    <x:t xml:space="preserve">COL000336119</x:t>
  </x:si>
  <x:si>
    <x:t xml:space="preserve">Páramo de Usaquén</x:t>
  </x:si>
  <x:si>
    <x:t xml:space="preserve">carretera al Boquerón.</x:t>
  </x:si>
  <x:si>
    <x:t xml:space="preserve">Serna Isaza R. A. 216</x:t>
  </x:si>
  <x:si>
    <x:t xml:space="preserve">COL 341704</x:t>
  </x:si>
  <x:si>
    <x:t xml:space="preserve">Colombia, Cundinamarca, Bogotá, Monserrate, Bosque El Granizo.</x:t>
  </x:si>
  <x:si>
    <x:t xml:space="preserve">Monserrate, Bosque El Granizo.</x:t>
  </x:si>
  <x:si>
    <x:t xml:space="preserve">Serna Isaza R. A. 244</x:t>
  </x:si>
  <x:si>
    <x:t xml:space="preserve">COL 000336109</x:t>
  </x:si>
  <x:si>
    <x:t xml:space="preserve">Serna Isaza R. A. 271</x:t>
  </x:si>
  <x:si>
    <x:t xml:space="preserve">COL 000336096</x:t>
  </x:si>
  <x:si>
    <x:t xml:space="preserve">Serna Isaza R. A. 256</x:t>
  </x:si>
  <x:si>
    <x:t xml:space="preserve">COL 000336088</x:t>
  </x:si>
  <x:si>
    <x:t xml:space="preserve">Groenendijk J.P. &amp; N. Rietman 1287</x:t>
  </x:si>
  <x:si>
    <x:t xml:space="preserve">COL 000336099</x:t>
  </x:si>
  <x:si>
    <x:t xml:space="preserve">Hernándes-Schmidt M. 768</x:t>
  </x:si>
  <x:si>
    <x:t xml:space="preserve">COL 000120337</x:t>
  </x:si>
  <x:si>
    <x:t xml:space="preserve">Colombia, Cundinamarca, Subachoque, vereda Tobal, finca El Cerro.</x:t>
  </x:si>
  <x:si>
    <x:t xml:space="preserve">vereda Tobal, finca El Cerro.</x:t>
  </x:si>
  <x:si>
    <x:t xml:space="preserve">Jaramillo Mejía R. et al., 5419</x:t>
  </x:si>
  <x:si>
    <x:t xml:space="preserve">COL 000336110</x:t>
  </x:si>
  <x:si>
    <x:t xml:space="preserve">Cuatrecasas J. 11928</x:t>
  </x:si>
  <x:si>
    <x:t xml:space="preserve">COL 23195</x:t>
  </x:si>
  <x:si>
    <x:t xml:space="preserve">Colombia, Nariño, Páramo del Tábano, alto de la Cordillera, entre Pasto y El Encanto, vertiente occidental.</x:t>
  </x:si>
  <x:si>
    <x:t xml:space="preserve">N 01°28'40.01"</x:t>
  </x:si>
  <x:si>
    <x:t xml:space="preserve">01°28'40.01" N</x:t>
  </x:si>
  <x:si>
    <x:t xml:space="preserve">W 77°22'50.51"</x:t>
  </x:si>
  <x:si>
    <x:t xml:space="preserve">77°22'50.51" W</x:t>
  </x:si>
  <x:si>
    <x:t xml:space="preserve">01°28'40.01" N, 77°22'50.51" W</x:t>
  </x:si>
  <x:si>
    <x:t xml:space="preserve">1.4777806</x:t>
  </x:si>
  <x:si>
    <x:t xml:space="preserve">-77.3806972</x:t>
  </x:si>
  <x:si>
    <x:t xml:space="preserve">1.4777806,-77.3806972</x:t>
  </x:si>
  <x:si>
    <x:t xml:space="preserve">COL23195</x:t>
  </x:si>
  <x:si>
    <x:t xml:space="preserve">Páramo del Tábano</x:t>
  </x:si>
  <x:si>
    <x:t xml:space="preserve">alto de la Cordillera, entre Pasto y El Encanto, vertiente occidental.</x:t>
  </x:si>
  <x:si>
    <x:t xml:space="preserve">Hagemann W. &amp; Leis 1322</x:t>
  </x:si>
  <x:si>
    <x:t xml:space="preserve">COL 214296</x:t>
  </x:si>
  <x:si>
    <x:t xml:space="preserve">Colombia, Nariño, Pasto, La Botana.15 km vía Laguna de la Cocha, margen derecha de la carretera, bosque nublado secundario, rico en Ericaceae.</x:t>
  </x:si>
  <x:si>
    <x:t xml:space="preserve">La Botana.15 km vía Laguna de la Cocha, margen derecha de la carretera, bosque nublado secundario, rico en Ericaceae.</x:t>
  </x:si>
  <x:si>
    <x:t xml:space="preserve">Hagemann W. &amp; Leis 1854</x:t>
  </x:si>
  <x:si>
    <x:t xml:space="preserve">COL 214350</x:t>
  </x:si>
  <x:si>
    <x:t xml:space="preserve">Colombia, Nariño, carretera La Victoria-Monopampa, km. 32, Motilón.Pasto, La Botana.15 km vía Laguna de la Cocha, margen derecha de la carretera, bosque nublado secundario, rico en Ericaceae.</x:t>
  </x:si>
  <x:si>
    <x:t xml:space="preserve">carretera La Victoria-Monopampa</x:t>
  </x:si>
  <x:si>
    <x:t xml:space="preserve">km. 32, Motilón.Pasto, La Botana.15 km vía Laguna de la Cocha, margen derecha de la carretera, bosque nublado secundario, rico en Ericaceae.</x:t>
  </x:si>
  <x:si>
    <x:t xml:space="preserve">Arbeláez A.L. &amp; S. Churchill 390</x:t>
  </x:si>
  <x:si>
    <x:t xml:space="preserve">PSO 23583</x:t>
  </x:si>
  <x:si>
    <x:t xml:space="preserve">Colombia, Nariño, Pasto, 15 km vía Laguna de la Cocha, margen derecha de la carretera, bosque nublado secundario, rico en Ericaceae.</x:t>
  </x:si>
  <x:si>
    <x:t xml:space="preserve">N 01°12'</x:t>
  </x:si>
  <x:si>
    <x:t xml:space="preserve">01°12' N</x:t>
  </x:si>
  <x:si>
    <x:t xml:space="preserve">W 77°12'</x:t>
  </x:si>
  <x:si>
    <x:t xml:space="preserve">77°12' W</x:t>
  </x:si>
  <x:si>
    <x:t xml:space="preserve">01°12' N, 77°12' W</x:t>
  </x:si>
  <x:si>
    <x:t xml:space="preserve">1.2</x:t>
  </x:si>
  <x:si>
    <x:t xml:space="preserve">-77.2</x:t>
  </x:si>
  <x:si>
    <x:t xml:space="preserve">1.2,-77.2</x:t>
  </x:si>
  <x:si>
    <x:t xml:space="preserve">15 km vía Laguna de la Cocha, margen derecha de la carretera, bosque nublado secundario, rico en Ericaceae.</x:t>
  </x:si>
  <x:si>
    <x:t xml:space="preserve">Ramírez-P, B.R. &amp; J.A. Cuayal-M. 3960</x:t>
  </x:si>
  <x:si>
    <x:t xml:space="preserve">COL 494014</x:t>
  </x:si>
  <x:si>
    <x:t xml:space="preserve">Colombia, Nariño, Pasto, a 3 km E. de la población de Dolores.</x:t>
  </x:si>
  <x:si>
    <x:t xml:space="preserve">a 3 km E. de la población de Dolores.</x:t>
  </x:si>
  <x:si>
    <x:t xml:space="preserve">PSO 27471</x:t>
  </x:si>
  <x:si>
    <x:t xml:space="preserve">Molina D. &amp; M. Jojoa 251</x:t>
  </x:si>
  <x:si>
    <x:t xml:space="preserve">HUA 163207</x:t>
  </x:si>
  <x:si>
    <x:t xml:space="preserve">Colombia, Nariño, Pasto, corregimiento del Encanto, vereda el Socorro, Reserva Natural Castelvi.</x:t>
  </x:si>
  <x:si>
    <x:t xml:space="preserve">N 01°09'45.60"</x:t>
  </x:si>
  <x:si>
    <x:t xml:space="preserve">01°09'45.60" N</x:t>
  </x:si>
  <x:si>
    <x:t xml:space="preserve">W 77°09'09.89"</x:t>
  </x:si>
  <x:si>
    <x:t xml:space="preserve">77°09'09.89" W</x:t>
  </x:si>
  <x:si>
    <x:t xml:space="preserve">01°09'45.60" N, 77°09'09.89" W</x:t>
  </x:si>
  <x:si>
    <x:t xml:space="preserve">1.1626667</x:t>
  </x:si>
  <x:si>
    <x:t xml:space="preserve">-77.1527472</x:t>
  </x:si>
  <x:si>
    <x:t xml:space="preserve">1.1626667,-77.1527472</x:t>
  </x:si>
  <x:si>
    <x:t xml:space="preserve">corregimiento del Encanto, vereda el Socorro, Reserva Natural Castelvi.</x:t>
  </x:si>
  <x:si>
    <x:t xml:space="preserve">Orozco C.I. et al., 1692</x:t>
  </x:si>
  <x:si>
    <x:t xml:space="preserve">COL 000336082</x:t>
  </x:si>
  <x:si>
    <x:t xml:space="preserve">Macias D. et al., 61</x:t>
  </x:si>
  <x:si>
    <x:t xml:space="preserve">COL 442353</x:t>
  </x:si>
  <x:si>
    <x:t xml:space="preserve">Colombia, Quindio, Salento, vereda Cocora, camino a la Montaña.</x:t>
  </x:si>
  <x:si>
    <x:t xml:space="preserve">vereda Cocora, camino a la Montaña.</x:t>
  </x:si>
  <x:si>
    <x:t xml:space="preserve">HUQ 12218</x:t>
  </x:si>
  <x:si>
    <x:t xml:space="preserve">López C.A. 134</x:t>
  </x:si>
  <x:si>
    <x:t xml:space="preserve">HUQ 18473</x:t>
  </x:si>
  <x:si>
    <x:t xml:space="preserve">Colombia, Quindio, Salento, Reserva Biológica Estrella de Agua.</x:t>
  </x:si>
  <x:si>
    <x:t xml:space="preserve">Reserva Biológica Estrella de Agua.</x:t>
  </x:si>
  <x:si>
    <x:t xml:space="preserve">Sanín D. et al., 3142</x:t>
  </x:si>
  <x:si>
    <x:t xml:space="preserve">Colombia, Quindio, Salento, vereda Cocora, Estrella de Agua, vía a Romerales.</x:t>
  </x:si>
  <x:si>
    <x:t xml:space="preserve">D_Sanín3142</x:t>
  </x:si>
  <x:si>
    <x:t xml:space="preserve">vereda Cocora, Estrella de Agua, vía a Romerales.</x:t>
  </x:si>
  <x:si>
    <x:t xml:space="preserve">Sanín D. et al., 4265</x:t>
  </x:si>
  <x:si>
    <x:t xml:space="preserve">Killip E.P. &amp; G. Varela 34576</x:t>
  </x:si>
  <x:si>
    <x:t xml:space="preserve">COL 18217</x:t>
  </x:si>
  <x:si>
    <x:t xml:space="preserve">Colombia, Tolima, along Quindío Higway, between Cajamarca and summit of divide.</x:t>
  </x:si>
  <x:si>
    <x:t xml:space="preserve">N 04°26'24.13"</x:t>
  </x:si>
  <x:si>
    <x:t xml:space="preserve">04°26'24.13" N</x:t>
  </x:si>
  <x:si>
    <x:t xml:space="preserve">W 75°25'48.41"</x:t>
  </x:si>
  <x:si>
    <x:t xml:space="preserve">75°25'48.41" W</x:t>
  </x:si>
  <x:si>
    <x:t xml:space="preserve">04°26'24.13" N, 75°25'48.41" W</x:t>
  </x:si>
  <x:si>
    <x:t xml:space="preserve">4.4400361</x:t>
  </x:si>
  <x:si>
    <x:t xml:space="preserve">-75.4301139</x:t>
  </x:si>
  <x:si>
    <x:t xml:space="preserve">4.4400361,-75.4301139</x:t>
  </x:si>
  <x:si>
    <x:t xml:space="preserve">along Quindío Higway</x:t>
  </x:si>
  <x:si>
    <x:t xml:space="preserve">between Cajamarca and summit of divide.</x:t>
  </x:si>
  <x:si>
    <x:t xml:space="preserve">Sanín D et al., 3151</x:t>
  </x:si>
  <x:si>
    <x:t xml:space="preserve">Colombia, Tolima, Ibague, El Bergel, vía Termales del Cañón, Escuela Rural, bosques a mano derecha al SE.</x:t>
  </x:si>
  <x:si>
    <x:t xml:space="preserve">El Bergel, vía Termales del Cañón, Escuela Rural, bosques a mano derecha al SE.</x:t>
  </x:si>
  <x:si>
    <x:t xml:space="preserve">S. tayronae D. Sanín</x:t>
  </x:si>
  <x:si>
    <x:t xml:space="preserve">Serpocaulon tayronae</x:t>
  </x:si>
  <x:si>
    <x:t xml:space="preserve">Smith 1025</x:t>
  </x:si>
  <x:si>
    <x:t xml:space="preserve">BR</x:t>
  </x:si>
  <x:si>
    <x:t xml:space="preserve">Colombia, Magdalena, Santa Marta, Sierra nevada de Santa Marta, Las nubes.</x:t>
  </x:si>
  <x:si>
    <x:t xml:space="preserve">1898−1901</x:t>
  </x:si>
  <x:si>
    <x:t xml:space="preserve">4997,208</x:t>
  </x:si>
  <x:si>
    <x:t xml:space="preserve">Smith_1025</x:t>
  </x:si>
  <x:si>
    <x:t xml:space="preserve">D. Sanín &amp; G. F. Peñaloza Bojacá 7104</x:t>
  </x:si>
  <x:si>
    <x:t xml:space="preserve">BHCB</x:t>
  </x:si>
  <x:si>
    <x:t xml:space="preserve">Colombia, Magdalena, Minca, zona amortiguadora del Parque Nacional Natural Sierra Nevada de Santa Marta</x:t>
  </x:si>
  <x:si>
    <x:t xml:space="preserve">11°05'46.3"N</x:t>
  </x:si>
  <x:si>
    <x:t xml:space="preserve">74°04'31.5"W</x:t>
  </x:si>
  <x:si>
    <x:t xml:space="preserve">1687,487</x:t>
  </x:si>
  <x:si>
    <x:t xml:space="preserve">D. Sanín &amp; G. F. Peñaloza Bojacá 8001</x:t>
  </x:si>
  <x:si>
    <x:t xml:space="preserve">S. triseriale (Sw.) A.R. Sm.</x:t>
  </x:si>
  <x:si>
    <x:t xml:space="preserve">Serpocaulon triseriale</x:t>
  </x:si>
  <x:si>
    <x:t xml:space="preserve">Galeano G. et al., 912</x:t>
  </x:si>
  <x:si>
    <x:t xml:space="preserve">COL 000336589</x:t>
  </x:si>
  <x:si>
    <x:t xml:space="preserve">Colombia, Amazonas, corregimiento La Araracuara, trocha al río Yarí, al NE del corregimiento.</x:t>
  </x:si>
  <x:si>
    <x:t xml:space="preserve">200-300</x:t>
  </x:si>
  <x:si>
    <x:t xml:space="preserve">COL336589</x:t>
  </x:si>
  <x:si>
    <x:t xml:space="preserve">corregimiento La Araracuara</x:t>
  </x:si>
  <x:si>
    <x:t xml:space="preserve">trocha al río Yarí, al NE del corregimiento.</x:t>
  </x:si>
  <x:si>
    <x:t xml:space="preserve">Pinilla N. 600</x:t>
  </x:si>
  <x:si>
    <x:t xml:space="preserve">COL 000336561</x:t>
  </x:si>
  <x:si>
    <x:t xml:space="preserve">Colombia, Amazonas, Leticia, resguardo Tikuna de San Martín de Amacayacu.</x:t>
  </x:si>
  <x:si>
    <x:t xml:space="preserve">90-100</x:t>
  </x:si>
  <x:si>
    <x:t xml:space="preserve">N 3°46'</x:t>
  </x:si>
  <x:si>
    <x:t xml:space="preserve">3°46' N</x:t>
  </x:si>
  <x:si>
    <x:t xml:space="preserve">W70°19'</x:t>
  </x:si>
  <x:si>
    <x:t xml:space="preserve">0°19' W</x:t>
  </x:si>
  <x:si>
    <x:t xml:space="preserve">3°46' N, 0°19' W</x:t>
  </x:si>
  <x:si>
    <x:t xml:space="preserve">3.7666667</x:t>
  </x:si>
  <x:si>
    <x:t xml:space="preserve">-0.3166667</x:t>
  </x:si>
  <x:si>
    <x:t xml:space="preserve">3.7666667,-0.3166667</x:t>
  </x:si>
  <x:si>
    <x:t xml:space="preserve">COL000336561</x:t>
  </x:si>
  <x:si>
    <x:t xml:space="preserve">Leticia</x:t>
  </x:si>
  <x:si>
    <x:t xml:space="preserve">resguardo Tikuna de San Martín de Amacayacu.</x:t>
  </x:si>
  <x:si>
    <x:t xml:space="preserve">Higuera D. &amp; N. Ague 284</x:t>
  </x:si>
  <x:si>
    <x:t xml:space="preserve">COL 000336644</x:t>
  </x:si>
  <x:si>
    <x:t xml:space="preserve">Colombia, Amazonas, Leticia, Parque Nacional Amacayacu, Resguardo indigena El Vergel, isla Mocagua, restinga alta de Pachaco.</x:t>
  </x:si>
  <x:si>
    <x:t xml:space="preserve">COL336644</x:t>
  </x:si>
  <x:si>
    <x:t xml:space="preserve">Parque Nacional Amacayacu, Resguardo indigena El Vergel, isla Mocagua, restinga alta de Pachaco.</x:t>
  </x:si>
  <x:si>
    <x:t xml:space="preserve">Cardenas D. &amp; J.G. Ramirez 2724</x:t>
  </x:si>
  <x:si>
    <x:t xml:space="preserve">JAUM 23660</x:t>
  </x:si>
  <x:si>
    <x:t xml:space="preserve">Antioqua, San Luis, Vereda La Josefina, camino hacia el Tulipán</x:t>
  </x:si>
  <x:si>
    <x:t xml:space="preserve">700-925</x:t>
  </x:si>
  <x:si>
    <x:t xml:space="preserve">N 06°00'</x:t>
  </x:si>
  <x:si>
    <x:t xml:space="preserve">06°00' N</x:t>
  </x:si>
  <x:si>
    <x:t xml:space="preserve">W 74°55'</x:t>
  </x:si>
  <x:si>
    <x:t xml:space="preserve">74°55' W</x:t>
  </x:si>
  <x:si>
    <x:t xml:space="preserve">06°00' N, 74°55' W</x:t>
  </x:si>
  <x:si>
    <x:t xml:space="preserve">6</x:t>
  </x:si>
  <x:si>
    <x:t xml:space="preserve">-74.9166667</x:t>
  </x:si>
  <x:si>
    <x:t xml:space="preserve">6,-74.9166667</x:t>
  </x:si>
  <x:si>
    <x:t xml:space="preserve">JAUM23660</x:t>
  </x:si>
  <x:si>
    <x:t xml:space="preserve">Antioqua</x:t>
  </x:si>
  <x:si>
    <x:t xml:space="preserve">Vereda La Josefina, camino hacia el Tulipán</x:t>
  </x:si>
  <x:si>
    <x:t xml:space="preserve">Rodriguez W.  et al., 528</x:t>
  </x:si>
  <x:si>
    <x:t xml:space="preserve">HUA 112502</x:t>
  </x:si>
  <x:si>
    <x:t xml:space="preserve">Colombia, Antioqua, Medellín, Quebrada El Guamal, entre la vía Las Palmas-Av.El Poblado.</x:t>
  </x:si>
  <x:si>
    <x:t xml:space="preserve">N 06°13'31"</x:t>
  </x:si>
  <x:si>
    <x:t xml:space="preserve">06°13'31" N</x:t>
  </x:si>
  <x:si>
    <x:t xml:space="preserve">W 75°33'50"</x:t>
  </x:si>
  <x:si>
    <x:t xml:space="preserve">75°33'50" W</x:t>
  </x:si>
  <x:si>
    <x:t xml:space="preserve">06°13'31" N, 75°33'50" W</x:t>
  </x:si>
  <x:si>
    <x:t xml:space="preserve">6.2252778</x:t>
  </x:si>
  <x:si>
    <x:t xml:space="preserve">-75.5638889</x:t>
  </x:si>
  <x:si>
    <x:t xml:space="preserve">6.2252778,-75.5638889</x:t>
  </x:si>
  <x:si>
    <x:t xml:space="preserve">HUA112502</x:t>
  </x:si>
  <x:si>
    <x:t xml:space="preserve">Quebrada El Guamal, entre la vía Las Palmas-Av.El Poblado.</x:t>
  </x:si>
  <x:si>
    <x:t xml:space="preserve">JAUM 25487</x:t>
  </x:si>
  <x:si>
    <x:t xml:space="preserve">Archer W.A. 1054</x:t>
  </x:si>
  <x:si>
    <x:t xml:space="preserve">COL 967</x:t>
  </x:si>
  <x:si>
    <x:t xml:space="preserve">Colombia, Antioquia, Bélen</x:t>
  </x:si>
  <x:si>
    <x:t xml:space="preserve">COL967</x:t>
  </x:si>
  <x:si>
    <x:t xml:space="preserve">Bélen</x:t>
  </x:si>
  <x:si>
    <x:t xml:space="preserve">Soejarto D.D. 2902</x:t>
  </x:si>
  <x:si>
    <x:t xml:space="preserve">COL 153811</x:t>
  </x:si>
  <x:si>
    <x:t xml:space="preserve">Colombia, Antioquia, Anorí, Corregimiento de Providencia, comino por bosque secundario</x:t>
  </x:si>
  <x:si>
    <x:t xml:space="preserve">500-600</x:t>
  </x:si>
  <x:si>
    <x:t xml:space="preserve">Corregimiento de Providencia, comino por bosque secundario</x:t>
  </x:si>
  <x:si>
    <x:t xml:space="preserve">D.D. Soejarto 2902</x:t>
  </x:si>
  <x:si>
    <x:t xml:space="preserve">HUA 26406</x:t>
  </x:si>
  <x:si>
    <x:t xml:space="preserve">Antioquia, Anorí, Corregimiento de Providencia.</x:t>
  </x:si>
  <x:si>
    <x:t xml:space="preserve">Corregimiento de Providencia.</x:t>
  </x:si>
  <x:si>
    <x:t xml:space="preserve">Soejarto D.D. 2903</x:t>
  </x:si>
  <x:si>
    <x:t xml:space="preserve"> Acosta-Arteaga C. A. 51</x:t>
  </x:si>
  <x:si>
    <x:t xml:space="preserve">COL 136695</x:t>
  </x:si>
  <x:si>
    <x:t xml:space="preserve">Colombia, Antioquia, Barbosa, Dos Quebradas.</x:t>
  </x:si>
  <x:si>
    <x:t xml:space="preserve">N 06°26'20.40"</x:t>
  </x:si>
  <x:si>
    <x:t xml:space="preserve">06°26'20.40" N</x:t>
  </x:si>
  <x:si>
    <x:t xml:space="preserve">W 75°19'58.80"</x:t>
  </x:si>
  <x:si>
    <x:t xml:space="preserve">75°19'58.80" W</x:t>
  </x:si>
  <x:si>
    <x:t xml:space="preserve">06°26'20.40" N, 75°19'58.80" W</x:t>
  </x:si>
  <x:si>
    <x:t xml:space="preserve">6.439</x:t>
  </x:si>
  <x:si>
    <x:t xml:space="preserve">-75.333</x:t>
  </x:si>
  <x:si>
    <x:t xml:space="preserve">6.439,-75.333</x:t>
  </x:si>
  <x:si>
    <x:t xml:space="preserve">Dos Quebradas.</x:t>
  </x:si>
  <x:si>
    <x:t xml:space="preserve">COL 136715</x:t>
  </x:si>
  <x:si>
    <x:t xml:space="preserve">COL 136716</x:t>
  </x:si>
  <x:si>
    <x:t xml:space="preserve">Callejas R. &amp; L. Correa 675</x:t>
  </x:si>
  <x:si>
    <x:t xml:space="preserve">JAUM 45</x:t>
  </x:si>
  <x:si>
    <x:t xml:space="preserve">Colombia, Antioquia, Caldas, Finca El Ranchito, a 25 Km de Medellín</x:t>
  </x:si>
  <x:si>
    <x:t xml:space="preserve">Finca El Ranchito, a 25 Km de Medellín</x:t>
  </x:si>
  <x:si>
    <x:t xml:space="preserve">Hoyos S. &amp; J. Hernandez 526</x:t>
  </x:si>
  <x:si>
    <x:t xml:space="preserve">JAUM 12909</x:t>
  </x:si>
  <x:si>
    <x:t xml:space="preserve">Colombia, Antioquia, San Luis, autopista Medellín-Bogotá. Vereda La Josefina. Camino hacia el Pital.</x:t>
  </x:si>
  <x:si>
    <x:t xml:space="preserve">autopista Medellín-Bogotá. Vereda La Josefina. Camino hacia el Pital.</x:t>
  </x:si>
  <x:si>
    <x:t xml:space="preserve">Hoyos S. &amp; J. Hernandez 602</x:t>
  </x:si>
  <x:si>
    <x:t xml:space="preserve">JAUM 12911</x:t>
  </x:si>
  <x:si>
    <x:t xml:space="preserve">Colombia, Antioquia, San Luis, Autopista Medellín Bogota, Vereda La Josefina, camino del Caño La Mariola hacia Santa Barbara</x:t>
  </x:si>
  <x:si>
    <x:t xml:space="preserve">Autopista Medellín Bogota, Vereda La Josefina, camino del Caño La Mariola hacia Santa Barbara</x:t>
  </x:si>
  <x:si>
    <x:t xml:space="preserve">Callejas R. et al., 4223</x:t>
  </x:si>
  <x:si>
    <x:t xml:space="preserve">HUA 42822</x:t>
  </x:si>
  <x:si>
    <x:t xml:space="preserve">Colombia, Antioquia, San Luis, 16 km de las partidas a San Luis, sobre la vía Medellín-Bogotá, Vereda La Josefina.</x:t>
  </x:si>
  <x:si>
    <x:t xml:space="preserve">74°50' W</x:t>
  </x:si>
  <x:si>
    <x:t xml:space="preserve">06°00' N, 74°50' W</x:t>
  </x:si>
  <x:si>
    <x:t xml:space="preserve">-74.8333333</x:t>
  </x:si>
  <x:si>
    <x:t xml:space="preserve">6,-74.8333333</x:t>
  </x:si>
  <x:si>
    <x:t xml:space="preserve">16 km de las partidas a San Luis, sobre la vía Medellín-Bogotá, Vereda La Josefina.</x:t>
  </x:si>
  <x:si>
    <x:t xml:space="preserve">Fonnegra R. et al., 2404</x:t>
  </x:si>
  <x:si>
    <x:t xml:space="preserve">HUA 54455</x:t>
  </x:si>
  <x:si>
    <x:t xml:space="preserve">Colombia, Antioquia, Andes, 6 km de Andes hacia la vereda Momblan, apiario Ledesma Restrepo.</x:t>
  </x:si>
  <x:si>
    <x:t xml:space="preserve">HUA54455</x:t>
  </x:si>
  <x:si>
    <x:t xml:space="preserve">Andes</x:t>
  </x:si>
  <x:si>
    <x:t xml:space="preserve">6 km de Andes hacia la vereda Momblan, apiario Ledesma Restrepo.</x:t>
  </x:si>
  <x:si>
    <x:t xml:space="preserve">Giraldo-Cañas D.A. 229</x:t>
  </x:si>
  <x:si>
    <x:t xml:space="preserve">HUA 76229</x:t>
  </x:si>
  <x:si>
    <x:t xml:space="preserve">Colombia, Antioquia, Cocorná, vereda La Piñuela, carretera a San Francisco</x:t>
  </x:si>
  <x:si>
    <x:t xml:space="preserve">vereda La Piñuela, carretera a San Francisco</x:t>
  </x:si>
  <x:si>
    <x:t xml:space="preserve">D.A. Giraldo-Cañas 391</x:t>
  </x:si>
  <x:si>
    <x:t xml:space="preserve">HUA 76625</x:t>
  </x:si>
  <x:si>
    <x:t xml:space="preserve">6°02' N</x:t>
  </x:si>
  <x:si>
    <x:t xml:space="preserve">6°02' N, 75°08' W</x:t>
  </x:si>
  <x:si>
    <x:t xml:space="preserve">Rodriguez W. et al., 4165</x:t>
  </x:si>
  <x:si>
    <x:t xml:space="preserve">HUA 142016</x:t>
  </x:si>
  <x:si>
    <x:t xml:space="preserve">Colombia, Antioquia, Anorí, vereda Santa Gertrudis, finca la Estrella</x:t>
  </x:si>
  <x:si>
    <x:t xml:space="preserve">vereda Santa Gertrudis, finca la Estrella</x:t>
  </x:si>
  <x:si>
    <x:t xml:space="preserve">Murillo M.T. 1538</x:t>
  </x:si>
  <x:si>
    <x:t xml:space="preserve">COL 000336597</x:t>
  </x:si>
  <x:si>
    <x:t xml:space="preserve">Colombia, Boyacá, entre Pauna y Chiquinquirá.</x:t>
  </x:si>
  <x:si>
    <x:t xml:space="preserve">1000-1900</x:t>
  </x:si>
  <x:si>
    <x:t xml:space="preserve">entre Pauna y Chiquinquirá.</x:t>
  </x:si>
  <x:si>
    <x:t xml:space="preserve">Acosta-Arteaga C.E. 278</x:t>
  </x:si>
  <x:si>
    <x:t xml:space="preserve">COL 000336569</x:t>
  </x:si>
  <x:si>
    <x:t xml:space="preserve">Colombia, Boyacá, desierto de la Candelaria.</x:t>
  </x:si>
  <x:si>
    <x:t xml:space="preserve">COL000336569</x:t>
  </x:si>
  <x:si>
    <x:t xml:space="preserve">desierto de la Candelaria.</x:t>
  </x:si>
  <x:si>
    <x:t xml:space="preserve">Dueñas H. 3095</x:t>
  </x:si>
  <x:si>
    <x:t xml:space="preserve">COL 000336538</x:t>
  </x:si>
  <x:si>
    <x:t xml:space="preserve">Colombia, Boyacá, Villa de Leyva, Cerro del Espíritu Santo, alrededores de la cabecera municipal.</x:t>
  </x:si>
  <x:si>
    <x:t xml:space="preserve">COL000336538</x:t>
  </x:si>
  <x:si>
    <x:t xml:space="preserve">Cerro del Espíritu Santo, alrededores de la cabecera municipal.</x:t>
  </x:si>
  <x:si>
    <x:t xml:space="preserve">Olson P. et al., 24r</x:t>
  </x:si>
  <x:si>
    <x:t xml:space="preserve">FAUC 3185</x:t>
  </x:si>
  <x:si>
    <x:t xml:space="preserve">Colombia, Caldas, Riosucio, Portachuelo.</x:t>
  </x:si>
  <x:si>
    <x:t xml:space="preserve">N 05°25'43"</x:t>
  </x:si>
  <x:si>
    <x:t xml:space="preserve">05°25'43" N</x:t>
  </x:si>
  <x:si>
    <x:t xml:space="preserve">W 75°41'57.66"</x:t>
  </x:si>
  <x:si>
    <x:t xml:space="preserve">75°41'57.66" W</x:t>
  </x:si>
  <x:si>
    <x:t xml:space="preserve">05°25'43" N, 75°41'57.66" W</x:t>
  </x:si>
  <x:si>
    <x:t xml:space="preserve">5.4286111</x:t>
  </x:si>
  <x:si>
    <x:t xml:space="preserve">-75.69935</x:t>
  </x:si>
  <x:si>
    <x:t xml:space="preserve">5.4286111,-75.69935</x:t>
  </x:si>
  <x:si>
    <x:t xml:space="preserve">Portachuelo.</x:t>
  </x:si>
  <x:si>
    <x:t xml:space="preserve">Sanín D. 593</x:t>
  </x:si>
  <x:si>
    <x:t xml:space="preserve">FAUC 5587</x:t>
  </x:si>
  <x:si>
    <x:t xml:space="preserve">Colombia, Caldas, Manizales, vía La Violeta-El Rosario.</x:t>
  </x:si>
  <x:si>
    <x:t xml:space="preserve">vía La Violeta-El Rosario.</x:t>
  </x:si>
  <x:si>
    <x:t xml:space="preserve">Sanín D. 3473</x:t>
  </x:si>
  <x:si>
    <x:t xml:space="preserve">Colombia, Caldas, Villamaría, vía Potosí, cascada del río Nereidas.</x:t>
  </x:si>
  <x:si>
    <x:t xml:space="preserve">vía Potosí, cascada del río Nereidas.</x:t>
  </x:si>
  <x:si>
    <x:t xml:space="preserve">Sanín D. 526</x:t>
  </x:si>
  <x:si>
    <x:t xml:space="preserve">HUQ 29660</x:t>
  </x:si>
  <x:si>
    <x:t xml:space="preserve">Colombia, Caldas, Manizales, vereda Santagueda, sitio Salto del Cacique.</x:t>
  </x:si>
  <x:si>
    <x:t xml:space="preserve">N 05°5'19.1"</x:t>
  </x:si>
  <x:si>
    <x:t xml:space="preserve">05°5'19.1" N</x:t>
  </x:si>
  <x:si>
    <x:t xml:space="preserve">W 75°37'9.5"</x:t>
  </x:si>
  <x:si>
    <x:t xml:space="preserve">75°37'9.5" W</x:t>
  </x:si>
  <x:si>
    <x:t xml:space="preserve">05°5'19.1" N, 75°37'9.5" W</x:t>
  </x:si>
  <x:si>
    <x:t xml:space="preserve">5.0886389</x:t>
  </x:si>
  <x:si>
    <x:t xml:space="preserve">-75.6193056</x:t>
  </x:si>
  <x:si>
    <x:t xml:space="preserve">5.0886389,-75.6193056</x:t>
  </x:si>
  <x:si>
    <x:t xml:space="preserve">vereda Santagueda, sitio Salto del Cacique.</x:t>
  </x:si>
  <x:si>
    <x:t xml:space="preserve">Sanín et al., 1892</x:t>
  </x:si>
  <x:si>
    <x:t xml:space="preserve">Colombia, Caldas, Chinchiná, vereda La Colina, localidad El Alto Español, al borde de la carretera fronteriza entre los municipios de Santa Rosa y Chinchiná, relicto a mano derecha vía a Chinchiná.</x:t>
  </x:si>
  <x:si>
    <x:t xml:space="preserve">N 04°56'34.5"</x:t>
  </x:si>
  <x:si>
    <x:t xml:space="preserve">04°56'34.5" N</x:t>
  </x:si>
  <x:si>
    <x:t xml:space="preserve">W 75°41'46"</x:t>
  </x:si>
  <x:si>
    <x:t xml:space="preserve">75°41'46" W</x:t>
  </x:si>
  <x:si>
    <x:t xml:space="preserve">04°56'34.5" N, 75°41'46" W</x:t>
  </x:si>
  <x:si>
    <x:t xml:space="preserve">4.9429167</x:t>
  </x:si>
  <x:si>
    <x:t xml:space="preserve">-75.6961111</x:t>
  </x:si>
  <x:si>
    <x:t xml:space="preserve">4.9429167,-75.6961111</x:t>
  </x:si>
  <x:si>
    <x:t xml:space="preserve">Chinchiná</x:t>
  </x:si>
  <x:si>
    <x:t xml:space="preserve">vereda La Colina, localidad El Alto Español, al borde de la carretera fronteriza entre los municipios de Santa Rosa y Chinchiná, relicto a mano derecha vía a Chinchiná.</x:t>
  </x:si>
  <x:si>
    <x:t xml:space="preserve">Sanín D. et al., 2602</x:t>
  </x:si>
  <x:si>
    <x:t xml:space="preserve">Colombia, Caldas, Neira, vía Aranzazu, 4 km del casco urbano.</x:t>
  </x:si>
  <x:si>
    <x:t xml:space="preserve">N 05°12'9"</x:t>
  </x:si>
  <x:si>
    <x:t xml:space="preserve">05°12'9" N</x:t>
  </x:si>
  <x:si>
    <x:t xml:space="preserve">W 75°35'26.04"</x:t>
  </x:si>
  <x:si>
    <x:t xml:space="preserve">75°35'26.04" W</x:t>
  </x:si>
  <x:si>
    <x:t xml:space="preserve">05°12'9" N, 75°35'26.04" W</x:t>
  </x:si>
  <x:si>
    <x:t xml:space="preserve">5.2025</x:t>
  </x:si>
  <x:si>
    <x:t xml:space="preserve">-75.5905667</x:t>
  </x:si>
  <x:si>
    <x:t xml:space="preserve">5.2025,-75.5905667</x:t>
  </x:si>
  <x:si>
    <x:t xml:space="preserve">vía Aranzazu, 4 km del casco urbano.</x:t>
  </x:si>
  <x:si>
    <x:t xml:space="preserve">Sanín D. et al., 2663</x:t>
  </x:si>
  <x:si>
    <x:t xml:space="preserve">Colombia, Caldas, Chinchiná, Estación Central El Naranjal-La Romelia, subcuenca río Chinchiná-Campoalegre.</x:t>
  </x:si>
  <x:si>
    <x:t xml:space="preserve">N 04°59'</x:t>
  </x:si>
  <x:si>
    <x:t xml:space="preserve">04°59' N</x:t>
  </x:si>
  <x:si>
    <x:t xml:space="preserve">04°59' N, 75°35' W</x:t>
  </x:si>
  <x:si>
    <x:t xml:space="preserve">4.9833333</x:t>
  </x:si>
  <x:si>
    <x:t xml:space="preserve">4.9833333,-75.5833333</x:t>
  </x:si>
  <x:si>
    <x:t xml:space="preserve">Estación Central El Naranjal-La Romelia, subcuenca río Chinchiná-Campoalegre.</x:t>
  </x:si>
  <x:si>
    <x:t xml:space="preserve">Sanín D. 2542</x:t>
  </x:si>
  <x:si>
    <x:t xml:space="preserve">Colombia, Caldas, Manizales-Palestina, Empresa ESTEPAN-Colombiana de Quimicos, vía Medellín, Tres Puertas, Regeneración hacia el margen de la empresa.</x:t>
  </x:si>
  <x:si>
    <x:t xml:space="preserve">D_Sanín2542</x:t>
  </x:si>
  <x:si>
    <x:t xml:space="preserve">Manizales-Palestina</x:t>
  </x:si>
  <x:si>
    <x:t xml:space="preserve">Empresa ESTEPAN-Colombiana de Quimicos, vía Medellín, Tres Puertas, Regeneración hacia el margen de la empresa.</x:t>
  </x:si>
  <x:si>
    <x:t xml:space="preserve">Sanín D. 3470</x:t>
  </x:si>
  <x:si>
    <x:t xml:space="preserve">N 04°54'90.8"</x:t>
  </x:si>
  <x:si>
    <x:t xml:space="preserve">04°54'90.8" N</x:t>
  </x:si>
  <x:si>
    <x:t xml:space="preserve">W 75°26'71.1"</x:t>
  </x:si>
  <x:si>
    <x:t xml:space="preserve">75°26'71.1" W</x:t>
  </x:si>
  <x:si>
    <x:t xml:space="preserve">04°54'90.8" N, 75°26'71.1" W</x:t>
  </x:si>
  <x:si>
    <x:t xml:space="preserve">Sanín D. et al., 5658</x:t>
  </x:si>
  <x:si>
    <x:t xml:space="preserve">HUA XXx</x:t>
  </x:si>
  <x:si>
    <x:t xml:space="preserve">Colombia, Caldas, Chinchiná, vereda La Esmeralda, Bosuqes del Embalse San Francisco, en la vía a los tubos, por el camino de entrenamiento militar.</x:t>
  </x:si>
  <x:si>
    <x:t xml:space="preserve">N 05°03'32"</x:t>
  </x:si>
  <x:si>
    <x:t xml:space="preserve">05°03'32" N</x:t>
  </x:si>
  <x:si>
    <x:t xml:space="preserve">W 75°44'07.6"</x:t>
  </x:si>
  <x:si>
    <x:t xml:space="preserve">75°44'07.6" W</x:t>
  </x:si>
  <x:si>
    <x:t xml:space="preserve">05°03'32" N, 75°44'07.6" W</x:t>
  </x:si>
  <x:si>
    <x:t xml:space="preserve">vereda La Esmeralda, Bosuqes del Embalse San Francisco, en la vía a los tubos, por el camino de entrenamiento militar.</x:t>
  </x:si>
  <x:si>
    <x:t xml:space="preserve">Bernal H.Y. &amp; D. Tellez 512</x:t>
  </x:si>
  <x:si>
    <x:t xml:space="preserve">COL 000336662</x:t>
  </x:si>
  <x:si>
    <x:t xml:space="preserve">Colombia, Caqueta, km 17 entre Belén de los Andaquies y La Inspección de Policía "La Mono"</x:t>
  </x:si>
  <x:si>
    <x:t xml:space="preserve">COL000336662</x:t>
  </x:si>
  <x:si>
    <x:t xml:space="preserve">km 17 entre Belén de los Andaquies y La Inspección de Policía "La Mono"</x:t>
  </x:si>
  <x:si>
    <x:t xml:space="preserve">Bernal H.Y. &amp; D. Tellez 515</x:t>
  </x:si>
  <x:si>
    <x:t xml:space="preserve">COL 000336590</x:t>
  </x:si>
  <x:si>
    <x:t xml:space="preserve">Estrada J. et al., 53</x:t>
  </x:si>
  <x:si>
    <x:t xml:space="preserve">Colombia, Caquetá, Sierra de Chiribiquete, campamento sur entre éste y los primeros escarpes de la meseta.</x:t>
  </x:si>
  <x:si>
    <x:t xml:space="preserve">350-400</x:t>
  </x:si>
  <x:si>
    <x:t xml:space="preserve">N 00°55'</x:t>
  </x:si>
  <x:si>
    <x:t xml:space="preserve">00°55' N</x:t>
  </x:si>
  <x:si>
    <x:t xml:space="preserve">W 72°45'</x:t>
  </x:si>
  <x:si>
    <x:t xml:space="preserve">72°45' W</x:t>
  </x:si>
  <x:si>
    <x:t xml:space="preserve">00°55' N, 72°45' W</x:t>
  </x:si>
  <x:si>
    <x:t xml:space="preserve">0.9166667</x:t>
  </x:si>
  <x:si>
    <x:t xml:space="preserve">-72.75</x:t>
  </x:si>
  <x:si>
    <x:t xml:space="preserve">0.9166667,-72.75</x:t>
  </x:si>
  <x:si>
    <x:t xml:space="preserve">campamento sur entre éste y los primeros escarpes de la meseta.</x:t>
  </x:si>
  <x:si>
    <x:t xml:space="preserve">Palacios P. et al. 2649</x:t>
  </x:si>
  <x:si>
    <x:t xml:space="preserve">COL 000336541</x:t>
  </x:si>
  <x:si>
    <x:t xml:space="preserve">Colombia, Caquetá, Sierra de Chiribiquete, bosque en la base de la Mesa Norte.</x:t>
  </x:si>
  <x:si>
    <x:t xml:space="preserve">N 01°05'</x:t>
  </x:si>
  <x:si>
    <x:t xml:space="preserve">01°05' N</x:t>
  </x:si>
  <x:si>
    <x:t xml:space="preserve">W 72°40'</x:t>
  </x:si>
  <x:si>
    <x:t xml:space="preserve">72°40' W</x:t>
  </x:si>
  <x:si>
    <x:t xml:space="preserve">01°05' N, 72°40' W</x:t>
  </x:si>
  <x:si>
    <x:t xml:space="preserve">-72.6666667</x:t>
  </x:si>
  <x:si>
    <x:t xml:space="preserve">1.0833333,-72.6666667</x:t>
  </x:si>
  <x:si>
    <x:t xml:space="preserve">bosque en la base de la Mesa Norte.</x:t>
  </x:si>
  <x:si>
    <x:t xml:space="preserve">Palacios P. et al. 2679</x:t>
  </x:si>
  <x:si>
    <x:t xml:space="preserve">COL 000336540</x:t>
  </x:si>
  <x:si>
    <x:t xml:space="preserve">Vasco Gutiérrez A. 208</x:t>
  </x:si>
  <x:si>
    <x:t xml:space="preserve">COL 000336544</x:t>
  </x:si>
  <x:si>
    <x:t xml:space="preserve">Colombia, Caquetá, Solano.</x:t>
  </x:si>
  <x:si>
    <x:t xml:space="preserve">N 0°5.34'</x:t>
  </x:si>
  <x:si>
    <x:t xml:space="preserve">0°5.34' N</x:t>
  </x:si>
  <x:si>
    <x:t xml:space="preserve">W 72°26.72'</x:t>
  </x:si>
  <x:si>
    <x:t xml:space="preserve">72°26.72' W</x:t>
  </x:si>
  <x:si>
    <x:t xml:space="preserve">0°5.34' N, 72°26.72' W</x:t>
  </x:si>
  <x:si>
    <x:t xml:space="preserve">0.089</x:t>
  </x:si>
  <x:si>
    <x:t xml:space="preserve">-72.4453333</x:t>
  </x:si>
  <x:si>
    <x:t xml:space="preserve">0.089,-72.4453333</x:t>
  </x:si>
  <x:si>
    <x:t xml:space="preserve">Solano.</x:t>
  </x:si>
  <x:si>
    <x:t xml:space="preserve">Vasco Gutiérrez A. 421</x:t>
  </x:si>
  <x:si>
    <x:t xml:space="preserve">HUA 147544</x:t>
  </x:si>
  <x:si>
    <x:t xml:space="preserve">N 0°16'23"</x:t>
  </x:si>
  <x:si>
    <x:t xml:space="preserve">0°16'23" N</x:t>
  </x:si>
  <x:si>
    <x:t xml:space="preserve">W 72°30.39'</x:t>
  </x:si>
  <x:si>
    <x:t xml:space="preserve">72°30.39' W</x:t>
  </x:si>
  <x:si>
    <x:t xml:space="preserve">0°16'23" N, 72°30.39' W</x:t>
  </x:si>
  <x:si>
    <x:t xml:space="preserve">0.2730556</x:t>
  </x:si>
  <x:si>
    <x:t xml:space="preserve">-72.5065</x:t>
  </x:si>
  <x:si>
    <x:t xml:space="preserve">0.2730556,-72.5065</x:t>
  </x:si>
  <x:si>
    <x:t xml:space="preserve">Alrévalo R. 333</x:t>
  </x:si>
  <x:si>
    <x:t xml:space="preserve">COL 000014022</x:t>
  </x:si>
  <x:si>
    <x:t xml:space="preserve">Colombia, Caquetá, Solano, Parque Nacional Natural Serranía Chiribiquete (región SE), Estación Puerto Abeja, margen derecho del río Mesay, costado oriental de la Quebrada Puerto Abeja.</x:t>
  </x:si>
  <x:si>
    <x:t xml:space="preserve">N 0°04'16"</x:t>
  </x:si>
  <x:si>
    <x:t xml:space="preserve">0°04'16" N</x:t>
  </x:si>
  <x:si>
    <x:t xml:space="preserve">W 72°26'48"</x:t>
  </x:si>
  <x:si>
    <x:t xml:space="preserve">72°26'48" W</x:t>
  </x:si>
  <x:si>
    <x:t xml:space="preserve">0°04'16" N, 72°26'48" W</x:t>
  </x:si>
  <x:si>
    <x:t xml:space="preserve">0.0711111</x:t>
  </x:si>
  <x:si>
    <x:t xml:space="preserve">-72.4466667</x:t>
  </x:si>
  <x:si>
    <x:t xml:space="preserve">0.0711111,-72.4466667</x:t>
  </x:si>
  <x:si>
    <x:t xml:space="preserve">Parque Nacional Natural Serranía Chiribiquete (región SE), Estación Puerto Abeja, margen derecho del río Mesay, costado oriental de la Quebrada Puerto Abeja.</x:t>
  </x:si>
  <x:si>
    <x:t xml:space="preserve">Velayos M. et al., 635</x:t>
  </x:si>
  <x:si>
    <x:t xml:space="preserve">COL 000336555</x:t>
  </x:si>
  <x:si>
    <x:t xml:space="preserve">Colombia, Caqueta.</x:t>
  </x:si>
  <x:si>
    <x:t xml:space="preserve">W 72°42'0.6"</x:t>
  </x:si>
  <x:si>
    <x:t xml:space="preserve">72°42'0.6" W</x:t>
  </x:si>
  <x:si>
    <x:t xml:space="preserve">0°56'15" N, 72°42'0.6" W</x:t>
  </x:si>
  <x:si>
    <x:t xml:space="preserve">-72.7001667</x:t>
  </x:si>
  <x:si>
    <x:t xml:space="preserve">0.9375,-72.7001667</x:t>
  </x:si>
  <x:si>
    <x:t xml:space="preserve">Caqueta.</x:t>
  </x:si>
  <x:si>
    <x:t xml:space="preserve">Acosta-Arteaga C.A. 949</x:t>
  </x:si>
  <x:si>
    <x:t xml:space="preserve">COL 169241</x:t>
  </x:si>
  <x:si>
    <x:t xml:space="preserve">Colombia, Cauca, Rosas, camino de Marquez.Sobre rocas metamorficas descompuestas.</x:t>
  </x:si>
  <x:si>
    <x:t xml:space="preserve">N 02°15'40.60"</x:t>
  </x:si>
  <x:si>
    <x:t xml:space="preserve">02°15'40.60" N</x:t>
  </x:si>
  <x:si>
    <x:t xml:space="preserve">W 76°44'29.13"</x:t>
  </x:si>
  <x:si>
    <x:t xml:space="preserve">76°44'29.13" W</x:t>
  </x:si>
  <x:si>
    <x:t xml:space="preserve">02°15'40.60" N, 76°44'29.13" W</x:t>
  </x:si>
  <x:si>
    <x:t xml:space="preserve">2.2612778</x:t>
  </x:si>
  <x:si>
    <x:t xml:space="preserve">-76.741425</x:t>
  </x:si>
  <x:si>
    <x:t xml:space="preserve">2.2612778,-76.741425</x:t>
  </x:si>
  <x:si>
    <x:t xml:space="preserve">Rosas</x:t>
  </x:si>
  <x:si>
    <x:t xml:space="preserve">camino de Marquez.Sobre rocas metamorficas descompuestas.</x:t>
  </x:si>
  <x:si>
    <x:t xml:space="preserve">I.Cabrera R. 3837</x:t>
  </x:si>
  <x:si>
    <x:t xml:space="preserve">CUVC 6429</x:t>
  </x:si>
  <x:si>
    <x:t xml:space="preserve">Cauca, Margen Izquierda del Río Guapi, estación del Incora, zona de Potreros</x:t>
  </x:si>
  <x:si>
    <x:t xml:space="preserve">CUVC6429</x:t>
  </x:si>
  <x:si>
    <x:t xml:space="preserve">Margen Izquierda del Río Guapi</x:t>
  </x:si>
  <x:si>
    <x:t xml:space="preserve">estación del Incora, zona de Potreros</x:t>
  </x:si>
  <x:si>
    <x:t xml:space="preserve">Salgado Negrat B.E. et al., 36</x:t>
  </x:si>
  <x:si>
    <x:t xml:space="preserve">CAUP 5387</x:t>
  </x:si>
  <x:si>
    <x:t xml:space="preserve">Colombia, Cauca, Popayán, Universidad del Cauca. Detrás de la Biblioteca de la Facultad de Educación.</x:t>
  </x:si>
  <x:si>
    <x:t xml:space="preserve">Universidad del Cauca. Detrás de la Biblioteca de la Facultad de Educación.</x:t>
  </x:si>
  <x:si>
    <x:t xml:space="preserve">COL 459193</x:t>
  </x:si>
  <x:si>
    <x:t xml:space="preserve">COL 459197</x:t>
  </x:si>
  <x:si>
    <x:t xml:space="preserve">Casañas Suárez O.L. 147</x:t>
  </x:si>
  <x:si>
    <x:t xml:space="preserve">COL 452891</x:t>
  </x:si>
  <x:si>
    <x:t xml:space="preserve">N 02°30'32.3"</x:t>
  </x:si>
  <x:si>
    <x:t xml:space="preserve">02°30'32.3" N</x:t>
  </x:si>
  <x:si>
    <x:t xml:space="preserve">W 77°00'23.1"</x:t>
  </x:si>
  <x:si>
    <x:t xml:space="preserve">77°00'23.1" W</x:t>
  </x:si>
  <x:si>
    <x:t xml:space="preserve">02°30'32.3" N, 77°00'23.1" W</x:t>
  </x:si>
  <x:si>
    <x:t xml:space="preserve">2.5089722</x:t>
  </x:si>
  <x:si>
    <x:t xml:space="preserve">-77.0064167</x:t>
  </x:si>
  <x:si>
    <x:t xml:space="preserve">2.5089722,-77.0064167</x:t>
  </x:si>
  <x:si>
    <x:t xml:space="preserve">Aguilar J.A. 697</x:t>
  </x:si>
  <x:si>
    <x:t xml:space="preserve">CAUP 15174</x:t>
  </x:si>
  <x:si>
    <x:t xml:space="preserve">Colombia, Cauca, Bolivar, alrededores de la zona urbana de la cabecera corregimental. El Morro.</x:t>
  </x:si>
  <x:si>
    <x:t xml:space="preserve">N 01°51'7.5"</x:t>
  </x:si>
  <x:si>
    <x:t xml:space="preserve">01°51'7.5" N</x:t>
  </x:si>
  <x:si>
    <x:t xml:space="preserve">W 76°55'29"</x:t>
  </x:si>
  <x:si>
    <x:t xml:space="preserve">76°55'29" W</x:t>
  </x:si>
  <x:si>
    <x:t xml:space="preserve">01°51'7.5" N, 76°55'29" W</x:t>
  </x:si>
  <x:si>
    <x:t xml:space="preserve">1.8520833</x:t>
  </x:si>
  <x:si>
    <x:t xml:space="preserve">-76.9247222</x:t>
  </x:si>
  <x:si>
    <x:t xml:space="preserve">1.8520833,-76.9247222</x:t>
  </x:si>
  <x:si>
    <x:t xml:space="preserve">alrededores de la zona urbana de la cabecera corregimental. El Morro.</x:t>
  </x:si>
  <x:si>
    <x:t xml:space="preserve">White J. &amp; R. Warner 41</x:t>
  </x:si>
  <x:si>
    <x:t xml:space="preserve">HUA 4237</x:t>
  </x:si>
  <x:si>
    <x:t xml:space="preserve">Colombia, Chocó, Mangroves south of Virudo.</x:t>
  </x:si>
  <x:si>
    <x:t xml:space="preserve">HUA4237</x:t>
  </x:si>
  <x:si>
    <x:t xml:space="preserve">Mangroves south of Virudo.</x:t>
  </x:si>
  <x:si>
    <x:t xml:space="preserve">Forero E. et al. 1478</x:t>
  </x:si>
  <x:si>
    <x:t xml:space="preserve">COL 000336601</x:t>
  </x:si>
  <x:si>
    <x:t xml:space="preserve">Colombia, Chocó, Río Munguidó, afluente del río Atrato, alrededores de Altagracia.</x:t>
  </x:si>
  <x:si>
    <x:t xml:space="preserve">COL000336601</x:t>
  </x:si>
  <x:si>
    <x:t xml:space="preserve">Río Munguidó</x:t>
  </x:si>
  <x:si>
    <x:t xml:space="preserve">afluente del río Atrato, alrededores de Altagracia.</x:t>
  </x:si>
  <x:si>
    <x:t xml:space="preserve">Forero E. et al. 3810</x:t>
  </x:si>
  <x:si>
    <x:t xml:space="preserve">Colombia, Chocó, Hoya del Río San Juan, alrededores de Palestina.</x:t>
  </x:si>
  <x:si>
    <x:t xml:space="preserve">Hoya del Río San Juan</x:t>
  </x:si>
  <x:si>
    <x:t xml:space="preserve">Forero E. et al. 4928</x:t>
  </x:si>
  <x:si>
    <x:t xml:space="preserve">COL 000336565</x:t>
  </x:si>
  <x:si>
    <x:t xml:space="preserve">Colombia, Chocó, Hoya del Río San Juan, río Tamaná, afluente el río San Juan, entre Primavera y Santa Rosa.</x:t>
  </x:si>
  <x:si>
    <x:t xml:space="preserve">05°00' N, 76°44' W</x:t>
  </x:si>
  <x:si>
    <x:t xml:space="preserve">río Tamaná, afluente el río San Juan, entre Primavera y Santa Rosa.</x:t>
  </x:si>
  <x:si>
    <x:t xml:space="preserve">Forero E. et al. 9566</x:t>
  </x:si>
  <x:si>
    <x:t xml:space="preserve">COL 000336598</x:t>
  </x:si>
  <x:si>
    <x:t xml:space="preserve">Colombia, Chocó, Quibdó, carretera Quibdó-Yuto, km 8-9 ramal hacia el Real de Tanando.</x:t>
  </x:si>
  <x:si>
    <x:t xml:space="preserve">COL000336598</x:t>
  </x:si>
  <x:si>
    <x:t xml:space="preserve">Quibdó</x:t>
  </x:si>
  <x:si>
    <x:t xml:space="preserve">carretera Quibdó-Yuto, km 8-9 ramal hacia el Real de Tanando.</x:t>
  </x:si>
  <x:si>
    <x:t xml:space="preserve">Espinal J et al., 3569</x:t>
  </x:si>
  <x:si>
    <x:t xml:space="preserve">CHOCO 7842</x:t>
  </x:si>
  <x:si>
    <x:t xml:space="preserve">Colombia, Chocó, Bahía Solano, Parque Natural Utría, margen izquierda de la Ensenada.</x:t>
  </x:si>
  <x:si>
    <x:t xml:space="preserve">Parque Natural Utría, margen izquierda de la Ensenada.</x:t>
  </x:si>
  <x:si>
    <x:t xml:space="preserve">Muñeton S. 263</x:t>
  </x:si>
  <x:si>
    <x:t xml:space="preserve">MEDEL 33987</x:t>
  </x:si>
  <x:si>
    <x:t xml:space="preserve">Colombia, Chocó, Nuquí, El Amargal.</x:t>
  </x:si>
  <x:si>
    <x:t xml:space="preserve">N 05° 42'</x:t>
  </x:si>
  <x:si>
    <x:t xml:space="preserve">05° 42' N</x:t>
  </x:si>
  <x:si>
    <x:t xml:space="preserve">W 77°16'</x:t>
  </x:si>
  <x:si>
    <x:t xml:space="preserve">77°16' W</x:t>
  </x:si>
  <x:si>
    <x:t xml:space="preserve">05° 42' N, 77°16' W</x:t>
  </x:si>
  <x:si>
    <x:t xml:space="preserve">5.7</x:t>
  </x:si>
  <x:si>
    <x:t xml:space="preserve">-77.2666667</x:t>
  </x:si>
  <x:si>
    <x:t xml:space="preserve">5.7,-77.2666667</x:t>
  </x:si>
  <x:si>
    <x:t xml:space="preserve">Nuquí</x:t>
  </x:si>
  <x:si>
    <x:t xml:space="preserve">El Amargal.</x:t>
  </x:si>
  <x:si>
    <x:t xml:space="preserve">Ledezma E. et al., 369</x:t>
  </x:si>
  <x:si>
    <x:t xml:space="preserve">CHOCO 1372</x:t>
  </x:si>
  <x:si>
    <x:t xml:space="preserve">N 05° 13'4.01"</x:t>
  </x:si>
  <x:si>
    <x:t xml:space="preserve">05° 13'4.01" N</x:t>
  </x:si>
  <x:si>
    <x:t xml:space="preserve">W 76°38'5.52"</x:t>
  </x:si>
  <x:si>
    <x:t xml:space="preserve">76°38'5.52" W</x:t>
  </x:si>
  <x:si>
    <x:t xml:space="preserve">05° 13'4.01" N, 76°38'5.52" W</x:t>
  </x:si>
  <x:si>
    <x:t xml:space="preserve">Sanín D. et al., 2897</x:t>
  </x:si>
  <x:si>
    <x:t xml:space="preserve">Colombia, Chocó, San José del Palmar, vereda Damasco, Escuela Santa Lucia.</x:t>
  </x:si>
  <x:si>
    <x:t xml:space="preserve">N 4°52'9.38"</x:t>
  </x:si>
  <x:si>
    <x:t xml:space="preserve">4°52'9.38" N</x:t>
  </x:si>
  <x:si>
    <x:t xml:space="preserve">4°52'9.38" N, 76°15'2.33" W</x:t>
  </x:si>
  <x:si>
    <x:t xml:space="preserve">Acosta-Arteaga C.E. 412</x:t>
  </x:si>
  <x:si>
    <x:t xml:space="preserve">MEDEL 16208</x:t>
  </x:si>
  <x:si>
    <x:t xml:space="preserve">Colombia, Cundinamarca, Gachetá, confluencia entre los rios Nemegatá y Salinero.</x:t>
  </x:si>
  <x:si>
    <x:t xml:space="preserve">MEDEL16208</x:t>
  </x:si>
  <x:si>
    <x:t xml:space="preserve">Gachetá</x:t>
  </x:si>
  <x:si>
    <x:t xml:space="preserve">confluencia entre los rios Nemegatá y Salinero.</x:t>
  </x:si>
  <x:si>
    <x:t xml:space="preserve">Acosta-Arteaga 870</x:t>
  </x:si>
  <x:si>
    <x:t xml:space="preserve">COL 000336647</x:t>
  </x:si>
  <x:si>
    <x:t xml:space="preserve">Colombia, Cundinamarca, Tibacuy, carretera hacia Silvania.</x:t>
  </x:si>
  <x:si>
    <x:t xml:space="preserve">COL000336647</x:t>
  </x:si>
  <x:si>
    <x:t xml:space="preserve">Tibacuy</x:t>
  </x:si>
  <x:si>
    <x:t xml:space="preserve">carretera hacia Silvania.</x:t>
  </x:si>
  <x:si>
    <x:t xml:space="preserve">Lozano G. et al., 7199</x:t>
  </x:si>
  <x:si>
    <x:t xml:space="preserve">HUA 114452</x:t>
  </x:si>
  <x:si>
    <x:t xml:space="preserve">Colombia, Cundinamarca, Yacopí, Insp. De Policía de Guadualito, vereda de La Laguna.</x:t>
  </x:si>
  <x:si>
    <x:t xml:space="preserve">Insp. De Policía de Guadualito, vereda de La Laguna.</x:t>
  </x:si>
  <x:si>
    <x:t xml:space="preserve">Triana-Moreno L.A. et al., 196</x:t>
  </x:si>
  <x:si>
    <x:t xml:space="preserve">COL 000070300</x:t>
  </x:si>
  <x:si>
    <x:t xml:space="preserve">Colombia, Cundinamarca, Albán, a lo largo del ferrocarril entre el casco urbano y el peaje de Jalisco, vertiente occidental de la Cordillera Oriental.</x:t>
  </x:si>
  <x:si>
    <x:t xml:space="preserve">W 74°26'</x:t>
  </x:si>
  <x:si>
    <x:t xml:space="preserve">74°26' W</x:t>
  </x:si>
  <x:si>
    <x:t xml:space="preserve">04°52' N, 74°26' W</x:t>
  </x:si>
  <x:si>
    <x:t xml:space="preserve">-74.4333333</x:t>
  </x:si>
  <x:si>
    <x:t xml:space="preserve">4.8666667,-74.4333333</x:t>
  </x:si>
  <x:si>
    <x:t xml:space="preserve">a lo largo del ferrocarril entre el casco urbano y el peaje de Jalisco, vertiente occidental de la Cordillera Oriental.</x:t>
  </x:si>
  <x:si>
    <x:t xml:space="preserve">Pabón M. et al., 398</x:t>
  </x:si>
  <x:si>
    <x:t xml:space="preserve">COL 000336570</x:t>
  </x:si>
  <x:si>
    <x:t xml:space="preserve">Colombia, Guainía caserio del Sejal, río Guainía.</x:t>
  </x:si>
  <x:si>
    <x:t xml:space="preserve">COL000336570</x:t>
  </x:si>
  <x:si>
    <x:t xml:space="preserve">Guainía caserio del Sejal</x:t>
  </x:si>
  <x:si>
    <x:t xml:space="preserve">río Guainía.</x:t>
  </x:si>
  <x:si>
    <x:t xml:space="preserve">Stevenson P. 1223</x:t>
  </x:si>
  <x:si>
    <x:t xml:space="preserve">COL 000335763</x:t>
  </x:si>
  <x:si>
    <x:t xml:space="preserve">Colombia, Guaviare, al este del Retorno, cerca del caño Mico, cerca a la escuela La Morichera.</x:t>
  </x:si>
  <x:si>
    <x:t xml:space="preserve">COL000335763</x:t>
  </x:si>
  <x:si>
    <x:t xml:space="preserve">al este del Retorno</x:t>
  </x:si>
  <x:si>
    <x:t xml:space="preserve">cerca del caño Mico, cerca a la escuela La Morichera.</x:t>
  </x:si>
  <x:si>
    <x:t xml:space="preserve">López R. et al., 813</x:t>
  </x:si>
  <x:si>
    <x:t xml:space="preserve">COL 000336543</x:t>
  </x:si>
  <x:si>
    <x:t xml:space="preserve">Colombia, Guaviare, San José del Guaviare, en inmediaciones de Ciudad de Piedra, Serranía La Lindosa, carretera San José-El Capricho.</x:t>
  </x:si>
  <x:si>
    <x:t xml:space="preserve">N 02°28'28"</x:t>
  </x:si>
  <x:si>
    <x:t xml:space="preserve">02°28'28" N</x:t>
  </x:si>
  <x:si>
    <x:t xml:space="preserve">W 72°41'48"</x:t>
  </x:si>
  <x:si>
    <x:t xml:space="preserve">72°41'48" W</x:t>
  </x:si>
  <x:si>
    <x:t xml:space="preserve">02°28'28" N, 72°41'48" W</x:t>
  </x:si>
  <x:si>
    <x:t xml:space="preserve">2.4744444</x:t>
  </x:si>
  <x:si>
    <x:t xml:space="preserve">-72.6966667</x:t>
  </x:si>
  <x:si>
    <x:t xml:space="preserve">2.4744444,-72.6966667</x:t>
  </x:si>
  <x:si>
    <x:t xml:space="preserve">en inmediaciones de Ciudad de Piedra, Serranía La Lindosa, carretera San José-El Capricho.</x:t>
  </x:si>
  <x:si>
    <x:t xml:space="preserve">Osorio G. 11</x:t>
  </x:si>
  <x:si>
    <x:t xml:space="preserve">COL 248588</x:t>
  </x:si>
  <x:si>
    <x:t xml:space="preserve">Colombia, Huila, Pitalito, 3 km delante de vereda Charguayaco, vía San Adolfo.</x:t>
  </x:si>
  <x:si>
    <x:t xml:space="preserve">3 km delante de vereda Charguayaco, vía San Adolfo.</x:t>
  </x:si>
  <x:si>
    <x:t xml:space="preserve">COL 248587</x:t>
  </x:si>
  <x:si>
    <x:t xml:space="preserve">Llanos F. &amp; J. Camacho 1648a</x:t>
  </x:si>
  <x:si>
    <x:t xml:space="preserve">COL 405388</x:t>
  </x:si>
  <x:si>
    <x:t xml:space="preserve">Colombia, Huila, Colombia, inspección de Santa Ana, camino haia El Cerro de La Cruz, zona con vegetación poco alterada.</x:t>
  </x:si>
  <x:si>
    <x:t xml:space="preserve">inspección de Santa Ana, camino haia El Cerro de La Cruz, zona con vegetación poco alterada.</x:t>
  </x:si>
  <x:si>
    <x:t xml:space="preserve">Llanos F.  &amp; W.F. Gerardino 2684</x:t>
  </x:si>
  <x:si>
    <x:t xml:space="preserve">COL 410396</x:t>
  </x:si>
  <x:si>
    <x:t xml:space="preserve">Colombia, Huila, Neiva, carretera La Vega, Quebrada el Mico.</x:t>
  </x:si>
  <x:si>
    <x:t xml:space="preserve">N 02°55'43.45"</x:t>
  </x:si>
  <x:si>
    <x:t xml:space="preserve">02°55'43.45" N</x:t>
  </x:si>
  <x:si>
    <x:t xml:space="preserve">W 75°17'02.94"</x:t>
  </x:si>
  <x:si>
    <x:t xml:space="preserve">75°17'02.94" W</x:t>
  </x:si>
  <x:si>
    <x:t xml:space="preserve">02°55'43.45" N, 75°17'02.94" W</x:t>
  </x:si>
  <x:si>
    <x:t xml:space="preserve">2.9287361</x:t>
  </x:si>
  <x:si>
    <x:t xml:space="preserve">-75.28415</x:t>
  </x:si>
  <x:si>
    <x:t xml:space="preserve">2.9287361,-75.28415</x:t>
  </x:si>
  <x:si>
    <x:t xml:space="preserve">carretera La Vega, Quebrada el Mico.</x:t>
  </x:si>
  <x:si>
    <x:t xml:space="preserve">Sanín D &amp; E. Sanín 3202</x:t>
  </x:si>
  <x:si>
    <x:t xml:space="preserve">Colombia, Huila, Pitalito,  vereda Charguayaco, Reserva de la comunidad El Arroyo.</x:t>
  </x:si>
  <x:si>
    <x:t xml:space="preserve">N 01°46' 8.33"</x:t>
  </x:si>
  <x:si>
    <x:t xml:space="preserve">01°46' 8.33" N</x:t>
  </x:si>
  <x:si>
    <x:t xml:space="preserve">01°46' 8.33" N, 76°1'7.44" W</x:t>
  </x:si>
  <x:si>
    <x:t xml:space="preserve">vereda Charguayaco, Reserva de la comunidad El Arroyo.</x:t>
  </x:si>
  <x:si>
    <x:t xml:space="preserve">Sanín D. &amp; E. Sanín 3213</x:t>
  </x:si>
  <x:si>
    <x:t xml:space="preserve">Colombia, Huila, Pitalito, vereda Charguayaco, Reserva comunidad El Arroyuelo.</x:t>
  </x:si>
  <x:si>
    <x:t xml:space="preserve">vereda Charguayaco, Reserva comunidad El Arroyuelo.</x:t>
  </x:si>
  <x:si>
    <x:t xml:space="preserve">Kirkbride J.H. 2459</x:t>
  </x:si>
  <x:si>
    <x:t xml:space="preserve">COL 000336553</x:t>
  </x:si>
  <x:si>
    <x:t xml:space="preserve">COLombia, Magdalena, Sierra Nevada de Santa Marta, on trochas on finca Los Arroyitos.</x:t>
  </x:si>
  <x:si>
    <x:t xml:space="preserve">N 10° 56'</x:t>
  </x:si>
  <x:si>
    <x:t xml:space="preserve">10° 56' N</x:t>
  </x:si>
  <x:si>
    <x:t xml:space="preserve">10° 56' N, 73°58' W</x:t>
  </x:si>
  <x:si>
    <x:t xml:space="preserve">COLombia</x:t>
  </x:si>
  <x:si>
    <x:t xml:space="preserve">on trochas on finca Los Arroyitos.</x:t>
  </x:si>
  <x:si>
    <x:t xml:space="preserve">Idrobo J.M. &amp; R. E. Schultes 876</x:t>
  </x:si>
  <x:si>
    <x:t xml:space="preserve">COL 000336604</x:t>
  </x:si>
  <x:si>
    <x:t xml:space="preserve">Colombia, Meta, cordillera La Macarena (extremo nordeste), macizo Renjifo, faldas orientales.</x:t>
  </x:si>
  <x:si>
    <x:t xml:space="preserve">600-1300</x:t>
  </x:si>
  <x:si>
    <x:t xml:space="preserve">cordillera La Macarena (extremo nordeste)</x:t>
  </x:si>
  <x:si>
    <x:t xml:space="preserve">macizo Renjifo, faldas orientales.</x:t>
  </x:si>
  <x:si>
    <x:t xml:space="preserve">Jaramillo-Mejía R. et al., 1038</x:t>
  </x:si>
  <x:si>
    <x:t xml:space="preserve">COL 000336527</x:t>
  </x:si>
  <x:si>
    <x:t xml:space="preserve">Colombia, Meta, Llanos de San Martín, La Serranía, hoya del río Ariari, laguna inundable en la Laguna de Aguasucia.</x:t>
  </x:si>
  <x:si>
    <x:t xml:space="preserve">COL000336527</x:t>
  </x:si>
  <x:si>
    <x:t xml:space="preserve">Llanos de San Martín</x:t>
  </x:si>
  <x:si>
    <x:t xml:space="preserve">La Serranía, hoya del río Ariari, laguna inundable en la Laguna de Aguasucia.</x:t>
  </x:si>
  <x:si>
    <x:t xml:space="preserve">Echeverry R. 2075</x:t>
  </x:si>
  <x:si>
    <x:t xml:space="preserve">TOLI 1882</x:t>
  </x:si>
  <x:si>
    <x:t xml:space="preserve">Colombia, Meta, primeros cerros al sur de La Macarena, frente al río Guayabero.</x:t>
  </x:si>
  <x:si>
    <x:t xml:space="preserve">TOLI1882</x:t>
  </x:si>
  <x:si>
    <x:t xml:space="preserve">primeros cerros al sur de La Macarena</x:t>
  </x:si>
  <x:si>
    <x:t xml:space="preserve">frente al río Guayabero.</x:t>
  </x:si>
  <x:si>
    <x:t xml:space="preserve">COL 000336615</x:t>
  </x:si>
  <x:si>
    <x:t xml:space="preserve">Echeverry R. 2133</x:t>
  </x:si>
  <x:si>
    <x:t xml:space="preserve">COL 000336614</x:t>
  </x:si>
  <x:si>
    <x:t xml:space="preserve">Colombia, Meta, carretera entre Villavicencio-Acacias, a 7 km, finca La Reforma.</x:t>
  </x:si>
  <x:si>
    <x:t xml:space="preserve">Usé de referencia el punto de un gacetero</x:t>
  </x:si>
  <x:si>
    <x:t xml:space="preserve">COL000336614</x:t>
  </x:si>
  <x:si>
    <x:t xml:space="preserve">carretera entre Villavicencio-Acacias</x:t>
  </x:si>
  <x:si>
    <x:t xml:space="preserve">a 7 km, finca La Reforma.</x:t>
  </x:si>
  <x:si>
    <x:t xml:space="preserve">Murillo M.T. &amp; M.A. Harker 2120</x:t>
  </x:si>
  <x:si>
    <x:t xml:space="preserve">COL 000336526</x:t>
  </x:si>
  <x:si>
    <x:t xml:space="preserve">Colombia, Meta, carretera Quetame-Villavicencio.</x:t>
  </x:si>
  <x:si>
    <x:t xml:space="preserve">Dentro de Villavicencio, la vía no supera una elevación de 1.000 msnm</x:t>
  </x:si>
  <x:si>
    <x:t xml:space="preserve">COL000336526</x:t>
  </x:si>
  <x:si>
    <x:t xml:space="preserve">carretera Quetame-Villavicencio.</x:t>
  </x:si>
  <x:si>
    <x:t xml:space="preserve">Murillo M.T. &amp; M.A. Harker 2144</x:t>
  </x:si>
  <x:si>
    <x:t xml:space="preserve">COL 000336582</x:t>
  </x:si>
  <x:si>
    <x:t xml:space="preserve">Colombia, Meta, carretera entre Villavicencio, Cumaral y La Medina.</x:t>
  </x:si>
  <x:si>
    <x:t xml:space="preserve">En la vía a estos 3 municipios, no encontr{e un punto por encima de los 500 msnm</x:t>
  </x:si>
  <x:si>
    <x:t xml:space="preserve">COL000336582</x:t>
  </x:si>
  <x:si>
    <x:t xml:space="preserve">carretera entre Villavicencio</x:t>
  </x:si>
  <x:si>
    <x:t xml:space="preserve">Cumaral y La Medina.</x:t>
  </x:si>
  <x:si>
    <x:t xml:space="preserve">Muñoz-E. E.L. 1995</x:t>
  </x:si>
  <x:si>
    <x:t xml:space="preserve">CAUP 18831</x:t>
  </x:si>
  <x:si>
    <x:t xml:space="preserve">Colombia, Piamonte, corregimiento de Nápoles, vereda La Florida. Serranía de los Churumbelos.</x:t>
  </x:si>
  <x:si>
    <x:t xml:space="preserve">N 01° 07’ 3.4" </x:t>
  </x:si>
  <x:si>
    <x:t xml:space="preserve">01° 07’ 3.4" N</x:t>
  </x:si>
  <x:si>
    <x:t xml:space="preserve">W 76° 19’ 11.9"</x:t>
  </x:si>
  <x:si>
    <x:t xml:space="preserve">76° 19’ 11.9" W</x:t>
  </x:si>
  <x:si>
    <x:t xml:space="preserve">01° 07’ 3.4" N, 76° 19’ 11.9" W</x:t>
  </x:si>
  <x:si>
    <x:t xml:space="preserve">1.1176111</x:t>
  </x:si>
  <x:si>
    <x:t xml:space="preserve">-76.3199722</x:t>
  </x:si>
  <x:si>
    <x:t xml:space="preserve">1.1176111,-76.3199722</x:t>
  </x:si>
  <x:si>
    <x:t xml:space="preserve">corregimiento de Nápoles</x:t>
  </x:si>
  <x:si>
    <x:t xml:space="preserve">vereda La Florida. Serranía de los Churumbelos.</x:t>
  </x:si>
  <x:si>
    <x:t xml:space="preserve">Hagemann W. &amp; Leist 2047</x:t>
  </x:si>
  <x:si>
    <x:t xml:space="preserve">COL 000336655</x:t>
  </x:si>
  <x:si>
    <x:t xml:space="preserve">Colombia, Putumayo, Mocoa, El Pepino.</x:t>
  </x:si>
  <x:si>
    <x:t xml:space="preserve">El Pepino.</x:t>
  </x:si>
  <x:si>
    <x:t xml:space="preserve">PSO 14743</x:t>
  </x:si>
  <x:si>
    <x:t xml:space="preserve">Arbelaez G. et al., 1188</x:t>
  </x:si>
  <x:si>
    <x:t xml:space="preserve">HUA 61905</x:t>
  </x:si>
  <x:si>
    <x:t xml:space="preserve">Colombia, Quindio, La Tebaida, vereda La Argentina, Finca Santa Fé, margén izquierda de la Quebrada La Argentina.</x:t>
  </x:si>
  <x:si>
    <x:t xml:space="preserve">N 04°26'31.90"</x:t>
  </x:si>
  <x:si>
    <x:t xml:space="preserve">04°26'31.90" N</x:t>
  </x:si>
  <x:si>
    <x:t xml:space="preserve">W 75°47'29.66"</x:t>
  </x:si>
  <x:si>
    <x:t xml:space="preserve">75°47'29.66" W</x:t>
  </x:si>
  <x:si>
    <x:t xml:space="preserve">04°26'31.90" N, 75°47'29.66" W</x:t>
  </x:si>
  <x:si>
    <x:t xml:space="preserve">4.4421944</x:t>
  </x:si>
  <x:si>
    <x:t xml:space="preserve">-75.7915722</x:t>
  </x:si>
  <x:si>
    <x:t xml:space="preserve">4.4421944,-75.7915722</x:t>
  </x:si>
  <x:si>
    <x:t xml:space="preserve">La Tebaida</x:t>
  </x:si>
  <x:si>
    <x:t xml:space="preserve">vereda La Argentina, Finca Santa Fé, margén izquierda de la Quebrada La Argentina.</x:t>
  </x:si>
  <x:si>
    <x:t xml:space="preserve">HUQ 2967</x:t>
  </x:si>
  <x:si>
    <x:t xml:space="preserve">Vélez M.C. et al., 608</x:t>
  </x:si>
  <x:si>
    <x:t xml:space="preserve">HUQ 6787</x:t>
  </x:si>
  <x:si>
    <x:t xml:space="preserve">Colombia, Quindio, Filandia, vereda La Mesa Alta, finca La Congoja.</x:t>
  </x:si>
  <x:si>
    <x:t xml:space="preserve">04°40' N, 75°38' W</x:t>
  </x:si>
  <x:si>
    <x:t xml:space="preserve">4.6666667,-75.6333333</x:t>
  </x:si>
  <x:si>
    <x:t xml:space="preserve">HUQ6787</x:t>
  </x:si>
  <x:si>
    <x:t xml:space="preserve">vereda La Mesa Alta, finca La Congoja.</x:t>
  </x:si>
  <x:si>
    <x:t xml:space="preserve">Vélez M.C. et al., 4936</x:t>
  </x:si>
  <x:si>
    <x:t xml:space="preserve">HUQ 14869</x:t>
  </x:si>
  <x:si>
    <x:t xml:space="preserve">Colombia, Quindio, Ciscasia, vereda Buenavista, finca Calamar.</x:t>
  </x:si>
  <x:si>
    <x:t xml:space="preserve">N 04°37'40.59"</x:t>
  </x:si>
  <x:si>
    <x:t xml:space="preserve">04°37'40.59" N</x:t>
  </x:si>
  <x:si>
    <x:t xml:space="preserve">W 75°38'00.73"</x:t>
  </x:si>
  <x:si>
    <x:t xml:space="preserve">75°38'00.73" W</x:t>
  </x:si>
  <x:si>
    <x:t xml:space="preserve">04°37'40.59" N, 75°38'00.73" W</x:t>
  </x:si>
  <x:si>
    <x:t xml:space="preserve">4.6279417</x:t>
  </x:si>
  <x:si>
    <x:t xml:space="preserve">-75.6335361</x:t>
  </x:si>
  <x:si>
    <x:t xml:space="preserve">4.6279417,-75.6335361</x:t>
  </x:si>
  <x:si>
    <x:t xml:space="preserve">HUQ14869</x:t>
  </x:si>
  <x:si>
    <x:t xml:space="preserve">Ciscasia</x:t>
  </x:si>
  <x:si>
    <x:t xml:space="preserve">vereda Buenavista, finca Calamar.</x:t>
  </x:si>
  <x:si>
    <x:t xml:space="preserve">Vélez M.C. et al., 6246</x:t>
  </x:si>
  <x:si>
    <x:t xml:space="preserve">HUQ 16903</x:t>
  </x:si>
  <x:si>
    <x:t xml:space="preserve">Colombia, Quindio, vereda San Rafaél, bosque intervenido a la orilla de río Santo Domingo.</x:t>
  </x:si>
  <x:si>
    <x:t xml:space="preserve">HUQ16903</x:t>
  </x:si>
  <x:si>
    <x:t xml:space="preserve">vereda San Rafaél</x:t>
  </x:si>
  <x:si>
    <x:t xml:space="preserve">bosque intervenido a la orilla de río Santo Domingo.</x:t>
  </x:si>
  <x:si>
    <x:t xml:space="preserve">Sanín D. et al., 3053</x:t>
  </x:si>
  <x:si>
    <x:t xml:space="preserve">FAUC cxx</x:t>
  </x:si>
  <x:si>
    <x:t xml:space="preserve">Colombia, Quindio, Filandia, condominio Lusitania, cañón del Río Barbas.</x:t>
  </x:si>
  <x:si>
    <x:t xml:space="preserve">N 04°42'048"</x:t>
  </x:si>
  <x:si>
    <x:t xml:space="preserve">04°42'048" N</x:t>
  </x:si>
  <x:si>
    <x:t xml:space="preserve">W 75°38'37"</x:t>
  </x:si>
  <x:si>
    <x:t xml:space="preserve">75°38'37" W</x:t>
  </x:si>
  <x:si>
    <x:t xml:space="preserve">04°42'048" N, 75°38'37" W</x:t>
  </x:si>
  <x:si>
    <x:t xml:space="preserve">4.7001333</x:t>
  </x:si>
  <x:si>
    <x:t xml:space="preserve">-75.6436111</x:t>
  </x:si>
  <x:si>
    <x:t xml:space="preserve">4.7001333,-75.6436111</x:t>
  </x:si>
  <x:si>
    <x:t xml:space="preserve">D_Sanín3053</x:t>
  </x:si>
  <x:si>
    <x:t xml:space="preserve">condominio Lusitania, cañón del Río Barbas.</x:t>
  </x:si>
  <x:si>
    <x:t xml:space="preserve">Vélez M.C. et al., 7530</x:t>
  </x:si>
  <x:si>
    <x:t xml:space="preserve">COL 410032</x:t>
  </x:si>
  <x:si>
    <x:t xml:space="preserve">Colombia, Quindío, Filandia, vereda La Cauchera, finca El Recreo.</x:t>
  </x:si>
  <x:si>
    <x:t xml:space="preserve">vereda La Cauchera, finca El Recreo.</x:t>
  </x:si>
  <x:si>
    <x:t xml:space="preserve">Vélez M.C. et al., 5730</x:t>
  </x:si>
  <x:si>
    <x:t xml:space="preserve">HUQ 15940</x:t>
  </x:si>
  <x:si>
    <x:t xml:space="preserve">Vélez M.C. et al., 6679</x:t>
  </x:si>
  <x:si>
    <x:t xml:space="preserve">HUQ 18588</x:t>
  </x:si>
  <x:si>
    <x:t xml:space="preserve">Colombia, Quindío, Montenegro, vereda El Castillo, bosque relicutual.</x:t>
  </x:si>
  <x:si>
    <x:t xml:space="preserve">N 04°33'28.54"</x:t>
  </x:si>
  <x:si>
    <x:t xml:space="preserve">04°33'28.54" N</x:t>
  </x:si>
  <x:si>
    <x:t xml:space="preserve">W 75°45'16.53"</x:t>
  </x:si>
  <x:si>
    <x:t xml:space="preserve">75°45'16.53" W</x:t>
  </x:si>
  <x:si>
    <x:t xml:space="preserve">04°33'28.54" N, 75°45'16.53" W</x:t>
  </x:si>
  <x:si>
    <x:t xml:space="preserve">4.5579278</x:t>
  </x:si>
  <x:si>
    <x:t xml:space="preserve">-75.7545917</x:t>
  </x:si>
  <x:si>
    <x:t xml:space="preserve">4.5579278,-75.7545917</x:t>
  </x:si>
  <x:si>
    <x:t xml:space="preserve">Montenegro</x:t>
  </x:si>
  <x:si>
    <x:t xml:space="preserve">vereda El Castillo, bosque relicutual.</x:t>
  </x:si>
  <x:si>
    <x:t xml:space="preserve">Vélez M.C. et al., 6948</x:t>
  </x:si>
  <x:si>
    <x:t xml:space="preserve">HUQ 22165</x:t>
  </x:si>
  <x:si>
    <x:t xml:space="preserve">Colombia, Quindío, Circasia, vereda Barcelona baja, Calamar, selva relictual intervenida.</x:t>
  </x:si>
  <x:si>
    <x:t xml:space="preserve">N 04°37'40.59</x:t>
  </x:si>
  <x:si>
    <x:t xml:space="preserve">04°37'40.59 N</x:t>
  </x:si>
  <x:si>
    <x:t xml:space="preserve">04°37'40.59 N, 75°38'00.73" W</x:t>
  </x:si>
  <x:si>
    <x:t xml:space="preserve">HUQ22165</x:t>
  </x:si>
  <x:si>
    <x:t xml:space="preserve">Circasia</x:t>
  </x:si>
  <x:si>
    <x:t xml:space="preserve">vereda Barcelona baja, Calamar, selva relictual intervenida.</x:t>
  </x:si>
  <x:si>
    <x:t xml:space="preserve">Sanín  D. &amp; V. Torrez 5120</x:t>
  </x:si>
  <x:si>
    <x:t xml:space="preserve">Torres-R. J.H. 2676</x:t>
  </x:si>
  <x:si>
    <x:t xml:space="preserve">COL 264070</x:t>
  </x:si>
  <x:si>
    <x:t xml:space="preserve">Colombia, Santander, Charalá, corregimiento de Virolín, camino El Reloj, en vallecito y alrededores de la quebrada La Lanosa.</x:t>
  </x:si>
  <x:si>
    <x:t xml:space="preserve">COL264070</x:t>
  </x:si>
  <x:si>
    <x:t xml:space="preserve">corregimiento de Virolín, camino El Reloj, en vallecito y alrededores de la quebrada La Lanosa.</x:t>
  </x:si>
  <x:si>
    <x:t xml:space="preserve">Aguilar C. 79</x:t>
  </x:si>
  <x:si>
    <x:t xml:space="preserve">TOLI 1258</x:t>
  </x:si>
  <x:si>
    <x:t xml:space="preserve">Colombia, Tolima, Villa Rica.</x:t>
  </x:si>
  <x:si>
    <x:t xml:space="preserve">TOLI1258</x:t>
  </x:si>
  <x:si>
    <x:t xml:space="preserve">Villa Rica.</x:t>
  </x:si>
  <x:si>
    <x:t xml:space="preserve">Forero A. et al., 17</x:t>
  </x:si>
  <x:si>
    <x:t xml:space="preserve">TOLI 8898</x:t>
  </x:si>
  <x:si>
    <x:t xml:space="preserve">Colombia, Tolima, Ibagué, Universidad del Tolima.</x:t>
  </x:si>
  <x:si>
    <x:t xml:space="preserve">Universidad del Tolima.</x:t>
  </x:si>
  <x:si>
    <x:t xml:space="preserve">Cabrera I. 471</x:t>
  </x:si>
  <x:si>
    <x:t xml:space="preserve">COL 98316</x:t>
  </x:si>
  <x:si>
    <x:t xml:space="preserve">Colombia, Valle, Bajo Calima.</x:t>
  </x:si>
  <x:si>
    <x:t xml:space="preserve">Bajo Calima.</x:t>
  </x:si>
  <x:si>
    <x:t xml:space="preserve">Balcázar H. 9</x:t>
  </x:si>
  <x:si>
    <x:t xml:space="preserve">CAUV 2757</x:t>
  </x:si>
  <x:si>
    <x:t xml:space="preserve">Colombia, Valle, Hoya del Río Anchicayá.</x:t>
  </x:si>
  <x:si>
    <x:t xml:space="preserve">Hoya del Río Anchicayá.</x:t>
  </x:si>
  <x:si>
    <x:t xml:space="preserve">W. Hagemann 475</x:t>
  </x:si>
  <x:si>
    <x:t xml:space="preserve">COL 118604</x:t>
  </x:si>
  <x:si>
    <x:t xml:space="preserve">Valle, Buenaventura, sobre Rizophora</x:t>
  </x:si>
  <x:si>
    <x:t xml:space="preserve">COL118604</x:t>
  </x:si>
  <x:si>
    <x:t xml:space="preserve">sobre Rizophora</x:t>
  </x:si>
  <x:si>
    <x:t xml:space="preserve">Hagemann W. &amp; Leist 1446</x:t>
  </x:si>
  <x:si>
    <x:t xml:space="preserve">COL 214294</x:t>
  </x:si>
  <x:si>
    <x:t xml:space="preserve">Acosta-Arteaga C.A. 1048</x:t>
  </x:si>
  <x:si>
    <x:t xml:space="preserve">COL 160538</x:t>
  </x:si>
  <x:si>
    <x:t xml:space="preserve">Colombia, Valle, Alcalá, carretera a Filandia.</x:t>
  </x:si>
  <x:si>
    <x:t xml:space="preserve">sn</x:t>
  </x:si>
  <x:si>
    <x:t xml:space="preserve">COL160538</x:t>
  </x:si>
  <x:si>
    <x:t xml:space="preserve">Alcalá</x:t>
  </x:si>
  <x:si>
    <x:t xml:space="preserve">carretera a Filandia.</x:t>
  </x:si>
  <x:si>
    <x:t xml:space="preserve">F.A. Silverstone-Sopkin 1108</x:t>
  </x:si>
  <x:si>
    <x:t xml:space="preserve">CUVC 12877</x:t>
  </x:si>
  <x:si>
    <x:t xml:space="preserve">Valle, Calima, Valle del Río Bravo, cerca de Playa Rica, Cordillera Occidental.</x:t>
  </x:si>
  <x:si>
    <x:t xml:space="preserve">CUVC12877</x:t>
  </x:si>
  <x:si>
    <x:t xml:space="preserve">Calima</x:t>
  </x:si>
  <x:si>
    <x:t xml:space="preserve">Valle del Río Bravo, cerca de Playa Rica, Cordillera Occidental.</x:t>
  </x:si>
  <x:si>
    <x:t xml:space="preserve">F.A. Silverstone-Sopkin 3543</x:t>
  </x:si>
  <x:si>
    <x:t xml:space="preserve">CUVC 14927</x:t>
  </x:si>
  <x:si>
    <x:t xml:space="preserve">Valle, Calí, Universidad del Valle, atraz del edificio de Administración,</x:t>
  </x:si>
  <x:si>
    <x:t xml:space="preserve">CUVC14927</x:t>
  </x:si>
  <x:si>
    <x:t xml:space="preserve">Universidad del Valle, atraz del edificio de Administración, </x:t>
  </x:si>
  <x:si>
    <x:t xml:space="preserve">D. Sanín &amp; N. Castaño 1010</x:t>
  </x:si>
  <x:si>
    <x:t xml:space="preserve">CUVC 37202</x:t>
  </x:si>
  <x:si>
    <x:t xml:space="preserve">Valle, Buenavanetura, Ladrilleros, La Barra.</x:t>
  </x:si>
  <x:si>
    <x:t xml:space="preserve">CUVC37202</x:t>
  </x:si>
  <x:si>
    <x:t xml:space="preserve">Buenavanetura</x:t>
  </x:si>
  <x:si>
    <x:t xml:space="preserve">Ladrilleros, La Barra.</x:t>
  </x:si>
  <x:si>
    <x:t xml:space="preserve">FAUC 11740</x:t>
  </x:si>
  <x:si>
    <x:t xml:space="preserve">Heredia M.D. &amp; L.M. Alvaréz 373</x:t>
  </x:si>
  <x:si>
    <x:t xml:space="preserve">CUVC 19961</x:t>
  </x:si>
  <x:si>
    <x:t xml:space="preserve">Colombia, Valle,Dagua, Hda. Río Grande,  Cañón del Río Grande, antes de cruzar el puente sobre el río.</x:t>
  </x:si>
  <x:si>
    <x:t xml:space="preserve">CUVC19961</x:t>
  </x:si>
  <x:si>
    <x:t xml:space="preserve">Dagua</x:t>
  </x:si>
  <x:si>
    <x:t xml:space="preserve">Hda. Río Grande, Cañón del Río Grande, antes de cruzar el puente sobre el río.</x:t>
  </x:si>
  <x:si>
    <x:t xml:space="preserve">H. Belalcazár 09</x:t>
  </x:si>
  <x:si>
    <x:t xml:space="preserve">CUVC 2757</x:t>
  </x:si>
  <x:si>
    <x:t xml:space="preserve">Valle del Cauca, Valle del Lili.</x:t>
  </x:si>
  <x:si>
    <x:t xml:space="preserve">CUVC2757</x:t>
  </x:si>
  <x:si>
    <x:t xml:space="preserve">Valle del Lili.</x:t>
  </x:si>
  <x:si>
    <x:t xml:space="preserve">Sanín D. 4207</x:t>
  </x:si>
  <x:si>
    <x:t xml:space="preserve">Colombia, Valle del Cauca, Buenaventura, Vista Hermosa Piangüita.</x:t>
  </x:si>
  <x:si>
    <x:t xml:space="preserve">D_Sanín4207</x:t>
  </x:si>
  <x:si>
    <x:t xml:space="preserve">Vista Hermosa Piangüita.</x:t>
  </x:si>
  <x:si>
    <x:t xml:space="preserve">Schultes R.E. &amp; I. Cabrera 17252</x:t>
  </x:si>
  <x:si>
    <x:t xml:space="preserve">COL 00033661</x:t>
  </x:si>
  <x:si>
    <x:t xml:space="preserve">Colombia, Vaupes, Río Piraparaná, (tributary of Río Apaporis, Caño Teemeeña.</x:t>
  </x:si>
  <x:si>
    <x:t xml:space="preserve">N 0°15'</x:t>
  </x:si>
  <x:si>
    <x:t xml:space="preserve">0°15' N</x:t>
  </x:si>
  <x:si>
    <x:t xml:space="preserve">W 70°30'</x:t>
  </x:si>
  <x:si>
    <x:t xml:space="preserve">70°30' W</x:t>
  </x:si>
  <x:si>
    <x:t xml:space="preserve">0°15' N, 70°30' W</x:t>
  </x:si>
  <x:si>
    <x:t xml:space="preserve">0.25</x:t>
  </x:si>
  <x:si>
    <x:t xml:space="preserve">-70.5</x:t>
  </x:si>
  <x:si>
    <x:t xml:space="preserve">0.25,-70.5</x:t>
  </x:si>
  <x:si>
    <x:t xml:space="preserve">Vaupes</x:t>
  </x:si>
  <x:si>
    <x:t xml:space="preserve">Río Piraparaná</x:t>
  </x:si>
  <x:si>
    <x:t xml:space="preserve">(tributary of Río Apaporis, Caño Teemeeña.</x:t>
  </x:si>
  <x:si>
    <x:t xml:space="preserve">COL 000336633</x:t>
  </x:si>
  <x:si>
    <x:t xml:space="preserve">Pinto-E. P. &amp; C. Sastre 1216</x:t>
  </x:si>
  <x:si>
    <x:t xml:space="preserve">COL 000336637</x:t>
  </x:si>
  <x:si>
    <x:t xml:space="preserve">Colombia, Vichada, Hato Canáima, limites entre Vichada y Meta, carretera a Puerto Carreño, entre El Porvenir y Sta. Rosalía, cerca a Carijén.</x:t>
  </x:si>
  <x:si>
    <x:t xml:space="preserve">COL000336637</x:t>
  </x:si>
  <x:si>
    <x:t xml:space="preserve">Vichada</x:t>
  </x:si>
  <x:si>
    <x:t xml:space="preserve">Hato Canáima</x:t>
  </x:si>
  <x:si>
    <x:t xml:space="preserve">limites entre Vichada y Meta, carretera a Puerto Carreño, entre El Porvenir y Sta. Rosalía, cerca a Carijén.</x:t>
  </x:si>
  <x:si>
    <x:t xml:space="preserve">S. wagneri (Mett.) A.R.Sm.</x:t>
  </x:si>
  <x:si>
    <x:t xml:space="preserve">Serpocaulon wagneri</x:t>
  </x:si>
  <x:si>
    <x:t xml:space="preserve">Mercado J. 21</x:t>
  </x:si>
  <x:si>
    <x:t xml:space="preserve">HUA 735</x:t>
  </x:si>
  <x:si>
    <x:t xml:space="preserve">Colombia, Antioquia, Caceres, corregimiento de Manizales.</x:t>
  </x:si>
  <x:si>
    <x:t xml:space="preserve">s/a</x:t>
  </x:si>
  <x:si>
    <x:t xml:space="preserve">N 07°50'</x:t>
  </x:si>
  <x:si>
    <x:t xml:space="preserve">07°50' N</x:t>
  </x:si>
  <x:si>
    <x:t xml:space="preserve">W 75°25'</x:t>
  </x:si>
  <x:si>
    <x:t xml:space="preserve">75°25' W</x:t>
  </x:si>
  <x:si>
    <x:t xml:space="preserve">07°50' N, 75°25' W</x:t>
  </x:si>
  <x:si>
    <x:t xml:space="preserve">7.8333333</x:t>
  </x:si>
  <x:si>
    <x:t xml:space="preserve">-75.4166667</x:t>
  </x:si>
  <x:si>
    <x:t xml:space="preserve">7.8333333,-75.4166667</x:t>
  </x:si>
  <x:si>
    <x:t xml:space="preserve">Caceres</x:t>
  </x:si>
  <x:si>
    <x:t xml:space="preserve">corregimiento de Manizales.</x:t>
  </x:si>
  <x:si>
    <x:t xml:space="preserve">Giraldo R. et al., 112</x:t>
  </x:si>
  <x:si>
    <x:t xml:space="preserve">HUA 52161</x:t>
  </x:si>
  <x:si>
    <x:t xml:space="preserve">Colombia, Antioquia, Mutatá, vereda Caucheras.</x:t>
  </x:si>
  <x:si>
    <x:t xml:space="preserve">N 07°14'</x:t>
  </x:si>
  <x:si>
    <x:t xml:space="preserve">07°14' N</x:t>
  </x:si>
  <x:si>
    <x:t xml:space="preserve">W 76°25'</x:t>
  </x:si>
  <x:si>
    <x:t xml:space="preserve">76°25' W</x:t>
  </x:si>
  <x:si>
    <x:t xml:space="preserve">07°14' N, 76°25' W</x:t>
  </x:si>
  <x:si>
    <x:t xml:space="preserve">7.2333333</x:t>
  </x:si>
  <x:si>
    <x:t xml:space="preserve">7.2333333,-76.4166667</x:t>
  </x:si>
  <x:si>
    <x:t xml:space="preserve">Mutatá</x:t>
  </x:si>
  <x:si>
    <x:t xml:space="preserve">vereda Caucheras.</x:t>
  </x:si>
  <x:si>
    <x:t xml:space="preserve">Fernandez J. L. 15960</x:t>
  </x:si>
  <x:si>
    <x:t xml:space="preserve">COL 475583</x:t>
  </x:si>
  <x:si>
    <x:t xml:space="preserve">Colombia, Cundinamarca, Ubala B. Inspeccion de policia Manbita. Campamento Emgesa.</x:t>
  </x:si>
  <x:si>
    <x:t xml:space="preserve">N 04°46'10"</x:t>
  </x:si>
  <x:si>
    <x:t xml:space="preserve">04°46'10" N</x:t>
  </x:si>
  <x:si>
    <x:t xml:space="preserve">W 73°19'26"</x:t>
  </x:si>
  <x:si>
    <x:t xml:space="preserve">73°19'26" W</x:t>
  </x:si>
  <x:si>
    <x:t xml:space="preserve">04°46'10" N, 73°19'26" W</x:t>
  </x:si>
  <x:si>
    <x:t xml:space="preserve">4.7694444</x:t>
  </x:si>
  <x:si>
    <x:t xml:space="preserve">4.7694444,-73.3238889</x:t>
  </x:si>
  <x:si>
    <x:t xml:space="preserve">Ubala B. Inspeccion de policia Manbita. Campamento Emgesa.</x:t>
  </x:si>
  <x:si>
    <x:t xml:space="preserve">Fernandez J. L. 16217</x:t>
  </x:si>
  <x:si>
    <x:t xml:space="preserve">COL 475586</x:t>
  </x:si>
  <x:si>
    <x:t xml:space="preserve">Colombia, Cundinamarca, Ubala B. Vereda San Roque, camino a Campo Hermoso.</x:t>
  </x:si>
  <x:si>
    <x:t xml:space="preserve">N 04°45'50"</x:t>
  </x:si>
  <x:si>
    <x:t xml:space="preserve">04°45'50" N</x:t>
  </x:si>
  <x:si>
    <x:t xml:space="preserve">W 73°20'56"</x:t>
  </x:si>
  <x:si>
    <x:t xml:space="preserve">73°20'56" W</x:t>
  </x:si>
  <x:si>
    <x:t xml:space="preserve">04°45'50" N, 73°20'56" W</x:t>
  </x:si>
  <x:si>
    <x:t xml:space="preserve">4.7638889</x:t>
  </x:si>
  <x:si>
    <x:t xml:space="preserve">-73.3488889</x:t>
  </x:si>
  <x:si>
    <x:t xml:space="preserve">4.7638889,-73.3488889</x:t>
  </x:si>
  <x:si>
    <x:t xml:space="preserve">Ubala B. Vereda San Roque</x:t>
  </x:si>
  <x:si>
    <x:t xml:space="preserve">camino a Campo Hermoso.</x:t>
  </x:si>
  <x:si>
    <x:t xml:space="preserve">Schlim 636</x:t>
  </x:si>
  <x:si>
    <x:t xml:space="preserve">BR 697081</x:t>
  </x:si>
  <x:si>
    <x:t xml:space="preserve">Colombia, Norte de Santander Ocaña, San Pedro, </x:t>
  </x:si>
  <x:si>
    <x:t xml:space="preserve">1/05/1846</x:t>
  </x:si>
  <x:si>
    <x:t xml:space="preserve">BR697081</x:t>
  </x:si>
  <x:si>
    <x:t xml:space="preserve">Norte de Santander Ocaña</x:t>
  </x:si>
  <x:si>
    <x:t xml:space="preserve">San Pedro</x:t>
  </x:si>
  <x:si>
    <x:t xml:space="preserve">S. X manizalense</x:t>
  </x:si>
  <x:si>
    <x:t xml:space="preserve">Serpocaulon x manizalense</x:t>
  </x:si>
  <x:si>
    <x:t xml:space="preserve">D. Sanín et al., 2646</x:t>
  </x:si>
  <x:si>
    <x:t xml:space="preserve">Colombia, Caldas, vía Neira, cerca del Relleno Sanitario La Esmeralda, zona derecha que se pronostica conservar en la…</x:t>
  </x:si>
  <x:si>
    <x:t xml:space="preserve">2070-2200</x:t>
  </x:si>
  <x:si>
    <x:t xml:space="preserve">N 5°05' </x:t>
  </x:si>
  <x:si>
    <x:t xml:space="preserve">5°05' N</x:t>
  </x:si>
  <x:si>
    <x:t xml:space="preserve">5°05' N, 75°30'30.5" W</x:t>
  </x:si>
  <x:si>
    <x:t xml:space="preserve">5.0833333</x:t>
  </x:si>
  <x:si>
    <x:t xml:space="preserve">5.0833333,-75.5084722</x:t>
  </x:si>
  <x:si>
    <x:t xml:space="preserve">vía Neira</x:t>
  </x:si>
  <x:si>
    <x:t xml:space="preserve">cerca del Relleno Sanitario La Esmeralda, zona derecha que se pronostica conservar en la…</x:t>
  </x:si>
  <x:si>
    <x:t xml:space="preserve">S. X semipinnatifidum  (Fée) A.R.Sm.</x:t>
  </x:si>
  <x:si>
    <x:t xml:space="preserve">Serpocaulon x semipinnatifidum</x:t>
  </x:si>
  <x:si>
    <x:t xml:space="preserve">Hno. Daniel s/n</x:t>
  </x:si>
  <x:si>
    <x:t xml:space="preserve">COL 121433</x:t>
  </x:si>
  <x:si>
    <x:t xml:space="preserve">Colombia, Antioquia, Jericó.</x:t>
  </x:si>
  <x:si>
    <x:t xml:space="preserve">N 05°47'23.24"</x:t>
  </x:si>
  <x:si>
    <x:t xml:space="preserve">05°47'23.24" N</x:t>
  </x:si>
  <x:si>
    <x:t xml:space="preserve">W 75°47'06.40"</x:t>
  </x:si>
  <x:si>
    <x:t xml:space="preserve">75°47'06.40" W</x:t>
  </x:si>
  <x:si>
    <x:t xml:space="preserve">05°47'23.24" N, 75°47'06.40" W</x:t>
  </x:si>
  <x:si>
    <x:t xml:space="preserve">5.7897889</x:t>
  </x:si>
  <x:si>
    <x:t xml:space="preserve">-75.7851111</x:t>
  </x:si>
  <x:si>
    <x:t xml:space="preserve">5.7897889,-75.7851111</x:t>
  </x:si>
  <x:si>
    <x:t xml:space="preserve">Jericó.</x:t>
  </x:si>
  <x:si>
    <x:t xml:space="preserve">Hno. Daniel 42</x:t>
  </x:si>
  <x:si>
    <x:t xml:space="preserve">COL 167977</x:t>
  </x:si>
  <x:si>
    <x:t xml:space="preserve">Colombia, Antioquia, Rionegro.</x:t>
  </x:si>
  <x:si>
    <x:t xml:space="preserve">Rionegro.</x:t>
  </x:si>
  <x:si>
    <x:t xml:space="preserve">COL 121923</x:t>
  </x:si>
  <x:si>
    <x:t xml:space="preserve">Colombia, Antioquia, Laguna de Guarne.</x:t>
  </x:si>
  <x:si>
    <x:t xml:space="preserve">Laguna de Guarne.</x:t>
  </x:si>
  <x:si>
    <x:t xml:space="preserve">Little E.L. jr. 9353</x:t>
  </x:si>
  <x:si>
    <x:t xml:space="preserve">COL 88434</x:t>
  </x:si>
  <x:si>
    <x:t xml:space="preserve">Colombia, Huila, 15 km SE of Garzón.</x:t>
  </x:si>
  <x:si>
    <x:t xml:space="preserve">N 02°11'49.77"</x:t>
  </x:si>
  <x:si>
    <x:t xml:space="preserve">02°11'49.77" N</x:t>
  </x:si>
  <x:si>
    <x:t xml:space="preserve">W 75°38'17.76"</x:t>
  </x:si>
  <x:si>
    <x:t xml:space="preserve">75°38'17.76" W</x:t>
  </x:si>
  <x:si>
    <x:t xml:space="preserve">02°11'49.77" N, 75°38'17.76" W</x:t>
  </x:si>
  <x:si>
    <x:t xml:space="preserve">2.1971583</x:t>
  </x:si>
  <x:si>
    <x:t xml:space="preserve">-75.6382667</x:t>
  </x:si>
  <x:si>
    <x:t xml:space="preserve">2.1971583,-75.6382667</x:t>
  </x:si>
  <x:si>
    <x:t xml:space="preserve">15 km SE of Garzón.</x:t>
  </x:si>
  <x:si>
    <x:t xml:space="preserve">Hodge W.H. 6648</x:t>
  </x:si>
  <x:si>
    <x:t xml:space="preserve">COL 69516</x:t>
  </x:si>
  <x:si>
    <x:t xml:space="preserve">Colombia, Antioquia, Medellín-Las Palmas, bosque bajo de la cumbre de Las Palmas, en la vía entre Medellín-Las Palmas.</x:t>
  </x:si>
  <x:si>
    <x:t xml:space="preserve">COL69516</x:t>
  </x:si>
  <x:si>
    <x:t xml:space="preserve">Medellín-Las Palmas</x:t>
  </x:si>
  <x:si>
    <x:t xml:space="preserve">bosque bajo de la cumbre de Las Palmas, en la vía entre Medellín-Las Palmas.</x:t>
  </x:si>
  <x:si>
    <x:t xml:space="preserve">Barkley F.A. &amp; Gutiérrez-V. G. 1498</x:t>
  </x:si>
  <x:si>
    <x:t xml:space="preserve">COL 70761</x:t>
  </x:si>
  <x:si>
    <x:t xml:space="preserve">Johnson W.M. &amp; F.A. Barkley 18c792</x:t>
  </x:si>
  <x:si>
    <x:t xml:space="preserve">COL 43234</x:t>
  </x:si>
  <x:si>
    <x:t xml:space="preserve">Colombia, Sonsón, en una area pantanosa</x:t>
  </x:si>
  <x:si>
    <x:t xml:space="preserve">en una area pantanosa</x:t>
  </x:si>
  <x:si>
    <x:t xml:space="preserve">Murillo M.T. &amp; R. Jaramillo 1324</x:t>
  </x:si>
  <x:si>
    <x:t xml:space="preserve">COL 000336480</x:t>
  </x:si>
  <x:si>
    <x:t xml:space="preserve">Colombia, Santander del Norte, al oriente de Pamplona, páramo de Fontibón.</x:t>
  </x:si>
  <x:si>
    <x:t xml:space="preserve">COL000336480</x:t>
  </x:si>
  <x:si>
    <x:t xml:space="preserve">Santander del Norte</x:t>
  </x:si>
  <x:si>
    <x:t xml:space="preserve">al oriente de Pamplona</x:t>
  </x:si>
  <x:si>
    <x:t xml:space="preserve">páramo de Fontibón.</x:t>
  </x:si>
  <x:si>
    <x:t xml:space="preserve">Nee M &amp; S. Mori 3833</x:t>
  </x:si>
  <x:si>
    <x:t xml:space="preserve">Colombia, Antioquia, from Medellín-Guarne road, piedras Blancas area, mostly planted to Cupressus, Pinus and other conifers, but with many shrubby Compositae and Melastomataceae (Tibouchina lepidota, Blakea sphaerica).</x:t>
  </x:si>
  <x:si>
    <x:t xml:space="preserve">06°17' N, 75°30' W</x:t>
  </x:si>
  <x:si>
    <x:t xml:space="preserve">from Medellín-Guarne road</x:t>
  </x:si>
  <x:si>
    <x:t xml:space="preserve">piedras Blancas area, mostly planted to Cupressus, Pinus and other conifers, but with many shrubby Compositae and Melastomataceae (Tibouchina lepidota, Blakea sphaerica).</x:t>
  </x:si>
  <x:si>
    <x:t xml:space="preserve">HUA 4207</x:t>
  </x:si>
  <x:si>
    <x:t xml:space="preserve">Soejarto D.D. et al., 3040</x:t>
  </x:si>
  <x:si>
    <x:t xml:space="preserve">HUA 4142</x:t>
  </x:si>
  <x:si>
    <x:t xml:space="preserve">Colombia, Antioquia, Guarne, Piedras Blancas submontane Quercus forest.</x:t>
  </x:si>
  <x:si>
    <x:t xml:space="preserve">Piedras Blancas submontane Quercus forest.</x:t>
  </x:si>
  <x:si>
    <x:t xml:space="preserve">COL 130442</x:t>
  </x:si>
  <x:si>
    <x:t xml:space="preserve">Atehortúa L. 117</x:t>
  </x:si>
  <x:si>
    <x:t xml:space="preserve">HUA 595</x:t>
  </x:si>
  <x:si>
    <x:t xml:space="preserve">Colombia, Antioquia, Medellín, Jardín de los Helechos Maria T. Murillo, Jardín Botánico.</x:t>
  </x:si>
  <x:si>
    <x:t xml:space="preserve">Jardín de los Helechos Maria T. Murillo, Jardín Botánico.</x:t>
  </x:si>
  <x:si>
    <x:t xml:space="preserve">Albert de Escobar L. et al., 3695</x:t>
  </x:si>
  <x:si>
    <x:t xml:space="preserve">HUA 20254</x:t>
  </x:si>
  <x:si>
    <x:t xml:space="preserve">Colombia, Antioquia, Caldas, Finca La Oculta, bosque húmedo.</x:t>
  </x:si>
  <x:si>
    <x:t xml:space="preserve">Finca La Oculta, bosque húmedo.</x:t>
  </x:si>
  <x:si>
    <x:t xml:space="preserve">Roldán F.J. et al., 34</x:t>
  </x:si>
  <x:si>
    <x:t xml:space="preserve">HUA 24023</x:t>
  </x:si>
  <x:si>
    <x:t xml:space="preserve">Colombia, Antioquia, Guatapé, vereda Pierdas Blancas, carca a la represa, bmhMB.</x:t>
  </x:si>
  <x:si>
    <x:t xml:space="preserve">vereda Pierdas Blancas, carca a la represa, bmhMB.</x:t>
  </x:si>
  <x:si>
    <x:t xml:space="preserve">Morales S &amp; J.R. Giraldo 3953</x:t>
  </x:si>
  <x:si>
    <x:t xml:space="preserve">HUA 20895</x:t>
  </x:si>
  <x:si>
    <x:t xml:space="preserve">Colombia, Antioquia, Caldas, vereda La Corrala, Finca La Zarza, bosque húmedo.</x:t>
  </x:si>
  <x:si>
    <x:t xml:space="preserve">vereda La Corrala, Finca La Zarza, bosque húmedo.</x:t>
  </x:si>
  <x:si>
    <x:t xml:space="preserve">Albert de Escobar L. et al., 3957</x:t>
  </x:si>
  <x:si>
    <x:t xml:space="preserve">HUA 20913</x:t>
  </x:si>
  <x:si>
    <x:t xml:space="preserve">Albert de Escobar L. et al., 4179</x:t>
  </x:si>
  <x:si>
    <x:t xml:space="preserve">HUA 21232</x:t>
  </x:si>
  <x:si>
    <x:t xml:space="preserve">Colombia, Tolima, 9 km de Murillo, hacia Líbano, en Bosque perturbado dominado por Quercus.</x:t>
  </x:si>
  <x:si>
    <x:t xml:space="preserve">W 75°10'38.47</x:t>
  </x:si>
  <x:si>
    <x:t xml:space="preserve">75°10'38.47 W</x:t>
  </x:si>
  <x:si>
    <x:t xml:space="preserve">04°52'11.20" N, 75°10'38.47 W</x:t>
  </x:si>
  <x:si>
    <x:t xml:space="preserve">9 km de Murillo</x:t>
  </x:si>
  <x:si>
    <x:t xml:space="preserve">hacia Líbano, en Bosque perturbado dominado por Quercus.</x:t>
  </x:si>
  <x:si>
    <x:t xml:space="preserve">Fonnegra R. et al., 2234</x:t>
  </x:si>
  <x:si>
    <x:t xml:space="preserve">HUA 37515</x:t>
  </x:si>
  <x:si>
    <x:t xml:space="preserve">Arbelaez A.L. et al., 112</x:t>
  </x:si>
  <x:si>
    <x:t xml:space="preserve">HUA 12233</x:t>
  </x:si>
  <x:si>
    <x:t xml:space="preserve">Colombia, Antioquia, Sonsón, páramo de Sonsón.</x:t>
  </x:si>
  <x:si>
    <x:t xml:space="preserve">páramo de Sonsón.</x:t>
  </x:si>
  <x:si>
    <x:t xml:space="preserve">Arbelaez A.L. et al., 108</x:t>
  </x:si>
  <x:si>
    <x:t xml:space="preserve">HUA 47281</x:t>
  </x:si>
  <x:si>
    <x:t xml:space="preserve">Zarucchi J.L. et al., 6290</x:t>
  </x:si>
  <x:si>
    <x:t xml:space="preserve">COL 399039</x:t>
  </x:si>
  <x:si>
    <x:t xml:space="preserve">Colombia, Antioquia, San Pedro, kn 10 of road San Pedro-Entrerrios, disturbet montane forest near road.</x:t>
  </x:si>
  <x:si>
    <x:t xml:space="preserve">06°30' N, 75°32' W</x:t>
  </x:si>
  <x:si>
    <x:t xml:space="preserve">6.5,-75.5333333</x:t>
  </x:si>
  <x:si>
    <x:t xml:space="preserve">kn 10 of road San Pedro-Entrerrios, disturbet montane forest near road.</x:t>
  </x:si>
  <x:si>
    <x:t xml:space="preserve">MacDougal J.M. &amp; F.J. Roldán 3627</x:t>
  </x:si>
  <x:si>
    <x:t xml:space="preserve">HUA 62285</x:t>
  </x:si>
  <x:si>
    <x:t xml:space="preserve">Colombia, Antioquia, Entrerios, ca 3 km from Entrerrios on the road to Santa Rosa de Osos, downstream from bridge along banks of Río Grande. Specimen not treated with etanol.</x:t>
  </x:si>
  <x:si>
    <x:t xml:space="preserve">N 06°32'</x:t>
  </x:si>
  <x:si>
    <x:t xml:space="preserve">06°32' N</x:t>
  </x:si>
  <x:si>
    <x:t xml:space="preserve">06°32' N, 75°30' W</x:t>
  </x:si>
  <x:si>
    <x:t xml:space="preserve">ca 3 km from Entrerrios on the road to Santa Rosa de Osos, downstream from bridge along banks of Río Grande. Specimen not treated with etanol.</x:t>
  </x:si>
  <x:si>
    <x:t xml:space="preserve">Albert de Escobar L. et al., 8809</x:t>
  </x:si>
  <x:si>
    <x:t xml:space="preserve">HUA 71697</x:t>
  </x:si>
  <x:si>
    <x:t xml:space="preserve">Colombia, Antioquia, San Antonio del Prado, al sur de Medellín, vereda La Cabaña, finca Loma Linda, al oeste del Pueblo San Antonio del Prado, bosque muy perturbado, arriba de la casa.</x:t>
  </x:si>
  <x:si>
    <x:t xml:space="preserve">N 06°12'08.09"</x:t>
  </x:si>
  <x:si>
    <x:t xml:space="preserve">06°12'08.09" N</x:t>
  </x:si>
  <x:si>
    <x:t xml:space="preserve">W 75°31'05.22"</x:t>
  </x:si>
  <x:si>
    <x:t xml:space="preserve">75°31'05.22" W</x:t>
  </x:si>
  <x:si>
    <x:t xml:space="preserve">06°12'08.09" N, 75°31'05.22" W</x:t>
  </x:si>
  <x:si>
    <x:t xml:space="preserve">6.2022472</x:t>
  </x:si>
  <x:si>
    <x:t xml:space="preserve">-75.5181167</x:t>
  </x:si>
  <x:si>
    <x:t xml:space="preserve">6.2022472,-75.5181167</x:t>
  </x:si>
  <x:si>
    <x:t xml:space="preserve">San Antonio del Prado</x:t>
  </x:si>
  <x:si>
    <x:t xml:space="preserve">al sur de Medellín, vereda La Cabaña, finca Loma Linda, al oeste del Pueblo San Antonio del Prado, bosque muy perturbado, arriba de la casa.</x:t>
  </x:si>
  <x:si>
    <x:t xml:space="preserve">Callejas R. &amp; A. Echeverri 11513</x:t>
  </x:si>
  <x:si>
    <x:t xml:space="preserve">HUA 104812</x:t>
  </x:si>
  <x:si>
    <x:t xml:space="preserve">Colombia, Antioquia, Medellín, corregimiento de Santa Elena, vereda El Plan-Piedras Blancas, finca El Naranjal, 18 km SE de Medellín en la vía a Santa Elena.</x:t>
  </x:si>
  <x:si>
    <x:t xml:space="preserve">corregimiento de Santa Elena, vereda El Plan-Piedras Blancas, finca El Naranjal, 18 km SE de Medellín en la vía a Santa Elena.</x:t>
  </x:si>
  <x:si>
    <x:t xml:space="preserve">Correa M. &amp; D. Yarce 1666</x:t>
  </x:si>
  <x:si>
    <x:t xml:space="preserve">JAUM 31589</x:t>
  </x:si>
  <x:si>
    <x:t xml:space="preserve">Colombia, Antioquia, Envigado, nacimiento quebrada La Miel, Cerro El Higerón, costado sur occidental.</x:t>
  </x:si>
  <x:si>
    <x:t xml:space="preserve">N 06°19'19"</x:t>
  </x:si>
  <x:si>
    <x:t xml:space="preserve">06°19'19" N</x:t>
  </x:si>
  <x:si>
    <x:t xml:space="preserve">06°19'19" N, 75°35'09" W</x:t>
  </x:si>
  <x:si>
    <x:t xml:space="preserve">6.3219444</x:t>
  </x:si>
  <x:si>
    <x:t xml:space="preserve">6.3219444,-75.5858333</x:t>
  </x:si>
  <x:si>
    <x:t xml:space="preserve">JAUM31589</x:t>
  </x:si>
  <x:si>
    <x:t xml:space="preserve">nacimiento quebrada La Miel, Cerro El Higerón, costado sur occidental.</x:t>
  </x:si>
  <x:si>
    <x:t xml:space="preserve">Ramírez-P. B.R. &amp; D. Rosero 12013</x:t>
  </x:si>
  <x:si>
    <x:t xml:space="preserve">CAUP 12528</x:t>
  </x:si>
  <x:si>
    <x:t xml:space="preserve">Colombia, Putumayo, San Francisco, vereda Siberia, area de Subpáramo.</x:t>
  </x:si>
  <x:si>
    <x:t xml:space="preserve">N 01°10'33.23"</x:t>
  </x:si>
  <x:si>
    <x:t xml:space="preserve">01°10'33.23" N</x:t>
  </x:si>
  <x:si>
    <x:t xml:space="preserve">01°10'33.23" N, 76°52'45.68" W</x:t>
  </x:si>
  <x:si>
    <x:t xml:space="preserve">vereda Siberia, area de Subpáramo.</x:t>
  </x:si>
  <x:si>
    <x:t xml:space="preserve">Rodríguez W. 3122</x:t>
  </x:si>
  <x:si>
    <x:t xml:space="preserve">HUA 132177</x:t>
  </x:si>
  <x:si>
    <x:t xml:space="preserve">Colombia, Antioquia, Medellín, corregimiento de Santa Elena, vereda Mazo, estación Biodiversidad-Corantioquia, camino que conduce de la bocatoma a la carretera, cerca de la quebrada Piedras Blancas, bh MB.</x:t>
  </x:si>
  <x:si>
    <x:t xml:space="preserve">N 06°15'43.6"</x:t>
  </x:si>
  <x:si>
    <x:t xml:space="preserve">06°15'43.6" N</x:t>
  </x:si>
  <x:si>
    <x:t xml:space="preserve">06°15'43.6" N, 75°30'30.5" W</x:t>
  </x:si>
  <x:si>
    <x:t xml:space="preserve">6.2621111</x:t>
  </x:si>
  <x:si>
    <x:t xml:space="preserve">6.2621111,-75.5084722</x:t>
  </x:si>
  <x:si>
    <x:t xml:space="preserve">corregimiento de Santa Elena, vereda Mazo, estación Biodiversidad-Corantioquia, camino que conduce de la bocatoma a la carretera, cerca de la quebrada Piedras Blancas, bh MB.</x:t>
  </x:si>
  <x:si>
    <x:t xml:space="preserve">JAUM 37477</x:t>
  </x:si>
  <x:si>
    <x:t xml:space="preserve">COL 458811</x:t>
  </x:si>
  <x:si>
    <x:t xml:space="preserve">Rodríguez W. 3199</x:t>
  </x:si>
  <x:si>
    <x:t xml:space="preserve">COL 458814</x:t>
  </x:si>
  <x:si>
    <x:t xml:space="preserve">Colombia, Antioquia, Medellín, corregimiento de Santa Elena, vereda Las Brisas, sector Cerro Verde, bhMB.</x:t>
  </x:si>
  <x:si>
    <x:t xml:space="preserve">corregimiento de Santa Elena, vereda Las Brisas, sector Cerro Verde, bhMB.</x:t>
  </x:si>
  <x:si>
    <x:t xml:space="preserve">Rodríguez W. et al., 3251</x:t>
  </x:si>
  <x:si>
    <x:t xml:space="preserve">HUA 132187</x:t>
  </x:si>
  <x:si>
    <x:t xml:space="preserve">Colombia, Antioquia, Medellín, corregimiento de Santa Elena, vereda El Rosario, quebrada El Rosario.</x:t>
  </x:si>
  <x:si>
    <x:t xml:space="preserve">N 06°15'39"</x:t>
  </x:si>
  <x:si>
    <x:t xml:space="preserve">06°15'39" N</x:t>
  </x:si>
  <x:si>
    <x:t xml:space="preserve">N 75°29'26.8"</x:t>
  </x:si>
  <x:si>
    <x:t xml:space="preserve">N 75°29'26.8" W</x:t>
  </x:si>
  <x:si>
    <x:t xml:space="preserve">06°15'39" N, N 75°29'26.8" W</x:t>
  </x:si>
  <x:si>
    <x:t xml:space="preserve">6.2608333</x:t>
  </x:si>
  <x:si>
    <x:t xml:space="preserve">-75.4907778</x:t>
  </x:si>
  <x:si>
    <x:t xml:space="preserve">6.2608333,-75.4907778</x:t>
  </x:si>
  <x:si>
    <x:t xml:space="preserve">HUA132187</x:t>
  </x:si>
  <x:si>
    <x:t xml:space="preserve">corregimiento de Santa Elena, vereda El Rosario, quebrada El Rosario.</x:t>
  </x:si>
  <x:si>
    <x:t xml:space="preserve">Rodríguez W. et al., 3667 </x:t>
  </x:si>
  <x:si>
    <x:t xml:space="preserve">HUA 137355</x:t>
  </x:si>
  <x:si>
    <x:t xml:space="preserve">Colombia, Antioquia, Belmira, vereda El Yugal, nacimiento de la Quebrada La Aldaña, parte alta, bhMB, rastrojo alto.</x:t>
  </x:si>
  <x:si>
    <x:t xml:space="preserve">N 06°35'13.3"</x:t>
  </x:si>
  <x:si>
    <x:t xml:space="preserve">06°35'13.3" N</x:t>
  </x:si>
  <x:si>
    <x:t xml:space="preserve">W 75°41'48.8"</x:t>
  </x:si>
  <x:si>
    <x:t xml:space="preserve">75°41'48.8" W</x:t>
  </x:si>
  <x:si>
    <x:t xml:space="preserve">06°35'13.3" N, 75°41'48.8" W</x:t>
  </x:si>
  <x:si>
    <x:t xml:space="preserve">6.5870278</x:t>
  </x:si>
  <x:si>
    <x:t xml:space="preserve">-75.6968889</x:t>
  </x:si>
  <x:si>
    <x:t xml:space="preserve">6.5870278,-75.6968889</x:t>
  </x:si>
  <x:si>
    <x:t xml:space="preserve">vereda El Yugal, nacimiento de la Quebrada La Aldaña, parte alta, bhMB, rastrojo alto.</x:t>
  </x:si>
  <x:si>
    <x:t xml:space="preserve">JAUM 38648</x:t>
  </x:si>
  <x:si>
    <x:t xml:space="preserve">COL 484010</x:t>
  </x:si>
  <x:si>
    <x:t xml:space="preserve">David H. &amp; J. Idarraga 484</x:t>
  </x:si>
  <x:si>
    <x:t xml:space="preserve">HUA 145193</x:t>
  </x:si>
  <x:si>
    <x:t xml:space="preserve">Colombia, Antioquia, Medellín, corregimiento de Santa Elena, Reserva Natural Montevivo, sector Casapalo.</x:t>
  </x:si>
  <x:si>
    <x:t xml:space="preserve">corregimiento de Santa Elena, Reserva Natural Montevivo, sector Casapalo.</x:t>
  </x:si>
  <x:si>
    <x:t xml:space="preserve">Hernandez-Schmidt M. 1309</x:t>
  </x:si>
  <x:si>
    <x:t xml:space="preserve">COL 000009534</x:t>
  </x:si>
  <x:si>
    <x:t xml:space="preserve">Colombia, Cundinamarca, Subachoque, La Pradera cerca al río.</x:t>
  </x:si>
  <x:si>
    <x:t xml:space="preserve">COL000009534</x:t>
  </x:si>
  <x:si>
    <x:t xml:space="preserve">La Pradera cerca al río.</x:t>
  </x:si>
  <x:si>
    <x:t xml:space="preserve">Rodríguez W. et al., 4875 </x:t>
  </x:si>
  <x:si>
    <x:t xml:space="preserve">HUA 153829</x:t>
  </x:si>
  <x:si>
    <x:t xml:space="preserve">Colombia, Antioquia, Freonia, vereda Erbe-Microcuenca La Chaparrala, bhMB, bosque secundario.</x:t>
  </x:si>
  <x:si>
    <x:t xml:space="preserve">HUA153829</x:t>
  </x:si>
  <x:si>
    <x:t xml:space="preserve">Freonia</x:t>
  </x:si>
  <x:si>
    <x:t xml:space="preserve">vereda Erbe-Microcuenca La Chaparrala, bhMB, bosque secundario.</x:t>
  </x:si>
  <x:si>
    <x:t xml:space="preserve">Rodríguez W. et al., 5987</x:t>
  </x:si>
  <x:si>
    <x:t xml:space="preserve">HUA 158382</x:t>
  </x:si>
  <x:si>
    <x:t xml:space="preserve">Colombia, Antioquia, Medellín, corregimeinto de San Antonio del Prado, vereda Yarumalito, divisoria de aguas con el municipio Heliconia, cerca al relleno sanitairo El Guacal.</x:t>
  </x:si>
  <x:si>
    <x:t xml:space="preserve">corregimeinto de San Antonio del Prado, vereda Yarumalito, divisoria de aguas con el municipio Heliconia, cerca al relleno sanitairo El Guacal.</x:t>
  </x:si>
  <x:si>
    <x:t xml:space="preserve">Rodríguez W. Et al., 6006</x:t>
  </x:si>
  <x:si>
    <x:t xml:space="preserve">HUA 158386</x:t>
  </x:si>
  <x:si>
    <x:t xml:space="preserve">Colombia, Antioquia, Medellín, corregimiento de San Antonio del Prado, vereda Yarumalito, divisoria de aguas con el municipio de Heliconia, cerca al relleno sanitario El Guacal.</x:t>
  </x:si>
  <x:si>
    <x:t xml:space="preserve">N 06°15'3.46"</x:t>
  </x:si>
  <x:si>
    <x:t xml:space="preserve">06°15'3.46" N</x:t>
  </x:si>
  <x:si>
    <x:t xml:space="preserve">W 75°42'45.04"</x:t>
  </x:si>
  <x:si>
    <x:t xml:space="preserve">75°42'45.04" W</x:t>
  </x:si>
  <x:si>
    <x:t xml:space="preserve">06°15'3.46" N, 75°42'45.04" W</x:t>
  </x:si>
  <x:si>
    <x:t xml:space="preserve">6.2509611</x:t>
  </x:si>
  <x:si>
    <x:t xml:space="preserve">-75.7125111</x:t>
  </x:si>
  <x:si>
    <x:t xml:space="preserve">6.2509611,-75.7125111</x:t>
  </x:si>
  <x:si>
    <x:t xml:space="preserve">corregimiento de San Antonio del Prado, vereda Yarumalito, divisoria de aguas con el municipio de Heliconia, cerca al relleno sanitario El Guacal.</x:t>
  </x:si>
  <x:si>
    <x:t xml:space="preserve">Otálora N. 278</x:t>
  </x:si>
  <x:si>
    <x:t xml:space="preserve">CAUP 20639</x:t>
  </x:si>
  <x:si>
    <x:t xml:space="preserve">Colombia, Huila, Nátaga, Serrania de las Nieves, vereda El Socorro, La Torre.</x:t>
  </x:si>
  <x:si>
    <x:t xml:space="preserve">N 02°32'42.30"</x:t>
  </x:si>
  <x:si>
    <x:t xml:space="preserve">02°32'42.30" N</x:t>
  </x:si>
  <x:si>
    <x:t xml:space="preserve">W 75°48'30.15"</x:t>
  </x:si>
  <x:si>
    <x:t xml:space="preserve">75°48'30.15" W</x:t>
  </x:si>
  <x:si>
    <x:t xml:space="preserve">02°32'42.30" N, 75°48'30.15" W</x:t>
  </x:si>
  <x:si>
    <x:t xml:space="preserve">2.5450833</x:t>
  </x:si>
  <x:si>
    <x:t xml:space="preserve">-75.808375</x:t>
  </x:si>
  <x:si>
    <x:t xml:space="preserve">2.5450833,-75.808375</x:t>
  </x:si>
  <x:si>
    <x:t xml:space="preserve">Serrania de las Nieves, vereda El Socorro, La Torre.</x:t>
  </x:si>
  <x:si>
    <x:t xml:space="preserve">Rodríguez W. 6103</x:t>
  </x:si>
  <x:si>
    <x:t xml:space="preserve">HUA 158401</x:t>
  </x:si>
  <x:si>
    <x:t xml:space="preserve">Colombia, Antioquia, Medellín, corregimiento de San Antonio del Prado, vereda La Verde, sectores Montes del Encanto.</x:t>
  </x:si>
  <x:si>
    <x:t xml:space="preserve">corregimiento de San Antonio del Prado, vereda La Verde, sectores Montes del Encanto.</x:t>
  </x:si>
  <x:si>
    <x:t xml:space="preserve">Sanín D. &amp; E. Sanín 3282</x:t>
  </x:si>
  <x:si>
    <x:t xml:space="preserve">Colombia, Huila, San Agustin, vereda Platanares, relicto arriba de la escuela Platanares.</x:t>
  </x:si>
  <x:si>
    <x:t xml:space="preserve">01°59'59.5" N, 76°17'7.81" W</x:t>
  </x:si>
  <x:si>
    <x:t xml:space="preserve">1.9998611</x:t>
  </x:si>
  <x:si>
    <x:t xml:space="preserve">1.9998611,-76.2855028</x:t>
  </x:si>
  <x:si>
    <x:t xml:space="preserve">vereda Platanares, relicto arriba de la escuela Platanares.</x:t>
  </x:si>
  <x:si>
    <x:t xml:space="preserve">Sanín D. &amp; E. Sanín 3208</x:t>
  </x:si>
  <x:si>
    <x:t xml:space="preserve">Colombia, Huila, Pitalito, vereda Charguayaco, reserva de la comunidad El Arroyuelo.</x:t>
  </x:si>
  <x:si>
    <x:t xml:space="preserve">vereda Charguayaco, reserva de la comunidad El Arroyuelo.</x:t>
  </x:si>
  <x:si>
    <x:t xml:space="preserve">Echeverri D.L. 426</x:t>
  </x:si>
  <x:si>
    <x:t xml:space="preserve">HUA 72797</x:t>
  </x:si>
  <x:si>
    <x:t xml:space="preserve">Colombia, Antioquia, Guatapé, vereda Santa Rita, Finca Monte Pinar.</x:t>
  </x:si>
  <x:si>
    <x:t xml:space="preserve">N 06° 15'</x:t>
  </x:si>
  <x:si>
    <x:t xml:space="preserve">06° 15' N, 75°10 W</x:t>
  </x:si>
  <x:si>
    <x:t xml:space="preserve">vereda Santa Rita, Finca Monte Pinar.</x:t>
  </x:si>
  <x:si>
    <x:t xml:space="preserve">Murillo M.T. 1500</x:t>
  </x:si>
  <x:si>
    <x:t xml:space="preserve">COL 000336482</x:t>
  </x:si>
  <x:si>
    <x:t xml:space="preserve">Colombia, Boyacá, entre Chiquinquira y Pauna, en Las Fuentes.</x:t>
  </x:si>
  <x:si>
    <x:t xml:space="preserve">2300-2000</x:t>
  </x:si>
  <x:si>
    <x:t xml:space="preserve">entre Chiquinquira y Pauna</x:t>
  </x:si>
  <x:si>
    <x:t xml:space="preserve">en Las Fuentes.</x:t>
  </x:si>
  <x:si>
    <x:t xml:space="preserve">Sanín et al., 6396</x:t>
  </x:si>
  <x:si>
    <x:t xml:space="preserve">COAH</x:t>
  </x:si>
  <x:si>
    <x:t xml:space="preserve">Colombia, Caquetá, Florencia, Vía Guadalupe, El Gabinete, a mano izquierda de  la vía, a 100 m de la estación militar</x:t>
  </x:si>
  <x:si>
    <x:t xml:space="preserve">Peña 542</x:t>
  </x:si>
  <x:si>
    <x:t xml:space="preserve">Colombia, Huila, Suaza, vía Neiva, vereda Campo Hermoso, costado izquierdo de la vía, Km. 40</x:t>
  </x:si>
  <x:si>
    <x:t xml:space="preserve">Barbosa 7935</x:t>
  </x:si>
  <x:si>
    <x:t xml:space="preserve">Colombia, Caldas, Florencia, dirección este Quebrada Las Mercedes</x:t>
  </x:si>
  <x:si>
    <x:t xml:space="preserve">5.5266667</x:t>
  </x:si>
  <x:si>
    <x:t xml:space="preserve">-75.0405556</x:t>
  </x:si>
  <x:si>
    <x:t xml:space="preserve">1500,890</x:t>
  </x:si>
  <x:si>
    <x:t xml:space="preserve">Haught 4336</x:t>
  </x:si>
  <x:si>
    <x:t xml:space="preserve">Colombia, Magdalena, cerca a Manaure</x:t>
  </x:si>
  <x:si>
    <x:t xml:space="preserve">H. H. Smith 1036</x:t>
  </x:si>
  <x:si>
    <x:t xml:space="preserve">UNA 40484</x:t>
  </x:si>
  <x:si>
    <x:t xml:space="preserve">Colombia, Magdalena, Sierra Nevada de Santa Marta.</x:t>
  </x:si>
  <x:si>
    <x:t xml:space="preserve">Andrés Barona 3998</x:t>
  </x:si>
  <x:si>
    <x:t xml:space="preserve">COAH 92038</x:t>
  </x:si>
  <x:si>
    <x:t xml:space="preserve">Colombia, Guaviare, San José del Guaviare, vda. El Capricho, sector cerro El Capricho, bosque de tierra firme con dosel cerrado de hasta 30-35m de altura, capa de hojarasca medianamente gruesa de hasta 5-10cm de espesor. Sotobosque denso a medianamente denso, con menor densidad hacia la parte alta del cerro. Capa de hojarasca medianamente gruesa de hasta 5-10 cm de espesor. Presencia de piedras (sienita nefelinica), con presencia de lajas y rocas aisladas.</x:t>
  </x:si>
  <x:si>
    <x:t xml:space="preserve">Dairon Cárdenas 	15941</x:t>
  </x:si>
  <x:si>
    <x:t xml:space="preserve">COAH 61369</x:t>
  </x:si>
  <x:si>
    <x:t xml:space="preserve">Colombia, Meta, La Macarena, vereda Cachivera, margen izquierda del camino del río Guayabero a caño Cristales, sector de afloramiento rocoso con dominancia de Byrsonima sp., Vellozia, Syagrus orinocensis y Curatella americana.</x:t>
  </x:si>
  <x:si>
    <x:t xml:space="preserve">2.2329444, -73.7976944</x:t>
  </x:si>
  <x:si>
    <x:t xml:space="preserve">2438,564</x:t>
  </x:si>
  <x:si>
    <x:t xml:space="preserve">Dairon Cárdenas 48764</x:t>
  </x:si>
  <x:si>
    <x:t xml:space="preserve">COAH 100126</x:t>
  </x:si>
  <x:si>
    <x:t xml:space="preserve">Colombia, Guaviare, San José del Guaviare, vereda Los Alpes, finca El Porvenir, Serranía La Lindosa, vegetación sobre afloramiento rocoso con presencia de Acanthella sprucei, Ficus albert-smithii y Clusia sp.</x:t>
  </x:si>
  <x:si>
    <x:t xml:space="preserve">Jamson 	565</x:t>
  </x:si>
  <x:si>
    <x:t xml:space="preserve">BOT</x:t>
  </x:si>
  <x:si>
    <x:t xml:space="preserve">Colombia, Meta, Puerto López, cerca al río Guayuriba.</x:t>
  </x:si>
  <x:si>
    <x:t xml:space="preserve">D. Sanín 6151</x:t>
  </x:si>
  <x:si>
    <x:t xml:space="preserve">Colombia, Caquetá, Florencia, corregimiento El Caraño, vereda El Caraño, finca Las Brisas, relictos en la cima de la montaña.</x:t>
  </x:si>
  <x:si>
    <x:t xml:space="preserve">Croat T. B. 71395</x:t>
  </x:si>
  <x:si>
    <x:t xml:space="preserve">JAUM 46863</x:t>
  </x:si>
  <x:si>
    <x:t xml:space="preserve">Colombia, Nariño, Reserva Natural La Planada, 7 km above Chucunés (on road between Tuquerres and Ricaurte); along sendero La rosa to potrero de Hermógenes.</x:t>
  </x:si>
  <x:si>
    <x:t xml:space="preserve">Gentry 16759</x:t>
  </x:si>
  <x:si>
    <x:t xml:space="preserve">MO</x:t>
  </x:si>
  <x:si>
    <x:t xml:space="preserve">Colombia, Chocó, Río Tigre near base of Serranía del Darién, E of Unguía</x:t>
  </x:si>
  <x:si>
    <x:t xml:space="preserve">Betancur 1388</x:t>
  </x:si>
  <x:si>
    <x:t xml:space="preserve">Colombia, Meta, Mesetas, Inspección de Policía La Uribe, Vereda La Lagartija.</x:t>
  </x:si>
</x:sst>
</file>

<file path=xl/styles.xml><?xml version="1.0" encoding="utf-8"?>
<x:styleSheet xmlns:x="http://schemas.openxmlformats.org/spreadsheetml/2006/main">
  <x:numFmts count="4">
    <x:numFmt numFmtId="164" formatCode="0.0000000"/>
    <x:numFmt numFmtId="165" formatCode="#,##0.0000000"/>
    <x:numFmt numFmtId="200" formatCode="0.###############"/>
    <x:numFmt numFmtId="201" formatCode="0"/>
  </x:numFmts>
  <x:fonts count="8">
    <x:font>
      <x:sz val="11"/>
      <x:color theme="1"/>
      <x:name val="Calibri"/>
    </x:font>
    <x:font>
      <x:b/>
      <x:sz val="11"/>
      <x:name val="Calibri"/>
    </x:font>
    <x:font>
      <x:b/>
      <x:sz val="11"/>
      <x:color theme="1"/>
      <x:name val="Calibri"/>
    </x:font>
    <x:font>
      <x:sz val="11"/>
      <x:name val="Calibri"/>
    </x:font>
    <x:font>
      <x:b/>
      <x:sz val="11"/>
      <x:color rgb="FFFFFFFF"/>
      <x:name val="Calibri"/>
    </x:font>
    <x:font>
      <x:b/>
      <x:sz val="11"/>
      <x:color rgb="FF000000"/>
      <x:name val="Calibri"/>
    </x:font>
    <x:font>
      <x:b/>
      <x:sz val="11"/>
      <x:color rgb="FF1F1F1F"/>
      <x:name val="Calibri"/>
    </x:font>
    <x:font>
      <x:sz val="11"/>
      <x:color rgb="FF333333"/>
      <x:name val="Calibri"/>
    </x:font>
  </x:fonts>
  <x:fills count="10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theme="5" tint="0.39998"/>
      </x:patternFill>
    </x:fill>
    <x:fill>
      <x:patternFill patternType="solid">
        <x:fgColor theme="8" tint="0.39998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8FC9D8"/>
      </x:patternFill>
    </x:fill>
    <x:fill>
      <x:patternFill patternType="solid">
        <x:fgColor rgb="FFD9EAF0"/>
      </x:patternFill>
    </x:fill>
    <x:fill>
      <x:patternFill patternType="solid">
        <x:fgColor rgb="FFF2F6F8"/>
      </x:patternFill>
    </x:fill>
  </x:fills>
  <x:borders count="2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</x:border>
    <x:border>
      <x:left style="medium">
        <x:color rgb="FFA8A7A5"/>
      </x:left>
      <x:right style="medium">
        <x:color rgb="FFA8A7A5"/>
      </x:right>
      <x:top style="medium">
        <x:color rgb="FFA8A7A5"/>
      </x:top>
      <x:bottom style="medium">
        <x:color rgb="FFA8A7A5"/>
      </x:bottom>
    </x:border>
    <x:border>
      <x:left style="thin">
        <x:color rgb="FF7F8C8D"/>
      </x:left>
      <x:right style="thin">
        <x:color rgb="FF7F8C8D"/>
      </x:right>
      <x:top style="thin">
        <x:color rgb="FF7F8C8D"/>
      </x:top>
      <x:bottom style="thin">
        <x:color rgb="FF7F8C8D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1F1F1F"/>
      </x:left>
      <x:top style="thin">
        <x:color rgb="FF1F1F1F"/>
      </x:top>
      <x:bottom style="thin">
        <x:color rgb="FF1F1F1F"/>
      </x:bottom>
    </x:border>
    <x:border>
      <x:top style="thin">
        <x:color rgb="FF1F1F1F"/>
      </x:top>
      <x:bottom style="thin">
        <x:color rgb="FF1F1F1F"/>
      </x:bottom>
    </x:border>
    <x:border>
      <x:right style="thin">
        <x:color rgb="FF1F1F1F"/>
      </x:right>
      <x:top style="thin">
        <x:color rgb="FF1F1F1F"/>
      </x:top>
      <x:bottom style="thin">
        <x:color rgb="FF1F1F1F"/>
      </x:bottom>
    </x:border>
    <x:border>
      <x:left style="thin">
        <x:color rgb="FF1F1F1F"/>
      </x:left>
      <x:top style="thin">
        <x:color rgb="FF1F1F1F"/>
      </x:top>
      <x:bottom style="thin">
        <x:color rgb="FFE7E6E6"/>
      </x:bottom>
    </x:border>
    <x:border>
      <x:top style="thin">
        <x:color rgb="FF1F1F1F"/>
      </x:top>
      <x:bottom style="thin">
        <x:color rgb="FFE7E6E6"/>
      </x:bottom>
    </x:border>
    <x:border>
      <x:left style="thin">
        <x:color rgb="FF1F1F1F"/>
      </x:left>
      <x:top style="thin">
        <x:color rgb="FFE7E6E6"/>
      </x:top>
      <x:bottom style="thin">
        <x:color rgb="FFE7E6E6"/>
      </x:bottom>
    </x:border>
    <x:border>
      <x:top style="thin">
        <x:color rgb="FFE7E6E6"/>
      </x:top>
      <x:bottom style="thin">
        <x:color rgb="FFE7E6E6"/>
      </x:bottom>
    </x:border>
    <x:border>
      <x:left style="thin">
        <x:color rgb="FF1F1F1F"/>
      </x:left>
      <x:top style="thin">
        <x:color rgb="FFE7E6E6"/>
      </x:top>
      <x:bottom style="thin">
        <x:color rgb="FF1F1F1F"/>
      </x:bottom>
    </x:border>
    <x:border>
      <x:top style="thin">
        <x:color rgb="FFE7E6E6"/>
      </x:top>
      <x:bottom style="thin">
        <x:color rgb="FF1F1F1F"/>
      </x:bottom>
    </x:border>
  </x:borders>
  <x:cellStyleXfs count="1">
    <x:xf numFmtId="0" fontId="0" fillId="0" borderId="0"/>
  </x:cellStyleXfs>
  <x:cellXfs count="84">
    <x:xf numFmtId="0" fontId="0" fillId="0" borderId="0" xfId="0"/>
    <x:xf numFmtId="0" fontId="1" fillId="0" borderId="1" xfId="0" applyFont="1" applyBorder="1" applyAlignment="1">
      <x:alignment horizontal="center" vertical="top"/>
    </x:xf>
    <x:xf numFmtId="0" fontId="0" fillId="2" borderId="0" xfId="0" applyFill="1"/>
    <x:xf numFmtId="0" fontId="0" fillId="3" borderId="0" xfId="0" applyFill="1"/>
    <x:xf numFmtId="0" fontId="2" fillId="0" borderId="0" xfId="0" applyFont="1"/>
    <x:xf numFmtId="49" fontId="0" fillId="0" borderId="0" xfId="0" applyNumberFormat="1"/>
    <x:xf numFmtId="2" fontId="0" fillId="0" borderId="0" xfId="0" applyNumberFormat="1"/>
    <x:xf numFmtId="2" fontId="0" fillId="0" borderId="0" xfId="0" applyNumberFormat="1" applyAlignment="1">
      <x:alignment horizontal="left"/>
    </x:xf>
    <x:xf numFmtId="0" fontId="1" fillId="4" borderId="1" xfId="0" applyFont="1" applyFill="1" applyBorder="1" applyAlignment="1">
      <x:alignment horizontal="center" vertical="top"/>
    </x:xf>
    <x:xf numFmtId="14" fontId="0" fillId="0" borderId="0" xfId="0" applyNumberFormat="1"/>
    <x:xf numFmtId="0" fontId="1" fillId="0" borderId="2" xfId="0" applyFont="1" applyBorder="1" applyAlignment="1">
      <x:alignment horizontal="center" vertical="top"/>
    </x:xf>
    <x:xf numFmtId="3" fontId="0" fillId="0" borderId="0" xfId="0" applyNumberFormat="1"/>
    <x:xf numFmtId="164" fontId="0" fillId="0" borderId="0" xfId="0" applyNumberFormat="1"/>
    <x:xf numFmtId="165" fontId="0" fillId="0" borderId="0" xfId="0" applyNumberFormat="1"/>
    <x:xf numFmtId="49" fontId="3" fillId="0" borderId="0" xfId="0" applyNumberFormat="1" applyFont="1"/>
    <x:xf numFmtId="0" fontId="0" fillId="0" borderId="0" xfId="0" applyAlignment="1">
      <x:alignment wrapText="1"/>
    </x:xf>
    <x:xf numFmtId="49" fontId="3" fillId="5" borderId="3" xfId="0" applyNumberFormat="1" applyFont="1" applyFill="1" applyBorder="1" applyAlignment="1">
      <x:alignment vertical="top"/>
    </x:xf>
    <x:xf numFmtId="0" fontId="0" fillId="0" borderId="0" xfId="0" applyFill="1"/>
    <x:xf numFmtId="49" fontId="1" fillId="4" borderId="1" xfId="0" applyNumberFormat="1" applyFont="1" applyFill="1" applyBorder="1" applyAlignment="1">
      <x:alignment horizontal="center" vertical="top"/>
    </x:xf>
    <x:xf numFmtId="14" fontId="0" fillId="0" borderId="0" xfId="0" applyNumberFormat="1" applyFill="1"/>
    <x:xf numFmtId="2" fontId="0" fillId="0" borderId="0" xfId="0" applyNumberFormat="1" applyFill="1"/>
    <x:xf numFmtId="49" fontId="0" fillId="0" borderId="0" xfId="0" applyNumberFormat="1" applyFill="1"/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left"/>
    </x:xf>
    <x:xf numFmtId="200" fontId="3" fillId="0" borderId="0" xfId="0" applyNumberFormat="1" applyFont="1" applyFill="1" applyBorder="1"/>
    <x:xf numFmtId="200" fontId="3" fillId="5" borderId="3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horizontal="right"/>
    </x:xf>
    <x:xf numFmtId="200" fontId="3" fillId="0" borderId="0" xfId="0" applyNumberFormat="1" applyFont="1" applyFill="1" applyBorder="1" applyAlignment="1">
      <x:alignment horizontal="right"/>
    </x:xf>
    <x:xf numFmtId="200" fontId="3" fillId="5" borderId="3" xfId="0" applyNumberFormat="1" applyFont="1" applyFill="1" applyBorder="1" applyAlignment="1">
      <x:alignment horizontal="right" vertical="top"/>
    </x:xf>
    <x:xf numFmtId="0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left"/>
    </x:xf>
    <x:xf numFmtId="0" fontId="4" fillId="6" borderId="0" xfId="0" applyNumberFormat="1" applyFont="1" applyFill="1" applyBorder="1" applyAlignment="1">
      <x:alignment horizontal="left"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0" fontId="7" fillId="9" borderId="0" xfId="0" applyNumberFormat="1" applyFont="1" applyFill="1" applyBorder="1" applyAlignment="1">
      <x:alignment wrapText="1"/>
    </x:xf>
    <x:xf numFmtId="0" fontId="7" fillId="9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0" fontId="4" fillId="6" borderId="11" xfId="0" applyNumberFormat="1" applyFont="1" applyFill="1" applyBorder="1"/>
    <x:xf numFmtId="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1" xfId="0" applyNumberFormat="1" applyFont="1" applyFill="1" applyBorder="1" applyAlignment="1">
      <x:alignment wrapText="1"/>
    </x:xf>
    <x:xf numFmtId="0" fontId="4" fillId="6" borderId="12" xfId="0" applyNumberFormat="1" applyFont="1" applyFill="1" applyBorder="1" applyAlignment="1">
      <x:alignment wrapText="1"/>
    </x:xf>
    <x:xf numFmtId="0" fontId="4" fillId="6" borderId="13" xfId="0" applyNumberFormat="1" applyFont="1" applyFill="1" applyBorder="1" applyAlignment="1">
      <x:alignment wrapText="1"/>
    </x:xf>
    <x:xf numFmtId="0" fontId="4" fillId="6" borderId="11" xfId="0" applyNumberFormat="1" applyFont="1" applyFill="1" applyBorder="1" applyAlignment="1">
      <x:alignment horizontal="center" wrapText="1"/>
    </x:xf>
    <x:xf numFmtId="0" fontId="4" fillId="6" borderId="12" xfId="0" applyNumberFormat="1" applyFont="1" applyFill="1" applyBorder="1" applyAlignment="1">
      <x:alignment horizontal="center" wrapText="1"/>
    </x:xf>
    <x:xf numFmtId="0" fontId="4" fillId="6" borderId="13" xfId="0" applyNumberFormat="1" applyFont="1" applyFill="1" applyBorder="1" applyAlignment="1">
      <x:alignment horizontal="center" wrapText="1"/>
    </x:xf>
    <x:xf numFmtId="0" fontId="4" fillId="6" borderId="11" xfId="0" applyNumberFormat="1" applyFont="1" applyFill="1" applyBorder="1" applyAlignment="1">
      <x:alignment horizontal="center" vertical="center" wrapText="1"/>
    </x:xf>
    <x:xf numFmtId="0" fontId="4" fillId="6" borderId="12" xfId="0" applyNumberFormat="1" applyFont="1" applyFill="1" applyBorder="1" applyAlignment="1">
      <x:alignment horizontal="center" vertical="center" wrapText="1"/>
    </x:xf>
    <x:xf numFmtId="0" fontId="4" fillId="6" borderId="13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0" fontId="4" fillId="6" borderId="14" xfId="0" applyNumberFormat="1" applyFont="1" applyFill="1" applyBorder="1" applyAlignment="1">
      <x:alignment horizontal="center" vertical="center" wrapText="1"/>
    </x:xf>
    <x:xf numFmtId="0" fontId="4" fillId="6" borderId="15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 applyAlignment="1">
      <x:alignment vertical="center"/>
    </x:xf>
    <x:xf numFmtId="0" fontId="0" fillId="0" borderId="17" xfId="0" applyNumberFormat="1" applyFont="1" applyFill="1" applyBorder="1" applyAlignment="1">
      <x:alignment vertical="center"/>
    </x:xf>
    <x:xf numFmtId="200" fontId="0" fillId="0" borderId="17" xfId="0" applyNumberFormat="1" applyFont="1" applyFill="1" applyBorder="1" applyAlignment="1">
      <x:alignment vertical="center"/>
    </x:xf>
    <x:xf numFmtId="201" fontId="0" fillId="0" borderId="17" xfId="0" applyNumberFormat="1" applyFont="1" applyFill="1" applyBorder="1" applyAlignment="1">
      <x:alignment vertical="center"/>
    </x:xf>
    <x:xf numFmtId="0" fontId="0" fillId="0" borderId="18" xfId="0" applyNumberFormat="1" applyFont="1" applyFill="1" applyBorder="1" applyAlignment="1">
      <x:alignment vertical="center"/>
    </x:xf>
    <x:xf numFmtId="0" fontId="0" fillId="0" borderId="19" xfId="0" applyNumberFormat="1" applyFont="1" applyFill="1" applyBorder="1" applyAlignment="1">
      <x:alignment vertical="center"/>
    </x:xf>
    <x:xf numFmtId="200" fontId="0" fillId="0" borderId="19" xfId="0" applyNumberFormat="1" applyFont="1" applyFill="1" applyBorder="1" applyAlignment="1">
      <x:alignment vertical="center"/>
    </x:xf>
    <x:xf numFmtId="201" fontId="0" fillId="0" borderId="19" xfId="0" applyNumberFormat="1" applyFont="1" applyFill="1" applyBorder="1" applyAlignment="1">
      <x:alignment vertical="center"/>
    </x:xf>
    <x:xf numFmtId="0" fontId="0" fillId="0" borderId="16" xfId="0" applyNumberFormat="1" applyFont="1" applyFill="1" applyBorder="1" applyAlignment="1">
      <x:alignment horizontal="center" vertical="center"/>
    </x:xf>
    <x:xf numFmtId="0" fontId="0" fillId="0" borderId="18" xfId="0" applyNumberFormat="1" applyFont="1" applyFill="1" applyBorder="1" applyAlignment="1">
      <x:alignment horizontal="center" vertical="center"/>
    </x:xf>
    <x:xf numFmtId="200" fontId="0" fillId="0" borderId="17" xfId="0" applyNumberFormat="1" applyFont="1" applyFill="1" applyBorder="1" applyAlignment="1">
      <x:alignment horizontal="right" vertical="center"/>
    </x:xf>
    <x:xf numFmtId="200" fontId="0" fillId="0" borderId="19" xfId="0" applyNumberFormat="1" applyFont="1" applyFill="1" applyBorder="1" applyAlignment="1">
      <x:alignment horizontal="right" vertical="center"/>
    </x:xf>
    <x:xf numFmtId="0" fontId="0" fillId="0" borderId="17" xfId="0" applyNumberFormat="1" applyFont="1" applyFill="1" applyBorder="1" applyAlignment="1">
      <x:alignment horizontal="center" vertical="center"/>
    </x:xf>
    <x:xf numFmtId="0" fontId="0" fillId="0" borderId="19" xfId="0" applyNumberFormat="1" applyFont="1" applyFill="1" applyBorder="1" applyAlignment="1">
      <x:alignment horizontal="center" vertical="center"/>
    </x:xf>
    <x:xf numFmtId="201" fontId="0" fillId="0" borderId="17" xfId="0" applyNumberFormat="1" applyFont="1" applyFill="1" applyBorder="1" applyAlignment="1">
      <x:alignment horizontal="center" vertical="center"/>
    </x:xf>
    <x:xf numFmtId="201" fontId="0" fillId="0" borderId="19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444"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b3f8e831f24bd9" /><Relationship Type="http://schemas.openxmlformats.org/officeDocument/2006/relationships/theme" Target="/xl/theme/theme1.xml" Id="R48456bb090f44a6f" /><Relationship Type="http://schemas.openxmlformats.org/officeDocument/2006/relationships/sharedStrings" Target="/xl/sharedStrings.xml" Id="Rea455858dbd4478e" /><Relationship Type="http://schemas.openxmlformats.org/officeDocument/2006/relationships/worksheet" Target="/xl/worksheets/sheet1.xml" Id="Rbc0afcbdacf7414a" /><Relationship Type="http://schemas.openxmlformats.org/officeDocument/2006/relationships/worksheet" Target="/xl/worksheets/sheet2.xml" Id="R6eb58ea75009447a" /><Relationship Type="http://schemas.openxmlformats.org/officeDocument/2006/relationships/worksheet" Target="/xl/worksheets/sheet3.xml" Id="R0c82dc7af5ef4948" /></Relationships>
</file>

<file path=xl/tables/table1.xml><?xml version="1.0" encoding="utf-8"?>
<x:table xmlns:x="http://schemas.openxmlformats.org/spreadsheetml/2006/main" id="1" name="TablaQC_Coordenadas" displayName="TablaQC_Coordenadas" ref="A1:K1224" headerRowCount="1" totalsRowCount="0" totalsRowShown="0">
  <x:tableColumns count="11">
    <x:tableColumn id="1" name="Fila_excel"/>
    <x:tableColumn id="2" name="Latitud_original"/>
    <x:tableColumn id="3" name="Longitud_original"/>
    <x:tableColumn id="4" name="Latitud_final"/>
    <x:tableColumn id="5" name="Longitud_final"/>
    <x:tableColumn id="6" name="Acción_latitud"/>
    <x:tableColumn id="7" name="Acción_longitud"/>
    <x:tableColumn id="8" name="Estado_QC"/>
    <x:tableColumn id="9" name="Observación"/>
    <x:tableColumn id="10" name="Par_unico"/>
    <x:tableColumn id="11" name="Duplicados_adicional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93b93a15617248f9" /></Relationships>
</file>

<file path=xl/worksheets/sheet1.xml><?xml version="1.0" encoding="utf-8"?>
<x:worksheet xmlns:x="http://schemas.openxmlformats.org/spreadsheetml/2006/main">
  <x:sheetFormatPr defaultColWidth="8.88671875" defaultRowHeight="14.399999618530273"/>
  <x:cols>
    <x:col min="1" max="1" width="23.109375" customWidth="1"/>
    <x:col min="2" max="2" width="21.21875" customWidth="1"/>
    <x:col min="3" max="3" width="20" customWidth="1"/>
    <x:col min="4" max="4" width="15.6640625" customWidth="1"/>
    <x:col min="5" max="5" width="55.33203125" customWidth="1"/>
    <x:col min="9" max="9" width="13.5546875" customWidth="1"/>
    <x:col min="10" max="10" width="12.6640625" customWidth="1"/>
    <x:col min="11" max="11" width="12.88671875" customWidth="1"/>
    <x:col min="12" max="12" width="12.6640625" customWidth="1"/>
    <x:col min="13" max="13" width="21" customWidth="1"/>
    <x:col min="14" max="14" width="11.33203125" customWidth="1"/>
    <x:col min="15" max="15" width="11.5546875" customWidth="1"/>
    <x:col min="16" max="16" width="20.77734375" customWidth="1"/>
    <x:col min="17" max="17" width="8.6640625" customWidth="1"/>
    <x:col min="18" max="18" width="20.33203125" customWidth="1"/>
    <x:col min="19" max="19" width="6.21875" customWidth="1"/>
    <x:col min="20" max="20" width="8.88671875" customWidth="1"/>
    <x:col min="21" max="21" width="17.5546875" customWidth="1"/>
    <x:col min="22" max="22" width="13.5546875" customWidth="1"/>
    <x:col min="23" max="23" width="21.109375" customWidth="1"/>
    <x:col min="24" max="24" width="21.109375" style="5" customWidth="1"/>
    <x:col min="25" max="25" width="13.109375" customWidth="1"/>
    <x:col min="26" max="26" width="12.5546875" customWidth="1"/>
    <x:col min="27" max="27" width="13.5546875" customWidth="1"/>
    <x:col min="28" max="28" width="18.77734375" customWidth="1"/>
    <x:col min="30" max="30" width="15.6640625" customWidth="1"/>
    <x:col min="31" max="31" width="26.109375" customWidth="1"/>
    <x:col min="33" max="33" width="12.77734375" customWidth="1"/>
  </x:cols>
  <x:sheetData>
    <x:row r="1">
      <x:c r="A1" s="1" t="s">
        <x:v>0</x:v>
      </x:c>
      <x:c r="B1" s="4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  <x:c r="R1" s="1" t="s">
        <x:v>17</x:v>
      </x:c>
      <x:c r="S1" s="1" t="s">
        <x:v>18</x:v>
      </x:c>
      <x:c r="T1" s="1" t="s">
        <x:v>19</x:v>
      </x:c>
      <x:c r="U1" s="1" t="s">
        <x:v>20</x:v>
      </x:c>
      <x:c r="V1" s="1" t="s">
        <x:v>21</x:v>
      </x:c>
      <x:c r="W1" s="8" t="s">
        <x:v>22</x:v>
      </x:c>
      <x:c r="X1" s="18" t="s">
        <x:v>23</x:v>
      </x:c>
      <x:c r="Y1" s="1" t="s">
        <x:v>24</x:v>
      </x:c>
      <x:c r="Z1" s="1" t="s">
        <x:v>25</x:v>
      </x:c>
      <x:c r="AA1" s="1" t="s">
        <x:v>26</x:v>
      </x:c>
      <x:c r="AB1" s="1" t="s">
        <x:v>27</x:v>
      </x:c>
      <x:c r="AC1" s="1" t="s">
        <x:v>28</x:v>
      </x:c>
      <x:c r="AD1" s="1" t="s">
        <x:v>29</x:v>
      </x:c>
      <x:c r="AE1" s="1" t="s">
        <x:v>30</x:v>
      </x:c>
      <x:c r="AF1" s="1" t="s">
        <x:v>31</x:v>
      </x:c>
      <x:c r="AG1" s="1" t="s">
        <x:v>32</x:v>
      </x:c>
      <x:c r="AH1" s="1" t="s">
        <x:v>33</x:v>
      </x:c>
      <x:c r="AI1" s="1" t="s">
        <x:v>34</x:v>
      </x:c>
      <x:c r="AJ1" s="10" t="s">
        <x:v>35</x:v>
      </x:c>
    </x:row>
    <x:row r="2" s="2" customFormat="1">
      <x:c r="A2" t="s">
        <x:v>36</x:v>
      </x:c>
      <x:c r="B2" t="s">
        <x:v>37</x:v>
      </x:c>
      <x:c r="C2" t="s">
        <x:v>38</x:v>
      </x:c>
      <x:c r="D2" t="s">
        <x:v>39</x:v>
      </x:c>
      <x:c r="E2" t="s">
        <x:v>40</x:v>
      </x:c>
      <x:c r="F2">
        <x:v>1860</x:v>
      </x:c>
      <x:c r="G2">
        <x:v>1860</x:v>
      </x:c>
      <x:c r="H2">
        <x:v>1860</x:v>
      </x:c>
      <x:c r="I2" t="s">
        <x:v>41</x:v>
      </x:c>
      <x:c r="J2" t="s">
        <x:v>42</x:v>
      </x:c>
      <x:c r="K2" t="s">
        <x:v>43</x:v>
      </x:c>
      <x:c r="L2" t="s">
        <x:v>44</x:v>
      </x:c>
      <x:c r="M2" t="s">
        <x:v>45</x:v>
      </x:c>
      <x:c r="N2" t="s">
        <x:v>46</x:v>
      </x:c>
      <x:c r="O2" t="s">
        <x:v>47</x:v>
      </x:c>
      <x:c r="P2" t="s">
        <x:v>48</x:v>
      </x:c>
      <x:c r="Q2"/>
      <x:c r="R2" s="9">
        <x:v>21425</x:v>
      </x:c>
      <x:c r="S2"/>
      <x:c r="T2" t="s">
        <x:v>49</x:v>
      </x:c>
      <x:c r="U2"/>
      <x:c r="V2"/>
      <x:c r="W2" s="26" t="n">
        <x:v>1.8767333</x:v>
      </x:c>
      <x:c r="X2" s="26" t="n">
        <x:v>-76.2681861</x:v>
      </x:c>
      <x:c r="Y2"/>
      <x:c r="Z2"/>
      <x:c r="AA2"/>
      <x:c r="AB2"/>
      <x:c r="AC2"/>
      <x:c r="AD2"/>
      <x:c r="AE2"/>
      <x:c r="AF2" t="s">
        <x:v>50</x:v>
      </x:c>
      <x:c r="AG2" t="s">
        <x:v>51</x:v>
      </x:c>
      <x:c r="AH2" t="s">
        <x:v>52</x:v>
      </x:c>
      <x:c r="AI2" t="s">
        <x:v>53</x:v>
      </x:c>
      <x:c r="AJ2">
        <x:v>1</x:v>
      </x:c>
    </x:row>
    <x:row r="3">
      <x:c r="A3" t="s">
        <x:v>36</x:v>
      </x:c>
      <x:c r="B3" t="s">
        <x:v>37</x:v>
      </x:c>
      <x:c r="C3" t="s">
        <x:v>54</x:v>
      </x:c>
      <x:c r="D3" t="s">
        <x:v>55</x:v>
      </x:c>
      <x:c r="E3" t="s">
        <x:v>56</x:v>
      </x:c>
      <x:c r="F3">
        <x:v>2280</x:v>
      </x:c>
      <x:c r="G3">
        <x:v>2280</x:v>
      </x:c>
      <x:c r="H3">
        <x:v>2280</x:v>
      </x:c>
      <x:c r="I3" t="s">
        <x:v>57</x:v>
      </x:c>
      <x:c r="J3" t="s">
        <x:v>58</x:v>
      </x:c>
      <x:c r="K3" t="s">
        <x:v>59</x:v>
      </x:c>
      <x:c r="L3" t="s">
        <x:v>60</x:v>
      </x:c>
      <x:c r="M3" t="s">
        <x:v>61</x:v>
      </x:c>
      <x:c r="N3" t="s">
        <x:v>62</x:v>
      </x:c>
      <x:c r="O3" t="s">
        <x:v>63</x:v>
      </x:c>
      <x:c r="P3" t="s">
        <x:v>64</x:v>
      </x:c>
      <x:c r="R3" s="9">
        <x:v>26625</x:v>
      </x:c>
      <x:c r="T3" t="s">
        <x:v>65</x:v>
      </x:c>
      <x:c r="W3" s="26" t="n">
        <x:v>1.08259</x:v>
      </x:c>
      <x:c r="X3" s="26" t="n">
        <x:v>-76.66412</x:v>
      </x:c>
      <x:c r="Y3">
        <x:v>2639.5639999999999</x:v>
      </x:c>
      <x:c r="Z3">
        <x:v>696</x:v>
      </x:c>
      <x:c r="AB3" t="s">
        <x:v>66</x:v>
      </x:c>
      <x:c r="AF3" t="s">
        <x:v>50</x:v>
      </x:c>
      <x:c r="AG3" t="s">
        <x:v>67</x:v>
      </x:c>
      <x:c r="AH3" t="s">
        <x:v>68</x:v>
      </x:c>
      <x:c r="AI3" t="s">
        <x:v>69</x:v>
      </x:c>
      <x:c r="AJ3">
        <x:v>2</x:v>
      </x:c>
    </x:row>
    <x:row r="4">
      <x:c r="A4" t="s">
        <x:v>36</x:v>
      </x:c>
      <x:c r="B4" t="s">
        <x:v>37</x:v>
      </x:c>
      <x:c r="C4" t="s">
        <x:v>70</x:v>
      </x:c>
      <x:c r="D4" t="s">
        <x:v>71</x:v>
      </x:c>
      <x:c r="E4" t="s">
        <x:v>72</x:v>
      </x:c>
      <x:c r="F4">
        <x:v>2280</x:v>
      </x:c>
      <x:c r="G4">
        <x:v>2280</x:v>
      </x:c>
      <x:c r="H4">
        <x:v>2280</x:v>
      </x:c>
      <x:c r="I4" t="s">
        <x:v>57</x:v>
      </x:c>
      <x:c r="J4" t="s">
        <x:v>58</x:v>
      </x:c>
      <x:c r="K4" t="s">
        <x:v>59</x:v>
      </x:c>
      <x:c r="L4" t="s">
        <x:v>60</x:v>
      </x:c>
      <x:c r="M4" t="s">
        <x:v>61</x:v>
      </x:c>
      <x:c r="N4" t="s">
        <x:v>62</x:v>
      </x:c>
      <x:c r="O4" t="s">
        <x:v>63</x:v>
      </x:c>
      <x:c r="P4" t="s">
        <x:v>64</x:v>
      </x:c>
      <x:c r="R4" s="9"/>
      <x:c r="W4" s="26" t="n">
        <x:v>1.08259</x:v>
      </x:c>
      <x:c r="X4" s="26" t="n">
        <x:v>-76.66412</x:v>
      </x:c>
      <x:c r="Y4">
        <x:v>2639.5639999999999</x:v>
      </x:c>
      <x:c r="Z4">
        <x:v>696</x:v>
      </x:c>
      <x:c r="AB4" t="s">
        <x:v>66</x:v>
      </x:c>
      <x:c r="AF4" t="s">
        <x:v>50</x:v>
      </x:c>
      <x:c r="AG4" t="s">
        <x:v>67</x:v>
      </x:c>
      <x:c r="AH4" t="s">
        <x:v>73</x:v>
      </x:c>
      <x:c r="AJ4">
        <x:v>3</x:v>
      </x:c>
    </x:row>
    <x:row r="5">
      <x:c r="A5" t="s">
        <x:v>74</x:v>
      </x:c>
      <x:c r="B5" t="s">
        <x:v>37</x:v>
      </x:c>
      <x:c r="C5" t="s">
        <x:v>75</x:v>
      </x:c>
      <x:c r="D5" t="s">
        <x:v>76</x:v>
      </x:c>
      <x:c r="E5" t="s">
        <x:v>77</x:v>
      </x:c>
      <x:c r="F5" t="s">
        <x:v>78</x:v>
      </x:c>
      <x:c r="G5">
        <x:v>1900</x:v>
      </x:c>
      <x:c r="H5">
        <x:v>2350</x:v>
      </x:c>
      <x:c r="I5" t="s">
        <x:v>79</x:v>
      </x:c>
      <x:c r="K5" t="s">
        <x:v>79</x:v>
      </x:c>
      <x:c r="P5" t="s">
        <x:v>80</x:v>
      </x:c>
      <x:c r="R5" s="9">
        <x:v>14330</x:v>
      </x:c>
      <x:c r="T5" t="s">
        <x:v>81</x:v>
      </x:c>
      <x:c r="W5" s="26" t="n">
        <x:v>3.44733</x:v>
      </x:c>
      <x:c r="X5" s="26" t="n">
        <x:v>-76.54198</x:v>
      </x:c>
      <x:c r="Y5">
        <x:v>444.16</x:v>
      </x:c>
      <x:c r="Z5">
        <x:v>1054</x:v>
      </x:c>
      <x:c r="AB5" t="s">
        <x:v>82</x:v>
      </x:c>
      <x:c r="AF5" t="s">
        <x:v>50</x:v>
      </x:c>
      <x:c r="AG5" t="s">
        <x:v>83</x:v>
      </x:c>
      <x:c r="AH5" t="s">
        <x:v>84</x:v>
      </x:c>
      <x:c r="AI5" t="s">
        <x:v>85</x:v>
      </x:c>
      <x:c r="AJ5">
        <x:v>5</x:v>
      </x:c>
    </x:row>
    <x:row r="6">
      <x:c r="A6" t="s">
        <x:v>74</x:v>
      </x:c>
      <x:c r="B6" t="s">
        <x:v>37</x:v>
      </x:c>
      <x:c r="C6" t="s">
        <x:v>86</x:v>
      </x:c>
      <x:c r="D6" t="s">
        <x:v>87</x:v>
      </x:c>
      <x:c r="E6" t="s">
        <x:v>88</x:v>
      </x:c>
      <x:c r="F6">
        <x:v>2200</x:v>
      </x:c>
      <x:c r="G6">
        <x:v>2200</x:v>
      </x:c>
      <x:c r="H6">
        <x:v>2200</x:v>
      </x:c>
      <x:c r="P6" t="s">
        <x:v>80</x:v>
      </x:c>
      <x:c r="R6" s="9">
        <x:v>21055</x:v>
      </x:c>
      <x:c r="W6" s="26" t="n">
        <x:v>6.78302</x:v>
      </x:c>
      <x:c r="X6" s="26" t="n">
        <x:v>-72.0829</x:v>
      </x:c>
      <x:c r="Y6">
        <x:v>3874.6759999999999</x:v>
      </x:c>
      <x:c r="Z6">
        <x:v>2264</x:v>
      </x:c>
      <x:c r="AB6" t="s">
        <x:v>89</x:v>
      </x:c>
      <x:c r="AF6" t="s">
        <x:v>50</x:v>
      </x:c>
      <x:c r="AG6" t="s">
        <x:v>90</x:v>
      </x:c>
      <x:c r="AH6" t="s">
        <x:v>91</x:v>
      </x:c>
      <x:c r="AI6" t="s">
        <x:v>92</x:v>
      </x:c>
      <x:c r="AJ6">
        <x:v>7</x:v>
      </x:c>
    </x:row>
    <x:row r="7">
      <x:c r="A7" t="s">
        <x:v>74</x:v>
      </x:c>
      <x:c r="B7" t="s">
        <x:v>37</x:v>
      </x:c>
      <x:c r="C7" t="s">
        <x:v>93</x:v>
      </x:c>
      <x:c r="D7" t="s">
        <x:v>94</x:v>
      </x:c>
      <x:c r="E7" t="s">
        <x:v>95</x:v>
      </x:c>
      <x:c r="F7" t="s">
        <x:v>96</x:v>
      </x:c>
      <x:c r="G7">
        <x:v>1500</x:v>
      </x:c>
      <x:c r="H7">
        <x:v>1800</x:v>
      </x:c>
      <x:c r="P7" t="s">
        <x:v>80</x:v>
      </x:c>
      <x:c r="R7" s="9">
        <x:v>22542</x:v>
      </x:c>
      <x:c r="W7" s="26" t="n">
        <x:v>4.9794</x:v>
      </x:c>
      <x:c r="X7" s="26" t="n">
        <x:v>-74.31008</x:v>
      </x:c>
      <x:c r="Y7">
        <x:v>928.81299999999999</x:v>
      </x:c>
      <x:c r="Z7">
        <x:v>1562</x:v>
      </x:c>
      <x:c r="AB7" t="s">
        <x:v>97</x:v>
      </x:c>
      <x:c r="AF7" t="s">
        <x:v>50</x:v>
      </x:c>
      <x:c r="AG7" t="s">
        <x:v>98</x:v>
      </x:c>
      <x:c r="AH7" t="s">
        <x:v>99</x:v>
      </x:c>
      <x:c r="AJ7">
        <x:v>8</x:v>
      </x:c>
    </x:row>
    <x:row r="8">
      <x:c r="A8" t="s">
        <x:v>74</x:v>
      </x:c>
      <x:c r="B8" t="s">
        <x:v>37</x:v>
      </x:c>
      <x:c r="C8" t="s">
        <x:v>100</x:v>
      </x:c>
      <x:c r="D8" t="s">
        <x:v>101</x:v>
      </x:c>
      <x:c r="E8" t="s">
        <x:v>102</x:v>
      </x:c>
      <x:c r="F8">
        <x:v>2100</x:v>
      </x:c>
      <x:c r="G8">
        <x:v>2100</x:v>
      </x:c>
      <x:c r="H8">
        <x:v>2100</x:v>
      </x:c>
      <x:c r="P8" t="s">
        <x:v>80</x:v>
      </x:c>
      <x:c r="R8" s="9">
        <x:v>24736</x:v>
      </x:c>
      <x:c r="T8" t="s">
        <x:v>81</x:v>
      </x:c>
      <x:c r="W8" s="26" t="n">
        <x:v>4.41479</x:v>
      </x:c>
      <x:c r="X8" s="26" t="n">
        <x:v>-74.32969</x:v>
      </x:c>
      <x:c r="Y8">
        <x:v>4441.96</x:v>
      </x:c>
      <x:c r="Z8">
        <x:v>2161</x:v>
      </x:c>
      <x:c r="AA8" t="s">
        <x:v>103</x:v>
      </x:c>
      <x:c r="AB8" t="s">
        <x:v>104</x:v>
      </x:c>
      <x:c r="AF8" t="s">
        <x:v>50</x:v>
      </x:c>
      <x:c r="AG8" t="s">
        <x:v>98</x:v>
      </x:c>
      <x:c r="AH8" t="s">
        <x:v>105</x:v>
      </x:c>
      <x:c r="AI8" t="s">
        <x:v>106</x:v>
      </x:c>
      <x:c r="AJ8">
        <x:v>11</x:v>
      </x:c>
    </x:row>
    <x:row r="9">
      <x:c r="A9" t="s">
        <x:v>74</x:v>
      </x:c>
      <x:c r="B9" t="s">
        <x:v>37</x:v>
      </x:c>
      <x:c r="C9" t="s">
        <x:v>107</x:v>
      </x:c>
      <x:c r="D9" t="s">
        <x:v>108</x:v>
      </x:c>
      <x:c r="E9" t="s">
        <x:v>109</x:v>
      </x:c>
      <x:c r="F9" t="s">
        <x:v>110</x:v>
      </x:c>
      <x:c r="G9">
        <x:v>2000</x:v>
      </x:c>
      <x:c r="H9">
        <x:v>2300</x:v>
      </x:c>
      <x:c r="P9" t="s">
        <x:v>80</x:v>
      </x:c>
      <x:c r="R9" s="9">
        <x:v>25914</x:v>
      </x:c>
      <x:c r="T9" t="s">
        <x:v>111</x:v>
      </x:c>
      <x:c r="W9" s="26" t="n">
        <x:v>5.62831</x:v>
      </x:c>
      <x:c r="X9" s="26" t="n">
        <x:v>-73.90248</x:v>
      </x:c>
      <x:c r="Y9">
        <x:v>2202.0929999999998</x:v>
      </x:c>
      <x:c r="Z9">
        <x:v>2286</x:v>
      </x:c>
      <x:c r="AB9" t="s">
        <x:v>112</x:v>
      </x:c>
      <x:c r="AF9" t="s">
        <x:v>50</x:v>
      </x:c>
      <x:c r="AG9" t="s">
        <x:v>90</x:v>
      </x:c>
      <x:c r="AH9" t="s">
        <x:v>113</x:v>
      </x:c>
      <x:c r="AI9" t="s">
        <x:v>114</x:v>
      </x:c>
      <x:c r="AJ9">
        <x:v>13</x:v>
      </x:c>
    </x:row>
    <x:row r="10">
      <x:c r="A10" t="s">
        <x:v>74</x:v>
      </x:c>
      <x:c r="B10" t="s">
        <x:v>37</x:v>
      </x:c>
      <x:c r="C10" t="s">
        <x:v>115</x:v>
      </x:c>
      <x:c r="D10" t="s">
        <x:v>116</x:v>
      </x:c>
      <x:c r="E10" t="s">
        <x:v>117</x:v>
      </x:c>
      <x:c r="F10" t="s">
        <x:v>118</x:v>
      </x:c>
      <x:c r="G10">
        <x:v>2150</x:v>
      </x:c>
      <x:c r="H10">
        <x:v>2200</x:v>
      </x:c>
      <x:c r="P10" t="s">
        <x:v>80</x:v>
      </x:c>
      <x:c r="R10" s="9">
        <x:v>26019</x:v>
      </x:c>
      <x:c r="T10" t="s">
        <x:v>119</x:v>
      </x:c>
      <x:c r="W10" s="26" t="n">
        <x:v>4.7552</x:v>
      </x:c>
      <x:c r="X10" s="26" t="n">
        <x:v>-76.28734</x:v>
      </x:c>
      <x:c r="Y10">
        <x:v>1362.0219999999999</x:v>
      </x:c>
      <x:c r="Z10">
        <x:v>2210</x:v>
      </x:c>
      <x:c r="AB10" t="s">
        <x:v>120</x:v>
      </x:c>
      <x:c r="AF10" t="s">
        <x:v>50</x:v>
      </x:c>
      <x:c r="AG10" t="s">
        <x:v>83</x:v>
      </x:c>
      <x:c r="AH10" t="s">
        <x:v>121</x:v>
      </x:c>
      <x:c r="AI10" t="s">
        <x:v>122</x:v>
      </x:c>
      <x:c r="AJ10">
        <x:v>14</x:v>
      </x:c>
    </x:row>
    <x:row r="11">
      <x:c r="A11" t="s">
        <x:v>74</x:v>
      </x:c>
      <x:c r="B11" t="s">
        <x:v>37</x:v>
      </x:c>
      <x:c r="C11" t="s">
        <x:v>123</x:v>
      </x:c>
      <x:c r="D11" t="s">
        <x:v>124</x:v>
      </x:c>
      <x:c r="E11" t="s">
        <x:v>125</x:v>
      </x:c>
      <x:c r="F11">
        <x:v>350</x:v>
      </x:c>
      <x:c r="G11">
        <x:v>350</x:v>
      </x:c>
      <x:c r="H11">
        <x:v>350</x:v>
      </x:c>
      <x:c r="P11" t="s">
        <x:v>80</x:v>
      </x:c>
      <x:c r="R11" s="9">
        <x:v>26818</x:v>
      </x:c>
      <x:c r="W11" s="26" t="n">
        <x:v>1.53403</x:v>
      </x:c>
      <x:c r="X11" s="26" t="n">
        <x:v>-78.06769</x:v>
      </x:c>
      <x:c r="Y11">
        <x:v>996.47500000000002</x:v>
      </x:c>
      <x:c r="Z11">
        <x:v>411</x:v>
      </x:c>
      <x:c r="AB11" t="s">
        <x:v>126</x:v>
      </x:c>
      <x:c r="AF11" t="s">
        <x:v>50</x:v>
      </x:c>
      <x:c r="AG11" t="s">
        <x:v>127</x:v>
      </x:c>
      <x:c r="AH11" t="s">
        <x:v>128</x:v>
      </x:c>
      <x:c r="AJ11">
        <x:v>15</x:v>
      </x:c>
    </x:row>
    <x:row r="12">
      <x:c r="A12" t="s">
        <x:v>74</x:v>
      </x:c>
      <x:c r="B12" t="s">
        <x:v>37</x:v>
      </x:c>
      <x:c r="C12" t="s">
        <x:v>129</x:v>
      </x:c>
      <x:c r="D12" t="s">
        <x:v>130</x:v>
      </x:c>
      <x:c r="E12" t="s">
        <x:v>131</x:v>
      </x:c>
      <x:c r="F12">
        <x:v>2030</x:v>
      </x:c>
      <x:c r="G12">
        <x:v>2030</x:v>
      </x:c>
      <x:c r="H12">
        <x:v>2030</x:v>
      </x:c>
      <x:c r="P12" t="s">
        <x:v>80</x:v>
      </x:c>
      <x:c r="R12" s="9">
        <x:v>29437</x:v>
      </x:c>
      <x:c r="T12" t="s">
        <x:v>111</x:v>
      </x:c>
      <x:c r="W12" s="26" t="n">
        <x:v>4.71798</x:v>
      </x:c>
      <x:c r="X12" s="26" t="n">
        <x:v>-75.07741</x:v>
      </x:c>
      <x:c r="Y12">
        <x:v>1609.867</x:v>
      </x:c>
      <x:c r="Z12">
        <x:v>2006</x:v>
      </x:c>
      <x:c r="AB12" t="s">
        <x:v>132</x:v>
      </x:c>
      <x:c r="AF12" t="s">
        <x:v>50</x:v>
      </x:c>
      <x:c r="AG12" t="s">
        <x:v>133</x:v>
      </x:c>
      <x:c r="AH12" t="s">
        <x:v>134</x:v>
      </x:c>
      <x:c r="AI12" t="s">
        <x:v>135</x:v>
      </x:c>
      <x:c r="AJ12">
        <x:v>16</x:v>
      </x:c>
    </x:row>
    <x:row r="13">
      <x:c r="A13" t="s">
        <x:v>74</x:v>
      </x:c>
      <x:c r="B13" t="s">
        <x:v>37</x:v>
      </x:c>
      <x:c r="C13" t="s">
        <x:v>136</x:v>
      </x:c>
      <x:c r="D13" t="s">
        <x:v>137</x:v>
      </x:c>
      <x:c r="E13" t="s">
        <x:v>138</x:v>
      </x:c>
      <x:c r="F13">
        <x:v>1500</x:v>
      </x:c>
      <x:c r="G13">
        <x:v>1500</x:v>
      </x:c>
      <x:c r="H13">
        <x:v>1500</x:v>
      </x:c>
      <x:c r="P13" t="s">
        <x:v>80</x:v>
      </x:c>
      <x:c r="R13" s="9">
        <x:v>30305</x:v>
      </x:c>
      <x:c r="T13" t="s">
        <x:v>111</x:v>
      </x:c>
      <x:c r="W13" s="26" t="n">
        <x:v>1.96004</x:v>
      </x:c>
      <x:c r="X13" s="26" t="n">
        <x:v>-76.08114</x:v>
      </x:c>
      <x:c r="Y13">
        <x:v>956.91600000000005</x:v>
      </x:c>
      <x:c r="Z13">
        <x:v>1296</x:v>
      </x:c>
      <x:c r="AB13" t="s">
        <x:v>139</x:v>
      </x:c>
      <x:c r="AF13" t="s">
        <x:v>50</x:v>
      </x:c>
      <x:c r="AG13" t="s">
        <x:v>51</x:v>
      </x:c>
      <x:c r="AH13" t="s">
        <x:v>140</x:v>
      </x:c>
      <x:c r="AI13" t="s">
        <x:v>141</x:v>
      </x:c>
      <x:c r="AJ13">
        <x:v>17</x:v>
      </x:c>
    </x:row>
    <x:row r="14">
      <x:c r="A14" t="s">
        <x:v>74</x:v>
      </x:c>
      <x:c r="B14" t="s">
        <x:v>37</x:v>
      </x:c>
      <x:c r="C14" t="s">
        <x:v>142</x:v>
      </x:c>
      <x:c r="D14" t="s">
        <x:v>143</x:v>
      </x:c>
      <x:c r="E14" t="s">
        <x:v>144</x:v>
      </x:c>
      <x:c r="F14">
        <x:v>2140</x:v>
      </x:c>
      <x:c r="G14">
        <x:v>2140</x:v>
      </x:c>
      <x:c r="H14">
        <x:v>2140</x:v>
      </x:c>
      <x:c r="I14" t="s">
        <x:v>79</x:v>
      </x:c>
      <x:c r="K14" t="s">
        <x:v>79</x:v>
      </x:c>
      <x:c r="P14" t="s">
        <x:v>80</x:v>
      </x:c>
      <x:c r="R14" s="9">
        <x:v>30368</x:v>
      </x:c>
      <x:c r="T14" t="s">
        <x:v>79</x:v>
      </x:c>
      <x:c r="W14" s="26" t="n">
        <x:v>4.74141</x:v>
      </x:c>
      <x:c r="X14" s="26" t="n">
        <x:v>-76.11797</x:v>
      </x:c>
      <x:c r="Y14">
        <x:v>5425.3860000000004</x:v>
      </x:c>
      <x:c r="Z14">
        <x:v>1662</x:v>
      </x:c>
      <x:c r="AB14" t="s">
        <x:v>145</x:v>
      </x:c>
      <x:c r="AF14" t="s">
        <x:v>50</x:v>
      </x:c>
      <x:c r="AG14" t="s">
        <x:v>83</x:v>
      </x:c>
      <x:c r="AH14" t="s">
        <x:v>146</x:v>
      </x:c>
      <x:c r="AI14" t="s">
        <x:v>147</x:v>
      </x:c>
      <x:c r="AJ14">
        <x:v>18</x:v>
      </x:c>
    </x:row>
    <x:row r="15">
      <x:c r="A15" t="s">
        <x:v>74</x:v>
      </x:c>
      <x:c r="B15" t="s">
        <x:v>37</x:v>
      </x:c>
      <x:c r="C15" t="s">
        <x:v>142</x:v>
      </x:c>
      <x:c r="D15" t="s">
        <x:v>148</x:v>
      </x:c>
      <x:c r="E15" t="s">
        <x:v>144</x:v>
      </x:c>
      <x:c r="F15">
        <x:v>2140</x:v>
      </x:c>
      <x:c r="G15">
        <x:v>2140</x:v>
      </x:c>
      <x:c r="H15">
        <x:v>2140</x:v>
      </x:c>
      <x:c r="I15" t="s">
        <x:v>79</x:v>
      </x:c>
      <x:c r="K15" t="s">
        <x:v>79</x:v>
      </x:c>
      <x:c r="P15" t="s">
        <x:v>80</x:v>
      </x:c>
      <x:c r="R15" s="9">
        <x:v>30368</x:v>
      </x:c>
      <x:c r="T15" t="s">
        <x:v>79</x:v>
      </x:c>
      <x:c r="W15" s="26" t="n">
        <x:v>4.74141</x:v>
      </x:c>
      <x:c r="X15" s="26" t="n">
        <x:v>-76.11797</x:v>
      </x:c>
      <x:c r="Y15">
        <x:v>5425.3860000000004</x:v>
      </x:c>
      <x:c r="Z15">
        <x:v>1662</x:v>
      </x:c>
      <x:c r="AB15" t="s">
        <x:v>145</x:v>
      </x:c>
      <x:c r="AF15" t="s">
        <x:v>50</x:v>
      </x:c>
      <x:c r="AG15" t="s">
        <x:v>83</x:v>
      </x:c>
      <x:c r="AH15" t="s">
        <x:v>146</x:v>
      </x:c>
      <x:c r="AI15" t="s">
        <x:v>147</x:v>
      </x:c>
      <x:c r="AJ15">
        <x:v>19</x:v>
      </x:c>
    </x:row>
    <x:row r="16">
      <x:c r="A16" t="s">
        <x:v>74</x:v>
      </x:c>
      <x:c r="B16" t="s">
        <x:v>37</x:v>
      </x:c>
      <x:c r="C16" t="s">
        <x:v>149</x:v>
      </x:c>
      <x:c r="D16" t="s">
        <x:v>150</x:v>
      </x:c>
      <x:c r="E16" t="s">
        <x:v>151</x:v>
      </x:c>
      <x:c r="F16">
        <x:v>1600</x:v>
      </x:c>
      <x:c r="G16">
        <x:v>1600</x:v>
      </x:c>
      <x:c r="H16">
        <x:v>1600</x:v>
      </x:c>
      <x:c r="P16" t="s">
        <x:v>80</x:v>
      </x:c>
      <x:c r="R16" s="9">
        <x:v>30949</x:v>
      </x:c>
      <x:c r="W16" s="26" t="n">
        <x:v>3.96918</x:v>
      </x:c>
      <x:c r="X16" s="26" t="n">
        <x:v>-76.0801</x:v>
      </x:c>
      <x:c r="Y16">
        <x:v>2011.5350000000001</x:v>
      </x:c>
      <x:c r="Z16">
        <x:v>1756</x:v>
      </x:c>
      <x:c r="AB16" t="s">
        <x:v>152</x:v>
      </x:c>
      <x:c r="AF16" t="s">
        <x:v>50</x:v>
      </x:c>
      <x:c r="AG16" t="s">
        <x:v>83</x:v>
      </x:c>
      <x:c r="AH16" t="s">
        <x:v>153</x:v>
      </x:c>
      <x:c r="AI16" t="s">
        <x:v>154</x:v>
      </x:c>
      <x:c r="AJ16">
        <x:v>20</x:v>
      </x:c>
    </x:row>
    <x:row r="17">
      <x:c r="A17" t="s">
        <x:v>74</x:v>
      </x:c>
      <x:c r="B17" t="s">
        <x:v>37</x:v>
      </x:c>
      <x:c r="C17" t="s">
        <x:v>155</x:v>
      </x:c>
      <x:c r="D17" t="s">
        <x:v>156</x:v>
      </x:c>
      <x:c r="E17" t="s">
        <x:v>157</x:v>
      </x:c>
      <x:c r="F17">
        <x:v>2150</x:v>
      </x:c>
      <x:c r="G17">
        <x:v>2150</x:v>
      </x:c>
      <x:c r="H17">
        <x:v>2150</x:v>
      </x:c>
      <x:c r="I17" t="s">
        <x:v>158</x:v>
      </x:c>
      <x:c r="J17" t="s">
        <x:v>159</x:v>
      </x:c>
      <x:c r="K17" t="s">
        <x:v>160</x:v>
      </x:c>
      <x:c r="L17" t="s">
        <x:v>161</x:v>
      </x:c>
      <x:c r="M17" t="s">
        <x:v>162</x:v>
      </x:c>
      <x:c r="N17" t="s">
        <x:v>163</x:v>
      </x:c>
      <x:c r="O17" t="s">
        <x:v>164</x:v>
      </x:c>
      <x:c r="P17" t="s">
        <x:v>165</x:v>
      </x:c>
      <x:c r="R17" s="9">
        <x:v>31094</x:v>
      </x:c>
      <x:c r="T17" t="s">
        <x:v>166</x:v>
      </x:c>
      <x:c r="W17" s="26" t="n">
        <x:v>5.0577778</x:v>
      </x:c>
      <x:c r="X17" s="26" t="n">
        <x:v>-75.4994444</x:v>
      </x:c>
      <x:c r="AF17" t="s">
        <x:v>50</x:v>
      </x:c>
      <x:c r="AG17" t="s">
        <x:v>167</x:v>
      </x:c>
      <x:c r="AH17" t="s">
        <x:v>168</x:v>
      </x:c>
      <x:c r="AI17" t="s">
        <x:v>169</x:v>
      </x:c>
      <x:c r="AJ17">
        <x:v>21</x:v>
      </x:c>
    </x:row>
    <x:row r="18">
      <x:c r="A18" t="s">
        <x:v>74</x:v>
      </x:c>
      <x:c r="B18" t="s">
        <x:v>37</x:v>
      </x:c>
      <x:c r="C18" t="s">
        <x:v>170</x:v>
      </x:c>
      <x:c r="D18" t="s">
        <x:v>171</x:v>
      </x:c>
      <x:c r="E18" t="s">
        <x:v>172</x:v>
      </x:c>
      <x:c r="F18">
        <x:v>2800</x:v>
      </x:c>
      <x:c r="G18">
        <x:v>2800</x:v>
      </x:c>
      <x:c r="H18">
        <x:v>2800</x:v>
      </x:c>
      <x:c r="I18" t="s">
        <x:v>173</x:v>
      </x:c>
      <x:c r="J18" t="s">
        <x:v>174</x:v>
      </x:c>
      <x:c r="K18" t="s">
        <x:v>175</x:v>
      </x:c>
      <x:c r="L18" t="s">
        <x:v>176</x:v>
      </x:c>
      <x:c r="M18" t="s">
        <x:v>177</x:v>
      </x:c>
      <x:c r="N18" t="s">
        <x:v>178</x:v>
      </x:c>
      <x:c r="O18" t="s">
        <x:v>179</x:v>
      </x:c>
      <x:c r="P18" t="s">
        <x:v>180</x:v>
      </x:c>
      <x:c r="R18" s="9">
        <x:v>34317</x:v>
      </x:c>
      <x:c r="T18" t="s">
        <x:v>111</x:v>
      </x:c>
      <x:c r="W18" s="26" t="n">
        <x:v>4.40125</x:v>
      </x:c>
      <x:c r="X18" s="26" t="n">
        <x:v>-75.60015</x:v>
      </x:c>
      <x:c r="Y18">
        <x:v>4545.8310000000001</x:v>
      </x:c>
      <x:c r="Z18">
        <x:v>2938</x:v>
      </x:c>
      <x:c r="AB18" t="s">
        <x:v>181</x:v>
      </x:c>
      <x:c r="AF18" t="s">
        <x:v>50</x:v>
      </x:c>
      <x:c r="AG18" t="s">
        <x:v>182</x:v>
      </x:c>
      <x:c r="AH18" t="s">
        <x:v>183</x:v>
      </x:c>
      <x:c r="AI18" t="s">
        <x:v>184</x:v>
      </x:c>
      <x:c r="AJ18">
        <x:v>22</x:v>
      </x:c>
    </x:row>
    <x:row r="19">
      <x:c r="A19" t="s">
        <x:v>74</x:v>
      </x:c>
      <x:c r="B19" t="s">
        <x:v>37</x:v>
      </x:c>
      <x:c r="C19" t="s">
        <x:v>185</x:v>
      </x:c>
      <x:c r="D19" t="s">
        <x:v>186</x:v>
      </x:c>
      <x:c r="E19" t="s">
        <x:v>187</x:v>
      </x:c>
      <x:c r="F19">
        <x:v>1300</x:v>
      </x:c>
      <x:c r="G19">
        <x:v>1300</x:v>
      </x:c>
      <x:c r="H19">
        <x:v>1300</x:v>
      </x:c>
      <x:c r="I19" t="s">
        <x:v>188</x:v>
      </x:c>
      <x:c r="J19" t="s">
        <x:v>189</x:v>
      </x:c>
      <x:c r="K19" t="s">
        <x:v>190</x:v>
      </x:c>
      <x:c r="L19" t="s">
        <x:v>191</x:v>
      </x:c>
      <x:c r="M19" t="s">
        <x:v>192</x:v>
      </x:c>
      <x:c r="N19" t="s">
        <x:v>193</x:v>
      </x:c>
      <x:c r="O19" t="s">
        <x:v>194</x:v>
      </x:c>
      <x:c r="P19" t="s">
        <x:v>195</x:v>
      </x:c>
      <x:c r="R19" s="9">
        <x:v>35749</x:v>
      </x:c>
      <x:c r="W19" s="26" t="n">
        <x:v>2.8136111</x:v>
      </x:c>
      <x:c r="X19" s="26" t="n">
        <x:v>-74.8386111</x:v>
      </x:c>
      <x:c r="AF19" t="s">
        <x:v>50</x:v>
      </x:c>
      <x:c r="AG19" t="s">
        <x:v>196</x:v>
      </x:c>
      <x:c r="AH19" t="s">
        <x:v>197</x:v>
      </x:c>
      <x:c r="AI19" t="s">
        <x:v>198</x:v>
      </x:c>
      <x:c r="AJ19">
        <x:v>23</x:v>
      </x:c>
    </x:row>
    <x:row r="20">
      <x:c r="A20" t="s">
        <x:v>74</x:v>
      </x:c>
      <x:c r="B20" t="s">
        <x:v>37</x:v>
      </x:c>
      <x:c r="C20" t="s">
        <x:v>199</x:v>
      </x:c>
      <x:c r="D20" t="s">
        <x:v>200</x:v>
      </x:c>
      <x:c r="E20" t="s">
        <x:v>187</x:v>
      </x:c>
      <x:c r="F20">
        <x:v>1500</x:v>
      </x:c>
      <x:c r="G20">
        <x:v>1500</x:v>
      </x:c>
      <x:c r="H20">
        <x:v>1500</x:v>
      </x:c>
      <x:c r="I20" t="s">
        <x:v>201</x:v>
      </x:c>
      <x:c r="J20" t="s">
        <x:v>202</x:v>
      </x:c>
      <x:c r="K20" t="s">
        <x:v>203</x:v>
      </x:c>
      <x:c r="L20" t="s">
        <x:v>204</x:v>
      </x:c>
      <x:c r="M20" t="s">
        <x:v>205</x:v>
      </x:c>
      <x:c r="N20" t="s">
        <x:v>206</x:v>
      </x:c>
      <x:c r="O20" t="s">
        <x:v>207</x:v>
      </x:c>
      <x:c r="P20" t="s">
        <x:v>208</x:v>
      </x:c>
      <x:c r="R20" s="9">
        <x:v>35749</x:v>
      </x:c>
      <x:c r="W20" s="26" t="n">
        <x:v>2.8152778</x:v>
      </x:c>
      <x:c r="X20" s="26" t="n">
        <x:v>-74.8419444</x:v>
      </x:c>
      <x:c r="AF20" t="s">
        <x:v>50</x:v>
      </x:c>
      <x:c r="AG20" t="s">
        <x:v>196</x:v>
      </x:c>
      <x:c r="AH20" t="s">
        <x:v>197</x:v>
      </x:c>
      <x:c r="AI20" t="s">
        <x:v>198</x:v>
      </x:c>
      <x:c r="AJ20">
        <x:v>24</x:v>
      </x:c>
    </x:row>
    <x:row r="21">
      <x:c r="A21" t="s">
        <x:v>74</x:v>
      </x:c>
      <x:c r="B21" t="s">
        <x:v>37</x:v>
      </x:c>
      <x:c r="C21" t="s">
        <x:v>199</x:v>
      </x:c>
      <x:c r="D21" t="s">
        <x:v>209</x:v>
      </x:c>
      <x:c r="E21" t="s">
        <x:v>187</x:v>
      </x:c>
      <x:c r="F21">
        <x:v>1500</x:v>
      </x:c>
      <x:c r="G21">
        <x:v>1500</x:v>
      </x:c>
      <x:c r="H21">
        <x:v>1500</x:v>
      </x:c>
      <x:c r="I21" t="s">
        <x:v>201</x:v>
      </x:c>
      <x:c r="J21" t="s">
        <x:v>202</x:v>
      </x:c>
      <x:c r="K21" t="s">
        <x:v>203</x:v>
      </x:c>
      <x:c r="L21" t="s">
        <x:v>204</x:v>
      </x:c>
      <x:c r="M21" t="s">
        <x:v>205</x:v>
      </x:c>
      <x:c r="N21" t="s">
        <x:v>206</x:v>
      </x:c>
      <x:c r="O21" t="s">
        <x:v>207</x:v>
      </x:c>
      <x:c r="P21" t="s">
        <x:v>208</x:v>
      </x:c>
      <x:c r="R21" s="9">
        <x:v>35749</x:v>
      </x:c>
      <x:c r="W21" s="26" t="n">
        <x:v>2.8152778</x:v>
      </x:c>
      <x:c r="X21" s="26" t="n">
        <x:v>-74.8419444</x:v>
      </x:c>
      <x:c r="AF21" t="s">
        <x:v>50</x:v>
      </x:c>
      <x:c r="AG21" t="s">
        <x:v>196</x:v>
      </x:c>
      <x:c r="AH21" t="s">
        <x:v>197</x:v>
      </x:c>
      <x:c r="AI21" t="s">
        <x:v>198</x:v>
      </x:c>
      <x:c r="AJ21">
        <x:v>25</x:v>
      </x:c>
    </x:row>
    <x:row r="22">
      <x:c r="A22" t="s">
        <x:v>74</x:v>
      </x:c>
      <x:c r="B22" t="s">
        <x:v>37</x:v>
      </x:c>
      <x:c r="C22" t="s">
        <x:v>210</x:v>
      </x:c>
      <x:c r="D22" t="s">
        <x:v>211</x:v>
      </x:c>
      <x:c r="E22" t="s">
        <x:v>212</x:v>
      </x:c>
      <x:c r="F22">
        <x:v>1900</x:v>
      </x:c>
      <x:c r="G22">
        <x:v>1900</x:v>
      </x:c>
      <x:c r="H22">
        <x:v>1900</x:v>
      </x:c>
      <x:c r="P22" t="s">
        <x:v>80</x:v>
      </x:c>
      <x:c r="R22" s="9">
        <x:v>37161</x:v>
      </x:c>
      <x:c r="T22" t="s">
        <x:v>213</x:v>
      </x:c>
      <x:c r="W22" s="26" t="n">
        <x:v>4.89964</x:v>
      </x:c>
      <x:c r="X22" s="26" t="n">
        <x:v>-74.42438</x:v>
      </x:c>
      <x:c r="Y22">
        <x:v>130.82400000000001</x:v>
      </x:c>
      <x:c r="Z22">
        <x:v>2069</x:v>
      </x:c>
      <x:c r="AB22" t="s">
        <x:v>214</x:v>
      </x:c>
      <x:c r="AF22" t="s">
        <x:v>50</x:v>
      </x:c>
      <x:c r="AG22" t="s">
        <x:v>98</x:v>
      </x:c>
      <x:c r="AH22" t="s">
        <x:v>215</x:v>
      </x:c>
      <x:c r="AI22" t="s">
        <x:v>216</x:v>
      </x:c>
      <x:c r="AJ22">
        <x:v>26</x:v>
      </x:c>
    </x:row>
    <x:row r="23">
      <x:c r="A23" t="s">
        <x:v>74</x:v>
      </x:c>
      <x:c r="B23" t="s">
        <x:v>37</x:v>
      </x:c>
      <x:c r="C23" t="s">
        <x:v>210</x:v>
      </x:c>
      <x:c r="D23" t="s">
        <x:v>217</x:v>
      </x:c>
      <x:c r="E23" t="s">
        <x:v>212</x:v>
      </x:c>
      <x:c r="F23">
        <x:v>1900</x:v>
      </x:c>
      <x:c r="G23">
        <x:v>1900</x:v>
      </x:c>
      <x:c r="H23">
        <x:v>1900</x:v>
      </x:c>
      <x:c r="P23" t="s">
        <x:v>80</x:v>
      </x:c>
      <x:c r="R23" s="9">
        <x:v>37161</x:v>
      </x:c>
      <x:c r="T23" t="s">
        <x:v>213</x:v>
      </x:c>
      <x:c r="W23" s="26" t="n">
        <x:v>4.89964</x:v>
      </x:c>
      <x:c r="X23" s="26" t="n">
        <x:v>-74.42438</x:v>
      </x:c>
      <x:c r="Y23">
        <x:v>130.82400000000001</x:v>
      </x:c>
      <x:c r="Z23">
        <x:v>2069</x:v>
      </x:c>
      <x:c r="AB23" t="s">
        <x:v>214</x:v>
      </x:c>
      <x:c r="AF23" t="s">
        <x:v>50</x:v>
      </x:c>
      <x:c r="AG23" t="s">
        <x:v>98</x:v>
      </x:c>
      <x:c r="AH23" t="s">
        <x:v>215</x:v>
      </x:c>
      <x:c r="AI23" t="s">
        <x:v>216</x:v>
      </x:c>
      <x:c r="AJ23">
        <x:v>27</x:v>
      </x:c>
    </x:row>
    <x:row r="24">
      <x:c r="A24" t="s">
        <x:v>74</x:v>
      </x:c>
      <x:c r="B24" t="s">
        <x:v>37</x:v>
      </x:c>
      <x:c r="C24" t="s">
        <x:v>210</x:v>
      </x:c>
      <x:c r="D24" t="s">
        <x:v>218</x:v>
      </x:c>
      <x:c r="E24" t="s">
        <x:v>212</x:v>
      </x:c>
      <x:c r="F24">
        <x:v>1900</x:v>
      </x:c>
      <x:c r="G24">
        <x:v>1900</x:v>
      </x:c>
      <x:c r="H24">
        <x:v>1900</x:v>
      </x:c>
      <x:c r="P24" t="s">
        <x:v>80</x:v>
      </x:c>
      <x:c r="R24" s="9">
        <x:v>37161</x:v>
      </x:c>
      <x:c r="T24" t="s">
        <x:v>213</x:v>
      </x:c>
      <x:c r="W24" s="26" t="n">
        <x:v>4.89964</x:v>
      </x:c>
      <x:c r="X24" s="26" t="n">
        <x:v>-74.42438</x:v>
      </x:c>
      <x:c r="Y24">
        <x:v>130.82400000000001</x:v>
      </x:c>
      <x:c r="Z24">
        <x:v>2069</x:v>
      </x:c>
      <x:c r="AB24" t="s">
        <x:v>214</x:v>
      </x:c>
      <x:c r="AF24" t="s">
        <x:v>50</x:v>
      </x:c>
      <x:c r="AG24" t="s">
        <x:v>98</x:v>
      </x:c>
      <x:c r="AH24" t="s">
        <x:v>215</x:v>
      </x:c>
      <x:c r="AI24" t="s">
        <x:v>216</x:v>
      </x:c>
      <x:c r="AJ24">
        <x:v>28</x:v>
      </x:c>
    </x:row>
    <x:row r="25">
      <x:c r="A25" t="s">
        <x:v>74</x:v>
      </x:c>
      <x:c r="B25" t="s">
        <x:v>37</x:v>
      </x:c>
      <x:c r="C25" t="s">
        <x:v>219</x:v>
      </x:c>
      <x:c r="D25" t="s">
        <x:v>220</x:v>
      </x:c>
      <x:c r="E25" t="s">
        <x:v>221</x:v>
      </x:c>
      <x:c r="F25" t="s">
        <x:v>222</x:v>
      </x:c>
      <x:c r="G25">
        <x:v>1800</x:v>
      </x:c>
      <x:c r="H25">
        <x:v>2700</x:v>
      </x:c>
      <x:c r="P25" t="s">
        <x:v>80</x:v>
      </x:c>
      <x:c r="R25" s="9">
        <x:v>38160</x:v>
      </x:c>
      <x:c r="T25" t="s">
        <x:v>119</x:v>
      </x:c>
      <x:c r="W25" s="26" t="n">
        <x:v>7.14189</x:v>
      </x:c>
      <x:c r="X25" s="26" t="n">
        <x:v>-73.02469</x:v>
      </x:c>
      <x:c r="Y25">
        <x:v>2437.4490000000001</x:v>
      </x:c>
      <x:c r="Z25">
        <x:v>1848</x:v>
      </x:c>
      <x:c r="AB25" t="s">
        <x:v>223</x:v>
      </x:c>
      <x:c r="AF25" t="s">
        <x:v>50</x:v>
      </x:c>
      <x:c r="AG25" t="s">
        <x:v>224</x:v>
      </x:c>
      <x:c r="AH25" t="s">
        <x:v>225</x:v>
      </x:c>
      <x:c r="AI25" t="s">
        <x:v>226</x:v>
      </x:c>
      <x:c r="AJ25">
        <x:v>29</x:v>
      </x:c>
    </x:row>
    <x:row r="26">
      <x:c r="A26" t="s">
        <x:v>74</x:v>
      </x:c>
      <x:c r="B26" t="s">
        <x:v>37</x:v>
      </x:c>
      <x:c r="C26" t="s">
        <x:v>227</x:v>
      </x:c>
      <x:c r="D26" t="s">
        <x:v>228</x:v>
      </x:c>
      <x:c r="E26" t="s">
        <x:v>229</x:v>
      </x:c>
      <x:c r="F26">
        <x:v>2203</x:v>
      </x:c>
      <x:c r="G26">
        <x:v>2203</x:v>
      </x:c>
      <x:c r="H26">
        <x:v>2203</x:v>
      </x:c>
      <x:c r="I26" t="s">
        <x:v>230</x:v>
      </x:c>
      <x:c r="J26" t="s">
        <x:v>230</x:v>
      </x:c>
      <x:c r="K26" t="s">
        <x:v>231</x:v>
      </x:c>
      <x:c r="L26" t="s">
        <x:v>231</x:v>
      </x:c>
      <x:c r="M26" t="s">
        <x:v>232</x:v>
      </x:c>
      <x:c r="N26" t="s">
        <x:v>233</x:v>
      </x:c>
      <x:c r="O26" t="s">
        <x:v>234</x:v>
      </x:c>
      <x:c r="P26" t="s">
        <x:v>235</x:v>
      </x:c>
      <x:c r="R26" s="9">
        <x:v>38197</x:v>
      </x:c>
      <x:c r="T26" t="s">
        <x:v>236</x:v>
      </x:c>
      <x:c r="W26" s="26" t="n">
        <x:v>5.1625</x:v>
      </x:c>
      <x:c r="X26" s="26" t="n">
        <x:v>-75.49528</x:v>
      </x:c>
      <x:c r="Y26">
        <x:v>301.459</x:v>
      </x:c>
      <x:c r="Z26">
        <x:v>2203</x:v>
      </x:c>
      <x:c r="AA26" t="s">
        <x:v>237</x:v>
      </x:c>
      <x:c r="AB26">
        <x:v>20</x:v>
      </x:c>
      <x:c r="AF26" t="s">
        <x:v>50</x:v>
      </x:c>
      <x:c r="AG26" t="s">
        <x:v>167</x:v>
      </x:c>
      <x:c r="AH26" t="s">
        <x:v>238</x:v>
      </x:c>
      <x:c r="AI26" t="s">
        <x:v>239</x:v>
      </x:c>
      <x:c r="AJ26">
        <x:v>30</x:v>
      </x:c>
    </x:row>
    <x:row r="27">
      <x:c r="A27" t="s">
        <x:v>74</x:v>
      </x:c>
      <x:c r="B27" t="s">
        <x:v>37</x:v>
      </x:c>
      <x:c r="C27" t="s">
        <x:v>240</x:v>
      </x:c>
      <x:c r="D27" t="s">
        <x:v>241</x:v>
      </x:c>
      <x:c r="E27" t="s">
        <x:v>242</x:v>
      </x:c>
      <x:c r="F27">
        <x:v>1550</x:v>
      </x:c>
      <x:c r="G27">
        <x:v>1550</x:v>
      </x:c>
      <x:c r="H27">
        <x:v>1550</x:v>
      </x:c>
      <x:c r="I27" t="s">
        <x:v>243</x:v>
      </x:c>
      <x:c r="J27" t="s">
        <x:v>244</x:v>
      </x:c>
      <x:c r="K27" t="s">
        <x:v>245</x:v>
      </x:c>
      <x:c r="L27" t="s">
        <x:v>246</x:v>
      </x:c>
      <x:c r="M27" t="s">
        <x:v>247</x:v>
      </x:c>
      <x:c r="N27" t="s">
        <x:v>248</x:v>
      </x:c>
      <x:c r="O27" t="s">
        <x:v>249</x:v>
      </x:c>
      <x:c r="P27" t="s">
        <x:v>250</x:v>
      </x:c>
      <x:c r="R27" s="9">
        <x:v>38363</x:v>
      </x:c>
      <x:c r="W27" s="26" t="n">
        <x:v>1.809</x:v>
      </x:c>
      <x:c r="X27" s="26" t="n">
        <x:v>-76.0165</x:v>
      </x:c>
      <x:c r="AF27" t="s">
        <x:v>50</x:v>
      </x:c>
      <x:c r="AG27" t="s">
        <x:v>51</x:v>
      </x:c>
      <x:c r="AH27" t="s">
        <x:v>140</x:v>
      </x:c>
      <x:c r="AI27" t="s">
        <x:v>251</x:v>
      </x:c>
      <x:c r="AJ27">
        <x:v>31</x:v>
      </x:c>
    </x:row>
    <x:row r="28">
      <x:c r="A28" t="s">
        <x:v>74</x:v>
      </x:c>
      <x:c r="B28" t="s">
        <x:v>37</x:v>
      </x:c>
      <x:c r="C28" t="s">
        <x:v>252</x:v>
      </x:c>
      <x:c r="D28" t="s">
        <x:v>253</x:v>
      </x:c>
      <x:c r="E28" t="s">
        <x:v>254</x:v>
      </x:c>
      <x:c r="F28">
        <x:v>1950</x:v>
      </x:c>
      <x:c r="G28">
        <x:v>1950</x:v>
      </x:c>
      <x:c r="H28">
        <x:v>1950</x:v>
      </x:c>
      <x:c r="I28" t="s">
        <x:v>255</x:v>
      </x:c>
      <x:c r="J28" t="s">
        <x:v>256</x:v>
      </x:c>
      <x:c r="K28" t="s">
        <x:v>257</x:v>
      </x:c>
      <x:c r="L28" t="s">
        <x:v>258</x:v>
      </x:c>
      <x:c r="M28" t="s">
        <x:v>259</x:v>
      </x:c>
      <x:c r="N28" t="s">
        <x:v>260</x:v>
      </x:c>
      <x:c r="O28" t="s">
        <x:v>261</x:v>
      </x:c>
      <x:c r="P28" t="s">
        <x:v>262</x:v>
      </x:c>
      <x:c r="R28" s="9">
        <x:v>38420</x:v>
      </x:c>
      <x:c r="W28" s="26" t="n">
        <x:v>2.2122222</x:v>
      </x:c>
      <x:c r="X28" s="26" t="n">
        <x:v>-75.9397222</x:v>
      </x:c>
      <x:c r="AF28" t="s">
        <x:v>50</x:v>
      </x:c>
      <x:c r="AG28" t="s">
        <x:v>51</x:v>
      </x:c>
      <x:c r="AH28" t="s">
        <x:v>263</x:v>
      </x:c>
      <x:c r="AI28" t="s">
        <x:v>264</x:v>
      </x:c>
      <x:c r="AJ28">
        <x:v>32</x:v>
      </x:c>
    </x:row>
    <x:row r="29">
      <x:c r="A29" t="s">
        <x:v>74</x:v>
      </x:c>
      <x:c r="B29" t="s">
        <x:v>37</x:v>
      </x:c>
      <x:c r="C29" t="s">
        <x:v>265</x:v>
      </x:c>
      <x:c r="D29" t="s">
        <x:v>266</x:v>
      </x:c>
      <x:c r="E29" t="s">
        <x:v>267</x:v>
      </x:c>
      <x:c r="F29">
        <x:v>1700</x:v>
      </x:c>
      <x:c r="G29">
        <x:v>1700</x:v>
      </x:c>
      <x:c r="H29">
        <x:v>1700</x:v>
      </x:c>
      <x:c r="I29" t="s">
        <x:v>268</x:v>
      </x:c>
      <x:c r="J29" t="s">
        <x:v>269</x:v>
      </x:c>
      <x:c r="K29" t="s">
        <x:v>270</x:v>
      </x:c>
      <x:c r="L29" t="s">
        <x:v>271</x:v>
      </x:c>
      <x:c r="M29" t="s">
        <x:v>272</x:v>
      </x:c>
      <x:c r="N29" t="s">
        <x:v>273</x:v>
      </x:c>
      <x:c r="O29" t="s">
        <x:v>274</x:v>
      </x:c>
      <x:c r="P29" t="s">
        <x:v>275</x:v>
      </x:c>
      <x:c r="R29" s="9">
        <x:v>38573</x:v>
      </x:c>
      <x:c r="W29" s="26" t="n">
        <x:v>2.2130556</x:v>
      </x:c>
      <x:c r="X29" s="26" t="n">
        <x:v>-75.9472222</x:v>
      </x:c>
      <x:c r="AF29" t="s">
        <x:v>50</x:v>
      </x:c>
      <x:c r="AG29" t="s">
        <x:v>51</x:v>
      </x:c>
      <x:c r="AH29" t="s">
        <x:v>263</x:v>
      </x:c>
      <x:c r="AI29" t="s">
        <x:v>276</x:v>
      </x:c>
      <x:c r="AJ29">
        <x:v>33</x:v>
      </x:c>
    </x:row>
    <x:row r="30">
      <x:c r="A30" t="s">
        <x:v>74</x:v>
      </x:c>
      <x:c r="B30" t="s">
        <x:v>37</x:v>
      </x:c>
      <x:c r="C30" t="s">
        <x:v>265</x:v>
      </x:c>
      <x:c r="D30" t="s">
        <x:v>277</x:v>
      </x:c>
      <x:c r="E30" t="s">
        <x:v>267</x:v>
      </x:c>
      <x:c r="F30">
        <x:v>1700</x:v>
      </x:c>
      <x:c r="G30">
        <x:v>1700</x:v>
      </x:c>
      <x:c r="H30">
        <x:v>1700</x:v>
      </x:c>
      <x:c r="I30" t="s">
        <x:v>268</x:v>
      </x:c>
      <x:c r="J30" t="s">
        <x:v>269</x:v>
      </x:c>
      <x:c r="K30" t="s">
        <x:v>270</x:v>
      </x:c>
      <x:c r="L30" t="s">
        <x:v>271</x:v>
      </x:c>
      <x:c r="M30" t="s">
        <x:v>272</x:v>
      </x:c>
      <x:c r="N30" t="s">
        <x:v>273</x:v>
      </x:c>
      <x:c r="O30" t="s">
        <x:v>274</x:v>
      </x:c>
      <x:c r="P30" t="s">
        <x:v>275</x:v>
      </x:c>
      <x:c r="R30" s="9">
        <x:v>38573</x:v>
      </x:c>
      <x:c r="W30" s="26" t="n">
        <x:v>2.2130556</x:v>
      </x:c>
      <x:c r="X30" s="26" t="n">
        <x:v>-75.9472222</x:v>
      </x:c>
      <x:c r="AF30" t="s">
        <x:v>50</x:v>
      </x:c>
      <x:c r="AG30" t="s">
        <x:v>51</x:v>
      </x:c>
      <x:c r="AH30" t="s">
        <x:v>263</x:v>
      </x:c>
      <x:c r="AI30" t="s">
        <x:v>276</x:v>
      </x:c>
      <x:c r="AJ30">
        <x:v>34</x:v>
      </x:c>
    </x:row>
    <x:row r="31">
      <x:c r="A31" t="s">
        <x:v>74</x:v>
      </x:c>
      <x:c r="B31" t="s">
        <x:v>37</x:v>
      </x:c>
      <x:c r="C31" t="s">
        <x:v>265</x:v>
      </x:c>
      <x:c r="D31" t="s">
        <x:v>278</x:v>
      </x:c>
      <x:c r="E31" t="s">
        <x:v>267</x:v>
      </x:c>
      <x:c r="F31">
        <x:v>1700</x:v>
      </x:c>
      <x:c r="G31">
        <x:v>1700</x:v>
      </x:c>
      <x:c r="H31">
        <x:v>1700</x:v>
      </x:c>
      <x:c r="I31" t="s">
        <x:v>268</x:v>
      </x:c>
      <x:c r="J31" t="s">
        <x:v>269</x:v>
      </x:c>
      <x:c r="K31" t="s">
        <x:v>270</x:v>
      </x:c>
      <x:c r="L31" t="s">
        <x:v>271</x:v>
      </x:c>
      <x:c r="M31" t="s">
        <x:v>272</x:v>
      </x:c>
      <x:c r="N31" t="s">
        <x:v>273</x:v>
      </x:c>
      <x:c r="O31" t="s">
        <x:v>274</x:v>
      </x:c>
      <x:c r="P31" t="s">
        <x:v>275</x:v>
      </x:c>
      <x:c r="R31" s="9">
        <x:v>38573</x:v>
      </x:c>
      <x:c r="W31" s="26" t="n">
        <x:v>2.2130556</x:v>
      </x:c>
      <x:c r="X31" s="26" t="n">
        <x:v>-75.9472222</x:v>
      </x:c>
      <x:c r="AF31" t="s">
        <x:v>50</x:v>
      </x:c>
      <x:c r="AG31" t="s">
        <x:v>51</x:v>
      </x:c>
      <x:c r="AH31" t="s">
        <x:v>263</x:v>
      </x:c>
      <x:c r="AI31" t="s">
        <x:v>276</x:v>
      </x:c>
      <x:c r="AJ31">
        <x:v>35</x:v>
      </x:c>
    </x:row>
    <x:row r="32">
      <x:c r="A32" t="s">
        <x:v>74</x:v>
      </x:c>
      <x:c r="B32" t="s">
        <x:v>37</x:v>
      </x:c>
      <x:c r="C32" t="s">
        <x:v>279</x:v>
      </x:c>
      <x:c r="D32" t="s">
        <x:v>280</x:v>
      </x:c>
      <x:c r="E32" t="s">
        <x:v>281</x:v>
      </x:c>
      <x:c r="F32">
        <x:v>1600</x:v>
      </x:c>
      <x:c r="G32">
        <x:v>1600</x:v>
      </x:c>
      <x:c r="H32">
        <x:v>1600</x:v>
      </x:c>
      <x:c r="P32" t="s">
        <x:v>80</x:v>
      </x:c>
      <x:c r="R32" s="9">
        <x:v>38825</x:v>
      </x:c>
      <x:c r="T32" t="s">
        <x:v>119</x:v>
      </x:c>
      <x:c r="W32" s="26" t="n">
        <x:v>2.51058</x:v>
      </x:c>
      <x:c r="X32" s="26" t="n">
        <x:v>-76.98421</x:v>
      </x:c>
      <x:c r="Y32">
        <x:v>1862.7349999999999</x:v>
      </x:c>
      <x:c r="Z32">
        <x:v>1783</x:v>
      </x:c>
      <x:c r="AB32" t="s">
        <x:v>282</x:v>
      </x:c>
      <x:c r="AF32" t="s">
        <x:v>50</x:v>
      </x:c>
      <x:c r="AG32" t="s">
        <x:v>283</x:v>
      </x:c>
      <x:c r="AH32" t="s">
        <x:v>284</x:v>
      </x:c>
      <x:c r="AI32" t="s">
        <x:v>285</x:v>
      </x:c>
      <x:c r="AJ32">
        <x:v>36</x:v>
      </x:c>
    </x:row>
    <x:row r="33">
      <x:c r="A33" t="s">
        <x:v>74</x:v>
      </x:c>
      <x:c r="B33" t="s">
        <x:v>37</x:v>
      </x:c>
      <x:c r="C33" t="s">
        <x:v>286</x:v>
      </x:c>
      <x:c r="D33" t="s">
        <x:v>228</x:v>
      </x:c>
      <x:c r="E33" t="s">
        <x:v>287</x:v>
      </x:c>
      <x:c r="F33">
        <x:v>2147</x:v>
      </x:c>
      <x:c r="G33">
        <x:v>2147</x:v>
      </x:c>
      <x:c r="H33">
        <x:v>2147</x:v>
      </x:c>
      <x:c r="I33" t="s">
        <x:v>288</x:v>
      </x:c>
      <x:c r="J33" t="s">
        <x:v>289</x:v>
      </x:c>
      <x:c r="K33" t="s">
        <x:v>290</x:v>
      </x:c>
      <x:c r="L33" t="s">
        <x:v>291</x:v>
      </x:c>
      <x:c r="M33" t="s">
        <x:v>292</x:v>
      </x:c>
      <x:c r="N33" t="s">
        <x:v>293</x:v>
      </x:c>
      <x:c r="O33" t="s">
        <x:v>294</x:v>
      </x:c>
      <x:c r="P33" t="s">
        <x:v>295</x:v>
      </x:c>
      <x:c r="R33" s="9">
        <x:v>39820</x:v>
      </x:c>
      <x:c r="T33" t="s">
        <x:v>81</x:v>
      </x:c>
      <x:c r="W33" s="26" t="n">
        <x:v>1.9849861</x:v>
      </x:c>
      <x:c r="X33" s="26" t="n">
        <x:v>-76.2855028</x:v>
      </x:c>
      <x:c r="AF33" t="s">
        <x:v>50</x:v>
      </x:c>
      <x:c r="AG33" t="s">
        <x:v>51</x:v>
      </x:c>
      <x:c r="AH33" t="s">
        <x:v>296</x:v>
      </x:c>
      <x:c r="AI33" t="s">
        <x:v>297</x:v>
      </x:c>
      <x:c r="AJ33">
        <x:v>37</x:v>
      </x:c>
    </x:row>
    <x:row r="34">
      <x:c r="A34" t="s">
        <x:v>74</x:v>
      </x:c>
      <x:c r="B34" t="s">
        <x:v>37</x:v>
      </x:c>
      <x:c r="C34" t="s">
        <x:v>298</x:v>
      </x:c>
      <x:c r="D34" t="s">
        <x:v>299</x:v>
      </x:c>
      <x:c r="E34" t="s">
        <x:v>300</x:v>
      </x:c>
      <x:c r="F34">
        <x:v>2526</x:v>
      </x:c>
      <x:c r="G34">
        <x:v>2526</x:v>
      </x:c>
      <x:c r="H34">
        <x:v>2526</x:v>
      </x:c>
      <x:c r="I34" t="s">
        <x:v>301</x:v>
      </x:c>
      <x:c r="J34" t="s">
        <x:v>301</x:v>
      </x:c>
      <x:c r="K34" t="s">
        <x:v>302</x:v>
      </x:c>
      <x:c r="L34" t="s">
        <x:v>302</x:v>
      </x:c>
      <x:c r="M34" t="s">
        <x:v>303</x:v>
      </x:c>
      <x:c r="N34" t="s">
        <x:v>304</x:v>
      </x:c>
      <x:c r="O34" t="s">
        <x:v>305</x:v>
      </x:c>
      <x:c r="P34" t="s">
        <x:v>306</x:v>
      </x:c>
      <x:c r="R34" s="9">
        <x:v>40002</x:v>
      </x:c>
      <x:c r="T34" t="s">
        <x:v>119</x:v>
      </x:c>
      <x:c r="W34" s="26" t="n">
        <x:v>4.98488</x:v>
      </x:c>
      <x:c r="X34" s="26" t="n">
        <x:v>-75.45116</x:v>
      </x:c>
      <x:c r="Y34">
        <x:v>1408.049</x:v>
      </x:c>
      <x:c r="Z34">
        <x:v>2572</x:v>
      </x:c>
      <x:c r="AA34" t="s">
        <x:v>237</x:v>
      </x:c>
      <x:c r="AB34">
        <x:v>19</x:v>
      </x:c>
      <x:c r="AF34" t="s">
        <x:v>50</x:v>
      </x:c>
      <x:c r="AG34" t="s">
        <x:v>167</x:v>
      </x:c>
      <x:c r="AH34" t="s">
        <x:v>307</x:v>
      </x:c>
      <x:c r="AI34" t="s">
        <x:v>308</x:v>
      </x:c>
      <x:c r="AJ34">
        <x:v>38</x:v>
      </x:c>
    </x:row>
    <x:row r="35">
      <x:c r="A35" t="s">
        <x:v>74</x:v>
      </x:c>
      <x:c r="B35" t="s">
        <x:v>37</x:v>
      </x:c>
      <x:c r="C35" t="s">
        <x:v>309</x:v>
      </x:c>
      <x:c r="D35" t="s">
        <x:v>228</x:v>
      </x:c>
      <x:c r="E35" t="s">
        <x:v>310</x:v>
      </x:c>
      <x:c r="F35">
        <x:v>1950</x:v>
      </x:c>
      <x:c r="G35">
        <x:v>1950</x:v>
      </x:c>
      <x:c r="H35">
        <x:v>1950</x:v>
      </x:c>
      <x:c r="I35" t="s">
        <x:v>311</x:v>
      </x:c>
      <x:c r="J35" t="s">
        <x:v>311</x:v>
      </x:c>
      <x:c r="K35" t="s">
        <x:v>312</x:v>
      </x:c>
      <x:c r="L35" t="s">
        <x:v>313</x:v>
      </x:c>
      <x:c r="M35" t="s">
        <x:v>314</x:v>
      </x:c>
      <x:c r="N35" t="s">
        <x:v>315</x:v>
      </x:c>
      <x:c r="O35" t="s">
        <x:v>316</x:v>
      </x:c>
      <x:c r="P35" t="s">
        <x:v>317</x:v>
      </x:c>
      <x:c r="R35" s="9">
        <x:v>40013</x:v>
      </x:c>
      <x:c r="T35" t="s">
        <x:v>318</x:v>
      </x:c>
      <x:c r="W35" s="26" t="n">
        <x:v>4.68067</x:v>
      </x:c>
      <x:c r="X35" s="26" t="n">
        <x:v>-75.63452</x:v>
      </x:c>
      <x:c r="Y35">
        <x:v>2304.893</x:v>
      </x:c>
      <x:c r="Z35">
        <x:v>1856</x:v>
      </x:c>
      <x:c r="AB35" t="s">
        <x:v>319</x:v>
      </x:c>
      <x:c r="AF35" t="s">
        <x:v>50</x:v>
      </x:c>
      <x:c r="AG35" t="s">
        <x:v>182</x:v>
      </x:c>
      <x:c r="AH35" t="s">
        <x:v>320</x:v>
      </x:c>
      <x:c r="AI35" t="s">
        <x:v>321</x:v>
      </x:c>
      <x:c r="AJ35">
        <x:v>39</x:v>
      </x:c>
    </x:row>
    <x:row r="36">
      <x:c r="A36" t="s">
        <x:v>74</x:v>
      </x:c>
      <x:c r="B36" t="s">
        <x:v>37</x:v>
      </x:c>
      <x:c r="C36" t="s">
        <x:v>322</x:v>
      </x:c>
      <x:c r="D36" t="s">
        <x:v>228</x:v>
      </x:c>
      <x:c r="E36" t="s">
        <x:v>323</x:v>
      </x:c>
      <x:c r="F36">
        <x:v>1925</x:v>
      </x:c>
      <x:c r="G36">
        <x:v>1925</x:v>
      </x:c>
      <x:c r="H36">
        <x:v>1925</x:v>
      </x:c>
      <x:c r="I36" t="s">
        <x:v>324</x:v>
      </x:c>
      <x:c r="J36" t="s">
        <x:v>325</x:v>
      </x:c>
      <x:c r="K36" t="s">
        <x:v>326</x:v>
      </x:c>
      <x:c r="L36" t="s">
        <x:v>326</x:v>
      </x:c>
      <x:c r="M36" t="s">
        <x:v>327</x:v>
      </x:c>
      <x:c r="N36" t="s">
        <x:v>328</x:v>
      </x:c>
      <x:c r="O36" t="s">
        <x:v>329</x:v>
      </x:c>
      <x:c r="P36" t="s">
        <x:v>330</x:v>
      </x:c>
      <x:c r="R36" s="9">
        <x:v>40022</x:v>
      </x:c>
      <x:c r="T36" t="s">
        <x:v>119</x:v>
      </x:c>
      <x:c r="W36" s="26" t="n">
        <x:v>1.76895</x:v>
      </x:c>
      <x:c r="X36" s="26" t="n">
        <x:v>-76.0187333</x:v>
      </x:c>
      <x:c r="AF36" t="s">
        <x:v>50</x:v>
      </x:c>
      <x:c r="AG36" t="s">
        <x:v>51</x:v>
      </x:c>
      <x:c r="AH36" t="s">
        <x:v>140</x:v>
      </x:c>
      <x:c r="AI36" t="s">
        <x:v>331</x:v>
      </x:c>
      <x:c r="AJ36">
        <x:v>40</x:v>
      </x:c>
    </x:row>
    <x:row r="37">
      <x:c r="A37" t="s">
        <x:v>74</x:v>
      </x:c>
      <x:c r="B37" t="s">
        <x:v>37</x:v>
      </x:c>
      <x:c r="C37" t="s">
        <x:v>332</x:v>
      </x:c>
      <x:c r="D37" t="s">
        <x:v>228</x:v>
      </x:c>
      <x:c r="E37" t="s">
        <x:v>333</x:v>
      </x:c>
      <x:c r="F37">
        <x:v>1535</x:v>
      </x:c>
      <x:c r="G37">
        <x:v>1535</x:v>
      </x:c>
      <x:c r="H37">
        <x:v>1535</x:v>
      </x:c>
      <x:c r="I37" t="s">
        <x:v>334</x:v>
      </x:c>
      <x:c r="J37" t="s">
        <x:v>335</x:v>
      </x:c>
      <x:c r="K37" t="s">
        <x:v>336</x:v>
      </x:c>
      <x:c r="L37" t="s">
        <x:v>336</x:v>
      </x:c>
      <x:c r="M37" t="s">
        <x:v>337</x:v>
      </x:c>
      <x:c r="P37" t="s">
        <x:v>80</x:v>
      </x:c>
      <x:c r="R37" s="9">
        <x:v>40022</x:v>
      </x:c>
      <x:c r="T37" t="s">
        <x:v>111</x:v>
      </x:c>
      <x:c r="W37" s="26" t="n">
        <x:v>1.9033</x:v>
      </x:c>
      <x:c r="X37" s="26" t="n">
        <x:v>-76.26571</x:v>
      </x:c>
      <x:c r="Y37">
        <x:v>548.553</x:v>
      </x:c>
      <x:c r="Z37">
        <x:v>1573</x:v>
      </x:c>
      <x:c r="AB37" t="s">
        <x:v>338</x:v>
      </x:c>
      <x:c r="AF37" t="s">
        <x:v>50</x:v>
      </x:c>
      <x:c r="AG37" t="s">
        <x:v>51</x:v>
      </x:c>
      <x:c r="AH37" t="s">
        <x:v>296</x:v>
      </x:c>
      <x:c r="AI37" t="s">
        <x:v>339</x:v>
      </x:c>
      <x:c r="AJ37">
        <x:v>41</x:v>
      </x:c>
    </x:row>
    <x:row r="38">
      <x:c r="A38" t="s">
        <x:v>74</x:v>
      </x:c>
      <x:c r="B38" t="s">
        <x:v>37</x:v>
      </x:c>
      <x:c r="C38" t="s">
        <x:v>332</x:v>
      </x:c>
      <x:c r="D38" t="s">
        <x:v>299</x:v>
      </x:c>
      <x:c r="E38" t="s">
        <x:v>333</x:v>
      </x:c>
      <x:c r="F38">
        <x:v>1535</x:v>
      </x:c>
      <x:c r="G38">
        <x:v>1535</x:v>
      </x:c>
      <x:c r="H38">
        <x:v>1535</x:v>
      </x:c>
      <x:c r="I38" t="s">
        <x:v>334</x:v>
      </x:c>
      <x:c r="J38" t="s">
        <x:v>335</x:v>
      </x:c>
      <x:c r="K38" t="s">
        <x:v>340</x:v>
      </x:c>
      <x:c r="L38" t="s">
        <x:v>336</x:v>
      </x:c>
      <x:c r="M38" t="s">
        <x:v>337</x:v>
      </x:c>
      <x:c r="P38" t="s">
        <x:v>80</x:v>
      </x:c>
      <x:c r="R38" s="9">
        <x:v>40022</x:v>
      </x:c>
      <x:c r="T38" t="s">
        <x:v>111</x:v>
      </x:c>
      <x:c r="W38" s="26" t="n">
        <x:v>1.9033</x:v>
      </x:c>
      <x:c r="X38" s="26" t="n">
        <x:v>-76.26571</x:v>
      </x:c>
      <x:c r="Y38">
        <x:v>548.553</x:v>
      </x:c>
      <x:c r="Z38">
        <x:v>1573</x:v>
      </x:c>
      <x:c r="AB38" t="s">
        <x:v>338</x:v>
      </x:c>
      <x:c r="AF38" t="s">
        <x:v>50</x:v>
      </x:c>
      <x:c r="AG38" t="s">
        <x:v>51</x:v>
      </x:c>
      <x:c r="AH38" t="s">
        <x:v>296</x:v>
      </x:c>
      <x:c r="AI38" t="s">
        <x:v>339</x:v>
      </x:c>
      <x:c r="AJ38">
        <x:v>42</x:v>
      </x:c>
    </x:row>
    <x:row r="39">
      <x:c r="A39" t="s">
        <x:v>74</x:v>
      </x:c>
      <x:c r="B39" t="s">
        <x:v>37</x:v>
      </x:c>
      <x:c r="C39" t="s">
        <x:v>341</x:v>
      </x:c>
      <x:c r="D39" t="s">
        <x:v>228</x:v>
      </x:c>
      <x:c r="E39" t="s">
        <x:v>342</x:v>
      </x:c>
      <x:c r="F39">
        <x:v>3696</x:v>
      </x:c>
      <x:c r="G39">
        <x:v>3696</x:v>
      </x:c>
      <x:c r="H39">
        <x:v>3696</x:v>
      </x:c>
      <x:c r="I39" t="s">
        <x:v>343</x:v>
      </x:c>
      <x:c r="J39" t="s">
        <x:v>343</x:v>
      </x:c>
      <x:c r="K39" t="s">
        <x:v>344</x:v>
      </x:c>
      <x:c r="L39" t="s">
        <x:v>345</x:v>
      </x:c>
      <x:c r="M39" t="s">
        <x:v>346</x:v>
      </x:c>
      <x:c r="N39" t="s">
        <x:v>347</x:v>
      </x:c>
      <x:c r="O39" t="s">
        <x:v>348</x:v>
      </x:c>
      <x:c r="P39" t="s">
        <x:v>349</x:v>
      </x:c>
      <x:c r="R39" s="9">
        <x:v>40022</x:v>
      </x:c>
      <x:c r="T39" t="s">
        <x:v>65</x:v>
      </x:c>
      <x:c r="W39" s="26" t="n">
        <x:v>4.55835</x:v>
      </x:c>
      <x:c r="X39" s="26" t="n">
        <x:v>-75.32021</x:v>
      </x:c>
      <x:c r="Y39">
        <x:v>714.47500000000002</x:v>
      </x:c>
      <x:c r="Z39">
        <x:v>2033</x:v>
      </x:c>
      <x:c r="AB39" t="s">
        <x:v>350</x:v>
      </x:c>
      <x:c r="AF39" t="s">
        <x:v>50</x:v>
      </x:c>
      <x:c r="AG39" t="s">
        <x:v>133</x:v>
      </x:c>
      <x:c r="AH39" t="s">
        <x:v>351</x:v>
      </x:c>
      <x:c r="AI39" t="s">
        <x:v>352</x:v>
      </x:c>
      <x:c r="AJ39">
        <x:v>43</x:v>
      </x:c>
    </x:row>
    <x:row r="40">
      <x:c r="A40" t="s">
        <x:v>74</x:v>
      </x:c>
      <x:c r="B40" t="s">
        <x:v>37</x:v>
      </x:c>
      <x:c r="C40" t="s">
        <x:v>353</x:v>
      </x:c>
      <x:c r="D40" t="s">
        <x:v>228</x:v>
      </x:c>
      <x:c r="E40" t="s">
        <x:v>354</x:v>
      </x:c>
      <x:c r="F40">
        <x:v>1897</x:v>
      </x:c>
      <x:c r="G40">
        <x:v>1897</x:v>
      </x:c>
      <x:c r="H40">
        <x:v>1897</x:v>
      </x:c>
      <x:c r="I40" t="s">
        <x:v>355</x:v>
      </x:c>
      <x:c r="J40" t="s">
        <x:v>355</x:v>
      </x:c>
      <x:c r="K40" t="s">
        <x:v>356</x:v>
      </x:c>
      <x:c r="L40" t="s">
        <x:v>357</x:v>
      </x:c>
      <x:c r="M40" t="s">
        <x:v>358</x:v>
      </x:c>
      <x:c r="P40" t="s">
        <x:v>80</x:v>
      </x:c>
      <x:c r="R40" s="9">
        <x:v>40154</x:v>
      </x:c>
      <x:c r="T40" t="s">
        <x:v>119</x:v>
      </x:c>
      <x:c r="W40" s="26" t="n">
        <x:v>4.72879</x:v>
      </x:c>
      <x:c r="X40" s="26" t="n">
        <x:v>-75.5779</x:v>
      </x:c>
      <x:c r="Y40">
        <x:v>611.64800000000002</x:v>
      </x:c>
      <x:c r="Z40">
        <x:v>1864</x:v>
      </x:c>
      <x:c r="AB40" t="s">
        <x:v>359</x:v>
      </x:c>
      <x:c r="AF40" t="s">
        <x:v>50</x:v>
      </x:c>
      <x:c r="AG40" t="s">
        <x:v>360</x:v>
      </x:c>
      <x:c r="AH40" t="s">
        <x:v>361</x:v>
      </x:c>
      <x:c r="AI40" t="s">
        <x:v>362</x:v>
      </x:c>
      <x:c r="AJ40">
        <x:v>44</x:v>
      </x:c>
    </x:row>
    <x:row r="41">
      <x:c r="A41" t="s">
        <x:v>74</x:v>
      </x:c>
      <x:c r="B41" t="s">
        <x:v>37</x:v>
      </x:c>
      <x:c r="C41" t="s">
        <x:v>363</x:v>
      </x:c>
      <x:c r="D41" t="s">
        <x:v>364</x:v>
      </x:c>
      <x:c r="E41" t="s">
        <x:v>365</x:v>
      </x:c>
      <x:c r="F41">
        <x:v>2100</x:v>
      </x:c>
      <x:c r="G41">
        <x:v>2100</x:v>
      </x:c>
      <x:c r="H41">
        <x:v>2100</x:v>
      </x:c>
      <x:c r="P41" t="s">
        <x:v>80</x:v>
      </x:c>
      <x:c r="R41" s="9">
        <x:v>30370</x:v>
      </x:c>
      <x:c r="T41" t="s">
        <x:v>111</x:v>
      </x:c>
      <x:c r="W41" s="26" t="n">
        <x:v>5.12169</x:v>
      </x:c>
      <x:c r="X41" s="26" t="n">
        <x:v>-76.00899</x:v>
      </x:c>
      <x:c r="Y41">
        <x:v>3027.2240000000002</x:v>
      </x:c>
      <x:c r="Z41">
        <x:v>2308</x:v>
      </x:c>
      <x:c r="AB41" t="s">
        <x:v>366</x:v>
      </x:c>
      <x:c r="AF41" t="s">
        <x:v>50</x:v>
      </x:c>
      <x:c r="AG41" t="s">
        <x:v>360</x:v>
      </x:c>
      <x:c r="AH41" t="s">
        <x:v>367</x:v>
      </x:c>
      <x:c r="AI41" t="s">
        <x:v>368</x:v>
      </x:c>
      <x:c r="AJ41">
        <x:v>45</x:v>
      </x:c>
    </x:row>
    <x:row r="42">
      <x:c r="A42" t="s">
        <x:v>74</x:v>
      </x:c>
      <x:c r="B42" t="s">
        <x:v>37</x:v>
      </x:c>
      <x:c r="C42" t="s">
        <x:v>369</x:v>
      </x:c>
      <x:c r="D42" t="s">
        <x:v>370</x:v>
      </x:c>
      <x:c r="E42" t="s">
        <x:v>371</x:v>
      </x:c>
      <x:c r="F42">
        <x:v>1800</x:v>
      </x:c>
      <x:c r="G42">
        <x:v>1800</x:v>
      </x:c>
      <x:c r="H42">
        <x:v>1800</x:v>
      </x:c>
      <x:c r="I42" t="s">
        <x:v>79</x:v>
      </x:c>
      <x:c r="K42" t="s">
        <x:v>79</x:v>
      </x:c>
      <x:c r="P42" t="s">
        <x:v>80</x:v>
      </x:c>
      <x:c r="R42" s="9">
        <x:v>32367</x:v>
      </x:c>
      <x:c r="T42" t="s">
        <x:v>79</x:v>
      </x:c>
      <x:c r="W42" s="26" t="n">
        <x:v>4.76574</x:v>
      </x:c>
      <x:c r="X42" s="26" t="n">
        <x:v>-76.48307</x:v>
      </x:c>
      <x:c r="Y42">
        <x:v>3505.3739999999998</x:v>
      </x:c>
      <x:c r="Z42">
        <x:v>1856</x:v>
      </x:c>
      <x:c r="AA42" t="s">
        <x:v>372</x:v>
      </x:c>
      <x:c r="AB42" t="s">
        <x:v>373</x:v>
      </x:c>
      <x:c r="AF42" t="s">
        <x:v>50</x:v>
      </x:c>
      <x:c r="AG42" t="s">
        <x:v>374</x:v>
      </x:c>
      <x:c r="AH42" t="s">
        <x:v>375</x:v>
      </x:c>
      <x:c r="AI42" t="s">
        <x:v>376</x:v>
      </x:c>
      <x:c r="AJ42">
        <x:v>46</x:v>
      </x:c>
    </x:row>
    <x:row r="43">
      <x:c r="A43" t="s">
        <x:v>74</x:v>
      </x:c>
      <x:c r="B43" t="s">
        <x:v>37</x:v>
      </x:c>
      <x:c r="C43" t="s">
        <x:v>377</x:v>
      </x:c>
      <x:c r="D43" t="s">
        <x:v>378</x:v>
      </x:c>
      <x:c r="E43" t="s">
        <x:v>379</x:v>
      </x:c>
      <x:c r="F43" t="s">
        <x:v>380</x:v>
      </x:c>
      <x:c r="G43">
        <x:v>2000</x:v>
      </x:c>
      <x:c r="H43">
        <x:v>2500</x:v>
      </x:c>
      <x:c r="I43" t="s">
        <x:v>79</x:v>
      </x:c>
      <x:c r="K43" t="s">
        <x:v>79</x:v>
      </x:c>
      <x:c r="P43" t="s">
        <x:v>80</x:v>
      </x:c>
      <x:c r="R43" s="9">
        <x:v>21661</x:v>
      </x:c>
      <x:c r="T43" t="s">
        <x:v>81</x:v>
      </x:c>
      <x:c r="W43" s="26" t="n">
        <x:v>4.68312</x:v>
      </x:c>
      <x:c r="X43" s="26" t="n">
        <x:v>-74.38963</x:v>
      </x:c>
      <x:c r="Y43">
        <x:v>286.28899999999999</x:v>
      </x:c>
      <x:c r="Z43">
        <x:v>2029</x:v>
      </x:c>
      <x:c r="AB43" t="s">
        <x:v>381</x:v>
      </x:c>
      <x:c r="AF43" t="s">
        <x:v>50</x:v>
      </x:c>
      <x:c r="AG43" t="s">
        <x:v>98</x:v>
      </x:c>
      <x:c r="AH43" t="s">
        <x:v>382</x:v>
      </x:c>
      <x:c r="AJ43">
        <x:v>47</x:v>
      </x:c>
    </x:row>
    <x:row r="44">
      <x:c r="A44" t="s">
        <x:v>74</x:v>
      </x:c>
      <x:c r="B44" t="s">
        <x:v>37</x:v>
      </x:c>
      <x:c r="C44" t="s">
        <x:v>383</x:v>
      </x:c>
      <x:c r="D44" t="s">
        <x:v>384</x:v>
      </x:c>
      <x:c r="E44" t="s">
        <x:v>385</x:v>
      </x:c>
      <x:c r="F44">
        <x:v>1950</x:v>
      </x:c>
      <x:c r="G44">
        <x:v>1950</x:v>
      </x:c>
      <x:c r="H44">
        <x:v>1950</x:v>
      </x:c>
      <x:c r="I44" t="s">
        <x:v>79</x:v>
      </x:c>
      <x:c r="K44" t="s">
        <x:v>79</x:v>
      </x:c>
      <x:c r="P44" t="s">
        <x:v>80</x:v>
      </x:c>
      <x:c r="R44" s="9">
        <x:v>30338</x:v>
      </x:c>
      <x:c r="T44" t="s">
        <x:v>79</x:v>
      </x:c>
      <x:c r="W44" s="26" t="n">
        <x:v>4.74141</x:v>
      </x:c>
      <x:c r="X44" s="26" t="n">
        <x:v>-76.11797</x:v>
      </x:c>
      <x:c r="Y44">
        <x:v>5425.3860000000004</x:v>
      </x:c>
      <x:c r="Z44">
        <x:v>1662</x:v>
      </x:c>
      <x:c r="AB44" t="s">
        <x:v>145</x:v>
      </x:c>
      <x:c r="AF44" t="s">
        <x:v>50</x:v>
      </x:c>
      <x:c r="AG44" t="s">
        <x:v>83</x:v>
      </x:c>
      <x:c r="AH44" t="s">
        <x:v>146</x:v>
      </x:c>
      <x:c r="AI44" t="s">
        <x:v>386</x:v>
      </x:c>
      <x:c r="AJ44">
        <x:v>48</x:v>
      </x:c>
    </x:row>
    <x:row r="45">
      <x:c r="A45" t="s">
        <x:v>387</x:v>
      </x:c>
      <x:c r="B45" t="s">
        <x:v>37</x:v>
      </x:c>
      <x:c r="C45" t="s">
        <x:v>388</x:v>
      </x:c>
      <x:c r="D45" t="s">
        <x:v>389</x:v>
      </x:c>
      <x:c r="E45" t="s">
        <x:v>390</x:v>
      </x:c>
      <x:c r="F45">
        <x:v>2220</x:v>
      </x:c>
      <x:c r="G45">
        <x:v>2220</x:v>
      </x:c>
      <x:c r="H45">
        <x:v>2220</x:v>
      </x:c>
      <x:c r="I45" t="s">
        <x:v>391</x:v>
      </x:c>
      <x:c r="J45" t="s">
        <x:v>392</x:v>
      </x:c>
      <x:c r="K45" t="s">
        <x:v>393</x:v>
      </x:c>
      <x:c r="L45" t="s">
        <x:v>394</x:v>
      </x:c>
      <x:c r="M45" t="s">
        <x:v>395</x:v>
      </x:c>
      <x:c r="N45" t="s">
        <x:v>396</x:v>
      </x:c>
      <x:c r="O45" t="s">
        <x:v>397</x:v>
      </x:c>
      <x:c r="P45" t="s">
        <x:v>398</x:v>
      </x:c>
      <x:c r="R45" s="9">
        <x:v>13058</x:v>
      </x:c>
      <x:c r="T45" t="s">
        <x:v>399</x:v>
      </x:c>
      <x:c r="W45" s="26" t="n">
        <x:v>6.01479</x:v>
      </x:c>
      <x:c r="X45" s="26" t="n">
        <x:v>-75.39219</x:v>
      </x:c>
      <x:c r="Y45">
        <x:v>2681.366</x:v>
      </x:c>
      <x:c r="Z45">
        <x:v>2260</x:v>
      </x:c>
      <x:c r="AA45" t="s">
        <x:v>400</x:v>
      </x:c>
      <x:c r="AB45">
        <x:v>5</x:v>
      </x:c>
      <x:c r="AD45" t="s">
        <x:v>401</x:v>
      </x:c>
      <x:c r="AF45" t="s">
        <x:v>50</x:v>
      </x:c>
      <x:c r="AG45" t="s">
        <x:v>402</x:v>
      </x:c>
      <x:c r="AH45" t="s">
        <x:v>403</x:v>
      </x:c>
      <x:c r="AI45" t="s">
        <x:v>404</x:v>
      </x:c>
      <x:c r="AJ45">
        <x:v>49</x:v>
      </x:c>
    </x:row>
    <x:row r="46">
      <x:c r="A46" t="s">
        <x:v>387</x:v>
      </x:c>
      <x:c r="B46" t="s">
        <x:v>37</x:v>
      </x:c>
      <x:c r="C46" t="s">
        <x:v>405</x:v>
      </x:c>
      <x:c r="D46" t="s">
        <x:v>406</x:v>
      </x:c>
      <x:c r="E46" t="s">
        <x:v>407</x:v>
      </x:c>
      <x:c r="F46" t="s">
        <x:v>408</x:v>
      </x:c>
      <x:c r="G46">
        <x:v>1900</x:v>
      </x:c>
      <x:c r="H46">
        <x:v>2100</x:v>
      </x:c>
      <x:c r="P46" t="s">
        <x:v>80</x:v>
      </x:c>
      <x:c r="R46" s="9">
        <x:v>14694</x:v>
      </x:c>
      <x:c r="T46" t="s">
        <x:v>399</x:v>
      </x:c>
      <x:c r="W46" s="26" t="n">
        <x:v>1.80071</x:v>
      </x:c>
      <x:c r="X46" s="26" t="n">
        <x:v>-75.74261</x:v>
      </x:c>
      <x:c r="Y46">
        <x:v>3553.6190000000001</x:v>
      </x:c>
      <x:c r="Z46">
        <x:v>2157</x:v>
      </x:c>
      <x:c r="AA46" t="s">
        <x:v>409</x:v>
      </x:c>
      <x:c r="AB46" t="s">
        <x:v>410</x:v>
      </x:c>
      <x:c r="AF46" t="s">
        <x:v>50</x:v>
      </x:c>
      <x:c r="AG46" t="s">
        <x:v>51</x:v>
      </x:c>
      <x:c r="AH46" t="s">
        <x:v>411</x:v>
      </x:c>
      <x:c r="AI46" t="s">
        <x:v>412</x:v>
      </x:c>
      <x:c r="AJ46">
        <x:v>50</x:v>
      </x:c>
    </x:row>
    <x:row r="47">
      <x:c r="A47" t="s">
        <x:v>387</x:v>
      </x:c>
      <x:c r="B47" t="s">
        <x:v>37</x:v>
      </x:c>
      <x:c r="C47" t="s">
        <x:v>413</x:v>
      </x:c>
      <x:c r="D47" t="s">
        <x:v>414</x:v>
      </x:c>
      <x:c r="E47" t="s">
        <x:v>415</x:v>
      </x:c>
      <x:c r="F47" t="s">
        <x:v>416</x:v>
      </x:c>
      <x:c r="G47">
        <x:v>2300</x:v>
      </x:c>
      <x:c r="H47">
        <x:v>2500</x:v>
      </x:c>
      <x:c r="I47" t="s">
        <x:v>417</x:v>
      </x:c>
      <x:c r="J47" t="s">
        <x:v>418</x:v>
      </x:c>
      <x:c r="K47" t="s">
        <x:v>419</x:v>
      </x:c>
      <x:c r="L47" t="s">
        <x:v>419</x:v>
      </x:c>
      <x:c r="M47" t="s">
        <x:v>420</x:v>
      </x:c>
      <x:c r="N47" t="s">
        <x:v>421</x:v>
      </x:c>
      <x:c r="O47" t="s">
        <x:v>422</x:v>
      </x:c>
      <x:c r="P47" t="s">
        <x:v>423</x:v>
      </x:c>
      <x:c r="R47" s="9">
        <x:v>17442</x:v>
      </x:c>
      <x:c r="T47" t="s">
        <x:v>399</x:v>
      </x:c>
      <x:c r="W47" s="26" t="n">
        <x:v>6.2166667</x:v>
      </x:c>
      <x:c r="X47" s="26" t="n">
        <x:v>-75.5</x:v>
      </x:c>
      <x:c r="Y47">
        <x:v>136.76900000000001</x:v>
      </x:c>
      <x:c r="AA47" t="s">
        <x:v>400</x:v>
      </x:c>
      <x:c r="AB47">
        <x:v>9</x:v>
      </x:c>
      <x:c r="AE47">
        <x:v>1</x:v>
      </x:c>
      <x:c r="AF47" t="s">
        <x:v>50</x:v>
      </x:c>
      <x:c r="AG47" t="s">
        <x:v>402</x:v>
      </x:c>
      <x:c r="AH47" t="s">
        <x:v>424</x:v>
      </x:c>
      <x:c r="AI47" t="s">
        <x:v>425</x:v>
      </x:c>
      <x:c r="AJ47">
        <x:v>51</x:v>
      </x:c>
    </x:row>
    <x:row r="48">
      <x:c r="A48" t="s">
        <x:v>387</x:v>
      </x:c>
      <x:c r="B48" t="s">
        <x:v>37</x:v>
      </x:c>
      <x:c r="C48" t="s">
        <x:v>413</x:v>
      </x:c>
      <x:c r="D48" t="s">
        <x:v>426</x:v>
      </x:c>
      <x:c r="E48" t="s">
        <x:v>415</x:v>
      </x:c>
      <x:c r="F48" t="s">
        <x:v>416</x:v>
      </x:c>
      <x:c r="G48">
        <x:v>2300</x:v>
      </x:c>
      <x:c r="H48">
        <x:v>2500</x:v>
      </x:c>
      <x:c r="I48" t="s">
        <x:v>417</x:v>
      </x:c>
      <x:c r="J48" t="s">
        <x:v>418</x:v>
      </x:c>
      <x:c r="K48" t="s">
        <x:v>419</x:v>
      </x:c>
      <x:c r="L48" t="s">
        <x:v>419</x:v>
      </x:c>
      <x:c r="M48" t="s">
        <x:v>420</x:v>
      </x:c>
      <x:c r="N48" t="s">
        <x:v>421</x:v>
      </x:c>
      <x:c r="O48" t="s">
        <x:v>422</x:v>
      </x:c>
      <x:c r="P48" t="s">
        <x:v>423</x:v>
      </x:c>
      <x:c r="R48" s="9">
        <x:v>17442</x:v>
      </x:c>
      <x:c r="T48" t="s">
        <x:v>399</x:v>
      </x:c>
      <x:c r="W48" s="26" t="n">
        <x:v>6.2166667</x:v>
      </x:c>
      <x:c r="X48" s="26" t="n">
        <x:v>-75.5</x:v>
      </x:c>
      <x:c r="Y48">
        <x:v>136.76900000000001</x:v>
      </x:c>
      <x:c r="AA48" t="s">
        <x:v>400</x:v>
      </x:c>
      <x:c r="AB48">
        <x:v>9</x:v>
      </x:c>
      <x:c r="AE48">
        <x:v>1</x:v>
      </x:c>
      <x:c r="AF48" t="s">
        <x:v>50</x:v>
      </x:c>
      <x:c r="AG48" t="s">
        <x:v>402</x:v>
      </x:c>
      <x:c r="AH48" t="s">
        <x:v>424</x:v>
      </x:c>
      <x:c r="AI48" t="s">
        <x:v>425</x:v>
      </x:c>
      <x:c r="AJ48">
        <x:v>52</x:v>
      </x:c>
    </x:row>
    <x:row r="49">
      <x:c r="A49" t="s">
        <x:v>387</x:v>
      </x:c>
      <x:c r="B49" t="s">
        <x:v>37</x:v>
      </x:c>
      <x:c r="C49" t="s">
        <x:v>427</x:v>
      </x:c>
      <x:c r="D49" t="s">
        <x:v>428</x:v>
      </x:c>
      <x:c r="E49" t="s">
        <x:v>429</x:v>
      </x:c>
      <x:c r="F49">
        <x:v>2500</x:v>
      </x:c>
      <x:c r="G49">
        <x:v>2500</x:v>
      </x:c>
      <x:c r="H49">
        <x:v>2500</x:v>
      </x:c>
      <x:c r="I49" t="s">
        <x:v>430</x:v>
      </x:c>
      <x:c r="J49" t="s">
        <x:v>431</x:v>
      </x:c>
      <x:c r="K49" t="s">
        <x:v>432</x:v>
      </x:c>
      <x:c r="L49" t="s">
        <x:v>433</x:v>
      </x:c>
      <x:c r="M49" t="s">
        <x:v>434</x:v>
      </x:c>
      <x:c r="N49" t="s">
        <x:v>421</x:v>
      </x:c>
      <x:c r="O49" t="s">
        <x:v>422</x:v>
      </x:c>
      <x:c r="P49" t="s">
        <x:v>423</x:v>
      </x:c>
      <x:c r="R49" s="9">
        <x:v>17990</x:v>
      </x:c>
      <x:c r="W49" s="26" t="n">
        <x:v>6.21667</x:v>
      </x:c>
      <x:c r="X49" s="26" t="n">
        <x:v>-75.5</x:v>
      </x:c>
      <x:c r="Y49">
        <x:v>136.76900000000001</x:v>
      </x:c>
      <x:c r="AA49" t="s">
        <x:v>435</x:v>
      </x:c>
      <x:c r="AB49">
        <x:v>9</x:v>
      </x:c>
      <x:c r="AE49">
        <x:v>1</x:v>
      </x:c>
      <x:c r="AF49" t="s">
        <x:v>50</x:v>
      </x:c>
      <x:c r="AG49" t="s">
        <x:v>402</x:v>
      </x:c>
      <x:c r="AH49" t="s">
        <x:v>436</x:v>
      </x:c>
      <x:c r="AI49" t="s">
        <x:v>437</x:v>
      </x:c>
      <x:c r="AJ49">
        <x:v>53</x:v>
      </x:c>
    </x:row>
    <x:row r="50">
      <x:c r="A50" t="s">
        <x:v>387</x:v>
      </x:c>
      <x:c r="B50" t="s">
        <x:v>37</x:v>
      </x:c>
      <x:c r="C50" t="s">
        <x:v>438</x:v>
      </x:c>
      <x:c r="D50" t="s">
        <x:v>439</x:v>
      </x:c>
      <x:c r="E50" t="s">
        <x:v>440</x:v>
      </x:c>
      <x:c r="F50">
        <x:v>2600</x:v>
      </x:c>
      <x:c r="G50">
        <x:v>2600</x:v>
      </x:c>
      <x:c r="H50">
        <x:v>2600</x:v>
      </x:c>
      <x:c r="I50" t="s">
        <x:v>441</x:v>
      </x:c>
      <x:c r="J50" t="s">
        <x:v>442</x:v>
      </x:c>
      <x:c r="K50" t="s">
        <x:v>443</x:v>
      </x:c>
      <x:c r="L50" t="s">
        <x:v>444</x:v>
      </x:c>
      <x:c r="M50" t="s">
        <x:v>445</x:v>
      </x:c>
      <x:c r="N50" t="s">
        <x:v>446</x:v>
      </x:c>
      <x:c r="O50" t="s">
        <x:v>447</x:v>
      </x:c>
      <x:c r="P50" t="s">
        <x:v>448</x:v>
      </x:c>
      <x:c r="R50" s="9">
        <x:v>24281</x:v>
      </x:c>
      <x:c r="T50" t="s">
        <x:v>399</x:v>
      </x:c>
      <x:c r="W50" s="26" t="n">
        <x:v>1.1758972</x:v>
      </x:c>
      <x:c r="X50" s="26" t="n">
        <x:v>-76.8793556</x:v>
      </x:c>
      <x:c r="AF50" t="s">
        <x:v>50</x:v>
      </x:c>
      <x:c r="AG50" t="s">
        <x:v>67</x:v>
      </x:c>
      <x:c r="AH50" t="s">
        <x:v>449</x:v>
      </x:c>
      <x:c r="AI50" t="s">
        <x:v>450</x:v>
      </x:c>
      <x:c r="AJ50">
        <x:v>54</x:v>
      </x:c>
    </x:row>
    <x:row r="51">
      <x:c r="A51" t="s">
        <x:v>387</x:v>
      </x:c>
      <x:c r="B51" t="s">
        <x:v>37</x:v>
      </x:c>
      <x:c r="C51" t="s">
        <x:v>451</x:v>
      </x:c>
      <x:c r="D51" t="s">
        <x:v>452</x:v>
      </x:c>
      <x:c r="E51" t="s">
        <x:v>453</x:v>
      </x:c>
      <x:c r="F51">
        <x:v>1800</x:v>
      </x:c>
      <x:c r="G51">
        <x:v>1800</x:v>
      </x:c>
      <x:c r="H51">
        <x:v>1800</x:v>
      </x:c>
      <x:c r="I51" t="s">
        <x:v>454</x:v>
      </x:c>
      <x:c r="J51" t="s">
        <x:v>455</x:v>
      </x:c>
      <x:c r="K51" t="s">
        <x:v>456</x:v>
      </x:c>
      <x:c r="L51" t="s">
        <x:v>457</x:v>
      </x:c>
      <x:c r="M51" t="s">
        <x:v>458</x:v>
      </x:c>
      <x:c r="N51" t="s">
        <x:v>459</x:v>
      </x:c>
      <x:c r="O51" t="s">
        <x:v>460</x:v>
      </x:c>
      <x:c r="P51" t="s">
        <x:v>461</x:v>
      </x:c>
      <x:c r="R51" s="9">
        <x:v>25344</x:v>
      </x:c>
      <x:c r="T51" t="s">
        <x:v>399</x:v>
      </x:c>
      <x:c r="W51" s="26" t="n">
        <x:v>2.5291667</x:v>
      </x:c>
      <x:c r="X51" s="26" t="n">
        <x:v>-76.4686111</x:v>
      </x:c>
      <x:c r="AF51" t="s">
        <x:v>50</x:v>
      </x:c>
      <x:c r="AG51" t="s">
        <x:v>283</x:v>
      </x:c>
      <x:c r="AH51" t="s">
        <x:v>462</x:v>
      </x:c>
      <x:c r="AJ51">
        <x:v>55</x:v>
      </x:c>
    </x:row>
    <x:row r="52">
      <x:c r="A52" t="s">
        <x:v>387</x:v>
      </x:c>
      <x:c r="B52" t="s">
        <x:v>37</x:v>
      </x:c>
      <x:c r="C52" t="s">
        <x:v>451</x:v>
      </x:c>
      <x:c r="D52" t="s">
        <x:v>463</x:v>
      </x:c>
      <x:c r="E52" t="s">
        <x:v>453</x:v>
      </x:c>
      <x:c r="F52">
        <x:v>1800</x:v>
      </x:c>
      <x:c r="G52">
        <x:v>1800</x:v>
      </x:c>
      <x:c r="H52">
        <x:v>1800</x:v>
      </x:c>
      <x:c r="I52" t="s">
        <x:v>454</x:v>
      </x:c>
      <x:c r="J52" t="s">
        <x:v>455</x:v>
      </x:c>
      <x:c r="K52" t="s">
        <x:v>456</x:v>
      </x:c>
      <x:c r="L52" t="s">
        <x:v>457</x:v>
      </x:c>
      <x:c r="M52" t="s">
        <x:v>458</x:v>
      </x:c>
      <x:c r="N52" t="s">
        <x:v>459</x:v>
      </x:c>
      <x:c r="O52" t="s">
        <x:v>460</x:v>
      </x:c>
      <x:c r="P52" t="s">
        <x:v>461</x:v>
      </x:c>
      <x:c r="R52" s="9">
        <x:v>25344</x:v>
      </x:c>
      <x:c r="T52" t="s">
        <x:v>399</x:v>
      </x:c>
      <x:c r="W52" s="26" t="n">
        <x:v>2.5291667</x:v>
      </x:c>
      <x:c r="X52" s="26" t="n">
        <x:v>-76.4686111</x:v>
      </x:c>
      <x:c r="AF52" t="s">
        <x:v>50</x:v>
      </x:c>
      <x:c r="AG52" t="s">
        <x:v>283</x:v>
      </x:c>
      <x:c r="AH52" t="s">
        <x:v>462</x:v>
      </x:c>
      <x:c r="AJ52">
        <x:v>56</x:v>
      </x:c>
    </x:row>
    <x:row r="53">
      <x:c r="A53" t="s">
        <x:v>387</x:v>
      </x:c>
      <x:c r="B53" t="s">
        <x:v>37</x:v>
      </x:c>
      <x:c r="C53" t="s">
        <x:v>464</x:v>
      </x:c>
      <x:c r="D53" t="s">
        <x:v>465</x:v>
      </x:c>
      <x:c r="E53" t="s">
        <x:v>466</x:v>
      </x:c>
      <x:c r="I53" t="s">
        <x:v>430</x:v>
      </x:c>
      <x:c r="J53" t="s">
        <x:v>431</x:v>
      </x:c>
      <x:c r="K53" t="s">
        <x:v>432</x:v>
      </x:c>
      <x:c r="L53" t="s">
        <x:v>433</x:v>
      </x:c>
      <x:c r="M53" t="s">
        <x:v>434</x:v>
      </x:c>
      <x:c r="N53" t="s">
        <x:v>421</x:v>
      </x:c>
      <x:c r="O53" t="s">
        <x:v>422</x:v>
      </x:c>
      <x:c r="P53" t="s">
        <x:v>423</x:v>
      </x:c>
      <x:c r="R53" s="9">
        <x:v>28254</x:v>
      </x:c>
      <x:c r="T53" t="s">
        <x:v>119</x:v>
      </x:c>
      <x:c r="W53" s="26" t="n">
        <x:v>6.17624</x:v>
      </x:c>
      <x:c r="X53" s="26" t="n">
        <x:v>-75.45785</x:v>
      </x:c>
      <x:c r="Y53">
        <x:v>474.19</x:v>
      </x:c>
      <x:c r="AA53" t="s">
        <x:v>467</x:v>
      </x:c>
      <x:c r="AB53" t="s">
        <x:v>468</x:v>
      </x:c>
      <x:c r="AE53">
        <x:v>1</x:v>
      </x:c>
      <x:c r="AF53" t="s">
        <x:v>50</x:v>
      </x:c>
      <x:c r="AG53" t="s">
        <x:v>402</x:v>
      </x:c>
      <x:c r="AH53" t="s">
        <x:v>469</x:v>
      </x:c>
      <x:c r="AI53" t="s">
        <x:v>470</x:v>
      </x:c>
      <x:c r="AJ53">
        <x:v>57</x:v>
      </x:c>
    </x:row>
    <x:row r="54">
      <x:c r="A54" t="s">
        <x:v>387</x:v>
      </x:c>
      <x:c r="B54" t="s">
        <x:v>37</x:v>
      </x:c>
      <x:c r="C54" t="s">
        <x:v>471</x:v>
      </x:c>
      <x:c r="D54" t="s">
        <x:v>472</x:v>
      </x:c>
      <x:c r="E54" t="s">
        <x:v>473</x:v>
      </x:c>
      <x:c r="F54">
        <x:v>2250</x:v>
      </x:c>
      <x:c r="G54">
        <x:v>2250</x:v>
      </x:c>
      <x:c r="H54">
        <x:v>2250</x:v>
      </x:c>
      <x:c r="I54" t="s">
        <x:v>474</x:v>
      </x:c>
      <x:c r="J54" t="s">
        <x:v>475</x:v>
      </x:c>
      <x:c r="K54" t="s">
        <x:v>476</x:v>
      </x:c>
      <x:c r="L54" t="s">
        <x:v>476</x:v>
      </x:c>
      <x:c r="M54" t="s">
        <x:v>477</x:v>
      </x:c>
      <x:c r="N54" t="s">
        <x:v>478</x:v>
      </x:c>
      <x:c r="O54" t="s">
        <x:v>479</x:v>
      </x:c>
      <x:c r="P54" t="s">
        <x:v>480</x:v>
      </x:c>
      <x:c r="R54" s="9">
        <x:v>28321</x:v>
      </x:c>
      <x:c r="T54" t="s">
        <x:v>481</x:v>
      </x:c>
      <x:c r="V54" t="s">
        <x:v>482</x:v>
      </x:c>
      <x:c r="W54" s="26" t="n">
        <x:v>6.17624</x:v>
      </x:c>
      <x:c r="X54" s="26" t="n">
        <x:v>-75.45785</x:v>
      </x:c>
      <x:c r="Y54">
        <x:v>474.19</x:v>
      </x:c>
      <x:c r="AA54" t="s">
        <x:v>467</x:v>
      </x:c>
      <x:c r="AB54" t="s">
        <x:v>468</x:v>
      </x:c>
      <x:c r="AE54">
        <x:v>1</x:v>
      </x:c>
      <x:c r="AF54" t="s">
        <x:v>50</x:v>
      </x:c>
      <x:c r="AG54" t="s">
        <x:v>402</x:v>
      </x:c>
      <x:c r="AH54" t="s">
        <x:v>483</x:v>
      </x:c>
      <x:c r="AI54" t="s">
        <x:v>484</x:v>
      </x:c>
      <x:c r="AJ54">
        <x:v>58</x:v>
      </x:c>
    </x:row>
    <x:row r="55">
      <x:c r="A55" t="s">
        <x:v>387</x:v>
      </x:c>
      <x:c r="B55" t="s">
        <x:v>37</x:v>
      </x:c>
      <x:c r="C55" t="s">
        <x:v>485</x:v>
      </x:c>
      <x:c r="D55" t="s">
        <x:v>486</x:v>
      </x:c>
      <x:c r="E55" t="s">
        <x:v>466</x:v>
      </x:c>
      <x:c r="F55">
        <x:v>2250</x:v>
      </x:c>
      <x:c r="G55">
        <x:v>2250</x:v>
      </x:c>
      <x:c r="H55">
        <x:v>2250</x:v>
      </x:c>
      <x:c r="P55" t="s">
        <x:v>80</x:v>
      </x:c>
      <x:c r="R55" s="9">
        <x:v>28369</x:v>
      </x:c>
      <x:c r="T55" t="s">
        <x:v>119</x:v>
      </x:c>
      <x:c r="W55" s="26" t="n">
        <x:v>6.17624</x:v>
      </x:c>
      <x:c r="X55" s="26" t="n">
        <x:v>-75.45785</x:v>
      </x:c>
      <x:c r="Y55">
        <x:v>474.19</x:v>
      </x:c>
      <x:c r="AA55" t="s">
        <x:v>467</x:v>
      </x:c>
      <x:c r="AB55" t="s">
        <x:v>468</x:v>
      </x:c>
      <x:c r="AF55" t="s">
        <x:v>50</x:v>
      </x:c>
      <x:c r="AG55" t="s">
        <x:v>402</x:v>
      </x:c>
      <x:c r="AH55" t="s">
        <x:v>469</x:v>
      </x:c>
      <x:c r="AI55" t="s">
        <x:v>470</x:v>
      </x:c>
      <x:c r="AJ55">
        <x:v>59</x:v>
      </x:c>
    </x:row>
    <x:row r="56">
      <x:c r="A56" t="s">
        <x:v>387</x:v>
      </x:c>
      <x:c r="B56" t="s">
        <x:v>37</x:v>
      </x:c>
      <x:c r="C56" t="s">
        <x:v>487</x:v>
      </x:c>
      <x:c r="D56" t="s">
        <x:v>486</x:v>
      </x:c>
      <x:c r="E56" t="s">
        <x:v>488</x:v>
      </x:c>
      <x:c r="F56">
        <x:v>2250</x:v>
      </x:c>
      <x:c r="G56">
        <x:v>2250</x:v>
      </x:c>
      <x:c r="H56">
        <x:v>2250</x:v>
      </x:c>
      <x:c r="I56" t="s">
        <x:v>474</x:v>
      </x:c>
      <x:c r="J56" t="s">
        <x:v>475</x:v>
      </x:c>
      <x:c r="K56" t="s">
        <x:v>476</x:v>
      </x:c>
      <x:c r="L56" t="s">
        <x:v>476</x:v>
      </x:c>
      <x:c r="M56" t="s">
        <x:v>477</x:v>
      </x:c>
      <x:c r="N56" t="s">
        <x:v>478</x:v>
      </x:c>
      <x:c r="O56" t="s">
        <x:v>479</x:v>
      </x:c>
      <x:c r="P56" t="s">
        <x:v>480</x:v>
      </x:c>
      <x:c r="R56" s="9">
        <x:v>28383</x:v>
      </x:c>
      <x:c r="T56" t="s">
        <x:v>119</x:v>
      </x:c>
      <x:c r="V56" t="s">
        <x:v>489</x:v>
      </x:c>
      <x:c r="W56" s="26" t="n">
        <x:v>6.17624</x:v>
      </x:c>
      <x:c r="X56" s="26" t="n">
        <x:v>-75.45785</x:v>
      </x:c>
      <x:c r="Y56">
        <x:v>474.19</x:v>
      </x:c>
      <x:c r="AA56" t="s">
        <x:v>467</x:v>
      </x:c>
      <x:c r="AB56" t="s">
        <x:v>468</x:v>
      </x:c>
      <x:c r="AD56" t="s">
        <x:v>490</x:v>
      </x:c>
      <x:c r="AE56">
        <x:v>1</x:v>
      </x:c>
      <x:c r="AF56" t="s">
        <x:v>50</x:v>
      </x:c>
      <x:c r="AG56" t="s">
        <x:v>402</x:v>
      </x:c>
      <x:c r="AH56" t="s">
        <x:v>483</x:v>
      </x:c>
      <x:c r="AI56" t="s">
        <x:v>491</x:v>
      </x:c>
      <x:c r="AJ56">
        <x:v>60</x:v>
      </x:c>
    </x:row>
    <x:row r="57">
      <x:c r="A57" t="s">
        <x:v>387</x:v>
      </x:c>
      <x:c r="B57" t="s">
        <x:v>37</x:v>
      </x:c>
      <x:c r="C57" t="s">
        <x:v>492</x:v>
      </x:c>
      <x:c r="D57" t="s">
        <x:v>493</x:v>
      </x:c>
      <x:c r="E57" t="s">
        <x:v>494</x:v>
      </x:c>
      <x:c r="F57" t="s">
        <x:v>495</x:v>
      </x:c>
      <x:c r="G57">
        <x:v>1700</x:v>
      </x:c>
      <x:c r="H57">
        <x:v>1800</x:v>
      </x:c>
      <x:c r="I57" t="s">
        <x:v>496</x:v>
      </x:c>
      <x:c r="J57" t="s">
        <x:v>497</x:v>
      </x:c>
      <x:c r="K57" t="s">
        <x:v>498</x:v>
      </x:c>
      <x:c r="L57" t="s">
        <x:v>499</x:v>
      </x:c>
      <x:c r="M57" t="s">
        <x:v>500</x:v>
      </x:c>
      <x:c r="N57" t="s">
        <x:v>501</x:v>
      </x:c>
      <x:c r="O57" t="s">
        <x:v>502</x:v>
      </x:c>
      <x:c r="P57" t="s">
        <x:v>503</x:v>
      </x:c>
      <x:c r="R57" s="9">
        <x:v>30119</x:v>
      </x:c>
      <x:c r="T57" t="s">
        <x:v>119</x:v>
      </x:c>
      <x:c r="W57" s="26" t="n">
        <x:v>5.5259389</x:v>
      </x:c>
      <x:c r="X57" s="26" t="n">
        <x:v>-75.4592333</x:v>
      </x:c>
      <x:c r="AF57" t="s">
        <x:v>50</x:v>
      </x:c>
      <x:c r="AG57" t="s">
        <x:v>167</x:v>
      </x:c>
      <x:c r="AH57" t="s">
        <x:v>504</x:v>
      </x:c>
      <x:c r="AI57" t="s">
        <x:v>505</x:v>
      </x:c>
      <x:c r="AJ57">
        <x:v>62</x:v>
      </x:c>
    </x:row>
    <x:row r="58">
      <x:c r="A58" t="s">
        <x:v>387</x:v>
      </x:c>
      <x:c r="B58" t="s">
        <x:v>37</x:v>
      </x:c>
      <x:c r="C58" t="s">
        <x:v>506</x:v>
      </x:c>
      <x:c r="D58" t="s">
        <x:v>493</x:v>
      </x:c>
      <x:c r="E58" t="s">
        <x:v>507</x:v>
      </x:c>
      <x:c r="F58" t="s">
        <x:v>495</x:v>
      </x:c>
      <x:c r="G58">
        <x:v>1700</x:v>
      </x:c>
      <x:c r="H58">
        <x:v>1800</x:v>
      </x:c>
      <x:c r="I58" t="s">
        <x:v>496</x:v>
      </x:c>
      <x:c r="J58" t="s">
        <x:v>497</x:v>
      </x:c>
      <x:c r="K58" t="s">
        <x:v>498</x:v>
      </x:c>
      <x:c r="L58" t="s">
        <x:v>499</x:v>
      </x:c>
      <x:c r="M58" t="s">
        <x:v>500</x:v>
      </x:c>
      <x:c r="N58" t="s">
        <x:v>501</x:v>
      </x:c>
      <x:c r="O58" t="s">
        <x:v>502</x:v>
      </x:c>
      <x:c r="P58" t="s">
        <x:v>503</x:v>
      </x:c>
      <x:c r="R58" s="9">
        <x:v>30149</x:v>
      </x:c>
      <x:c r="S58" t="s">
        <x:v>508</x:v>
      </x:c>
      <x:c r="T58" t="s">
        <x:v>509</x:v>
      </x:c>
      <x:c r="W58" s="26" t="n">
        <x:v>5.52802</x:v>
      </x:c>
      <x:c r="X58" s="26" t="n">
        <x:v>-75.44232</x:v>
      </x:c>
      <x:c r="Y58">
        <x:v>1887.4839999999999</x:v>
      </x:c>
      <x:c r="Z58">
        <x:v>1972</x:v>
      </x:c>
      <x:c r="AA58" t="s">
        <x:v>510</x:v>
      </x:c>
      <x:c r="AB58">
        <x:v>23</x:v>
      </x:c>
      <x:c r="AF58" t="s">
        <x:v>50</x:v>
      </x:c>
      <x:c r="AG58" t="s">
        <x:v>167</x:v>
      </x:c>
      <x:c r="AH58" t="s">
        <x:v>511</x:v>
      </x:c>
      <x:c r="AJ58">
        <x:v>63</x:v>
      </x:c>
    </x:row>
    <x:row r="59">
      <x:c r="A59" t="s">
        <x:v>387</x:v>
      </x:c>
      <x:c r="B59" t="s">
        <x:v>37</x:v>
      </x:c>
      <x:c r="C59" t="s">
        <x:v>512</x:v>
      </x:c>
      <x:c r="D59" t="s">
        <x:v>513</x:v>
      </x:c>
      <x:c r="E59" t="s">
        <x:v>365</x:v>
      </x:c>
      <x:c r="F59">
        <x:v>2100</x:v>
      </x:c>
      <x:c r="G59">
        <x:v>2100</x:v>
      </x:c>
      <x:c r="H59">
        <x:v>2100</x:v>
      </x:c>
      <x:c r="P59" t="s">
        <x:v>80</x:v>
      </x:c>
      <x:c r="R59" s="9">
        <x:v>30370</x:v>
      </x:c>
      <x:c r="T59" t="s">
        <x:v>111</x:v>
      </x:c>
      <x:c r="W59" s="26" t="n">
        <x:v>5.12169</x:v>
      </x:c>
      <x:c r="X59" s="26" t="n">
        <x:v>-76.00899</x:v>
      </x:c>
      <x:c r="Y59">
        <x:v>3027.2240000000002</x:v>
      </x:c>
      <x:c r="Z59">
        <x:v>2308</x:v>
      </x:c>
      <x:c r="AB59" t="s">
        <x:v>366</x:v>
      </x:c>
      <x:c r="AF59" t="s">
        <x:v>50</x:v>
      </x:c>
      <x:c r="AG59" t="s">
        <x:v>360</x:v>
      </x:c>
      <x:c r="AH59" t="s">
        <x:v>367</x:v>
      </x:c>
      <x:c r="AI59" t="s">
        <x:v>368</x:v>
      </x:c>
      <x:c r="AJ59">
        <x:v>64</x:v>
      </x:c>
    </x:row>
    <x:row r="60">
      <x:c r="A60" t="s">
        <x:v>387</x:v>
      </x:c>
      <x:c r="B60" t="s">
        <x:v>37</x:v>
      </x:c>
      <x:c r="C60" t="s">
        <x:v>514</x:v>
      </x:c>
      <x:c r="D60" t="s">
        <x:v>513</x:v>
      </x:c>
      <x:c r="E60" t="s">
        <x:v>515</x:v>
      </x:c>
      <x:c r="F60">
        <x:v>2100</x:v>
      </x:c>
      <x:c r="G60">
        <x:v>2100</x:v>
      </x:c>
      <x:c r="H60">
        <x:v>2100</x:v>
      </x:c>
      <x:c r="I60" t="s">
        <x:v>516</x:v>
      </x:c>
      <x:c r="J60" t="s">
        <x:v>517</x:v>
      </x:c>
      <x:c r="K60" t="s">
        <x:v>518</x:v>
      </x:c>
      <x:c r="L60" t="s">
        <x:v>519</x:v>
      </x:c>
      <x:c r="M60" t="s">
        <x:v>520</x:v>
      </x:c>
      <x:c r="N60" t="s">
        <x:v>521</x:v>
      </x:c>
      <x:c r="O60" t="s">
        <x:v>522</x:v>
      </x:c>
      <x:c r="P60" t="s">
        <x:v>523</x:v>
      </x:c>
      <x:c r="R60" s="9">
        <x:v>30370</x:v>
      </x:c>
      <x:c r="T60" t="s">
        <x:v>111</x:v>
      </x:c>
      <x:c r="W60" s="26" t="n">
        <x:v>5.0724639</x:v>
      </x:c>
      <x:c r="X60" s="26" t="n">
        <x:v>-75.9623472</x:v>
      </x:c>
      <x:c r="AF60" t="s">
        <x:v>50</x:v>
      </x:c>
      <x:c r="AG60" t="s">
        <x:v>360</x:v>
      </x:c>
      <x:c r="AH60" t="s">
        <x:v>367</x:v>
      </x:c>
      <x:c r="AI60" t="s">
        <x:v>524</x:v>
      </x:c>
      <x:c r="AJ60">
        <x:v>65</x:v>
      </x:c>
    </x:row>
    <x:row r="61">
      <x:c r="A61" t="s">
        <x:v>387</x:v>
      </x:c>
      <x:c r="B61" t="s">
        <x:v>37</x:v>
      </x:c>
      <x:c r="C61" t="s">
        <x:v>525</x:v>
      </x:c>
      <x:c r="D61" t="s">
        <x:v>526</x:v>
      </x:c>
      <x:c r="E61" t="s">
        <x:v>527</x:v>
      </x:c>
      <x:c r="F61" t="s">
        <x:v>528</x:v>
      </x:c>
      <x:c r="G61">
        <x:v>2200</x:v>
      </x:c>
      <x:c r="H61">
        <x:v>2370</x:v>
      </x:c>
      <x:c r="I61" t="s">
        <x:v>529</x:v>
      </x:c>
      <x:c r="J61" t="s">
        <x:v>529</x:v>
      </x:c>
      <x:c r="K61" t="s">
        <x:v>530</x:v>
      </x:c>
      <x:c r="L61" t="s">
        <x:v>530</x:v>
      </x:c>
      <x:c r="M61" t="s">
        <x:v>531</x:v>
      </x:c>
      <x:c r="N61" t="s">
        <x:v>532</x:v>
      </x:c>
      <x:c r="O61" t="s">
        <x:v>533</x:v>
      </x:c>
      <x:c r="P61" t="s">
        <x:v>534</x:v>
      </x:c>
      <x:c r="R61" s="9">
        <x:v>30612</x:v>
      </x:c>
      <x:c r="T61" t="s">
        <x:v>111</x:v>
      </x:c>
      <x:c r="W61" s="26" t="n">
        <x:v>6.04939</x:v>
      </x:c>
      <x:c r="X61" s="26" t="n">
        <x:v>-75.59898</x:v>
      </x:c>
      <x:c r="Y61">
        <x:v>2416.636</x:v>
      </x:c>
      <x:c r="Z61">
        <x:v>2291</x:v>
      </x:c>
      <x:c r="AB61" t="s">
        <x:v>535</x:v>
      </x:c>
      <x:c r="AF61" t="s">
        <x:v>50</x:v>
      </x:c>
      <x:c r="AG61" t="s">
        <x:v>402</x:v>
      </x:c>
      <x:c r="AH61" t="s">
        <x:v>536</x:v>
      </x:c>
      <x:c r="AI61" t="s">
        <x:v>537</x:v>
      </x:c>
      <x:c r="AJ61">
        <x:v>66</x:v>
      </x:c>
    </x:row>
    <x:row r="62">
      <x:c r="A62" t="s">
        <x:v>387</x:v>
      </x:c>
      <x:c r="B62" t="s">
        <x:v>37</x:v>
      </x:c>
      <x:c r="C62" t="s">
        <x:v>538</x:v>
      </x:c>
      <x:c r="D62" t="s">
        <x:v>539</x:v>
      </x:c>
      <x:c r="E62" t="s">
        <x:v>540</x:v>
      </x:c>
      <x:c r="F62">
        <x:v>2290</x:v>
      </x:c>
      <x:c r="G62">
        <x:v>2290</x:v>
      </x:c>
      <x:c r="H62">
        <x:v>2290</x:v>
      </x:c>
      <x:c r="I62" t="s">
        <x:v>541</x:v>
      </x:c>
      <x:c r="J62" t="s">
        <x:v>542</x:v>
      </x:c>
      <x:c r="K62" t="s">
        <x:v>543</x:v>
      </x:c>
      <x:c r="L62" t="s">
        <x:v>544</x:v>
      </x:c>
      <x:c r="M62" t="s">
        <x:v>545</x:v>
      </x:c>
      <x:c r="N62" t="s">
        <x:v>546</x:v>
      </x:c>
      <x:c r="O62" t="s">
        <x:v>547</x:v>
      </x:c>
      <x:c r="P62" t="s">
        <x:v>548</x:v>
      </x:c>
      <x:c r="R62" s="9">
        <x:v>30723</x:v>
      </x:c>
      <x:c r="W62" s="26" t="n">
        <x:v>6.27657</x:v>
      </x:c>
      <x:c r="X62" s="26" t="n">
        <x:v>-75.47632</x:v>
      </x:c>
      <x:c r="Y62">
        <x:v>3739.4229999999998</x:v>
      </x:c>
      <x:c r="Z62">
        <x:v>2426</x:v>
      </x:c>
      <x:c r="AA62" t="s">
        <x:v>549</x:v>
      </x:c>
      <x:c r="AB62">
        <x:v>8</x:v>
      </x:c>
      <x:c r="AE62">
        <x:v>1</x:v>
      </x:c>
      <x:c r="AF62" t="s">
        <x:v>50</x:v>
      </x:c>
      <x:c r="AG62" t="s">
        <x:v>402</x:v>
      </x:c>
      <x:c r="AH62" t="s">
        <x:v>550</x:v>
      </x:c>
      <x:c r="AI62" t="s">
        <x:v>551</x:v>
      </x:c>
      <x:c r="AJ62">
        <x:v>67</x:v>
      </x:c>
    </x:row>
    <x:row r="63">
      <x:c r="A63" t="s">
        <x:v>387</x:v>
      </x:c>
      <x:c r="B63" t="s">
        <x:v>37</x:v>
      </x:c>
      <x:c r="C63" t="s">
        <x:v>552</x:v>
      </x:c>
      <x:c r="D63" t="s">
        <x:v>553</x:v>
      </x:c>
      <x:c r="E63" t="s">
        <x:v>554</x:v>
      </x:c>
      <x:c r="F63">
        <x:v>2440</x:v>
      </x:c>
      <x:c r="G63">
        <x:v>2440</x:v>
      </x:c>
      <x:c r="H63">
        <x:v>2440</x:v>
      </x:c>
      <x:c r="I63" t="s">
        <x:v>555</x:v>
      </x:c>
      <x:c r="J63" t="s">
        <x:v>556</x:v>
      </x:c>
      <x:c r="K63" t="s">
        <x:v>557</x:v>
      </x:c>
      <x:c r="L63" t="s">
        <x:v>558</x:v>
      </x:c>
      <x:c r="M63" t="s">
        <x:v>559</x:v>
      </x:c>
      <x:c r="N63" t="s">
        <x:v>560</x:v>
      </x:c>
      <x:c r="O63" t="s">
        <x:v>561</x:v>
      </x:c>
      <x:c r="P63" t="s">
        <x:v>562</x:v>
      </x:c>
      <x:c r="R63" s="9">
        <x:v>30764</x:v>
      </x:c>
      <x:c r="T63" t="s">
        <x:v>119</x:v>
      </x:c>
      <x:c r="W63" s="26" t="n">
        <x:v>6.08067</x:v>
      </x:c>
      <x:c r="X63" s="26" t="n">
        <x:v>-75.59585</x:v>
      </x:c>
      <x:c r="Y63">
        <x:v>726.38300000000004</x:v>
      </x:c>
      <x:c r="AA63" t="s">
        <x:v>549</x:v>
      </x:c>
      <x:c r="AB63">
        <x:v>7</x:v>
      </x:c>
      <x:c r="AE63">
        <x:v>1</x:v>
      </x:c>
      <x:c r="AF63" t="s">
        <x:v>50</x:v>
      </x:c>
      <x:c r="AG63" t="s">
        <x:v>402</x:v>
      </x:c>
      <x:c r="AH63" t="s">
        <x:v>167</x:v>
      </x:c>
      <x:c r="AI63" t="s">
        <x:v>563</x:v>
      </x:c>
      <x:c r="AJ63">
        <x:v>68</x:v>
      </x:c>
    </x:row>
    <x:row r="64">
      <x:c r="A64" t="s">
        <x:v>387</x:v>
      </x:c>
      <x:c r="B64" t="s">
        <x:v>37</x:v>
      </x:c>
      <x:c r="C64" t="s">
        <x:v>564</x:v>
      </x:c>
      <x:c r="D64" t="s">
        <x:v>565</x:v>
      </x:c>
      <x:c r="E64" t="s">
        <x:v>157</x:v>
      </x:c>
      <x:c r="F64">
        <x:v>2250</x:v>
      </x:c>
      <x:c r="G64">
        <x:v>2250</x:v>
      </x:c>
      <x:c r="H64">
        <x:v>2250</x:v>
      </x:c>
      <x:c r="I64" t="s">
        <x:v>158</x:v>
      </x:c>
      <x:c r="J64" t="s">
        <x:v>159</x:v>
      </x:c>
      <x:c r="K64" t="s">
        <x:v>566</x:v>
      </x:c>
      <x:c r="L64" t="s">
        <x:v>567</x:v>
      </x:c>
      <x:c r="M64" t="s">
        <x:v>568</x:v>
      </x:c>
      <x:c r="N64" t="s">
        <x:v>163</x:v>
      </x:c>
      <x:c r="O64" t="s">
        <x:v>164</x:v>
      </x:c>
      <x:c r="P64" t="s">
        <x:v>165</x:v>
      </x:c>
      <x:c r="R64" s="9">
        <x:v>30765</x:v>
      </x:c>
      <x:c r="T64" t="s">
        <x:v>399</x:v>
      </x:c>
      <x:c r="W64" s="26" t="n">
        <x:v>5.0577778</x:v>
      </x:c>
      <x:c r="X64" s="26" t="n">
        <x:v>-75.4994444</x:v>
      </x:c>
      <x:c r="AF64" t="s">
        <x:v>50</x:v>
      </x:c>
      <x:c r="AG64" t="s">
        <x:v>167</x:v>
      </x:c>
      <x:c r="AH64" t="s">
        <x:v>168</x:v>
      </x:c>
      <x:c r="AI64" t="s">
        <x:v>169</x:v>
      </x:c>
      <x:c r="AJ64">
        <x:v>69</x:v>
      </x:c>
    </x:row>
    <x:row r="65">
      <x:c r="A65" t="s">
        <x:v>387</x:v>
      </x:c>
      <x:c r="B65" t="s">
        <x:v>37</x:v>
      </x:c>
      <x:c r="C65" t="s">
        <x:v>564</x:v>
      </x:c>
      <x:c r="D65" t="s">
        <x:v>569</x:v>
      </x:c>
      <x:c r="E65" t="s">
        <x:v>157</x:v>
      </x:c>
      <x:c r="F65">
        <x:v>2250</x:v>
      </x:c>
      <x:c r="G65">
        <x:v>2250</x:v>
      </x:c>
      <x:c r="H65">
        <x:v>2250</x:v>
      </x:c>
      <x:c r="I65" t="s">
        <x:v>158</x:v>
      </x:c>
      <x:c r="J65" t="s">
        <x:v>159</x:v>
      </x:c>
      <x:c r="K65" t="s">
        <x:v>566</x:v>
      </x:c>
      <x:c r="L65" t="s">
        <x:v>567</x:v>
      </x:c>
      <x:c r="M65" t="s">
        <x:v>568</x:v>
      </x:c>
      <x:c r="N65" t="s">
        <x:v>163</x:v>
      </x:c>
      <x:c r="O65" t="s">
        <x:v>164</x:v>
      </x:c>
      <x:c r="P65" t="s">
        <x:v>165</x:v>
      </x:c>
      <x:c r="R65" s="9">
        <x:v>30765</x:v>
      </x:c>
      <x:c r="W65" s="26" t="n">
        <x:v>5.0577778</x:v>
      </x:c>
      <x:c r="X65" s="26" t="n">
        <x:v>-75.4994444</x:v>
      </x:c>
      <x:c r="AF65" t="s">
        <x:v>50</x:v>
      </x:c>
      <x:c r="AG65" t="s">
        <x:v>167</x:v>
      </x:c>
      <x:c r="AH65" t="s">
        <x:v>168</x:v>
      </x:c>
      <x:c r="AI65" t="s">
        <x:v>169</x:v>
      </x:c>
      <x:c r="AJ65">
        <x:v>70</x:v>
      </x:c>
    </x:row>
    <x:row r="66">
      <x:c r="A66" t="s">
        <x:v>387</x:v>
      </x:c>
      <x:c r="B66" t="s">
        <x:v>37</x:v>
      </x:c>
      <x:c r="C66" t="s">
        <x:v>570</x:v>
      </x:c>
      <x:c r="D66" t="s">
        <x:v>571</x:v>
      </x:c>
      <x:c r="E66" t="s">
        <x:v>157</x:v>
      </x:c>
      <x:c r="F66">
        <x:v>2250</x:v>
      </x:c>
      <x:c r="G66">
        <x:v>2250</x:v>
      </x:c>
      <x:c r="H66">
        <x:v>2250</x:v>
      </x:c>
      <x:c r="I66" t="s">
        <x:v>572</x:v>
      </x:c>
      <x:c r="J66" t="s">
        <x:v>573</x:v>
      </x:c>
      <x:c r="K66" t="s">
        <x:v>574</x:v>
      </x:c>
      <x:c r="L66" t="s">
        <x:v>575</x:v>
      </x:c>
      <x:c r="M66" t="s">
        <x:v>576</x:v>
      </x:c>
      <x:c r="N66" t="s">
        <x:v>577</x:v>
      </x:c>
      <x:c r="O66" t="s">
        <x:v>578</x:v>
      </x:c>
      <x:c r="P66" t="s">
        <x:v>579</x:v>
      </x:c>
      <x:c r="R66" s="9">
        <x:v>30772</x:v>
      </x:c>
      <x:c r="T66" t="s">
        <x:v>119</x:v>
      </x:c>
      <x:c r="W66" s="26" t="n">
        <x:v>5.0671333</x:v>
      </x:c>
      <x:c r="X66" s="26" t="n">
        <x:v>-75.5182889</x:v>
      </x:c>
      <x:c r="AB66">
        <x:v>21</x:v>
      </x:c>
      <x:c r="AF66" t="s">
        <x:v>50</x:v>
      </x:c>
      <x:c r="AG66" t="s">
        <x:v>167</x:v>
      </x:c>
      <x:c r="AH66" t="s">
        <x:v>168</x:v>
      </x:c>
      <x:c r="AI66" t="s">
        <x:v>169</x:v>
      </x:c>
      <x:c r="AJ66">
        <x:v>71</x:v>
      </x:c>
    </x:row>
    <x:row r="67">
      <x:c r="A67" t="s">
        <x:v>387</x:v>
      </x:c>
      <x:c r="B67" t="s">
        <x:v>37</x:v>
      </x:c>
      <x:c r="C67" t="s">
        <x:v>570</x:v>
      </x:c>
      <x:c r="D67" t="s">
        <x:v>580</x:v>
      </x:c>
      <x:c r="E67" t="s">
        <x:v>157</x:v>
      </x:c>
      <x:c r="F67">
        <x:v>2150</x:v>
      </x:c>
      <x:c r="G67">
        <x:v>2150</x:v>
      </x:c>
      <x:c r="H67">
        <x:v>2150</x:v>
      </x:c>
      <x:c r="I67" t="s">
        <x:v>158</x:v>
      </x:c>
      <x:c r="J67" t="s">
        <x:v>159</x:v>
      </x:c>
      <x:c r="K67" t="s">
        <x:v>566</x:v>
      </x:c>
      <x:c r="L67" t="s">
        <x:v>567</x:v>
      </x:c>
      <x:c r="M67" t="s">
        <x:v>568</x:v>
      </x:c>
      <x:c r="N67" t="s">
        <x:v>163</x:v>
      </x:c>
      <x:c r="O67" t="s">
        <x:v>164</x:v>
      </x:c>
      <x:c r="P67" t="s">
        <x:v>165</x:v>
      </x:c>
      <x:c r="R67" s="9">
        <x:v>30772</x:v>
      </x:c>
      <x:c r="T67" t="s">
        <x:v>119</x:v>
      </x:c>
      <x:c r="W67" s="26" t="n">
        <x:v>5.0577778</x:v>
      </x:c>
      <x:c r="X67" s="26" t="n">
        <x:v>-75.4994444</x:v>
      </x:c>
      <x:c r="AB67">
        <x:v>21</x:v>
      </x:c>
      <x:c r="AF67" t="s">
        <x:v>50</x:v>
      </x:c>
      <x:c r="AG67" t="s">
        <x:v>167</x:v>
      </x:c>
      <x:c r="AH67" t="s">
        <x:v>168</x:v>
      </x:c>
      <x:c r="AI67" t="s">
        <x:v>169</x:v>
      </x:c>
      <x:c r="AJ67">
        <x:v>72</x:v>
      </x:c>
    </x:row>
    <x:row r="68">
      <x:c r="A68" t="s">
        <x:v>387</x:v>
      </x:c>
      <x:c r="B68" t="s">
        <x:v>37</x:v>
      </x:c>
      <x:c r="C68" t="s">
        <x:v>155</x:v>
      </x:c>
      <x:c r="D68" t="s">
        <x:v>581</x:v>
      </x:c>
      <x:c r="E68" t="s">
        <x:v>157</x:v>
      </x:c>
      <x:c r="F68">
        <x:v>2150</x:v>
      </x:c>
      <x:c r="G68">
        <x:v>2150</x:v>
      </x:c>
      <x:c r="H68">
        <x:v>2150</x:v>
      </x:c>
      <x:c r="I68" t="s">
        <x:v>158</x:v>
      </x:c>
      <x:c r="J68" t="s">
        <x:v>159</x:v>
      </x:c>
      <x:c r="K68" t="s">
        <x:v>160</x:v>
      </x:c>
      <x:c r="L68" t="s">
        <x:v>161</x:v>
      </x:c>
      <x:c r="M68" t="s">
        <x:v>162</x:v>
      </x:c>
      <x:c r="N68" t="s">
        <x:v>163</x:v>
      </x:c>
      <x:c r="O68" t="s">
        <x:v>164</x:v>
      </x:c>
      <x:c r="P68" t="s">
        <x:v>165</x:v>
      </x:c>
      <x:c r="R68" s="9">
        <x:v>31094</x:v>
      </x:c>
      <x:c r="T68" t="s">
        <x:v>166</x:v>
      </x:c>
      <x:c r="W68" s="26" t="n">
        <x:v>5.0577778</x:v>
      </x:c>
      <x:c r="X68" s="26" t="n">
        <x:v>-75.4994444</x:v>
      </x:c>
      <x:c r="AF68" t="s">
        <x:v>50</x:v>
      </x:c>
      <x:c r="AG68" t="s">
        <x:v>167</x:v>
      </x:c>
      <x:c r="AH68" t="s">
        <x:v>168</x:v>
      </x:c>
      <x:c r="AI68" t="s">
        <x:v>169</x:v>
      </x:c>
      <x:c r="AJ68">
        <x:v>73</x:v>
      </x:c>
    </x:row>
    <x:row r="69">
      <x:c r="A69" t="s">
        <x:v>387</x:v>
      </x:c>
      <x:c r="B69" t="s">
        <x:v>37</x:v>
      </x:c>
      <x:c r="C69" t="s">
        <x:v>582</x:v>
      </x:c>
      <x:c r="D69" t="s">
        <x:v>583</x:v>
      </x:c>
      <x:c r="E69" t="s">
        <x:v>554</x:v>
      </x:c>
      <x:c r="F69">
        <x:v>2440</x:v>
      </x:c>
      <x:c r="G69">
        <x:v>2440</x:v>
      </x:c>
      <x:c r="H69">
        <x:v>2440</x:v>
      </x:c>
      <x:c r="I69" t="s">
        <x:v>555</x:v>
      </x:c>
      <x:c r="J69" t="s">
        <x:v>556</x:v>
      </x:c>
      <x:c r="K69" t="s">
        <x:v>557</x:v>
      </x:c>
      <x:c r="L69" t="s">
        <x:v>558</x:v>
      </x:c>
      <x:c r="M69" t="s">
        <x:v>559</x:v>
      </x:c>
      <x:c r="N69" t="s">
        <x:v>560</x:v>
      </x:c>
      <x:c r="O69" t="s">
        <x:v>561</x:v>
      </x:c>
      <x:c r="P69" t="s">
        <x:v>562</x:v>
      </x:c>
      <x:c r="R69" s="9">
        <x:v>31247</x:v>
      </x:c>
      <x:c r="T69" t="s">
        <x:v>119</x:v>
      </x:c>
      <x:c r="W69" s="26" t="n">
        <x:v>6.08067</x:v>
      </x:c>
      <x:c r="X69" s="26" t="n">
        <x:v>-75.59585</x:v>
      </x:c>
      <x:c r="Y69">
        <x:v>726.38300000000004</x:v>
      </x:c>
      <x:c r="Z69">
        <x:v>2440</x:v>
      </x:c>
      <x:c r="AA69" t="s">
        <x:v>549</x:v>
      </x:c>
      <x:c r="AB69">
        <x:v>7</x:v>
      </x:c>
      <x:c r="AD69" t="s">
        <x:v>584</x:v>
      </x:c>
      <x:c r="AE69">
        <x:v>1</x:v>
      </x:c>
      <x:c r="AF69" t="s">
        <x:v>50</x:v>
      </x:c>
      <x:c r="AG69" t="s">
        <x:v>402</x:v>
      </x:c>
      <x:c r="AH69" t="s">
        <x:v>167</x:v>
      </x:c>
      <x:c r="AI69" t="s">
        <x:v>563</x:v>
      </x:c>
      <x:c r="AJ69">
        <x:v>74</x:v>
      </x:c>
    </x:row>
    <x:row r="70">
      <x:c r="A70" t="s">
        <x:v>387</x:v>
      </x:c>
      <x:c r="B70" t="s">
        <x:v>37</x:v>
      </x:c>
      <x:c r="C70" t="s">
        <x:v>585</x:v>
      </x:c>
      <x:c r="D70" t="s">
        <x:v>586</x:v>
      </x:c>
      <x:c r="E70" t="s">
        <x:v>157</x:v>
      </x:c>
      <x:c r="F70">
        <x:v>2250</x:v>
      </x:c>
      <x:c r="G70">
        <x:v>2250</x:v>
      </x:c>
      <x:c r="H70">
        <x:v>2250</x:v>
      </x:c>
      <x:c r="I70" t="s">
        <x:v>572</x:v>
      </x:c>
      <x:c r="J70" t="s">
        <x:v>573</x:v>
      </x:c>
      <x:c r="K70" t="s">
        <x:v>574</x:v>
      </x:c>
      <x:c r="L70" t="s">
        <x:v>575</x:v>
      </x:c>
      <x:c r="M70" t="s">
        <x:v>576</x:v>
      </x:c>
      <x:c r="N70" t="s">
        <x:v>577</x:v>
      </x:c>
      <x:c r="O70" t="s">
        <x:v>578</x:v>
      </x:c>
      <x:c r="P70" t="s">
        <x:v>579</x:v>
      </x:c>
      <x:c r="R70" s="9">
        <x:v>31350</x:v>
      </x:c>
      <x:c r="T70" t="s">
        <x:v>111</x:v>
      </x:c>
      <x:c r="W70" s="26" t="n">
        <x:v>5.07803</x:v>
      </x:c>
      <x:c r="X70" s="26" t="n">
        <x:v>-75.4967</x:v>
      </x:c>
      <x:c r="Y70">
        <x:v>2679.9319999999998</x:v>
      </x:c>
      <x:c r="Z70">
        <x:v>2208</x:v>
      </x:c>
      <x:c r="AA70" t="s">
        <x:v>587</x:v>
      </x:c>
      <x:c r="AB70">
        <x:v>21</x:v>
      </x:c>
      <x:c r="AF70" t="s">
        <x:v>50</x:v>
      </x:c>
      <x:c r="AG70" t="s">
        <x:v>167</x:v>
      </x:c>
      <x:c r="AH70" t="s">
        <x:v>168</x:v>
      </x:c>
      <x:c r="AI70" t="s">
        <x:v>169</x:v>
      </x:c>
      <x:c r="AJ70">
        <x:v>75</x:v>
      </x:c>
    </x:row>
    <x:row r="71">
      <x:c r="A71" t="s">
        <x:v>387</x:v>
      </x:c>
      <x:c r="B71" t="s">
        <x:v>37</x:v>
      </x:c>
      <x:c r="C71" t="s">
        <x:v>588</x:v>
      </x:c>
      <x:c r="D71" t="s">
        <x:v>589</x:v>
      </x:c>
      <x:c r="E71" t="s">
        <x:v>590</x:v>
      </x:c>
      <x:c r="F71">
        <x:v>1900</x:v>
      </x:c>
      <x:c r="G71">
        <x:v>1900</x:v>
      </x:c>
      <x:c r="H71">
        <x:v>1900</x:v>
      </x:c>
      <x:c r="I71" t="s">
        <x:v>591</x:v>
      </x:c>
      <x:c r="J71" t="s">
        <x:v>592</x:v>
      </x:c>
      <x:c r="K71" t="s">
        <x:v>593</x:v>
      </x:c>
      <x:c r="L71" t="s">
        <x:v>594</x:v>
      </x:c>
      <x:c r="M71" t="s">
        <x:v>595</x:v>
      </x:c>
      <x:c r="N71" t="s">
        <x:v>596</x:v>
      </x:c>
      <x:c r="O71" t="s">
        <x:v>597</x:v>
      </x:c>
      <x:c r="P71" t="s">
        <x:v>598</x:v>
      </x:c>
      <x:c r="R71" s="9">
        <x:v>31731</x:v>
      </x:c>
      <x:c r="T71" t="s">
        <x:v>399</x:v>
      </x:c>
      <x:c r="W71" s="26" t="n">
        <x:v>4.98575</x:v>
      </x:c>
      <x:c r="X71" s="26" t="n">
        <x:v>-75.60696</x:v>
      </x:c>
      <x:c r="Z71">
        <x:v>1369</x:v>
      </x:c>
      <x:c r="AB71">
        <x:v>22</x:v>
      </x:c>
      <x:c r="AD71" t="s">
        <x:v>599</x:v>
      </x:c>
      <x:c r="AF71" t="s">
        <x:v>50</x:v>
      </x:c>
      <x:c r="AG71" t="s">
        <x:v>167</x:v>
      </x:c>
      <x:c r="AH71" t="s">
        <x:v>600</x:v>
      </x:c>
      <x:c r="AI71" t="s">
        <x:v>601</x:v>
      </x:c>
      <x:c r="AJ71">
        <x:v>76</x:v>
      </x:c>
    </x:row>
    <x:row r="72">
      <x:c r="A72" t="s">
        <x:v>387</x:v>
      </x:c>
      <x:c r="B72" t="s">
        <x:v>37</x:v>
      </x:c>
      <x:c r="C72" t="s">
        <x:v>602</x:v>
      </x:c>
      <x:c r="D72" t="s">
        <x:v>603</x:v>
      </x:c>
      <x:c r="E72" t="s">
        <x:v>604</x:v>
      </x:c>
      <x:c r="F72" t="s">
        <x:v>605</x:v>
      </x:c>
      <x:c r="G72">
        <x:v>2340</x:v>
      </x:c>
      <x:c r="H72">
        <x:v>2430</x:v>
      </x:c>
      <x:c r="I72" t="s">
        <x:v>606</x:v>
      </x:c>
      <x:c r="J72" t="s">
        <x:v>607</x:v>
      </x:c>
      <x:c r="K72" t="s">
        <x:v>608</x:v>
      </x:c>
      <x:c r="L72" t="s">
        <x:v>608</x:v>
      </x:c>
      <x:c r="M72" t="s">
        <x:v>609</x:v>
      </x:c>
      <x:c r="N72" t="s">
        <x:v>610</x:v>
      </x:c>
      <x:c r="O72" t="s">
        <x:v>611</x:v>
      </x:c>
      <x:c r="P72" t="s">
        <x:v>612</x:v>
      </x:c>
      <x:c r="R72" s="9">
        <x:v>31963</x:v>
      </x:c>
      <x:c r="T72" t="s">
        <x:v>119</x:v>
      </x:c>
      <x:c r="W72" s="26" t="n">
        <x:v>5.92288</x:v>
      </x:c>
      <x:c r="X72" s="26" t="n">
        <x:v>-75.30358</x:v>
      </x:c>
      <x:c r="Y72">
        <x:v>2835.0059999999999</x:v>
      </x:c>
      <x:c r="Z72">
        <x:v>2431</x:v>
      </x:c>
      <x:c r="AB72" t="s">
        <x:v>613</x:v>
      </x:c>
      <x:c r="AF72" t="s">
        <x:v>50</x:v>
      </x:c>
      <x:c r="AG72" t="s">
        <x:v>402</x:v>
      </x:c>
      <x:c r="AH72" t="s">
        <x:v>614</x:v>
      </x:c>
      <x:c r="AI72" t="s">
        <x:v>615</x:v>
      </x:c>
      <x:c r="AJ72">
        <x:v>77</x:v>
      </x:c>
    </x:row>
    <x:row r="73">
      <x:c r="A73" t="s">
        <x:v>387</x:v>
      </x:c>
      <x:c r="B73" t="s">
        <x:v>37</x:v>
      </x:c>
      <x:c r="C73" t="s">
        <x:v>616</x:v>
      </x:c>
      <x:c r="D73" t="s">
        <x:v>617</x:v>
      </x:c>
      <x:c r="E73" t="s">
        <x:v>618</x:v>
      </x:c>
      <x:c r="F73" t="s">
        <x:v>619</x:v>
      </x:c>
      <x:c r="G73">
        <x:v>1800</x:v>
      </x:c>
      <x:c r="H73">
        <x:v>1900</x:v>
      </x:c>
      <x:c r="I73" t="s">
        <x:v>620</x:v>
      </x:c>
      <x:c r="J73" t="s">
        <x:v>621</x:v>
      </x:c>
      <x:c r="K73" t="s">
        <x:v>622</x:v>
      </x:c>
      <x:c r="L73" t="s">
        <x:v>622</x:v>
      </x:c>
      <x:c r="M73" t="s">
        <x:v>623</x:v>
      </x:c>
      <x:c r="N73" t="s">
        <x:v>624</x:v>
      </x:c>
      <x:c r="O73" t="s">
        <x:v>625</x:v>
      </x:c>
      <x:c r="P73" t="s">
        <x:v>626</x:v>
      </x:c>
      <x:c r="R73" s="9">
        <x:v>31966</x:v>
      </x:c>
      <x:c r="T73" t="s">
        <x:v>111</x:v>
      </x:c>
      <x:c r="W73" s="26" t="n">
        <x:v>5.5</x:v>
      </x:c>
      <x:c r="X73" s="26" t="n">
        <x:v>-75.8333333</x:v>
      </x:c>
      <x:c r="AF73" t="s">
        <x:v>50</x:v>
      </x:c>
      <x:c r="AG73" t="s">
        <x:v>402</x:v>
      </x:c>
      <x:c r="AH73" t="s">
        <x:v>627</x:v>
      </x:c>
      <x:c r="AI73" t="s">
        <x:v>628</x:v>
      </x:c>
      <x:c r="AJ73">
        <x:v>78</x:v>
      </x:c>
    </x:row>
    <x:row r="74">
      <x:c r="A74" t="s">
        <x:v>387</x:v>
      </x:c>
      <x:c r="B74" t="s">
        <x:v>37</x:v>
      </x:c>
      <x:c r="C74" t="s">
        <x:v>629</x:v>
      </x:c>
      <x:c r="D74" t="s">
        <x:v>630</x:v>
      </x:c>
      <x:c r="E74" t="s">
        <x:v>631</x:v>
      </x:c>
      <x:c r="F74">
        <x:v>2200</x:v>
      </x:c>
      <x:c r="G74">
        <x:v>2200</x:v>
      </x:c>
      <x:c r="H74">
        <x:v>2200</x:v>
      </x:c>
      <x:c r="I74" t="s">
        <x:v>632</x:v>
      </x:c>
      <x:c r="J74" t="s">
        <x:v>633</x:v>
      </x:c>
      <x:c r="K74" t="s">
        <x:v>634</x:v>
      </x:c>
      <x:c r="L74" t="s">
        <x:v>635</x:v>
      </x:c>
      <x:c r="M74" t="s">
        <x:v>636</x:v>
      </x:c>
      <x:c r="N74" t="s">
        <x:v>637</x:v>
      </x:c>
      <x:c r="O74" t="s">
        <x:v>638</x:v>
      </x:c>
      <x:c r="P74" t="s">
        <x:v>639</x:v>
      </x:c>
      <x:c r="R74" s="9">
        <x:v>32158</x:v>
      </x:c>
      <x:c r="T74" t="s">
        <x:v>119</x:v>
      </x:c>
      <x:c r="W74" s="26" t="n">
        <x:v>5.9609972</x:v>
      </x:c>
      <x:c r="X74" s="26" t="n">
        <x:v>-75.974625</x:v>
      </x:c>
      <x:c r="AF74" t="s">
        <x:v>50</x:v>
      </x:c>
      <x:c r="AG74" t="s">
        <x:v>402</x:v>
      </x:c>
      <x:c r="AH74" t="s">
        <x:v>640</x:v>
      </x:c>
      <x:c r="AI74" t="s">
        <x:v>641</x:v>
      </x:c>
      <x:c r="AJ74">
        <x:v>79</x:v>
      </x:c>
    </x:row>
    <x:row r="75">
      <x:c r="A75" t="s">
        <x:v>387</x:v>
      </x:c>
      <x:c r="B75" t="s">
        <x:v>37</x:v>
      </x:c>
      <x:c r="C75" t="s">
        <x:v>642</x:v>
      </x:c>
      <x:c r="D75" t="s">
        <x:v>643</x:v>
      </x:c>
      <x:c r="E75" t="s">
        <x:v>644</x:v>
      </x:c>
      <x:c r="F75" t="s">
        <x:v>96</x:v>
      </x:c>
      <x:c r="G75">
        <x:v>1500</x:v>
      </x:c>
      <x:c r="H75">
        <x:v>1800</x:v>
      </x:c>
      <x:c r="I75" t="s">
        <x:v>645</x:v>
      </x:c>
      <x:c r="J75" t="s">
        <x:v>645</x:v>
      </x:c>
      <x:c r="K75" t="s">
        <x:v>646</x:v>
      </x:c>
      <x:c r="L75" t="s">
        <x:v>647</x:v>
      </x:c>
      <x:c r="M75" t="s">
        <x:v>648</x:v>
      </x:c>
      <x:c r="N75" t="s">
        <x:v>649</x:v>
      </x:c>
      <x:c r="O75" t="s">
        <x:v>650</x:v>
      </x:c>
      <x:c r="P75" t="s">
        <x:v>651</x:v>
      </x:c>
      <x:c r="R75" s="9">
        <x:v>32186</x:v>
      </x:c>
      <x:c r="T75" t="s">
        <x:v>111</x:v>
      </x:c>
      <x:c r="W75" s="26" t="n">
        <x:v>1.1666667</x:v>
      </x:c>
      <x:c r="X75" s="26" t="n">
        <x:v>-77.9666667</x:v>
      </x:c>
      <x:c r="AF75" t="s">
        <x:v>50</x:v>
      </x:c>
      <x:c r="AG75" t="s">
        <x:v>127</x:v>
      </x:c>
      <x:c r="AH75" t="s">
        <x:v>652</x:v>
      </x:c>
      <x:c r="AI75" t="s">
        <x:v>653</x:v>
      </x:c>
      <x:c r="AJ75">
        <x:v>80</x:v>
      </x:c>
    </x:row>
    <x:row r="76">
      <x:c r="A76" t="s">
        <x:v>387</x:v>
      </x:c>
      <x:c r="B76" t="s">
        <x:v>37</x:v>
      </x:c>
      <x:c r="C76" t="s">
        <x:v>654</x:v>
      </x:c>
      <x:c r="D76" t="s">
        <x:v>655</x:v>
      </x:c>
      <x:c r="E76" t="s">
        <x:v>644</x:v>
      </x:c>
      <x:c r="F76" t="s">
        <x:v>96</x:v>
      </x:c>
      <x:c r="G76">
        <x:v>1500</x:v>
      </x:c>
      <x:c r="H76">
        <x:v>1800</x:v>
      </x:c>
      <x:c r="I76" t="s">
        <x:v>645</x:v>
      </x:c>
      <x:c r="J76" t="s">
        <x:v>645</x:v>
      </x:c>
      <x:c r="K76" t="s">
        <x:v>646</x:v>
      </x:c>
      <x:c r="L76" t="s">
        <x:v>647</x:v>
      </x:c>
      <x:c r="M76" t="s">
        <x:v>648</x:v>
      </x:c>
      <x:c r="N76" t="s">
        <x:v>649</x:v>
      </x:c>
      <x:c r="O76" t="s">
        <x:v>650</x:v>
      </x:c>
      <x:c r="P76" t="s">
        <x:v>651</x:v>
      </x:c>
      <x:c r="R76" s="9">
        <x:v>32215</x:v>
      </x:c>
      <x:c r="T76" t="s">
        <x:v>111</x:v>
      </x:c>
      <x:c r="W76" s="26" t="n">
        <x:v>1.1666667</x:v>
      </x:c>
      <x:c r="X76" s="26" t="n">
        <x:v>-77.9666667</x:v>
      </x:c>
      <x:c r="AF76" t="s">
        <x:v>50</x:v>
      </x:c>
      <x:c r="AG76" t="s">
        <x:v>127</x:v>
      </x:c>
      <x:c r="AH76" t="s">
        <x:v>652</x:v>
      </x:c>
      <x:c r="AI76" t="s">
        <x:v>653</x:v>
      </x:c>
      <x:c r="AJ76">
        <x:v>81</x:v>
      </x:c>
    </x:row>
    <x:row r="77">
      <x:c r="A77" t="s">
        <x:v>387</x:v>
      </x:c>
      <x:c r="B77" t="s">
        <x:v>37</x:v>
      </x:c>
      <x:c r="C77" t="s">
        <x:v>656</x:v>
      </x:c>
      <x:c r="D77" t="s">
        <x:v>657</x:v>
      </x:c>
      <x:c r="E77" t="s">
        <x:v>658</x:v>
      </x:c>
      <x:c r="F77" t="s">
        <x:v>96</x:v>
      </x:c>
      <x:c r="G77">
        <x:v>1500</x:v>
      </x:c>
      <x:c r="H77">
        <x:v>1800</x:v>
      </x:c>
      <x:c r="I77" t="s">
        <x:v>645</x:v>
      </x:c>
      <x:c r="J77" t="s">
        <x:v>645</x:v>
      </x:c>
      <x:c r="K77" t="s">
        <x:v>646</x:v>
      </x:c>
      <x:c r="L77" t="s">
        <x:v>647</x:v>
      </x:c>
      <x:c r="M77" t="s">
        <x:v>648</x:v>
      </x:c>
      <x:c r="N77" t="s">
        <x:v>649</x:v>
      </x:c>
      <x:c r="O77" t="s">
        <x:v>650</x:v>
      </x:c>
      <x:c r="P77" t="s">
        <x:v>651</x:v>
      </x:c>
      <x:c r="R77" s="9">
        <x:v>32246</x:v>
      </x:c>
      <x:c r="T77" t="s">
        <x:v>119</x:v>
      </x:c>
      <x:c r="W77" s="26" t="n">
        <x:v>1.1666667</x:v>
      </x:c>
      <x:c r="X77" s="26" t="n">
        <x:v>-77.9666667</x:v>
      </x:c>
      <x:c r="AF77" t="s">
        <x:v>50</x:v>
      </x:c>
      <x:c r="AG77" t="s">
        <x:v>127</x:v>
      </x:c>
      <x:c r="AH77" t="s">
        <x:v>659</x:v>
      </x:c>
      <x:c r="AI77" t="s">
        <x:v>660</x:v>
      </x:c>
      <x:c r="AJ77">
        <x:v>82</x:v>
      </x:c>
    </x:row>
    <x:row r="78">
      <x:c r="A78" t="s">
        <x:v>387</x:v>
      </x:c>
      <x:c r="B78" t="s">
        <x:v>37</x:v>
      </x:c>
      <x:c r="C78" t="s">
        <x:v>661</x:v>
      </x:c>
      <x:c r="D78" t="s">
        <x:v>662</x:v>
      </x:c>
      <x:c r="E78" t="s">
        <x:v>663</x:v>
      </x:c>
      <x:c r="F78" t="s">
        <x:v>96</x:v>
      </x:c>
      <x:c r="G78">
        <x:v>1500</x:v>
      </x:c>
      <x:c r="H78">
        <x:v>1800</x:v>
      </x:c>
      <x:c r="I78" t="s">
        <x:v>664</x:v>
      </x:c>
      <x:c r="J78" t="s">
        <x:v>665</x:v>
      </x:c>
      <x:c r="K78" t="s">
        <x:v>666</x:v>
      </x:c>
      <x:c r="L78" t="s">
        <x:v>647</x:v>
      </x:c>
      <x:c r="M78" t="s">
        <x:v>667</x:v>
      </x:c>
      <x:c r="N78" t="s">
        <x:v>649</x:v>
      </x:c>
      <x:c r="O78" t="s">
        <x:v>650</x:v>
      </x:c>
      <x:c r="P78" t="s">
        <x:v>651</x:v>
      </x:c>
      <x:c r="R78" s="9">
        <x:v>32262</x:v>
      </x:c>
      <x:c r="W78" s="26" t="n">
        <x:v>1.1666667</x:v>
      </x:c>
      <x:c r="X78" s="26" t="n">
        <x:v>-77.9666667</x:v>
      </x:c>
      <x:c r="AF78" t="s">
        <x:v>50</x:v>
      </x:c>
      <x:c r="AG78" t="s">
        <x:v>127</x:v>
      </x:c>
      <x:c r="AH78" t="s">
        <x:v>659</x:v>
      </x:c>
      <x:c r="AI78" t="s">
        <x:v>668</x:v>
      </x:c>
      <x:c r="AJ78">
        <x:v>83</x:v>
      </x:c>
    </x:row>
    <x:row r="79">
      <x:c r="A79" t="s">
        <x:v>387</x:v>
      </x:c>
      <x:c r="B79" t="s">
        <x:v>37</x:v>
      </x:c>
      <x:c r="C79" t="s">
        <x:v>669</x:v>
      </x:c>
      <x:c r="D79" t="s">
        <x:v>670</x:v>
      </x:c>
      <x:c r="E79" t="s">
        <x:v>671</x:v>
      </x:c>
      <x:c r="F79">
        <x:v>2140</x:v>
      </x:c>
      <x:c r="G79">
        <x:v>2140</x:v>
      </x:c>
      <x:c r="H79">
        <x:v>2140</x:v>
      </x:c>
      <x:c r="I79" t="s">
        <x:v>672</x:v>
      </x:c>
      <x:c r="J79" t="s">
        <x:v>673</x:v>
      </x:c>
      <x:c r="K79" t="s">
        <x:v>674</x:v>
      </x:c>
      <x:c r="L79" t="s">
        <x:v>675</x:v>
      </x:c>
      <x:c r="M79" t="s">
        <x:v>676</x:v>
      </x:c>
      <x:c r="N79" t="s">
        <x:v>677</x:v>
      </x:c>
      <x:c r="O79" t="s">
        <x:v>678</x:v>
      </x:c>
      <x:c r="P79" t="s">
        <x:v>679</x:v>
      </x:c>
      <x:c r="R79" s="9">
        <x:v>32828</x:v>
      </x:c>
      <x:c r="T79" t="s">
        <x:v>119</x:v>
      </x:c>
      <x:c r="W79" s="26" t="n">
        <x:v>4.72086</x:v>
      </x:c>
      <x:c r="X79" s="26" t="n">
        <x:v>-75.56629</x:v>
      </x:c>
      <x:c r="Y79">
        <x:v>2874.5509999999999</x:v>
      </x:c>
      <x:c r="AB79" t="s">
        <x:v>680</x:v>
      </x:c>
      <x:c r="AF79" t="s">
        <x:v>50</x:v>
      </x:c>
      <x:c r="AG79" t="s">
        <x:v>360</x:v>
      </x:c>
      <x:c r="AH79" t="s">
        <x:v>361</x:v>
      </x:c>
      <x:c r="AI79" t="s">
        <x:v>681</x:v>
      </x:c>
      <x:c r="AJ79">
        <x:v>84</x:v>
      </x:c>
    </x:row>
    <x:row r="80">
      <x:c r="A80" t="s">
        <x:v>387</x:v>
      </x:c>
      <x:c r="B80" t="s">
        <x:v>37</x:v>
      </x:c>
      <x:c r="C80" t="s">
        <x:v>682</x:v>
      </x:c>
      <x:c r="D80" t="s">
        <x:v>683</x:v>
      </x:c>
      <x:c r="E80" t="s">
        <x:v>684</x:v>
      </x:c>
      <x:c r="F80" t="s">
        <x:v>685</x:v>
      </x:c>
      <x:c r="G80">
        <x:v>1800</x:v>
      </x:c>
      <x:c r="H80">
        <x:v>1850</x:v>
      </x:c>
      <x:c r="P80" t="s">
        <x:v>80</x:v>
      </x:c>
      <x:c r="R80" s="9">
        <x:v>32945</x:v>
      </x:c>
      <x:c r="T80" t="s">
        <x:v>399</x:v>
      </x:c>
      <x:c r="W80" s="26" t="n">
        <x:v>1.14345</x:v>
      </x:c>
      <x:c r="X80" s="26" t="n">
        <x:v>-77.99567</x:v>
      </x:c>
      <x:c r="Y80">
        <x:v>7040.8320000000003</x:v>
      </x:c>
      <x:c r="Z80">
        <x:v>1740</x:v>
      </x:c>
      <x:c r="AB80" t="s">
        <x:v>686</x:v>
      </x:c>
      <x:c r="AF80" t="s">
        <x:v>50</x:v>
      </x:c>
      <x:c r="AG80" t="s">
        <x:v>127</x:v>
      </x:c>
      <x:c r="AH80" t="s">
        <x:v>687</x:v>
      </x:c>
      <x:c r="AI80" t="s">
        <x:v>688</x:v>
      </x:c>
      <x:c r="AJ80">
        <x:v>85</x:v>
      </x:c>
    </x:row>
    <x:row r="81">
      <x:c r="A81" t="s">
        <x:v>387</x:v>
      </x:c>
      <x:c r="B81" t="s">
        <x:v>37</x:v>
      </x:c>
      <x:c r="C81" t="s">
        <x:v>689</x:v>
      </x:c>
      <x:c r="D81" t="s">
        <x:v>690</x:v>
      </x:c>
      <x:c r="E81" t="s">
        <x:v>691</x:v>
      </x:c>
      <x:c r="F81">
        <x:v>1800</x:v>
      </x:c>
      <x:c r="G81">
        <x:v>1800</x:v>
      </x:c>
      <x:c r="H81">
        <x:v>1800</x:v>
      </x:c>
      <x:c r="P81" t="s">
        <x:v>80</x:v>
      </x:c>
      <x:c r="R81" s="9">
        <x:v>33138</x:v>
      </x:c>
      <x:c r="W81" s="26" t="n">
        <x:v>3.5899</x:v>
      </x:c>
      <x:c r="X81" s="26" t="n">
        <x:v>-74.70934</x:v>
      </x:c>
      <x:c r="Y81">
        <x:v>3321.6179999999999</x:v>
      </x:c>
      <x:c r="Z81">
        <x:v>1607</x:v>
      </x:c>
      <x:c r="AB81" t="s">
        <x:v>692</x:v>
      </x:c>
      <x:c r="AF81" t="s">
        <x:v>50</x:v>
      </x:c>
      <x:c r="AG81" t="s">
        <x:v>51</x:v>
      </x:c>
      <x:c r="AH81" t="s">
        <x:v>50</x:v>
      </x:c>
      <x:c r="AI81" t="s">
        <x:v>693</x:v>
      </x:c>
      <x:c r="AJ81">
        <x:v>86</x:v>
      </x:c>
    </x:row>
    <x:row r="82">
      <x:c r="A82" t="s">
        <x:v>387</x:v>
      </x:c>
      <x:c r="B82" t="s">
        <x:v>37</x:v>
      </x:c>
      <x:c r="C82" t="s">
        <x:v>694</x:v>
      </x:c>
      <x:c r="D82" t="s">
        <x:v>695</x:v>
      </x:c>
      <x:c r="E82" t="s">
        <x:v>696</x:v>
      </x:c>
      <x:c r="F82">
        <x:v>2000</x:v>
      </x:c>
      <x:c r="G82">
        <x:v>2000</x:v>
      </x:c>
      <x:c r="H82">
        <x:v>2000</x:v>
      </x:c>
      <x:c r="I82" t="s">
        <x:v>697</x:v>
      </x:c>
      <x:c r="J82" t="s">
        <x:v>697</x:v>
      </x:c>
      <x:c r="K82" t="s">
        <x:v>698</x:v>
      </x:c>
      <x:c r="L82" t="s">
        <x:v>698</x:v>
      </x:c>
      <x:c r="M82" t="s">
        <x:v>699</x:v>
      </x:c>
      <x:c r="N82" t="s">
        <x:v>700</x:v>
      </x:c>
      <x:c r="O82" t="s">
        <x:v>701</x:v>
      </x:c>
      <x:c r="P82" t="s">
        <x:v>702</x:v>
      </x:c>
      <x:c r="R82" s="9">
        <x:v>33250</x:v>
      </x:c>
      <x:c r="T82" t="s">
        <x:v>111</x:v>
      </x:c>
      <x:c r="W82" s="26" t="n">
        <x:v>2.4333333</x:v>
      </x:c>
      <x:c r="X82" s="26" t="n">
        <x:v>-76.5166667</x:v>
      </x:c>
      <x:c r="AF82" t="s">
        <x:v>50</x:v>
      </x:c>
      <x:c r="AG82" t="s">
        <x:v>283</x:v>
      </x:c>
      <x:c r="AH82" t="s">
        <x:v>703</x:v>
      </x:c>
      <x:c r="AI82" t="s">
        <x:v>704</x:v>
      </x:c>
      <x:c r="AJ82">
        <x:v>87</x:v>
      </x:c>
    </x:row>
    <x:row r="83">
      <x:c r="A83" t="s">
        <x:v>387</x:v>
      </x:c>
      <x:c r="B83" t="s">
        <x:v>37</x:v>
      </x:c>
      <x:c r="C83" t="s">
        <x:v>705</x:v>
      </x:c>
      <x:c r="D83" t="s">
        <x:v>706</x:v>
      </x:c>
      <x:c r="E83" t="s">
        <x:v>707</x:v>
      </x:c>
      <x:c r="F83">
        <x:v>1500</x:v>
      </x:c>
      <x:c r="G83">
        <x:v>1500</x:v>
      </x:c>
      <x:c r="H83">
        <x:v>1500</x:v>
      </x:c>
      <x:c r="I83" t="s">
        <x:v>708</x:v>
      </x:c>
      <x:c r="J83" t="s">
        <x:v>709</x:v>
      </x:c>
      <x:c r="K83" t="s">
        <x:v>710</x:v>
      </x:c>
      <x:c r="L83" t="s">
        <x:v>711</x:v>
      </x:c>
      <x:c r="M83" t="s">
        <x:v>712</x:v>
      </x:c>
      <x:c r="N83" t="s">
        <x:v>713</x:v>
      </x:c>
      <x:c r="O83" t="s">
        <x:v>714</x:v>
      </x:c>
      <x:c r="P83" t="s">
        <x:v>715</x:v>
      </x:c>
      <x:c r="R83" s="9">
        <x:v>33691</x:v>
      </x:c>
      <x:c r="W83" s="26" t="n">
        <x:v>5.4333333</x:v>
      </x:c>
      <x:c r="X83" s="26" t="n">
        <x:v>-76.0333333</x:v>
      </x:c>
      <x:c r="AF83" t="s">
        <x:v>50</x:v>
      </x:c>
      <x:c r="AG83" t="s">
        <x:v>360</x:v>
      </x:c>
      <x:c r="AH83" t="s">
        <x:v>716</x:v>
      </x:c>
      <x:c r="AI83" t="s">
        <x:v>717</x:v>
      </x:c>
      <x:c r="AJ83">
        <x:v>88</x:v>
      </x:c>
    </x:row>
    <x:row r="84">
      <x:c r="A84" t="s">
        <x:v>387</x:v>
      </x:c>
      <x:c r="B84" t="s">
        <x:v>37</x:v>
      </x:c>
      <x:c r="C84" t="s">
        <x:v>718</x:v>
      </x:c>
      <x:c r="D84" t="s">
        <x:v>719</x:v>
      </x:c>
      <x:c r="E84" t="s">
        <x:v>720</x:v>
      </x:c>
      <x:c r="F84" t="s">
        <x:v>721</x:v>
      </x:c>
      <x:c r="G84">
        <x:v>1800</x:v>
      </x:c>
      <x:c r="H84">
        <x:v>2300</x:v>
      </x:c>
      <x:c r="I84" t="s">
        <x:v>722</x:v>
      </x:c>
      <x:c r="J84" t="s">
        <x:v>722</x:v>
      </x:c>
      <x:c r="K84" t="s">
        <x:v>723</x:v>
      </x:c>
      <x:c r="L84" t="s">
        <x:v>723</x:v>
      </x:c>
      <x:c r="M84" t="s">
        <x:v>724</x:v>
      </x:c>
      <x:c r="N84" t="s">
        <x:v>725</x:v>
      </x:c>
      <x:c r="O84" t="s">
        <x:v>533</x:v>
      </x:c>
      <x:c r="P84" t="s">
        <x:v>726</x:v>
      </x:c>
      <x:c r="R84" s="9">
        <x:v>33769</x:v>
      </x:c>
      <x:c r="T84" t="s">
        <x:v>119</x:v>
      </x:c>
      <x:c r="V84" t="s">
        <x:v>727</x:v>
      </x:c>
      <x:c r="W84" s="26" t="n">
        <x:v>7.21026</x:v>
      </x:c>
      <x:c r="X84" s="26" t="n">
        <x:v>-75.33591</x:v>
      </x:c>
      <x:c r="Y84">
        <x:v>5919.33</x:v>
      </x:c>
      <x:c r="Z84">
        <x:v>1165</x:v>
      </x:c>
      <x:c r="AB84" t="s">
        <x:v>728</x:v>
      </x:c>
      <x:c r="AE84">
        <x:v>1</x:v>
      </x:c>
      <x:c r="AF84" t="s">
        <x:v>50</x:v>
      </x:c>
      <x:c r="AG84" t="s">
        <x:v>402</x:v>
      </x:c>
      <x:c r="AH84" t="s">
        <x:v>729</x:v>
      </x:c>
      <x:c r="AI84" t="s">
        <x:v>730</x:v>
      </x:c>
      <x:c r="AJ84">
        <x:v>89</x:v>
      </x:c>
    </x:row>
    <x:row r="85">
      <x:c r="A85" t="s">
        <x:v>387</x:v>
      </x:c>
      <x:c r="B85" t="s">
        <x:v>37</x:v>
      </x:c>
      <x:c r="C85" t="s">
        <x:v>731</x:v>
      </x:c>
      <x:c r="D85" t="s">
        <x:v>732</x:v>
      </x:c>
      <x:c r="E85" t="s">
        <x:v>733</x:v>
      </x:c>
      <x:c r="F85">
        <x:v>1370</x:v>
      </x:c>
      <x:c r="G85">
        <x:v>1370</x:v>
      </x:c>
      <x:c r="H85">
        <x:v>1370</x:v>
      </x:c>
      <x:c r="I85" t="s">
        <x:v>734</x:v>
      </x:c>
      <x:c r="J85" t="s">
        <x:v>735</x:v>
      </x:c>
      <x:c r="K85" t="s">
        <x:v>736</x:v>
      </x:c>
      <x:c r="L85" t="s">
        <x:v>737</x:v>
      </x:c>
      <x:c r="M85" t="s">
        <x:v>738</x:v>
      </x:c>
      <x:c r="N85" t="s">
        <x:v>739</x:v>
      </x:c>
      <x:c r="O85" t="s">
        <x:v>740</x:v>
      </x:c>
      <x:c r="P85" t="s">
        <x:v>741</x:v>
      </x:c>
      <x:c r="R85" s="9">
        <x:v>33895</x:v>
      </x:c>
      <x:c r="T85" t="s">
        <x:v>399</x:v>
      </x:c>
      <x:c r="W85" s="26" t="n">
        <x:v>2.7806583</x:v>
      </x:c>
      <x:c r="X85" s="26" t="n">
        <x:v>-75.2566556</x:v>
      </x:c>
      <x:c r="AF85" t="s">
        <x:v>50</x:v>
      </x:c>
      <x:c r="AG85" t="s">
        <x:v>51</x:v>
      </x:c>
      <x:c r="AH85" t="s">
        <x:v>742</x:v>
      </x:c>
      <x:c r="AI85" t="s">
        <x:v>743</x:v>
      </x:c>
      <x:c r="AJ85">
        <x:v>90</x:v>
      </x:c>
    </x:row>
    <x:row r="86">
      <x:c r="A86" t="s">
        <x:v>387</x:v>
      </x:c>
      <x:c r="B86" t="s">
        <x:v>37</x:v>
      </x:c>
      <x:c r="C86" t="s">
        <x:v>744</x:v>
      </x:c>
      <x:c r="D86" t="s">
        <x:v>745</x:v>
      </x:c>
      <x:c r="E86" t="s">
        <x:v>746</x:v>
      </x:c>
      <x:c r="F86">
        <x:v>1310</x:v>
      </x:c>
      <x:c r="G86">
        <x:v>1310</x:v>
      </x:c>
      <x:c r="H86">
        <x:v>1310</x:v>
      </x:c>
      <x:c r="P86" t="s">
        <x:v>80</x:v>
      </x:c>
      <x:c r="R86" s="9">
        <x:v>33900</x:v>
      </x:c>
      <x:c r="T86" t="s">
        <x:v>65</x:v>
      </x:c>
      <x:c r="W86" s="26" t="n">
        <x:v>2.77707</x:v>
      </x:c>
      <x:c r="X86" s="26" t="n">
        <x:v>-75.19954</x:v>
      </x:c>
      <x:c r="Y86">
        <x:v>781.30600000000004</x:v>
      </x:c>
      <x:c r="Z86">
        <x:v>1362</x:v>
      </x:c>
      <x:c r="AB86" t="s">
        <x:v>747</x:v>
      </x:c>
      <x:c r="AF86" t="s">
        <x:v>50</x:v>
      </x:c>
      <x:c r="AG86" t="s">
        <x:v>51</x:v>
      </x:c>
      <x:c r="AH86" t="s">
        <x:v>742</x:v>
      </x:c>
      <x:c r="AI86" t="s">
        <x:v>743</x:v>
      </x:c>
      <x:c r="AJ86">
        <x:v>91</x:v>
      </x:c>
    </x:row>
    <x:row r="87">
      <x:c r="A87" t="s">
        <x:v>387</x:v>
      </x:c>
      <x:c r="B87" t="s">
        <x:v>37</x:v>
      </x:c>
      <x:c r="C87" t="s">
        <x:v>748</x:v>
      </x:c>
      <x:c r="D87" t="s">
        <x:v>749</x:v>
      </x:c>
      <x:c r="E87" t="s">
        <x:v>750</x:v>
      </x:c>
      <x:c r="F87">
        <x:v>2350</x:v>
      </x:c>
      <x:c r="G87">
        <x:v>2350</x:v>
      </x:c>
      <x:c r="H87">
        <x:v>2350</x:v>
      </x:c>
      <x:c r="I87" t="s">
        <x:v>751</x:v>
      </x:c>
      <x:c r="J87" t="s">
        <x:v>751</x:v>
      </x:c>
      <x:c r="K87" t="s">
        <x:v>752</x:v>
      </x:c>
      <x:c r="L87" t="s">
        <x:v>752</x:v>
      </x:c>
      <x:c r="M87" t="s">
        <x:v>753</x:v>
      </x:c>
      <x:c r="N87" t="s">
        <x:v>754</x:v>
      </x:c>
      <x:c r="O87" t="s">
        <x:v>755</x:v>
      </x:c>
      <x:c r="P87" t="s">
        <x:v>756</x:v>
      </x:c>
      <x:c r="R87" s="9">
        <x:v>34657</x:v>
      </x:c>
      <x:c r="T87" t="s">
        <x:v>111</x:v>
      </x:c>
      <x:c r="W87" s="26" t="n">
        <x:v>6.30362</x:v>
      </x:c>
      <x:c r="X87" s="26" t="n">
        <x:v>-75.51861</x:v>
      </x:c>
      <x:c r="Y87">
        <x:v>301.83199999999999</x:v>
      </x:c>
      <x:c r="Z87">
        <x:v>2352</x:v>
      </x:c>
      <x:c r="AA87" t="s">
        <x:v>757</x:v>
      </x:c>
      <x:c r="AB87">
        <x:v>11</x:v>
      </x:c>
      <x:c r="AF87" t="s">
        <x:v>50</x:v>
      </x:c>
      <x:c r="AG87" t="s">
        <x:v>402</x:v>
      </x:c>
      <x:c r="AH87" t="s">
        <x:v>758</x:v>
      </x:c>
      <x:c r="AI87" t="s">
        <x:v>759</x:v>
      </x:c>
      <x:c r="AJ87">
        <x:v>92</x:v>
      </x:c>
    </x:row>
    <x:row r="88">
      <x:c r="A88" t="s">
        <x:v>387</x:v>
      </x:c>
      <x:c r="B88" t="s">
        <x:v>37</x:v>
      </x:c>
      <x:c r="C88" t="s">
        <x:v>760</x:v>
      </x:c>
      <x:c r="D88" t="s">
        <x:v>761</x:v>
      </x:c>
      <x:c r="E88" t="s">
        <x:v>762</x:v>
      </x:c>
      <x:c r="F88">
        <x:v>2350</x:v>
      </x:c>
      <x:c r="G88">
        <x:v>2350</x:v>
      </x:c>
      <x:c r="H88">
        <x:v>2350</x:v>
      </x:c>
      <x:c r="I88" t="s">
        <x:v>763</x:v>
      </x:c>
      <x:c r="J88" t="s">
        <x:v>751</x:v>
      </x:c>
      <x:c r="K88" t="s">
        <x:v>752</x:v>
      </x:c>
      <x:c r="L88" t="s">
        <x:v>752</x:v>
      </x:c>
      <x:c r="M88" t="s">
        <x:v>753</x:v>
      </x:c>
      <x:c r="N88" t="s">
        <x:v>754</x:v>
      </x:c>
      <x:c r="O88" t="s">
        <x:v>755</x:v>
      </x:c>
      <x:c r="P88" t="s">
        <x:v>756</x:v>
      </x:c>
      <x:c r="R88" s="9">
        <x:v>34678</x:v>
      </x:c>
      <x:c r="T88" t="s">
        <x:v>119</x:v>
      </x:c>
      <x:c r="W88" s="26" t="n">
        <x:v>6.30362</x:v>
      </x:c>
      <x:c r="X88" s="26" t="n">
        <x:v>-75.51861</x:v>
      </x:c>
      <x:c r="Y88">
        <x:v>301.83199999999999</x:v>
      </x:c>
      <x:c r="Z88">
        <x:v>2352</x:v>
      </x:c>
      <x:c r="AA88" t="s">
        <x:v>549</x:v>
      </x:c>
      <x:c r="AB88">
        <x:v>11</x:v>
      </x:c>
      <x:c r="AF88" t="s">
        <x:v>50</x:v>
      </x:c>
      <x:c r="AG88" t="s">
        <x:v>402</x:v>
      </x:c>
      <x:c r="AH88" t="s">
        <x:v>758</x:v>
      </x:c>
      <x:c r="AI88" t="s">
        <x:v>764</x:v>
      </x:c>
      <x:c r="AJ88">
        <x:v>93</x:v>
      </x:c>
    </x:row>
    <x:row r="89">
      <x:c r="A89" t="s">
        <x:v>387</x:v>
      </x:c>
      <x:c r="B89" t="s">
        <x:v>37</x:v>
      </x:c>
      <x:c r="C89" t="s">
        <x:v>765</x:v>
      </x:c>
      <x:c r="D89" t="s">
        <x:v>766</x:v>
      </x:c>
      <x:c r="E89" t="s">
        <x:v>767</x:v>
      </x:c>
      <x:c r="F89">
        <x:v>1850</x:v>
      </x:c>
      <x:c r="G89">
        <x:v>1850</x:v>
      </x:c>
      <x:c r="H89">
        <x:v>1850</x:v>
      </x:c>
      <x:c r="I89" t="s">
        <x:v>768</x:v>
      </x:c>
      <x:c r="J89" t="s">
        <x:v>769</x:v>
      </x:c>
      <x:c r="K89" t="s">
        <x:v>770</x:v>
      </x:c>
      <x:c r="L89" t="s">
        <x:v>771</x:v>
      </x:c>
      <x:c r="M89" t="s">
        <x:v>772</x:v>
      </x:c>
      <x:c r="N89" t="s">
        <x:v>773</x:v>
      </x:c>
      <x:c r="O89" t="s">
        <x:v>774</x:v>
      </x:c>
      <x:c r="P89" t="s">
        <x:v>775</x:v>
      </x:c>
      <x:c r="R89" s="9">
        <x:v>34800</x:v>
      </x:c>
      <x:c r="T89" t="s">
        <x:v>111</x:v>
      </x:c>
      <x:c r="W89" s="26" t="n">
        <x:v>2.45</x:v>
      </x:c>
      <x:c r="X89" s="26" t="n">
        <x:v>-76.6166667</x:v>
      </x:c>
      <x:c r="AF89" t="s">
        <x:v>50</x:v>
      </x:c>
      <x:c r="AG89" t="s">
        <x:v>283</x:v>
      </x:c>
      <x:c r="AH89" t="s">
        <x:v>703</x:v>
      </x:c>
      <x:c r="AI89" t="s">
        <x:v>776</x:v>
      </x:c>
      <x:c r="AJ89">
        <x:v>94</x:v>
      </x:c>
    </x:row>
    <x:row r="90">
      <x:c r="A90" t="s">
        <x:v>387</x:v>
      </x:c>
      <x:c r="B90" t="s">
        <x:v>37</x:v>
      </x:c>
      <x:c r="C90" t="s">
        <x:v>765</x:v>
      </x:c>
      <x:c r="D90" t="s">
        <x:v>777</x:v>
      </x:c>
      <x:c r="E90" t="s">
        <x:v>778</x:v>
      </x:c>
      <x:c r="F90">
        <x:v>1850</x:v>
      </x:c>
      <x:c r="G90">
        <x:v>1850</x:v>
      </x:c>
      <x:c r="H90">
        <x:v>1850</x:v>
      </x:c>
      <x:c r="I90" t="s">
        <x:v>779</x:v>
      </x:c>
      <x:c r="J90" t="s">
        <x:v>780</x:v>
      </x:c>
      <x:c r="K90" t="s">
        <x:v>770</x:v>
      </x:c>
      <x:c r="L90" t="s">
        <x:v>771</x:v>
      </x:c>
      <x:c r="M90" t="s">
        <x:v>781</x:v>
      </x:c>
      <x:c r="N90" t="s">
        <x:v>700</x:v>
      </x:c>
      <x:c r="O90" t="s">
        <x:v>774</x:v>
      </x:c>
      <x:c r="P90" t="s">
        <x:v>782</x:v>
      </x:c>
      <x:c r="R90" s="9">
        <x:v>34800</x:v>
      </x:c>
      <x:c r="T90" t="s">
        <x:v>111</x:v>
      </x:c>
      <x:c r="W90" s="26" t="n">
        <x:v>2.4333333</x:v>
      </x:c>
      <x:c r="X90" s="26" t="n">
        <x:v>-76.6166667</x:v>
      </x:c>
      <x:c r="AF90" t="s">
        <x:v>50</x:v>
      </x:c>
      <x:c r="AG90" t="s">
        <x:v>283</x:v>
      </x:c>
      <x:c r="AH90" t="s">
        <x:v>703</x:v>
      </x:c>
      <x:c r="AJ90">
        <x:v>95</x:v>
      </x:c>
    </x:row>
    <x:row r="91">
      <x:c r="A91" t="s">
        <x:v>387</x:v>
      </x:c>
      <x:c r="B91" t="s">
        <x:v>37</x:v>
      </x:c>
      <x:c r="C91" t="s">
        <x:v>783</x:v>
      </x:c>
      <x:c r="D91" t="s">
        <x:v>777</x:v>
      </x:c>
      <x:c r="E91" t="s">
        <x:v>784</x:v>
      </x:c>
      <x:c r="F91">
        <x:v>1850</x:v>
      </x:c>
      <x:c r="G91">
        <x:v>1850</x:v>
      </x:c>
      <x:c r="H91">
        <x:v>1850</x:v>
      </x:c>
      <x:c r="I91" t="s">
        <x:v>785</x:v>
      </x:c>
      <x:c r="J91" t="s">
        <x:v>786</x:v>
      </x:c>
      <x:c r="K91" t="s">
        <x:v>787</x:v>
      </x:c>
      <x:c r="L91" t="s">
        <x:v>788</x:v>
      </x:c>
      <x:c r="M91" t="s">
        <x:v>789</x:v>
      </x:c>
      <x:c r="N91" t="s">
        <x:v>790</x:v>
      </x:c>
      <x:c r="O91" t="s">
        <x:v>791</x:v>
      </x:c>
      <x:c r="P91" t="s">
        <x:v>792</x:v>
      </x:c>
      <x:c r="R91" s="9">
        <x:v>34800</x:v>
      </x:c>
      <x:c r="W91" s="26" t="n">
        <x:v>2.5039278</x:v>
      </x:c>
      <x:c r="X91" s="26" t="n">
        <x:v>-76.3912278</x:v>
      </x:c>
      <x:c r="AF91" t="s">
        <x:v>50</x:v>
      </x:c>
      <x:c r="AG91" t="s">
        <x:v>283</x:v>
      </x:c>
      <x:c r="AH91" t="s">
        <x:v>703</x:v>
      </x:c>
      <x:c r="AI91" t="s">
        <x:v>793</x:v>
      </x:c>
      <x:c r="AJ91">
        <x:v>96</x:v>
      </x:c>
    </x:row>
    <x:row r="92">
      <x:c r="A92" t="s">
        <x:v>387</x:v>
      </x:c>
      <x:c r="B92" t="s">
        <x:v>37</x:v>
      </x:c>
      <x:c r="C92" t="s">
        <x:v>794</x:v>
      </x:c>
      <x:c r="D92" t="s">
        <x:v>795</x:v>
      </x:c>
      <x:c r="E92" t="s">
        <x:v>796</x:v>
      </x:c>
      <x:c r="F92">
        <x:v>2050</x:v>
      </x:c>
      <x:c r="G92">
        <x:v>2050</x:v>
      </x:c>
      <x:c r="H92">
        <x:v>2050</x:v>
      </x:c>
      <x:c r="I92" t="s">
        <x:v>797</x:v>
      </x:c>
      <x:c r="J92" t="s">
        <x:v>798</x:v>
      </x:c>
      <x:c r="K92" t="s">
        <x:v>799</x:v>
      </x:c>
      <x:c r="L92" t="s">
        <x:v>419</x:v>
      </x:c>
      <x:c r="M92" t="s">
        <x:v>800</x:v>
      </x:c>
      <x:c r="N92" t="s">
        <x:v>801</x:v>
      </x:c>
      <x:c r="O92" t="s">
        <x:v>422</x:v>
      </x:c>
      <x:c r="P92" t="s">
        <x:v>802</x:v>
      </x:c>
      <x:c r="R92" s="9">
        <x:v>35226</x:v>
      </x:c>
      <x:c r="W92" s="26" t="n">
        <x:v>4.6666667</x:v>
      </x:c>
      <x:c r="X92" s="26" t="n">
        <x:v>-75.5</x:v>
      </x:c>
      <x:c r="AF92" t="s">
        <x:v>50</x:v>
      </x:c>
      <x:c r="AG92" t="s">
        <x:v>182</x:v>
      </x:c>
      <x:c r="AH92" t="s">
        <x:v>803</x:v>
      </x:c>
      <x:c r="AI92" t="s">
        <x:v>804</x:v>
      </x:c>
      <x:c r="AJ92">
        <x:v>97</x:v>
      </x:c>
    </x:row>
    <x:row r="93">
      <x:c r="A93" t="s">
        <x:v>387</x:v>
      </x:c>
      <x:c r="B93" t="s">
        <x:v>37</x:v>
      </x:c>
      <x:c r="C93" t="s">
        <x:v>805</x:v>
      </x:c>
      <x:c r="D93" t="s">
        <x:v>806</x:v>
      </x:c>
      <x:c r="E93" t="s">
        <x:v>807</x:v>
      </x:c>
      <x:c r="F93">
        <x:v>2400</x:v>
      </x:c>
      <x:c r="G93">
        <x:v>2400</x:v>
      </x:c>
      <x:c r="H93">
        <x:v>2400</x:v>
      </x:c>
      <x:c r="I93" t="s">
        <x:v>808</x:v>
      </x:c>
      <x:c r="J93" t="s">
        <x:v>809</x:v>
      </x:c>
      <x:c r="K93" t="s">
        <x:v>530</x:v>
      </x:c>
      <x:c r="L93" t="s">
        <x:v>530</x:v>
      </x:c>
      <x:c r="M93" t="s">
        <x:v>810</x:v>
      </x:c>
      <x:c r="N93" t="s">
        <x:v>811</x:v>
      </x:c>
      <x:c r="O93" t="s">
        <x:v>533</x:v>
      </x:c>
      <x:c r="P93" t="s">
        <x:v>812</x:v>
      </x:c>
      <x:c r="R93" s="9">
        <x:v>35855</x:v>
      </x:c>
      <x:c r="T93" t="s">
        <x:v>318</x:v>
      </x:c>
      <x:c r="W93" s="26" t="n">
        <x:v>6.2833333</x:v>
      </x:c>
      <x:c r="X93" s="26" t="n">
        <x:v>-75.5333333</x:v>
      </x:c>
      <x:c r="AD93" t="s">
        <x:v>813</x:v>
      </x:c>
      <x:c r="AF93" t="s">
        <x:v>50</x:v>
      </x:c>
      <x:c r="AG93" t="s">
        <x:v>402</x:v>
      </x:c>
      <x:c r="AH93" t="s">
        <x:v>536</x:v>
      </x:c>
      <x:c r="AI93" t="s">
        <x:v>814</x:v>
      </x:c>
      <x:c r="AJ93">
        <x:v>98</x:v>
      </x:c>
    </x:row>
    <x:row r="94">
      <x:c r="A94" t="s">
        <x:v>387</x:v>
      </x:c>
      <x:c r="B94" t="s">
        <x:v>37</x:v>
      </x:c>
      <x:c r="C94" t="s">
        <x:v>815</x:v>
      </x:c>
      <x:c r="D94" t="s">
        <x:v>816</x:v>
      </x:c>
      <x:c r="E94" t="s">
        <x:v>817</x:v>
      </x:c>
      <x:c r="F94">
        <x:v>1750</x:v>
      </x:c>
      <x:c r="G94">
        <x:v>1750</x:v>
      </x:c>
      <x:c r="H94">
        <x:v>1750</x:v>
      </x:c>
      <x:c r="I94" t="s">
        <x:v>779</x:v>
      </x:c>
      <x:c r="J94" t="s">
        <x:v>780</x:v>
      </x:c>
      <x:c r="K94" t="s">
        <x:v>770</x:v>
      </x:c>
      <x:c r="L94" t="s">
        <x:v>771</x:v>
      </x:c>
      <x:c r="M94" t="s">
        <x:v>781</x:v>
      </x:c>
      <x:c r="N94" t="s">
        <x:v>700</x:v>
      </x:c>
      <x:c r="O94" t="s">
        <x:v>774</x:v>
      </x:c>
      <x:c r="P94" t="s">
        <x:v>782</x:v>
      </x:c>
      <x:c r="R94" s="9">
        <x:v>36344</x:v>
      </x:c>
      <x:c r="T94" t="s">
        <x:v>111</x:v>
      </x:c>
      <x:c r="W94" s="26" t="n">
        <x:v>2.4333333</x:v>
      </x:c>
      <x:c r="X94" s="26" t="n">
        <x:v>-76.6166667</x:v>
      </x:c>
      <x:c r="AF94" t="s">
        <x:v>50</x:v>
      </x:c>
      <x:c r="AG94" t="s">
        <x:v>283</x:v>
      </x:c>
      <x:c r="AH94" t="s">
        <x:v>703</x:v>
      </x:c>
      <x:c r="AI94" t="s">
        <x:v>818</x:v>
      </x:c>
      <x:c r="AJ94">
        <x:v>99</x:v>
      </x:c>
    </x:row>
    <x:row r="95">
      <x:c r="A95" t="s">
        <x:v>387</x:v>
      </x:c>
      <x:c r="B95" t="s">
        <x:v>37</x:v>
      </x:c>
      <x:c r="C95" t="s">
        <x:v>819</x:v>
      </x:c>
      <x:c r="D95" t="s">
        <x:v>820</x:v>
      </x:c>
      <x:c r="E95" t="s">
        <x:v>821</x:v>
      </x:c>
      <x:c r="F95">
        <x:v>1750</x:v>
      </x:c>
      <x:c r="G95">
        <x:v>1750</x:v>
      </x:c>
      <x:c r="H95">
        <x:v>1750</x:v>
      </x:c>
      <x:c r="I95" t="s">
        <x:v>768</x:v>
      </x:c>
      <x:c r="J95" t="s">
        <x:v>769</x:v>
      </x:c>
      <x:c r="K95" t="s">
        <x:v>770</x:v>
      </x:c>
      <x:c r="L95" t="s">
        <x:v>771</x:v>
      </x:c>
      <x:c r="M95" t="s">
        <x:v>772</x:v>
      </x:c>
      <x:c r="N95" t="s">
        <x:v>773</x:v>
      </x:c>
      <x:c r="O95" t="s">
        <x:v>774</x:v>
      </x:c>
      <x:c r="P95" t="s">
        <x:v>775</x:v>
      </x:c>
      <x:c r="R95" s="9">
        <x:v>36344</x:v>
      </x:c>
      <x:c r="T95" t="s">
        <x:v>111</x:v>
      </x:c>
      <x:c r="W95" s="26" t="n">
        <x:v>2.45</x:v>
      </x:c>
      <x:c r="X95" s="26" t="n">
        <x:v>-76.6166667</x:v>
      </x:c>
      <x:c r="AF95" t="s">
        <x:v>50</x:v>
      </x:c>
      <x:c r="AG95" t="s">
        <x:v>283</x:v>
      </x:c>
      <x:c r="AH95" t="s">
        <x:v>703</x:v>
      </x:c>
      <x:c r="AI95" t="s">
        <x:v>822</x:v>
      </x:c>
      <x:c r="AJ95">
        <x:v>100</x:v>
      </x:c>
    </x:row>
    <x:row r="96">
      <x:c r="A96" t="s">
        <x:v>387</x:v>
      </x:c>
      <x:c r="B96" t="s">
        <x:v>37</x:v>
      </x:c>
      <x:c r="C96" t="s">
        <x:v>823</x:v>
      </x:c>
      <x:c r="D96" t="s">
        <x:v>824</x:v>
      </x:c>
      <x:c r="E96" t="s">
        <x:v>825</x:v>
      </x:c>
      <x:c r="F96">
        <x:v>1850</x:v>
      </x:c>
      <x:c r="G96">
        <x:v>1850</x:v>
      </x:c>
      <x:c r="H96">
        <x:v>1850</x:v>
      </x:c>
      <x:c r="I96" t="s">
        <x:v>826</x:v>
      </x:c>
      <x:c r="J96" t="s">
        <x:v>827</x:v>
      </x:c>
      <x:c r="K96" t="s">
        <x:v>828</x:v>
      </x:c>
      <x:c r="L96" t="s">
        <x:v>829</x:v>
      </x:c>
      <x:c r="M96" t="s">
        <x:v>830</x:v>
      </x:c>
      <x:c r="N96" t="s">
        <x:v>831</x:v>
      </x:c>
      <x:c r="O96" t="s">
        <x:v>832</x:v>
      </x:c>
      <x:c r="P96" t="s">
        <x:v>833</x:v>
      </x:c>
      <x:c r="R96" s="9">
        <x:v>36567</x:v>
      </x:c>
      <x:c r="T96" t="s">
        <x:v>119</x:v>
      </x:c>
      <x:c r="W96" s="26" t="n">
        <x:v>4.72879</x:v>
      </x:c>
      <x:c r="X96" s="26" t="n">
        <x:v>-75.5779</x:v>
      </x:c>
      <x:c r="Y96">
        <x:v>611.64800000000002</x:v>
      </x:c>
      <x:c r="Z96">
        <x:v>1864</x:v>
      </x:c>
      <x:c r="AB96" t="s">
        <x:v>359</x:v>
      </x:c>
      <x:c r="AF96" t="s">
        <x:v>50</x:v>
      </x:c>
      <x:c r="AG96" t="s">
        <x:v>360</x:v>
      </x:c>
      <x:c r="AH96" t="s">
        <x:v>361</x:v>
      </x:c>
      <x:c r="AI96" t="s">
        <x:v>834</x:v>
      </x:c>
      <x:c r="AJ96">
        <x:v>101</x:v>
      </x:c>
    </x:row>
    <x:row r="97">
      <x:c r="A97" t="s">
        <x:v>387</x:v>
      </x:c>
      <x:c r="B97" t="s">
        <x:v>37</x:v>
      </x:c>
      <x:c r="C97" t="s">
        <x:v>835</x:v>
      </x:c>
      <x:c r="D97" t="s">
        <x:v>836</x:v>
      </x:c>
      <x:c r="E97" t="s">
        <x:v>837</x:v>
      </x:c>
      <x:c r="F97">
        <x:v>2350</x:v>
      </x:c>
      <x:c r="G97">
        <x:v>2350</x:v>
      </x:c>
      <x:c r="H97">
        <x:v>2350</x:v>
      </x:c>
      <x:c r="I97" t="s">
        <x:v>838</x:v>
      </x:c>
      <x:c r="J97" t="s">
        <x:v>839</x:v>
      </x:c>
      <x:c r="K97" t="s">
        <x:v>840</x:v>
      </x:c>
      <x:c r="L97" t="s">
        <x:v>840</x:v>
      </x:c>
      <x:c r="M97" t="s">
        <x:v>841</x:v>
      </x:c>
      <x:c r="N97" t="s">
        <x:v>842</x:v>
      </x:c>
      <x:c r="O97" t="s">
        <x:v>843</x:v>
      </x:c>
      <x:c r="P97" t="s">
        <x:v>844</x:v>
      </x:c>
      <x:c r="R97" s="9">
        <x:v>36819</x:v>
      </x:c>
      <x:c r="T97" t="s">
        <x:v>845</x:v>
      </x:c>
      <x:c r="W97" s="26" t="n">
        <x:v>6.29835</x:v>
      </x:c>
      <x:c r="X97" s="26" t="n">
        <x:v>-75.50933</x:v>
      </x:c>
      <x:c r="Y97">
        <x:v>60.651000000000003</x:v>
      </x:c>
      <x:c r="Z97">
        <x:v>2439</x:v>
      </x:c>
      <x:c r="AB97">
        <x:v>4</x:v>
      </x:c>
      <x:c r="AD97" t="s">
        <x:v>846</x:v>
      </x:c>
      <x:c r="AE97">
        <x:v>1</x:v>
      </x:c>
      <x:c r="AF97" t="s">
        <x:v>50</x:v>
      </x:c>
      <x:c r="AG97" t="s">
        <x:v>402</x:v>
      </x:c>
      <x:c r="AH97" t="s">
        <x:v>536</x:v>
      </x:c>
      <x:c r="AI97" t="s">
        <x:v>847</x:v>
      </x:c>
      <x:c r="AJ97">
        <x:v>102</x:v>
      </x:c>
    </x:row>
    <x:row r="98">
      <x:c r="A98" t="s">
        <x:v>387</x:v>
      </x:c>
      <x:c r="B98" t="s">
        <x:v>37</x:v>
      </x:c>
      <x:c r="C98" t="s">
        <x:v>848</x:v>
      </x:c>
      <x:c r="D98" t="s">
        <x:v>849</x:v>
      </x:c>
      <x:c r="E98" t="s">
        <x:v>850</x:v>
      </x:c>
      <x:c r="F98">
        <x:v>2350</x:v>
      </x:c>
      <x:c r="G98">
        <x:v>2350</x:v>
      </x:c>
      <x:c r="H98">
        <x:v>2350</x:v>
      </x:c>
      <x:c r="I98" t="s">
        <x:v>851</x:v>
      </x:c>
      <x:c r="J98" t="s">
        <x:v>852</x:v>
      </x:c>
      <x:c r="K98" t="s">
        <x:v>853</x:v>
      </x:c>
      <x:c r="L98" t="s">
        <x:v>853</x:v>
      </x:c>
      <x:c r="M98" t="s">
        <x:v>854</x:v>
      </x:c>
      <x:c r="N98" t="s">
        <x:v>842</x:v>
      </x:c>
      <x:c r="O98" t="s">
        <x:v>843</x:v>
      </x:c>
      <x:c r="P98" t="s">
        <x:v>844</x:v>
      </x:c>
      <x:c r="R98" s="9">
        <x:v>36819</x:v>
      </x:c>
      <x:c r="T98" t="s">
        <x:v>119</x:v>
      </x:c>
      <x:c r="W98" s="26" t="n">
        <x:v>6.29835</x:v>
      </x:c>
      <x:c r="X98" s="26" t="n">
        <x:v>-75.50933</x:v>
      </x:c>
      <x:c r="Y98">
        <x:v>60.651000000000003</x:v>
      </x:c>
      <x:c r="Z98">
        <x:v>2439</x:v>
      </x:c>
      <x:c r="AB98">
        <x:v>4</x:v>
      </x:c>
      <x:c r="AF98" t="s">
        <x:v>50</x:v>
      </x:c>
      <x:c r="AG98" t="s">
        <x:v>402</x:v>
      </x:c>
      <x:c r="AH98" t="s">
        <x:v>855</x:v>
      </x:c>
      <x:c r="AI98" t="s">
        <x:v>856</x:v>
      </x:c>
      <x:c r="AJ98">
        <x:v>103</x:v>
      </x:c>
    </x:row>
    <x:row r="99">
      <x:c r="A99" t="s">
        <x:v>387</x:v>
      </x:c>
      <x:c r="B99" t="s">
        <x:v>37</x:v>
      </x:c>
      <x:c r="C99" t="s">
        <x:v>857</x:v>
      </x:c>
      <x:c r="D99" t="s">
        <x:v>858</x:v>
      </x:c>
      <x:c r="E99" t="s">
        <x:v>859</x:v>
      </x:c>
      <x:c r="F99">
        <x:v>1730</x:v>
      </x:c>
      <x:c r="G99">
        <x:v>1730</x:v>
      </x:c>
      <x:c r="H99">
        <x:v>1730</x:v>
      </x:c>
      <x:c r="I99" t="s">
        <x:v>768</x:v>
      </x:c>
      <x:c r="J99" t="s">
        <x:v>769</x:v>
      </x:c>
      <x:c r="K99" t="s">
        <x:v>770</x:v>
      </x:c>
      <x:c r="L99" t="s">
        <x:v>771</x:v>
      </x:c>
      <x:c r="M99" t="s">
        <x:v>772</x:v>
      </x:c>
      <x:c r="N99" t="s">
        <x:v>773</x:v>
      </x:c>
      <x:c r="O99" t="s">
        <x:v>774</x:v>
      </x:c>
      <x:c r="P99" t="s">
        <x:v>775</x:v>
      </x:c>
      <x:c r="R99" s="9">
        <x:v>37096</x:v>
      </x:c>
      <x:c r="T99" t="s">
        <x:v>79</x:v>
      </x:c>
      <x:c r="W99" s="26" t="n">
        <x:v>2.45</x:v>
      </x:c>
      <x:c r="X99" s="26" t="n">
        <x:v>-76.6166667</x:v>
      </x:c>
      <x:c r="AF99" t="s">
        <x:v>50</x:v>
      </x:c>
      <x:c r="AG99" t="s">
        <x:v>283</x:v>
      </x:c>
      <x:c r="AH99" t="s">
        <x:v>703</x:v>
      </x:c>
      <x:c r="AI99" t="s">
        <x:v>860</x:v>
      </x:c>
      <x:c r="AJ99">
        <x:v>104</x:v>
      </x:c>
    </x:row>
    <x:row r="100">
      <x:c r="A100" t="s">
        <x:v>387</x:v>
      </x:c>
      <x:c r="B100" t="s">
        <x:v>37</x:v>
      </x:c>
      <x:c r="C100" t="s">
        <x:v>861</x:v>
      </x:c>
      <x:c r="D100" t="s">
        <x:v>862</x:v>
      </x:c>
      <x:c r="E100" t="s">
        <x:v>863</x:v>
      </x:c>
      <x:c r="F100">
        <x:v>2150</x:v>
      </x:c>
      <x:c r="G100">
        <x:v>2150</x:v>
      </x:c>
      <x:c r="H100">
        <x:v>2150</x:v>
      </x:c>
      <x:c r="I100" t="s">
        <x:v>158</x:v>
      </x:c>
      <x:c r="J100" t="s">
        <x:v>159</x:v>
      </x:c>
      <x:c r="K100" t="s">
        <x:v>566</x:v>
      </x:c>
      <x:c r="L100" t="s">
        <x:v>567</x:v>
      </x:c>
      <x:c r="M100" t="s">
        <x:v>568</x:v>
      </x:c>
      <x:c r="N100" t="s">
        <x:v>163</x:v>
      </x:c>
      <x:c r="O100" t="s">
        <x:v>164</x:v>
      </x:c>
      <x:c r="P100" t="s">
        <x:v>165</x:v>
      </x:c>
      <x:c r="R100" s="9">
        <x:v>37358</x:v>
      </x:c>
      <x:c r="T100" t="s">
        <x:v>119</x:v>
      </x:c>
      <x:c r="W100" s="26" t="n">
        <x:v>5.05678</x:v>
      </x:c>
      <x:c r="X100" s="26" t="n">
        <x:v>-75.49541</x:v>
      </x:c>
      <x:c r="Z100">
        <x:v>2086</x:v>
      </x:c>
      <x:c r="AB100">
        <x:v>27</x:v>
      </x:c>
      <x:c r="AF100" t="s">
        <x:v>50</x:v>
      </x:c>
      <x:c r="AG100" t="s">
        <x:v>167</x:v>
      </x:c>
      <x:c r="AH100" t="s">
        <x:v>168</x:v>
      </x:c>
      <x:c r="AI100" t="s">
        <x:v>864</x:v>
      </x:c>
      <x:c r="AJ100">
        <x:v>105</x:v>
      </x:c>
    </x:row>
    <x:row r="101">
      <x:c r="A101" t="s">
        <x:v>387</x:v>
      </x:c>
      <x:c r="B101" t="s">
        <x:v>37</x:v>
      </x:c>
      <x:c r="C101" t="s">
        <x:v>865</x:v>
      </x:c>
      <x:c r="D101" t="s">
        <x:v>866</x:v>
      </x:c>
      <x:c r="E101" t="s">
        <x:v>867</x:v>
      </x:c>
      <x:c r="F101" t="s">
        <x:v>399</x:v>
      </x:c>
      <x:c r="G101" t="s">
        <x:v>399</x:v>
      </x:c>
      <x:c r="H101" t="s">
        <x:v>399</x:v>
      </x:c>
      <x:c r="I101" t="s">
        <x:v>868</x:v>
      </x:c>
      <x:c r="J101" t="s">
        <x:v>868</x:v>
      </x:c>
      <x:c r="K101" t="s">
        <x:v>869</x:v>
      </x:c>
      <x:c r="L101" t="s">
        <x:v>869</x:v>
      </x:c>
      <x:c r="M101" t="s">
        <x:v>870</x:v>
      </x:c>
      <x:c r="N101" t="s">
        <x:v>871</x:v>
      </x:c>
      <x:c r="O101" t="s">
        <x:v>872</x:v>
      </x:c>
      <x:c r="P101" t="s">
        <x:v>873</x:v>
      </x:c>
      <x:c r="R101" s="9">
        <x:v>37403</x:v>
      </x:c>
      <x:c r="T101" t="s">
        <x:v>111</x:v>
      </x:c>
      <x:c r="W101" s="26" t="n">
        <x:v>4.55835</x:v>
      </x:c>
      <x:c r="X101" s="26" t="n">
        <x:v>-75.32021</x:v>
      </x:c>
      <x:c r="Y101">
        <x:v>714.47500000000002</x:v>
      </x:c>
      <x:c r="Z101">
        <x:v>2033</x:v>
      </x:c>
      <x:c r="AB101" t="s">
        <x:v>350</x:v>
      </x:c>
      <x:c r="AF101" t="s">
        <x:v>50</x:v>
      </x:c>
      <x:c r="AG101" t="s">
        <x:v>133</x:v>
      </x:c>
      <x:c r="AH101" t="s">
        <x:v>874</x:v>
      </x:c>
      <x:c r="AI101" t="s">
        <x:v>875</x:v>
      </x:c>
      <x:c r="AJ101">
        <x:v>106</x:v>
      </x:c>
    </x:row>
    <x:row r="102">
      <x:c r="A102" t="s">
        <x:v>387</x:v>
      </x:c>
      <x:c r="B102" t="s">
        <x:v>37</x:v>
      </x:c>
      <x:c r="C102" t="s">
        <x:v>876</x:v>
      </x:c>
      <x:c r="D102" t="s">
        <x:v>877</x:v>
      </x:c>
      <x:c r="E102" t="s">
        <x:v>878</x:v>
      </x:c>
      <x:c r="F102">
        <x:v>2580</x:v>
      </x:c>
      <x:c r="G102">
        <x:v>2580</x:v>
      </x:c>
      <x:c r="H102">
        <x:v>2580</x:v>
      </x:c>
      <x:c r="I102" t="s">
        <x:v>879</x:v>
      </x:c>
      <x:c r="J102" t="s">
        <x:v>880</x:v>
      </x:c>
      <x:c r="K102" t="s">
        <x:v>881</x:v>
      </x:c>
      <x:c r="L102" t="s">
        <x:v>881</x:v>
      </x:c>
      <x:c r="M102" t="s">
        <x:v>882</x:v>
      </x:c>
      <x:c r="N102" t="s">
        <x:v>883</x:v>
      </x:c>
      <x:c r="O102" t="s">
        <x:v>884</x:v>
      </x:c>
      <x:c r="P102" t="s">
        <x:v>885</x:v>
      </x:c>
      <x:c r="R102" s="9">
        <x:v>37463</x:v>
      </x:c>
      <x:c r="T102" t="s">
        <x:v>111</x:v>
      </x:c>
      <x:c r="W102" s="26" t="n">
        <x:v>6.69603</x:v>
      </x:c>
      <x:c r="X102" s="26" t="n">
        <x:v>-75.59755</x:v>
      </x:c>
      <x:c r="Y102">
        <x:v>2571.3310000000001</x:v>
      </x:c>
      <x:c r="Z102">
        <x:v>2573</x:v>
      </x:c>
      <x:c r="AB102" t="s">
        <x:v>886</x:v>
      </x:c>
      <x:c r="AF102" t="s">
        <x:v>50</x:v>
      </x:c>
      <x:c r="AG102" t="s">
        <x:v>402</x:v>
      </x:c>
      <x:c r="AH102" t="s">
        <x:v>887</x:v>
      </x:c>
      <x:c r="AI102" t="s">
        <x:v>888</x:v>
      </x:c>
      <x:c r="AJ102">
        <x:v>107</x:v>
      </x:c>
    </x:row>
    <x:row r="103">
      <x:c r="A103" t="s">
        <x:v>387</x:v>
      </x:c>
      <x:c r="B103" t="s">
        <x:v>37</x:v>
      </x:c>
      <x:c r="C103" t="s">
        <x:v>876</x:v>
      </x:c>
      <x:c r="D103" t="s">
        <x:v>889</x:v>
      </x:c>
      <x:c r="E103" t="s">
        <x:v>878</x:v>
      </x:c>
      <x:c r="F103">
        <x:v>2580</x:v>
      </x:c>
      <x:c r="G103">
        <x:v>2580</x:v>
      </x:c>
      <x:c r="H103">
        <x:v>2580</x:v>
      </x:c>
      <x:c r="I103" t="s">
        <x:v>880</x:v>
      </x:c>
      <x:c r="J103" t="s">
        <x:v>880</x:v>
      </x:c>
      <x:c r="K103" t="s">
        <x:v>881</x:v>
      </x:c>
      <x:c r="L103" t="s">
        <x:v>881</x:v>
      </x:c>
      <x:c r="M103" t="s">
        <x:v>882</x:v>
      </x:c>
      <x:c r="N103" t="s">
        <x:v>883</x:v>
      </x:c>
      <x:c r="O103" t="s">
        <x:v>884</x:v>
      </x:c>
      <x:c r="P103" t="s">
        <x:v>885</x:v>
      </x:c>
      <x:c r="R103" s="9">
        <x:v>37463</x:v>
      </x:c>
      <x:c r="T103" t="s">
        <x:v>111</x:v>
      </x:c>
      <x:c r="W103" s="26" t="n">
        <x:v>6.69603</x:v>
      </x:c>
      <x:c r="X103" s="26" t="n">
        <x:v>-75.59755</x:v>
      </x:c>
      <x:c r="Y103">
        <x:v>2571.3310000000001</x:v>
      </x:c>
      <x:c r="Z103">
        <x:v>2573</x:v>
      </x:c>
      <x:c r="AB103" t="s">
        <x:v>886</x:v>
      </x:c>
      <x:c r="AF103" t="s">
        <x:v>50</x:v>
      </x:c>
      <x:c r="AG103" t="s">
        <x:v>402</x:v>
      </x:c>
      <x:c r="AH103" t="s">
        <x:v>887</x:v>
      </x:c>
      <x:c r="AI103" t="s">
        <x:v>888</x:v>
      </x:c>
      <x:c r="AJ103">
        <x:v>108</x:v>
      </x:c>
    </x:row>
    <x:row r="104">
      <x:c r="A104" t="s">
        <x:v>387</x:v>
      </x:c>
      <x:c r="B104" t="s">
        <x:v>37</x:v>
      </x:c>
      <x:c r="C104" t="s">
        <x:v>890</x:v>
      </x:c>
      <x:c r="D104" t="s">
        <x:v>891</x:v>
      </x:c>
      <x:c r="E104" t="s">
        <x:v>892</x:v>
      </x:c>
      <x:c r="F104">
        <x:v>2500</x:v>
      </x:c>
      <x:c r="G104">
        <x:v>2500</x:v>
      </x:c>
      <x:c r="H104">
        <x:v>2500</x:v>
      </x:c>
      <x:c r="I104" t="s">
        <x:v>893</x:v>
      </x:c>
      <x:c r="J104" t="s">
        <x:v>894</x:v>
      </x:c>
      <x:c r="K104" t="s">
        <x:v>895</x:v>
      </x:c>
      <x:c r="L104" t="s">
        <x:v>896</x:v>
      </x:c>
      <x:c r="M104" t="s">
        <x:v>897</x:v>
      </x:c>
      <x:c r="N104" t="s">
        <x:v>898</x:v>
      </x:c>
      <x:c r="O104" t="s">
        <x:v>899</x:v>
      </x:c>
      <x:c r="P104" t="s">
        <x:v>900</x:v>
      </x:c>
      <x:c r="R104" s="9">
        <x:v>37526</x:v>
      </x:c>
      <x:c r="T104" t="s">
        <x:v>901</x:v>
      </x:c>
      <x:c r="W104" s="26" t="n">
        <x:v>6.77278</x:v>
      </x:c>
      <x:c r="X104" s="26" t="n">
        <x:v>-75.79203</x:v>
      </x:c>
      <x:c r="Y104">
        <x:v>16.103999999999999</x:v>
      </x:c>
      <x:c r="Z104">
        <x:v>2661</x:v>
      </x:c>
      <x:c r="AA104" t="s">
        <x:v>400</x:v>
      </x:c>
      <x:c r="AB104">
        <x:v>13</x:v>
      </x:c>
      <x:c r="AE104">
        <x:v>1</x:v>
      </x:c>
      <x:c r="AF104" t="s">
        <x:v>50</x:v>
      </x:c>
      <x:c r="AG104" t="s">
        <x:v>402</x:v>
      </x:c>
      <x:c r="AH104" t="s">
        <x:v>902</x:v>
      </x:c>
      <x:c r="AI104" t="s">
        <x:v>903</x:v>
      </x:c>
      <x:c r="AJ104">
        <x:v>109</x:v>
      </x:c>
    </x:row>
    <x:row r="105">
      <x:c r="A105" t="s">
        <x:v>387</x:v>
      </x:c>
      <x:c r="B105" t="s">
        <x:v>37</x:v>
      </x:c>
      <x:c r="C105" t="s">
        <x:v>904</x:v>
      </x:c>
      <x:c r="D105" t="s">
        <x:v>905</x:v>
      </x:c>
      <x:c r="E105" t="s">
        <x:v>906</x:v>
      </x:c>
      <x:c r="F105">
        <x:v>2630</x:v>
      </x:c>
      <x:c r="G105">
        <x:v>2630</x:v>
      </x:c>
      <x:c r="H105">
        <x:v>2630</x:v>
      </x:c>
      <x:c r="I105" t="s">
        <x:v>907</x:v>
      </x:c>
      <x:c r="J105" t="s">
        <x:v>907</x:v>
      </x:c>
      <x:c r="K105" t="s">
        <x:v>908</x:v>
      </x:c>
      <x:c r="L105" t="s">
        <x:v>908</x:v>
      </x:c>
      <x:c r="M105" t="s">
        <x:v>909</x:v>
      </x:c>
      <x:c r="N105" t="s">
        <x:v>910</x:v>
      </x:c>
      <x:c r="O105" t="s">
        <x:v>911</x:v>
      </x:c>
      <x:c r="P105" t="s">
        <x:v>912</x:v>
      </x:c>
      <x:c r="Q105" t="s">
        <x:v>913</x:v>
      </x:c>
      <x:c r="R105" s="9">
        <x:v>37538</x:v>
      </x:c>
      <x:c r="T105" t="s">
        <x:v>111</x:v>
      </x:c>
      <x:c r="U105" t="s">
        <x:v>914</x:v>
      </x:c>
      <x:c r="V105" t="s">
        <x:v>915</x:v>
      </x:c>
      <x:c r="W105" s="26" t="n">
        <x:v>6.60408</x:v>
      </x:c>
      <x:c r="X105" s="26" t="n">
        <x:v>-75.73611</x:v>
      </x:c>
      <x:c r="Y105">
        <x:v>2160.6860000000001</x:v>
      </x:c>
      <x:c r="Z105">
        <x:v>2059</x:v>
      </x:c>
      <x:c r="AB105" t="s">
        <x:v>916</x:v>
      </x:c>
      <x:c r="AE105">
        <x:v>1</x:v>
      </x:c>
      <x:c r="AF105" t="s">
        <x:v>50</x:v>
      </x:c>
      <x:c r="AG105" t="s">
        <x:v>402</x:v>
      </x:c>
      <x:c r="AH105" t="s">
        <x:v>917</x:v>
      </x:c>
      <x:c r="AI105" t="s">
        <x:v>918</x:v>
      </x:c>
      <x:c r="AJ105">
        <x:v>110</x:v>
      </x:c>
    </x:row>
    <x:row r="106">
      <x:c r="A106" t="s">
        <x:v>387</x:v>
      </x:c>
      <x:c r="B106" t="s">
        <x:v>37</x:v>
      </x:c>
      <x:c r="C106" t="s">
        <x:v>904</x:v>
      </x:c>
      <x:c r="D106" t="s">
        <x:v>919</x:v>
      </x:c>
      <x:c r="E106" t="s">
        <x:v>920</x:v>
      </x:c>
      <x:c r="F106">
        <x:v>2640</x:v>
      </x:c>
      <x:c r="G106">
        <x:v>2640</x:v>
      </x:c>
      <x:c r="H106">
        <x:v>2640</x:v>
      </x:c>
      <x:c r="I106" t="s">
        <x:v>921</x:v>
      </x:c>
      <x:c r="J106" t="s">
        <x:v>922</x:v>
      </x:c>
      <x:c r="K106" t="s">
        <x:v>923</x:v>
      </x:c>
      <x:c r="L106" t="s">
        <x:v>923</x:v>
      </x:c>
      <x:c r="M106" t="s">
        <x:v>924</x:v>
      </x:c>
      <x:c r="N106" t="s">
        <x:v>925</x:v>
      </x:c>
      <x:c r="O106" t="s">
        <x:v>926</x:v>
      </x:c>
      <x:c r="P106" t="s">
        <x:v>927</x:v>
      </x:c>
      <x:c r="R106" s="9">
        <x:v>37538</x:v>
      </x:c>
      <x:c r="T106" t="s">
        <x:v>111</x:v>
      </x:c>
      <x:c r="W106" s="26" t="n">
        <x:v>6.60408</x:v>
      </x:c>
      <x:c r="X106" s="26" t="n">
        <x:v>-75.73611</x:v>
      </x:c>
      <x:c r="Y106">
        <x:v>2160.6860000000001</x:v>
      </x:c>
      <x:c r="Z106">
        <x:v>2059</x:v>
      </x:c>
      <x:c r="AB106" t="s">
        <x:v>916</x:v>
      </x:c>
      <x:c r="AF106" t="s">
        <x:v>50</x:v>
      </x:c>
      <x:c r="AG106" t="s">
        <x:v>402</x:v>
      </x:c>
      <x:c r="AH106" t="s">
        <x:v>928</x:v>
      </x:c>
      <x:c r="AI106" t="s">
        <x:v>929</x:v>
      </x:c>
      <x:c r="AJ106">
        <x:v>111</x:v>
      </x:c>
    </x:row>
    <x:row r="107">
      <x:c r="A107" t="s">
        <x:v>387</x:v>
      </x:c>
      <x:c r="B107" t="s">
        <x:v>37</x:v>
      </x:c>
      <x:c r="C107" t="s">
        <x:v>930</x:v>
      </x:c>
      <x:c r="D107" t="s">
        <x:v>931</x:v>
      </x:c>
      <x:c r="E107" t="s">
        <x:v>932</x:v>
      </x:c>
      <x:c r="F107">
        <x:v>2150</x:v>
      </x:c>
      <x:c r="G107">
        <x:v>2150</x:v>
      </x:c>
      <x:c r="H107">
        <x:v>2150</x:v>
      </x:c>
      <x:c r="I107" t="s">
        <x:v>158</x:v>
      </x:c>
      <x:c r="J107" t="s">
        <x:v>159</x:v>
      </x:c>
      <x:c r="K107" t="s">
        <x:v>566</x:v>
      </x:c>
      <x:c r="L107" t="s">
        <x:v>567</x:v>
      </x:c>
      <x:c r="M107" t="s">
        <x:v>568</x:v>
      </x:c>
      <x:c r="N107" t="s">
        <x:v>163</x:v>
      </x:c>
      <x:c r="O107" t="s">
        <x:v>164</x:v>
      </x:c>
      <x:c r="P107" t="s">
        <x:v>165</x:v>
      </x:c>
      <x:c r="R107" s="9">
        <x:v>37665</x:v>
      </x:c>
      <x:c r="T107" t="s">
        <x:v>119</x:v>
      </x:c>
      <x:c r="W107" s="26" t="n">
        <x:v>5.06348</x:v>
      </x:c>
      <x:c r="X107" s="26" t="n">
        <x:v>-75.48487</x:v>
      </x:c>
      <x:c r="Y107">
        <x:v>1734.6189999999999</x:v>
      </x:c>
      <x:c r="Z107">
        <x:v>2073</x:v>
      </x:c>
      <x:c r="AA107" t="s">
        <x:v>587</x:v>
      </x:c>
      <x:c r="AB107">
        <x:v>26</x:v>
      </x:c>
      <x:c r="AF107" t="s">
        <x:v>50</x:v>
      </x:c>
      <x:c r="AG107" t="s">
        <x:v>167</x:v>
      </x:c>
      <x:c r="AH107" t="s">
        <x:v>168</x:v>
      </x:c>
      <x:c r="AI107" t="s">
        <x:v>933</x:v>
      </x:c>
      <x:c r="AJ107">
        <x:v>112</x:v>
      </x:c>
    </x:row>
    <x:row r="108">
      <x:c r="A108" t="s">
        <x:v>387</x:v>
      </x:c>
      <x:c r="B108" t="s">
        <x:v>37</x:v>
      </x:c>
      <x:c r="C108" t="s">
        <x:v>934</x:v>
      </x:c>
      <x:c r="D108" t="s">
        <x:v>935</x:v>
      </x:c>
      <x:c r="E108" t="s">
        <x:v>936</x:v>
      </x:c>
      <x:c r="F108" t="s">
        <x:v>937</x:v>
      </x:c>
      <x:c r="G108">
        <x:v>1600</x:v>
      </x:c>
      <x:c r="H108">
        <x:v>1800</x:v>
      </x:c>
      <x:c r="I108" t="s">
        <x:v>938</x:v>
      </x:c>
      <x:c r="J108" t="s">
        <x:v>938</x:v>
      </x:c>
      <x:c r="K108" t="s">
        <x:v>939</x:v>
      </x:c>
      <x:c r="L108" t="s">
        <x:v>939</x:v>
      </x:c>
      <x:c r="M108" t="s">
        <x:v>940</x:v>
      </x:c>
      <x:c r="N108" t="s">
        <x:v>941</x:v>
      </x:c>
      <x:c r="O108" t="s">
        <x:v>942</x:v>
      </x:c>
      <x:c r="P108" t="s">
        <x:v>943</x:v>
      </x:c>
      <x:c r="R108" s="9">
        <x:v>37690</x:v>
      </x:c>
      <x:c r="T108" t="s">
        <x:v>119</x:v>
      </x:c>
      <x:c r="W108" s="26" t="n">
        <x:v>1.9963</x:v>
      </x:c>
      <x:c r="X108" s="26" t="n">
        <x:v>-76.93901</x:v>
      </x:c>
      <x:c r="Y108">
        <x:v>2348</x:v>
      </x:c>
      <x:c r="AF108" t="s">
        <x:v>50</x:v>
      </x:c>
      <x:c r="AG108" t="s">
        <x:v>283</x:v>
      </x:c>
      <x:c r="AH108" t="s">
        <x:v>944</x:v>
      </x:c>
      <x:c r="AI108" t="s">
        <x:v>945</x:v>
      </x:c>
      <x:c r="AJ108">
        <x:v>113</x:v>
      </x:c>
    </x:row>
    <x:row r="109">
      <x:c r="A109" t="s">
        <x:v>387</x:v>
      </x:c>
      <x:c r="B109" t="s">
        <x:v>37</x:v>
      </x:c>
      <x:c r="C109" t="s">
        <x:v>946</x:v>
      </x:c>
      <x:c r="D109" t="s">
        <x:v>947</x:v>
      </x:c>
      <x:c r="E109" t="s">
        <x:v>948</x:v>
      </x:c>
      <x:c r="F109">
        <x:v>1950</x:v>
      </x:c>
      <x:c r="G109">
        <x:v>1950</x:v>
      </x:c>
      <x:c r="H109">
        <x:v>1950</x:v>
      </x:c>
      <x:c r="I109" t="s">
        <x:v>949</x:v>
      </x:c>
      <x:c r="J109" t="s">
        <x:v>950</x:v>
      </x:c>
      <x:c r="K109" t="s">
        <x:v>951</x:v>
      </x:c>
      <x:c r="L109" t="s">
        <x:v>952</x:v>
      </x:c>
      <x:c r="M109" t="s">
        <x:v>953</x:v>
      </x:c>
      <x:c r="N109" t="s">
        <x:v>954</x:v>
      </x:c>
      <x:c r="O109" t="s">
        <x:v>955</x:v>
      </x:c>
      <x:c r="P109" t="s">
        <x:v>956</x:v>
      </x:c>
      <x:c r="R109" s="9">
        <x:v>37711</x:v>
      </x:c>
      <x:c r="W109" s="26" t="n">
        <x:v>4.9031117</x:v>
      </x:c>
      <x:c r="X109" s="26" t="n">
        <x:v>-75.1773528</x:v>
      </x:c>
      <x:c r="AF109" t="s">
        <x:v>50</x:v>
      </x:c>
      <x:c r="AG109" t="s">
        <x:v>133</x:v>
      </x:c>
      <x:c r="AH109" t="s">
        <x:v>957</x:v>
      </x:c>
      <x:c r="AI109" t="s">
        <x:v>958</x:v>
      </x:c>
      <x:c r="AJ109">
        <x:v>114</x:v>
      </x:c>
    </x:row>
    <x:row r="110">
      <x:c r="A110" t="s">
        <x:v>387</x:v>
      </x:c>
      <x:c r="B110" t="s">
        <x:v>37</x:v>
      </x:c>
      <x:c r="C110" t="s">
        <x:v>959</x:v>
      </x:c>
      <x:c r="D110" t="s">
        <x:v>960</x:v>
      </x:c>
      <x:c r="E110" t="s">
        <x:v>961</x:v>
      </x:c>
      <x:c r="F110" t="s">
        <x:v>962</x:v>
      </x:c>
      <x:c r="G110">
        <x:v>2300</x:v>
      </x:c>
      <x:c r="H110">
        <x:v>2400</x:v>
      </x:c>
      <x:c r="I110" t="s">
        <x:v>963</x:v>
      </x:c>
      <x:c r="J110" t="s">
        <x:v>963</x:v>
      </x:c>
      <x:c r="K110" t="s">
        <x:v>964</x:v>
      </x:c>
      <x:c r="L110" t="s">
        <x:v>964</x:v>
      </x:c>
      <x:c r="M110" t="s">
        <x:v>965</x:v>
      </x:c>
      <x:c r="N110" t="s">
        <x:v>966</x:v>
      </x:c>
      <x:c r="O110" t="s">
        <x:v>967</x:v>
      </x:c>
      <x:c r="P110" t="s">
        <x:v>968</x:v>
      </x:c>
      <x:c r="R110" s="9">
        <x:v>37721</x:v>
      </x:c>
      <x:c r="T110" t="s">
        <x:v>119</x:v>
      </x:c>
      <x:c r="W110" s="26" t="n">
        <x:v>1.8244444</x:v>
      </x:c>
      <x:c r="X110" s="26" t="n">
        <x:v>-76.8833333</x:v>
      </x:c>
      <x:c r="AF110" t="s">
        <x:v>50</x:v>
      </x:c>
      <x:c r="AG110" t="s">
        <x:v>283</x:v>
      </x:c>
      <x:c r="AH110" t="s">
        <x:v>944</x:v>
      </x:c>
      <x:c r="AI110" t="s">
        <x:v>969</x:v>
      </x:c>
      <x:c r="AJ110">
        <x:v>115</x:v>
      </x:c>
    </x:row>
    <x:row r="111">
      <x:c r="A111" t="s">
        <x:v>387</x:v>
      </x:c>
      <x:c r="B111" t="s">
        <x:v>37</x:v>
      </x:c>
      <x:c r="C111" t="s">
        <x:v>970</x:v>
      </x:c>
      <x:c r="D111" t="s">
        <x:v>971</x:v>
      </x:c>
      <x:c r="E111" t="s">
        <x:v>972</x:v>
      </x:c>
      <x:c r="F111">
        <x:v>2500</x:v>
      </x:c>
      <x:c r="G111">
        <x:v>2500</x:v>
      </x:c>
      <x:c r="H111">
        <x:v>2500</x:v>
      </x:c>
      <x:c r="I111" t="s">
        <x:v>973</x:v>
      </x:c>
      <x:c r="J111" t="s">
        <x:v>974</x:v>
      </x:c>
      <x:c r="K111" t="s">
        <x:v>975</x:v>
      </x:c>
      <x:c r="L111" t="s">
        <x:v>975</x:v>
      </x:c>
      <x:c r="M111" t="s">
        <x:v>976</x:v>
      </x:c>
      <x:c r="N111" t="s">
        <x:v>977</x:v>
      </x:c>
      <x:c r="O111" t="s">
        <x:v>978</x:v>
      </x:c>
      <x:c r="P111" t="s">
        <x:v>979</x:v>
      </x:c>
      <x:c r="R111" s="9">
        <x:v>37895</x:v>
      </x:c>
      <x:c r="T111" t="s">
        <x:v>111</x:v>
      </x:c>
      <x:c r="W111" s="26" t="n">
        <x:v>6.20892</x:v>
      </x:c>
      <x:c r="X111" s="26" t="n">
        <x:v>-75.49086</x:v>
      </x:c>
      <x:c r="Y111">
        <x:v>2010.31</x:v>
      </x:c>
      <x:c r="Z111">
        <x:v>2568</x:v>
      </x:c>
      <x:c r="AA111" t="s">
        <x:v>980</x:v>
      </x:c>
      <x:c r="AB111">
        <x:v>16</x:v>
      </x:c>
      <x:c r="AD111" t="s">
        <x:v>981</x:v>
      </x:c>
      <x:c r="AE111">
        <x:v>1</x:v>
      </x:c>
      <x:c r="AF111" t="s">
        <x:v>50</x:v>
      </x:c>
      <x:c r="AG111" t="s">
        <x:v>402</x:v>
      </x:c>
      <x:c r="AH111" t="s">
        <x:v>536</x:v>
      </x:c>
      <x:c r="AI111" t="s">
        <x:v>982</x:v>
      </x:c>
      <x:c r="AJ111">
        <x:v>116</x:v>
      </x:c>
    </x:row>
    <x:row r="112">
      <x:c r="A112" t="s">
        <x:v>387</x:v>
      </x:c>
      <x:c r="B112" t="s">
        <x:v>37</x:v>
      </x:c>
      <x:c r="C112" t="s">
        <x:v>983</x:v>
      </x:c>
      <x:c r="D112" t="s">
        <x:v>984</x:v>
      </x:c>
      <x:c r="E112" t="s">
        <x:v>985</x:v>
      </x:c>
      <x:c r="F112">
        <x:v>2276</x:v>
      </x:c>
      <x:c r="G112">
        <x:v>2276</x:v>
      </x:c>
      <x:c r="H112">
        <x:v>2276</x:v>
      </x:c>
      <x:c r="I112" t="s">
        <x:v>986</x:v>
      </x:c>
      <x:c r="J112" t="s">
        <x:v>986</x:v>
      </x:c>
      <x:c r="K112" t="s">
        <x:v>987</x:v>
      </x:c>
      <x:c r="L112" t="s">
        <x:v>987</x:v>
      </x:c>
      <x:c r="M112" t="s">
        <x:v>988</x:v>
      </x:c>
      <x:c r="N112" t="s">
        <x:v>989</x:v>
      </x:c>
      <x:c r="O112" t="s">
        <x:v>990</x:v>
      </x:c>
      <x:c r="P112" t="s">
        <x:v>991</x:v>
      </x:c>
      <x:c r="R112" s="9">
        <x:v>38191</x:v>
      </x:c>
      <x:c r="T112" t="s">
        <x:v>119</x:v>
      </x:c>
      <x:c r="W112" s="26" t="n">
        <x:v>5.03103</x:v>
      </x:c>
      <x:c r="X112" s="26" t="n">
        <x:v>-75.51113</x:v>
      </x:c>
      <x:c r="Y112">
        <x:v>495.93400000000003</x:v>
      </x:c>
      <x:c r="Z112">
        <x:v>2018</x:v>
      </x:c>
      <x:c r="AB112" t="s">
        <x:v>992</x:v>
      </x:c>
      <x:c r="AF112" t="s">
        <x:v>50</x:v>
      </x:c>
      <x:c r="AG112" t="s">
        <x:v>167</x:v>
      </x:c>
      <x:c r="AH112" t="s">
        <x:v>993</x:v>
      </x:c>
      <x:c r="AI112" t="s">
        <x:v>994</x:v>
      </x:c>
      <x:c r="AJ112">
        <x:v>117</x:v>
      </x:c>
    </x:row>
    <x:row r="113">
      <x:c r="A113" t="s">
        <x:v>387</x:v>
      </x:c>
      <x:c r="B113" t="s">
        <x:v>37</x:v>
      </x:c>
      <x:c r="C113" t="s">
        <x:v>995</x:v>
      </x:c>
      <x:c r="D113" t="s">
        <x:v>996</x:v>
      </x:c>
      <x:c r="E113" t="s">
        <x:v>997</x:v>
      </x:c>
      <x:c r="F113">
        <x:v>2530</x:v>
      </x:c>
      <x:c r="G113">
        <x:v>2530</x:v>
      </x:c>
      <x:c r="H113">
        <x:v>2530</x:v>
      </x:c>
      <x:c r="I113" t="s">
        <x:v>998</x:v>
      </x:c>
      <x:c r="J113" t="s">
        <x:v>999</x:v>
      </x:c>
      <x:c r="K113" t="s">
        <x:v>1000</x:v>
      </x:c>
      <x:c r="L113" t="s">
        <x:v>1001</x:v>
      </x:c>
      <x:c r="M113" t="s">
        <x:v>1002</x:v>
      </x:c>
      <x:c r="N113" t="s">
        <x:v>1003</x:v>
      </x:c>
      <x:c r="O113" t="s">
        <x:v>1004</x:v>
      </x:c>
      <x:c r="P113" t="s">
        <x:v>1005</x:v>
      </x:c>
      <x:c r="R113" s="9">
        <x:v>38208</x:v>
      </x:c>
      <x:c r="T113" t="s">
        <x:v>119</x:v>
      </x:c>
      <x:c r="W113" s="26" t="n">
        <x:v>5.1661667</x:v>
      </x:c>
      <x:c r="X113" s="26" t="n">
        <x:v>-75.4019444</x:v>
      </x:c>
      <x:c r="AA113" t="s">
        <x:v>1006</x:v>
      </x:c>
      <x:c r="AF113" t="s">
        <x:v>50</x:v>
      </x:c>
      <x:c r="AG113" t="s">
        <x:v>167</x:v>
      </x:c>
      <x:c r="AH113" t="s">
        <x:v>168</x:v>
      </x:c>
      <x:c r="AI113" t="s">
        <x:v>1007</x:v>
      </x:c>
      <x:c r="AJ113">
        <x:v>118</x:v>
      </x:c>
    </x:row>
    <x:row r="114">
      <x:c r="A114" t="s">
        <x:v>387</x:v>
      </x:c>
      <x:c r="B114" t="s">
        <x:v>37</x:v>
      </x:c>
      <x:c r="C114" t="s">
        <x:v>995</x:v>
      </x:c>
      <x:c r="D114" t="s">
        <x:v>996</x:v>
      </x:c>
      <x:c r="E114" t="s">
        <x:v>997</x:v>
      </x:c>
      <x:c r="F114">
        <x:v>2530</x:v>
      </x:c>
      <x:c r="G114">
        <x:v>2530</x:v>
      </x:c>
      <x:c r="H114">
        <x:v>2530</x:v>
      </x:c>
      <x:c r="I114" t="s">
        <x:v>998</x:v>
      </x:c>
      <x:c r="J114" t="s">
        <x:v>999</x:v>
      </x:c>
      <x:c r="K114" t="s">
        <x:v>1000</x:v>
      </x:c>
      <x:c r="L114" t="s">
        <x:v>1001</x:v>
      </x:c>
      <x:c r="M114" t="s">
        <x:v>1002</x:v>
      </x:c>
      <x:c r="N114" t="s">
        <x:v>1003</x:v>
      </x:c>
      <x:c r="O114" t="s">
        <x:v>1004</x:v>
      </x:c>
      <x:c r="P114" t="s">
        <x:v>1005</x:v>
      </x:c>
      <x:c r="R114" s="9">
        <x:v>38208</x:v>
      </x:c>
      <x:c r="T114" t="s">
        <x:v>119</x:v>
      </x:c>
      <x:c r="W114" s="26" t="n">
        <x:v>5.1661667</x:v>
      </x:c>
      <x:c r="X114" s="26" t="n">
        <x:v>-75.4019444</x:v>
      </x:c>
      <x:c r="AF114" t="s">
        <x:v>50</x:v>
      </x:c>
      <x:c r="AG114" t="s">
        <x:v>167</x:v>
      </x:c>
      <x:c r="AH114" t="s">
        <x:v>168</x:v>
      </x:c>
      <x:c r="AI114" t="s">
        <x:v>1007</x:v>
      </x:c>
      <x:c r="AJ114">
        <x:v>119</x:v>
      </x:c>
    </x:row>
    <x:row r="115">
      <x:c r="A115" t="s">
        <x:v>387</x:v>
      </x:c>
      <x:c r="B115" t="s">
        <x:v>37</x:v>
      </x:c>
      <x:c r="C115" t="s">
        <x:v>1008</x:v>
      </x:c>
      <x:c r="D115" t="s">
        <x:v>1009</x:v>
      </x:c>
      <x:c r="E115" t="s">
        <x:v>1010</x:v>
      </x:c>
      <x:c r="F115">
        <x:v>1698</x:v>
      </x:c>
      <x:c r="G115">
        <x:v>1698</x:v>
      </x:c>
      <x:c r="H115">
        <x:v>1698</x:v>
      </x:c>
      <x:c r="I115" t="s">
        <x:v>1011</x:v>
      </x:c>
      <x:c r="J115" t="s">
        <x:v>1011</x:v>
      </x:c>
      <x:c r="K115" t="s">
        <x:v>1012</x:v>
      </x:c>
      <x:c r="L115" t="s">
        <x:v>1012</x:v>
      </x:c>
      <x:c r="M115" t="s">
        <x:v>1013</x:v>
      </x:c>
      <x:c r="P115" t="s">
        <x:v>80</x:v>
      </x:c>
      <x:c r="R115" s="9">
        <x:v>38268</x:v>
      </x:c>
      <x:c r="T115" t="s">
        <x:v>119</x:v>
      </x:c>
      <x:c r="W115" s="26" t="n">
        <x:v>1.554116667</x:v>
      </x:c>
      <x:c r="X115" s="26" t="n">
        <x:v>-76.2945333333333</x:v>
      </x:c>
      <x:c r="AF115" t="s">
        <x:v>50</x:v>
      </x:c>
      <x:c r="AG115" t="s">
        <x:v>283</x:v>
      </x:c>
      <x:c r="AH115" t="s">
        <x:v>1014</x:v>
      </x:c>
      <x:c r="AI115" t="s">
        <x:v>1015</x:v>
      </x:c>
      <x:c r="AJ115">
        <x:v>120</x:v>
      </x:c>
    </x:row>
    <x:row r="116">
      <x:c r="A116" t="s">
        <x:v>387</x:v>
      </x:c>
      <x:c r="B116" t="s">
        <x:v>37</x:v>
      </x:c>
      <x:c r="C116" t="s">
        <x:v>1016</x:v>
      </x:c>
      <x:c r="D116" t="s">
        <x:v>1017</x:v>
      </x:c>
      <x:c r="E116" t="s">
        <x:v>1018</x:v>
      </x:c>
      <x:c r="F116">
        <x:v>2000</x:v>
      </x:c>
      <x:c r="G116">
        <x:v>2000</x:v>
      </x:c>
      <x:c r="H116">
        <x:v>2000</x:v>
      </x:c>
      <x:c r="I116" t="s">
        <x:v>826</x:v>
      </x:c>
      <x:c r="J116" t="s">
        <x:v>827</x:v>
      </x:c>
      <x:c r="K116" t="s">
        <x:v>828</x:v>
      </x:c>
      <x:c r="L116" t="s">
        <x:v>829</x:v>
      </x:c>
      <x:c r="M116" t="s">
        <x:v>830</x:v>
      </x:c>
      <x:c r="N116" t="s">
        <x:v>831</x:v>
      </x:c>
      <x:c r="O116" t="s">
        <x:v>832</x:v>
      </x:c>
      <x:c r="P116" t="s">
        <x:v>833</x:v>
      </x:c>
      <x:c r="R116" s="9">
        <x:v>38284</x:v>
      </x:c>
      <x:c r="W116" s="26" t="n">
        <x:v>4.72879</x:v>
      </x:c>
      <x:c r="X116" s="26" t="n">
        <x:v>-75.5779</x:v>
      </x:c>
      <x:c r="Y116">
        <x:v>611.64800000000002</x:v>
      </x:c>
      <x:c r="Z116">
        <x:v>1864</x:v>
      </x:c>
      <x:c r="AB116" t="s">
        <x:v>359</x:v>
      </x:c>
      <x:c r="AF116" t="s">
        <x:v>50</x:v>
      </x:c>
      <x:c r="AG116" t="s">
        <x:v>360</x:v>
      </x:c>
      <x:c r="AH116" t="s">
        <x:v>361</x:v>
      </x:c>
      <x:c r="AI116" t="s">
        <x:v>1019</x:v>
      </x:c>
      <x:c r="AJ116">
        <x:v>121</x:v>
      </x:c>
    </x:row>
    <x:row r="117">
      <x:c r="A117" t="s">
        <x:v>387</x:v>
      </x:c>
      <x:c r="B117" t="s">
        <x:v>37</x:v>
      </x:c>
      <x:c r="C117" t="s">
        <x:v>1020</x:v>
      </x:c>
      <x:c r="D117" t="s">
        <x:v>1021</x:v>
      </x:c>
      <x:c r="E117" t="s">
        <x:v>1018</x:v>
      </x:c>
      <x:c r="F117">
        <x:v>2000</x:v>
      </x:c>
      <x:c r="G117">
        <x:v>2000</x:v>
      </x:c>
      <x:c r="H117">
        <x:v>2000</x:v>
      </x:c>
      <x:c r="I117" t="s">
        <x:v>826</x:v>
      </x:c>
      <x:c r="J117" t="s">
        <x:v>827</x:v>
      </x:c>
      <x:c r="K117" t="s">
        <x:v>828</x:v>
      </x:c>
      <x:c r="L117" t="s">
        <x:v>829</x:v>
      </x:c>
      <x:c r="M117" t="s">
        <x:v>830</x:v>
      </x:c>
      <x:c r="N117" t="s">
        <x:v>831</x:v>
      </x:c>
      <x:c r="O117" t="s">
        <x:v>832</x:v>
      </x:c>
      <x:c r="P117" t="s">
        <x:v>833</x:v>
      </x:c>
      <x:c r="R117" s="9">
        <x:v>38284</x:v>
      </x:c>
      <x:c r="T117" t="s">
        <x:v>111</x:v>
      </x:c>
      <x:c r="W117" s="26" t="n">
        <x:v>4.72879</x:v>
      </x:c>
      <x:c r="X117" s="26" t="n">
        <x:v>-75.5779</x:v>
      </x:c>
      <x:c r="Y117">
        <x:v>611.64800000000002</x:v>
      </x:c>
      <x:c r="Z117">
        <x:v>1864</x:v>
      </x:c>
      <x:c r="AB117" t="s">
        <x:v>359</x:v>
      </x:c>
      <x:c r="AF117" t="s">
        <x:v>50</x:v>
      </x:c>
      <x:c r="AG117" t="s">
        <x:v>360</x:v>
      </x:c>
      <x:c r="AH117" t="s">
        <x:v>361</x:v>
      </x:c>
      <x:c r="AI117" t="s">
        <x:v>1019</x:v>
      </x:c>
      <x:c r="AJ117">
        <x:v>122</x:v>
      </x:c>
    </x:row>
    <x:row r="118">
      <x:c r="A118" t="s">
        <x:v>387</x:v>
      </x:c>
      <x:c r="B118" t="s">
        <x:v>37</x:v>
      </x:c>
      <x:c r="C118" t="s">
        <x:v>1022</x:v>
      </x:c>
      <x:c r="D118" t="s">
        <x:v>1023</x:v>
      </x:c>
      <x:c r="E118" t="s">
        <x:v>1024</x:v>
      </x:c>
      <x:c r="F118" t="s">
        <x:v>1025</x:v>
      </x:c>
      <x:c r="G118">
        <x:v>2150</x:v>
      </x:c>
      <x:c r="H118">
        <x:v>2250</x:v>
      </x:c>
      <x:c r="I118" t="s">
        <x:v>1026</x:v>
      </x:c>
      <x:c r="J118" t="s">
        <x:v>1027</x:v>
      </x:c>
      <x:c r="K118" t="s">
        <x:v>1028</x:v>
      </x:c>
      <x:c r="L118" t="s">
        <x:v>1028</x:v>
      </x:c>
      <x:c r="M118" t="s">
        <x:v>1029</x:v>
      </x:c>
      <x:c r="N118" t="s">
        <x:v>1030</x:v>
      </x:c>
      <x:c r="O118" t="s">
        <x:v>1031</x:v>
      </x:c>
      <x:c r="P118" t="s">
        <x:v>1032</x:v>
      </x:c>
      <x:c r="R118" s="9">
        <x:v>38341</x:v>
      </x:c>
      <x:c r="T118" t="s">
        <x:v>119</x:v>
      </x:c>
      <x:c r="W118" s="26" t="n">
        <x:v>5.98504</x:v>
      </x:c>
      <x:c r="X118" s="26" t="n">
        <x:v>-75.6293</x:v>
      </x:c>
      <x:c r="Y118">
        <x:v>1325.396</x:v>
      </x:c>
      <x:c r="Z118">
        <x:v>2229</x:v>
      </x:c>
      <x:c r="AA118" t="s">
        <x:v>1033</x:v>
      </x:c>
      <x:c r="AB118">
        <x:v>17</x:v>
      </x:c>
      <x:c r="AF118" t="s">
        <x:v>50</x:v>
      </x:c>
      <x:c r="AG118" t="s">
        <x:v>402</x:v>
      </x:c>
      <x:c r="AH118" t="s">
        <x:v>1034</x:v>
      </x:c>
      <x:c r="AI118" t="s">
        <x:v>1035</x:v>
      </x:c>
      <x:c r="AJ118">
        <x:v>123</x:v>
      </x:c>
    </x:row>
    <x:row r="119">
      <x:c r="A119" t="s">
        <x:v>387</x:v>
      </x:c>
      <x:c r="B119" t="s">
        <x:v>37</x:v>
      </x:c>
      <x:c r="C119" t="s">
        <x:v>1036</x:v>
      </x:c>
      <x:c r="D119" t="s">
        <x:v>1037</x:v>
      </x:c>
      <x:c r="E119" t="s">
        <x:v>1038</x:v>
      </x:c>
      <x:c r="F119">
        <x:v>1686</x:v>
      </x:c>
      <x:c r="G119">
        <x:v>1686</x:v>
      </x:c>
      <x:c r="H119">
        <x:v>1686</x:v>
      </x:c>
      <x:c r="I119" t="s">
        <x:v>1039</x:v>
      </x:c>
      <x:c r="J119" t="s">
        <x:v>1040</x:v>
      </x:c>
      <x:c r="K119" t="s">
        <x:v>1041</x:v>
      </x:c>
      <x:c r="L119" t="s">
        <x:v>1041</x:v>
      </x:c>
      <x:c r="M119" t="s">
        <x:v>1042</x:v>
      </x:c>
      <x:c r="N119" t="s">
        <x:v>1043</x:v>
      </x:c>
      <x:c r="O119" t="s">
        <x:v>1044</x:v>
      </x:c>
      <x:c r="P119" t="s">
        <x:v>1045</x:v>
      </x:c>
      <x:c r="R119" s="9">
        <x:v>38417</x:v>
      </x:c>
      <x:c r="T119" t="s">
        <x:v>119</x:v>
      </x:c>
      <x:c r="W119" s="26" t="n">
        <x:v>1.5551944</x:v>
      </x:c>
      <x:c r="X119" s="26" t="n">
        <x:v>-76.3051667</x:v>
      </x:c>
      <x:c r="AF119" t="s">
        <x:v>50</x:v>
      </x:c>
      <x:c r="AG119" t="s">
        <x:v>283</x:v>
      </x:c>
      <x:c r="AH119" t="s">
        <x:v>1014</x:v>
      </x:c>
      <x:c r="AI119" t="s">
        <x:v>1046</x:v>
      </x:c>
      <x:c r="AJ119">
        <x:v>124</x:v>
      </x:c>
    </x:row>
    <x:row r="120">
      <x:c r="A120" t="s">
        <x:v>387</x:v>
      </x:c>
      <x:c r="B120" t="s">
        <x:v>37</x:v>
      </x:c>
      <x:c r="C120" t="s">
        <x:v>1047</x:v>
      </x:c>
      <x:c r="D120" t="s">
        <x:v>1048</x:v>
      </x:c>
      <x:c r="E120" t="s">
        <x:v>1049</x:v>
      </x:c>
      <x:c r="F120" t="s">
        <x:v>1050</x:v>
      </x:c>
      <x:c r="G120">
        <x:v>2110</x:v>
      </x:c>
      <x:c r="H120">
        <x:v>2150</x:v>
      </x:c>
      <x:c r="I120" t="s">
        <x:v>1051</x:v>
      </x:c>
      <x:c r="J120" t="s">
        <x:v>1052</x:v>
      </x:c>
      <x:c r="K120" t="s">
        <x:v>1053</x:v>
      </x:c>
      <x:c r="L120" t="s">
        <x:v>1053</x:v>
      </x:c>
      <x:c r="M120" t="s">
        <x:v>1054</x:v>
      </x:c>
      <x:c r="N120" t="s">
        <x:v>1055</x:v>
      </x:c>
      <x:c r="O120" t="s">
        <x:v>1056</x:v>
      </x:c>
      <x:c r="P120" t="s">
        <x:v>1057</x:v>
      </x:c>
      <x:c r="R120" s="9">
        <x:v>38534</x:v>
      </x:c>
      <x:c r="T120" t="s">
        <x:v>119</x:v>
      </x:c>
      <x:c r="W120" s="26" t="n">
        <x:v>5.5845</x:v>
      </x:c>
      <x:c r="X120" s="26" t="n">
        <x:v>-75.77684</x:v>
      </x:c>
      <x:c r="Y120">
        <x:v>2559.7779999999998</x:v>
      </x:c>
      <x:c r="Z120">
        <x:v>2243</x:v>
      </x:c>
      <x:c r="AA120" t="s">
        <x:v>549</x:v>
      </x:c>
      <x:c r="AB120">
        <x:v>10</x:v>
      </x:c>
      <x:c r="AE120">
        <x:v>1</x:v>
      </x:c>
      <x:c r="AF120" t="s">
        <x:v>50</x:v>
      </x:c>
      <x:c r="AG120" t="s">
        <x:v>402</x:v>
      </x:c>
      <x:c r="AH120" t="s">
        <x:v>627</x:v>
      </x:c>
      <x:c r="AI120" t="s">
        <x:v>1058</x:v>
      </x:c>
      <x:c r="AJ120">
        <x:v>125</x:v>
      </x:c>
    </x:row>
    <x:row r="121">
      <x:c r="A121" t="s">
        <x:v>387</x:v>
      </x:c>
      <x:c r="B121" t="s">
        <x:v>37</x:v>
      </x:c>
      <x:c r="C121" t="s">
        <x:v>1059</x:v>
      </x:c>
      <x:c r="D121" t="s">
        <x:v>1060</x:v>
      </x:c>
      <x:c r="E121" t="s">
        <x:v>1061</x:v>
      </x:c>
      <x:c r="F121" t="s">
        <x:v>96</x:v>
      </x:c>
      <x:c r="G121">
        <x:v>1500</x:v>
      </x:c>
      <x:c r="H121">
        <x:v>1800</x:v>
      </x:c>
      <x:c r="P121" t="s">
        <x:v>80</x:v>
      </x:c>
      <x:c r="R121" s="9">
        <x:v>39111</x:v>
      </x:c>
      <x:c r="T121" t="s">
        <x:v>119</x:v>
      </x:c>
      <x:c r="W121" s="26" t="n">
        <x:v>5.36289</x:v>
      </x:c>
      <x:c r="X121" s="26" t="n">
        <x:v>-75.68087</x:v>
      </x:c>
      <x:c r="Y121">
        <x:v>956.60199999999998</x:v>
      </x:c>
      <x:c r="Z121">
        <x:v>1486</x:v>
      </x:c>
      <x:c r="AA121" t="s">
        <x:v>1062</x:v>
      </x:c>
      <x:c r="AB121" t="s">
        <x:v>1063</x:v>
      </x:c>
      <x:c r="AF121" t="s">
        <x:v>50</x:v>
      </x:c>
      <x:c r="AG121" t="s">
        <x:v>167</x:v>
      </x:c>
      <x:c r="AH121" t="s">
        <x:v>1064</x:v>
      </x:c>
      <x:c r="AI121" t="s">
        <x:v>1065</x:v>
      </x:c>
      <x:c r="AJ121">
        <x:v>126</x:v>
      </x:c>
    </x:row>
    <x:row r="122">
      <x:c r="A122" t="s">
        <x:v>387</x:v>
      </x:c>
      <x:c r="B122" t="s">
        <x:v>37</x:v>
      </x:c>
      <x:c r="C122" t="s">
        <x:v>1066</x:v>
      </x:c>
      <x:c r="D122" t="s">
        <x:v>984</x:v>
      </x:c>
      <x:c r="E122" t="s">
        <x:v>1067</x:v>
      </x:c>
      <x:c r="F122">
        <x:v>2100</x:v>
      </x:c>
      <x:c r="G122">
        <x:v>2100</x:v>
      </x:c>
      <x:c r="H122">
        <x:v>2100</x:v>
      </x:c>
      <x:c r="I122" t="s">
        <x:v>1068</x:v>
      </x:c>
      <x:c r="J122" t="s">
        <x:v>1069</x:v>
      </x:c>
      <x:c r="K122" t="s">
        <x:v>1070</x:v>
      </x:c>
      <x:c r="L122" t="s">
        <x:v>1071</x:v>
      </x:c>
      <x:c r="M122" t="s">
        <x:v>1072</x:v>
      </x:c>
      <x:c r="N122" t="s">
        <x:v>1073</x:v>
      </x:c>
      <x:c r="O122" t="s">
        <x:v>1074</x:v>
      </x:c>
      <x:c r="P122" t="s">
        <x:v>1075</x:v>
      </x:c>
      <x:c r="R122" s="9">
        <x:v>39518</x:v>
      </x:c>
      <x:c r="W122" s="26" t="n">
        <x:v>5.08133</x:v>
      </x:c>
      <x:c r="X122" s="26" t="n">
        <x:v>-75.50632</x:v>
      </x:c>
      <x:c r="Y122">
        <x:v>235.88300000000001</x:v>
      </x:c>
      <x:c r="Z122">
        <x:v>2059</x:v>
      </x:c>
      <x:c r="AB122">
        <x:v>28</x:v>
      </x:c>
      <x:c r="AF122" t="s">
        <x:v>50</x:v>
      </x:c>
      <x:c r="AG122" t="s">
        <x:v>167</x:v>
      </x:c>
      <x:c r="AH122" t="s">
        <x:v>168</x:v>
      </x:c>
      <x:c r="AI122" t="s">
        <x:v>1076</x:v>
      </x:c>
      <x:c r="AJ122">
        <x:v>127</x:v>
      </x:c>
    </x:row>
    <x:row r="123">
      <x:c r="A123" t="s">
        <x:v>387</x:v>
      </x:c>
      <x:c r="B123" t="s">
        <x:v>37</x:v>
      </x:c>
      <x:c r="C123" t="s">
        <x:v>1077</x:v>
      </x:c>
      <x:c r="D123" t="s">
        <x:v>984</x:v>
      </x:c>
      <x:c r="E123" t="s">
        <x:v>1078</x:v>
      </x:c>
      <x:c r="F123">
        <x:v>2198</x:v>
      </x:c>
      <x:c r="G123">
        <x:v>2198</x:v>
      </x:c>
      <x:c r="H123">
        <x:v>2198</x:v>
      </x:c>
      <x:c r="I123" t="s">
        <x:v>1079</x:v>
      </x:c>
      <x:c r="J123" t="s">
        <x:v>1080</x:v>
      </x:c>
      <x:c r="K123" t="s">
        <x:v>1081</x:v>
      </x:c>
      <x:c r="L123" t="s">
        <x:v>1081</x:v>
      </x:c>
      <x:c r="M123" t="s">
        <x:v>1082</x:v>
      </x:c>
      <x:c r="N123" t="s">
        <x:v>1083</x:v>
      </x:c>
      <x:c r="O123" t="s">
        <x:v>1084</x:v>
      </x:c>
      <x:c r="P123" t="s">
        <x:v>1085</x:v>
      </x:c>
      <x:c r="R123" s="9">
        <x:v>39755</x:v>
      </x:c>
      <x:c r="W123" s="26" t="n">
        <x:v>5.0845833</x:v>
      </x:c>
      <x:c r="X123" s="26" t="n">
        <x:v>-75.5084167</x:v>
      </x:c>
      <x:c r="AF123" t="s">
        <x:v>50</x:v>
      </x:c>
      <x:c r="AG123" t="s">
        <x:v>167</x:v>
      </x:c>
      <x:c r="AH123" t="s">
        <x:v>168</x:v>
      </x:c>
      <x:c r="AI123" t="s">
        <x:v>1086</x:v>
      </x:c>
      <x:c r="AJ123">
        <x:v>128</x:v>
      </x:c>
    </x:row>
    <x:row r="124">
      <x:c r="A124" t="s">
        <x:v>387</x:v>
      </x:c>
      <x:c r="B124" t="s">
        <x:v>37</x:v>
      </x:c>
      <x:c r="C124" t="s">
        <x:v>1087</x:v>
      </x:c>
      <x:c r="D124" t="s">
        <x:v>984</x:v>
      </x:c>
      <x:c r="E124" t="s">
        <x:v>1088</x:v>
      </x:c>
      <x:c r="F124">
        <x:v>2332</x:v>
      </x:c>
      <x:c r="G124">
        <x:v>2332</x:v>
      </x:c>
      <x:c r="H124">
        <x:v>2332</x:v>
      </x:c>
      <x:c r="I124" t="s">
        <x:v>1089</x:v>
      </x:c>
      <x:c r="J124" t="s">
        <x:v>1090</x:v>
      </x:c>
      <x:c r="K124" t="s">
        <x:v>1091</x:v>
      </x:c>
      <x:c r="L124" t="s">
        <x:v>1092</x:v>
      </x:c>
      <x:c r="M124" t="s">
        <x:v>1093</x:v>
      </x:c>
      <x:c r="N124" t="s">
        <x:v>1094</x:v>
      </x:c>
      <x:c r="O124" t="s">
        <x:v>1095</x:v>
      </x:c>
      <x:c r="P124" t="s">
        <x:v>1096</x:v>
      </x:c>
      <x:c r="R124" s="9">
        <x:v>40006</x:v>
      </x:c>
      <x:c r="T124" t="s">
        <x:v>318</x:v>
      </x:c>
      <x:c r="W124" s="26" t="n">
        <x:v>5.1830556</x:v>
      </x:c>
      <x:c r="X124" s="26" t="n">
        <x:v>-75.458</x:v>
      </x:c>
      <x:c r="AF124" t="s">
        <x:v>50</x:v>
      </x:c>
      <x:c r="AG124" t="s">
        <x:v>167</x:v>
      </x:c>
      <x:c r="AH124" t="s">
        <x:v>238</x:v>
      </x:c>
      <x:c r="AI124" t="s">
        <x:v>1097</x:v>
      </x:c>
      <x:c r="AJ124">
        <x:v>130</x:v>
      </x:c>
    </x:row>
    <x:row r="125">
      <x:c r="A125" t="s">
        <x:v>387</x:v>
      </x:c>
      <x:c r="B125" t="s">
        <x:v>37</x:v>
      </x:c>
      <x:c r="C125" t="s">
        <x:v>1098</x:v>
      </x:c>
      <x:c r="D125" t="s">
        <x:v>984</x:v>
      </x:c>
      <x:c r="E125" t="s">
        <x:v>1099</x:v>
      </x:c>
      <x:c r="F125">
        <x:v>1950</x:v>
      </x:c>
      <x:c r="G125">
        <x:v>1950</x:v>
      </x:c>
      <x:c r="H125">
        <x:v>1950</x:v>
      </x:c>
      <x:c r="I125" t="s">
        <x:v>1100</x:v>
      </x:c>
      <x:c r="J125" t="s">
        <x:v>1100</x:v>
      </x:c>
      <x:c r="K125" t="s">
        <x:v>1101</x:v>
      </x:c>
      <x:c r="L125" t="s">
        <x:v>1102</x:v>
      </x:c>
      <x:c r="M125" t="s">
        <x:v>1103</x:v>
      </x:c>
      <x:c r="P125" t="s">
        <x:v>80</x:v>
      </x:c>
      <x:c r="R125" s="9">
        <x:v>40013</x:v>
      </x:c>
      <x:c r="T125" t="s">
        <x:v>119</x:v>
      </x:c>
      <x:c r="W125" s="26" t="n">
        <x:v>4.68067</x:v>
      </x:c>
      <x:c r="X125" s="26" t="n">
        <x:v>-75.63452</x:v>
      </x:c>
      <x:c r="Y125">
        <x:v>2304.893</x:v>
      </x:c>
      <x:c r="Z125">
        <x:v>1856</x:v>
      </x:c>
      <x:c r="AB125" t="s">
        <x:v>319</x:v>
      </x:c>
      <x:c r="AF125" t="s">
        <x:v>50</x:v>
      </x:c>
      <x:c r="AG125" t="s">
        <x:v>182</x:v>
      </x:c>
      <x:c r="AH125" t="s">
        <x:v>320</x:v>
      </x:c>
      <x:c r="AI125" t="s">
        <x:v>1104</x:v>
      </x:c>
      <x:c r="AJ125">
        <x:v>131</x:v>
      </x:c>
    </x:row>
    <x:row r="126">
      <x:c r="A126" t="s">
        <x:v>387</x:v>
      </x:c>
      <x:c r="B126" t="s">
        <x:v>37</x:v>
      </x:c>
      <x:c r="C126" t="s">
        <x:v>1105</x:v>
      </x:c>
      <x:c r="D126" t="s">
        <x:v>984</x:v>
      </x:c>
      <x:c r="E126" t="s">
        <x:v>1106</x:v>
      </x:c>
      <x:c r="F126" t="s">
        <x:v>1107</x:v>
      </x:c>
      <x:c r="G126">
        <x:v>2526</x:v>
      </x:c>
      <x:c r="H126">
        <x:v>2526</x:v>
      </x:c>
      <x:c r="I126" t="s">
        <x:v>1108</x:v>
      </x:c>
      <x:c r="J126" t="s">
        <x:v>1108</x:v>
      </x:c>
      <x:c r="K126" t="s">
        <x:v>1109</x:v>
      </x:c>
      <x:c r="L126" t="s">
        <x:v>1109</x:v>
      </x:c>
      <x:c r="M126" t="s">
        <x:v>1110</x:v>
      </x:c>
      <x:c r="N126" t="s">
        <x:v>304</x:v>
      </x:c>
      <x:c r="O126" t="s">
        <x:v>305</x:v>
      </x:c>
      <x:c r="P126" t="s">
        <x:v>306</x:v>
      </x:c>
      <x:c r="R126" s="9">
        <x:v>40032</x:v>
      </x:c>
      <x:c r="T126" t="s">
        <x:v>111</x:v>
      </x:c>
      <x:c r="W126" s="26" t="n">
        <x:v>4.9848806</x:v>
      </x:c>
      <x:c r="X126" s="26" t="n">
        <x:v>-75.4511389</x:v>
      </x:c>
      <x:c r="AF126" t="s">
        <x:v>50</x:v>
      </x:c>
      <x:c r="AG126" t="s">
        <x:v>167</x:v>
      </x:c>
      <x:c r="AH126" t="s">
        <x:v>168</x:v>
      </x:c>
      <x:c r="AI126" t="s">
        <x:v>1111</x:v>
      </x:c>
      <x:c r="AJ126">
        <x:v>132</x:v>
      </x:c>
    </x:row>
    <x:row r="127">
      <x:c r="A127" t="s">
        <x:v>387</x:v>
      </x:c>
      <x:c r="B127" t="s">
        <x:v>37</x:v>
      </x:c>
      <x:c r="C127" t="s">
        <x:v>1112</x:v>
      </x:c>
      <x:c r="D127" t="s">
        <x:v>1113</x:v>
      </x:c>
      <x:c r="E127" t="s">
        <x:v>1114</x:v>
      </x:c>
      <x:c r="F127">
        <x:v>1100</x:v>
      </x:c>
      <x:c r="G127">
        <x:v>1100</x:v>
      </x:c>
      <x:c r="H127">
        <x:v>1100</x:v>
      </x:c>
      <x:c r="I127" t="s">
        <x:v>1115</x:v>
      </x:c>
      <x:c r="J127" t="s">
        <x:v>1115</x:v>
      </x:c>
      <x:c r="K127" t="s">
        <x:v>1116</x:v>
      </x:c>
      <x:c r="L127" t="s">
        <x:v>1116</x:v>
      </x:c>
      <x:c r="M127" t="s">
        <x:v>1117</x:v>
      </x:c>
      <x:c r="N127" t="s">
        <x:v>1118</x:v>
      </x:c>
      <x:c r="O127" t="s">
        <x:v>1119</x:v>
      </x:c>
      <x:c r="P127" t="s">
        <x:v>1120</x:v>
      </x:c>
      <x:c r="R127" s="9">
        <x:v>35050</x:v>
      </x:c>
      <x:c r="T127" t="s">
        <x:v>119</x:v>
      </x:c>
      <x:c r="W127" s="26" t="n">
        <x:v>1.3166667</x:v>
      </x:c>
      <x:c r="X127" s="26" t="n">
        <x:v>-77.9166667</x:v>
      </x:c>
      <x:c r="AF127" t="s">
        <x:v>50</x:v>
      </x:c>
      <x:c r="AG127" t="s">
        <x:v>127</x:v>
      </x:c>
      <x:c r="AH127" t="s">
        <x:v>652</x:v>
      </x:c>
      <x:c r="AI127" t="s">
        <x:v>1121</x:v>
      </x:c>
      <x:c r="AJ127">
        <x:v>133</x:v>
      </x:c>
    </x:row>
    <x:row r="128">
      <x:c r="A128" t="s">
        <x:v>387</x:v>
      </x:c>
      <x:c r="B128" t="s">
        <x:v>37</x:v>
      </x:c>
      <x:c r="C128" t="s">
        <x:v>1122</x:v>
      </x:c>
      <x:c r="D128" t="s">
        <x:v>984</x:v>
      </x:c>
      <x:c r="E128" t="s">
        <x:v>1123</x:v>
      </x:c>
      <x:c r="F128">
        <x:v>2526</x:v>
      </x:c>
      <x:c r="G128">
        <x:v>2526</x:v>
      </x:c>
      <x:c r="H128">
        <x:v>2526</x:v>
      </x:c>
      <x:c r="I128" t="s">
        <x:v>1124</x:v>
      </x:c>
      <x:c r="J128" t="s">
        <x:v>1124</x:v>
      </x:c>
      <x:c r="K128" t="s">
        <x:v>1125</x:v>
      </x:c>
      <x:c r="L128" t="s">
        <x:v>1125</x:v>
      </x:c>
      <x:c r="M128" t="s">
        <x:v>1126</x:v>
      </x:c>
      <x:c r="P128" t="s">
        <x:v>80</x:v>
      </x:c>
      <x:c r="R128" s="9"/>
      <x:c r="W128" s="26" t="n">
        <x:v>4.9848806</x:v>
      </x:c>
      <x:c r="X128" s="26" t="n">
        <x:v>-75.4511389</x:v>
      </x:c>
      <x:c r="AB128">
        <x:v>19</x:v>
      </x:c>
      <x:c r="AF128" t="s">
        <x:v>50</x:v>
      </x:c>
      <x:c r="AG128" t="s">
        <x:v>167</x:v>
      </x:c>
      <x:c r="AH128" t="s">
        <x:v>1127</x:v>
      </x:c>
      <x:c r="AI128" t="s">
        <x:v>1128</x:v>
      </x:c>
      <x:c r="AJ128">
        <x:v>135</x:v>
      </x:c>
    </x:row>
    <x:row r="129">
      <x:c r="A129" t="s">
        <x:v>387</x:v>
      </x:c>
      <x:c r="B129" t="s">
        <x:v>37</x:v>
      </x:c>
      <x:c r="C129" t="s">
        <x:v>1129</x:v>
      </x:c>
      <x:c r="D129" t="s">
        <x:v>984</x:v>
      </x:c>
      <x:c r="E129" t="s">
        <x:v>1123</x:v>
      </x:c>
      <x:c r="F129">
        <x:v>2526</x:v>
      </x:c>
      <x:c r="G129">
        <x:v>2526</x:v>
      </x:c>
      <x:c r="H129">
        <x:v>2526</x:v>
      </x:c>
      <x:c r="I129" t="s">
        <x:v>1124</x:v>
      </x:c>
      <x:c r="J129" t="s">
        <x:v>1124</x:v>
      </x:c>
      <x:c r="K129" t="s">
        <x:v>1125</x:v>
      </x:c>
      <x:c r="L129" t="s">
        <x:v>1125</x:v>
      </x:c>
      <x:c r="M129" t="s">
        <x:v>1126</x:v>
      </x:c>
      <x:c r="P129" t="s">
        <x:v>80</x:v>
      </x:c>
      <x:c r="R129" s="9"/>
      <x:c r="W129" s="26" t="n">
        <x:v>4.9848806</x:v>
      </x:c>
      <x:c r="X129" s="26" t="n">
        <x:v>-75.4511389</x:v>
      </x:c>
      <x:c r="AB129">
        <x:v>19</x:v>
      </x:c>
      <x:c r="AF129" t="s">
        <x:v>50</x:v>
      </x:c>
      <x:c r="AG129" t="s">
        <x:v>167</x:v>
      </x:c>
      <x:c r="AH129" t="s">
        <x:v>1127</x:v>
      </x:c>
      <x:c r="AI129" t="s">
        <x:v>1128</x:v>
      </x:c>
      <x:c r="AJ129">
        <x:v>136</x:v>
      </x:c>
    </x:row>
    <x:row r="130">
      <x:c r="A130" t="s">
        <x:v>387</x:v>
      </x:c>
      <x:c r="B130" t="s">
        <x:v>37</x:v>
      </x:c>
      <x:c r="C130" t="s">
        <x:v>1130</x:v>
      </x:c>
      <x:c r="D130" t="s">
        <x:v>1131</x:v>
      </x:c>
      <x:c r="E130" t="s">
        <x:v>1132</x:v>
      </x:c>
      <x:c r="F130">
        <x:v>2250</x:v>
      </x:c>
      <x:c r="G130">
        <x:v>2250</x:v>
      </x:c>
      <x:c r="H130">
        <x:v>2250</x:v>
      </x:c>
      <x:c r="I130" t="s">
        <x:v>1133</x:v>
      </x:c>
      <x:c r="J130" t="s">
        <x:v>1134</x:v>
      </x:c>
      <x:c r="K130" t="s">
        <x:v>1135</x:v>
      </x:c>
      <x:c r="L130" t="s">
        <x:v>1136</x:v>
      </x:c>
      <x:c r="M130" t="s">
        <x:v>1137</x:v>
      </x:c>
      <x:c r="N130" t="s">
        <x:v>1138</x:v>
      </x:c>
      <x:c r="O130" t="s">
        <x:v>1139</x:v>
      </x:c>
      <x:c r="P130" t="s">
        <x:v>1140</x:v>
      </x:c>
      <x:c r="R130" s="9"/>
      <x:c r="W130" s="26" t="n">
        <x:v>5.35989</x:v>
      </x:c>
      <x:c r="X130" s="26" t="n">
        <x:v>-75.21129</x:v>
      </x:c>
      <x:c r="Y130">
        <x:v>6108.1729999999998</x:v>
      </x:c>
      <x:c r="AA130" t="s">
        <x:v>1141</x:v>
      </x:c>
      <x:c r="AB130">
        <x:v>24</x:v>
      </x:c>
      <x:c r="AF130" t="s">
        <x:v>50</x:v>
      </x:c>
      <x:c r="AG130" t="s">
        <x:v>167</x:v>
      </x:c>
      <x:c r="AH130" t="s">
        <x:v>1142</x:v>
      </x:c>
      <x:c r="AI130" t="s">
        <x:v>1143</x:v>
      </x:c>
      <x:c r="AJ130">
        <x:v>137</x:v>
      </x:c>
    </x:row>
    <x:row r="131">
      <x:c r="A131" t="s">
        <x:v>387</x:v>
      </x:c>
      <x:c r="B131" t="s">
        <x:v>37</x:v>
      </x:c>
      <x:c r="C131" t="s">
        <x:v>1144</x:v>
      </x:c>
      <x:c r="D131" t="s">
        <x:v>984</x:v>
      </x:c>
      <x:c r="E131" t="s">
        <x:v>1099</x:v>
      </x:c>
      <x:c r="F131">
        <x:v>1950</x:v>
      </x:c>
      <x:c r="G131">
        <x:v>1950</x:v>
      </x:c>
      <x:c r="H131">
        <x:v>1950</x:v>
      </x:c>
      <x:c r="I131" t="s">
        <x:v>1100</x:v>
      </x:c>
      <x:c r="J131" t="s">
        <x:v>1100</x:v>
      </x:c>
      <x:c r="K131" t="s">
        <x:v>1101</x:v>
      </x:c>
      <x:c r="L131" t="s">
        <x:v>1102</x:v>
      </x:c>
      <x:c r="M131" t="s">
        <x:v>1103</x:v>
      </x:c>
      <x:c r="P131" t="s">
        <x:v>80</x:v>
      </x:c>
      <x:c r="R131" s="9"/>
      <x:c r="W131" s="26" t="n">
        <x:v>4.68067</x:v>
      </x:c>
      <x:c r="X131" s="26" t="n">
        <x:v>-75.63452</x:v>
      </x:c>
      <x:c r="Y131">
        <x:v>2304.893</x:v>
      </x:c>
      <x:c r="Z131">
        <x:v>1856</x:v>
      </x:c>
      <x:c r="AB131" t="s">
        <x:v>319</x:v>
      </x:c>
      <x:c r="AF131" t="s">
        <x:v>50</x:v>
      </x:c>
      <x:c r="AG131" t="s">
        <x:v>182</x:v>
      </x:c>
      <x:c r="AH131" t="s">
        <x:v>320</x:v>
      </x:c>
      <x:c r="AI131" t="s">
        <x:v>1104</x:v>
      </x:c>
      <x:c r="AJ131">
        <x:v>138</x:v>
      </x:c>
    </x:row>
    <x:row r="132">
      <x:c r="A132" t="s">
        <x:v>387</x:v>
      </x:c>
      <x:c r="B132" t="s">
        <x:v>37</x:v>
      </x:c>
      <x:c r="C132" t="s">
        <x:v>1145</x:v>
      </x:c>
      <x:c r="D132" t="s">
        <x:v>984</x:v>
      </x:c>
      <x:c r="E132" t="s">
        <x:v>1099</x:v>
      </x:c>
      <x:c r="F132">
        <x:v>1950</x:v>
      </x:c>
      <x:c r="G132">
        <x:v>1950</x:v>
      </x:c>
      <x:c r="H132">
        <x:v>1950</x:v>
      </x:c>
      <x:c r="I132" t="s">
        <x:v>1100</x:v>
      </x:c>
      <x:c r="J132" t="s">
        <x:v>1100</x:v>
      </x:c>
      <x:c r="K132" t="s">
        <x:v>1101</x:v>
      </x:c>
      <x:c r="L132" t="s">
        <x:v>1102</x:v>
      </x:c>
      <x:c r="M132" t="s">
        <x:v>1103</x:v>
      </x:c>
      <x:c r="P132" t="s">
        <x:v>80</x:v>
      </x:c>
      <x:c r="R132" s="9"/>
      <x:c r="W132" s="26" t="n">
        <x:v>4.68067</x:v>
      </x:c>
      <x:c r="X132" s="26" t="n">
        <x:v>-75.63452</x:v>
      </x:c>
      <x:c r="Y132">
        <x:v>2304.893</x:v>
      </x:c>
      <x:c r="Z132">
        <x:v>1856</x:v>
      </x:c>
      <x:c r="AB132" t="s">
        <x:v>319</x:v>
      </x:c>
      <x:c r="AF132" t="s">
        <x:v>50</x:v>
      </x:c>
      <x:c r="AG132" t="s">
        <x:v>182</x:v>
      </x:c>
      <x:c r="AH132" t="s">
        <x:v>320</x:v>
      </x:c>
      <x:c r="AI132" t="s">
        <x:v>1104</x:v>
      </x:c>
      <x:c r="AJ132">
        <x:v>139</x:v>
      </x:c>
    </x:row>
    <x:row r="133">
      <x:c r="A133" t="s">
        <x:v>387</x:v>
      </x:c>
      <x:c r="B133" t="s">
        <x:v>37</x:v>
      </x:c>
      <x:c r="C133" t="s">
        <x:v>1146</x:v>
      </x:c>
      <x:c r="D133" t="s">
        <x:v>984</x:v>
      </x:c>
      <x:c r="E133" t="s">
        <x:v>1099</x:v>
      </x:c>
      <x:c r="F133">
        <x:v>1950</x:v>
      </x:c>
      <x:c r="G133">
        <x:v>1950</x:v>
      </x:c>
      <x:c r="H133">
        <x:v>1950</x:v>
      </x:c>
      <x:c r="I133" t="s">
        <x:v>1100</x:v>
      </x:c>
      <x:c r="J133" t="s">
        <x:v>1100</x:v>
      </x:c>
      <x:c r="K133" t="s">
        <x:v>1101</x:v>
      </x:c>
      <x:c r="L133" t="s">
        <x:v>1102</x:v>
      </x:c>
      <x:c r="M133" t="s">
        <x:v>1103</x:v>
      </x:c>
      <x:c r="P133" t="s">
        <x:v>80</x:v>
      </x:c>
      <x:c r="R133" s="9"/>
      <x:c r="W133" s="26" t="n">
        <x:v>4.68067</x:v>
      </x:c>
      <x:c r="X133" s="26" t="n">
        <x:v>-75.63452</x:v>
      </x:c>
      <x:c r="Y133">
        <x:v>2304.893</x:v>
      </x:c>
      <x:c r="Z133">
        <x:v>1856</x:v>
      </x:c>
      <x:c r="AB133" t="s">
        <x:v>319</x:v>
      </x:c>
      <x:c r="AF133" t="s">
        <x:v>50</x:v>
      </x:c>
      <x:c r="AG133" t="s">
        <x:v>182</x:v>
      </x:c>
      <x:c r="AH133" t="s">
        <x:v>320</x:v>
      </x:c>
      <x:c r="AI133" t="s">
        <x:v>1104</x:v>
      </x:c>
      <x:c r="AJ133">
        <x:v>140</x:v>
      </x:c>
    </x:row>
    <x:row r="134">
      <x:c r="A134" t="s">
        <x:v>387</x:v>
      </x:c>
      <x:c r="B134" t="s">
        <x:v>37</x:v>
      </x:c>
      <x:c r="C134" t="s">
        <x:v>1147</x:v>
      </x:c>
      <x:c r="D134" t="s">
        <x:v>1148</x:v>
      </x:c>
      <x:c r="E134" t="s">
        <x:v>1149</x:v>
      </x:c>
      <x:c r="F134">
        <x:v>2035</x:v>
      </x:c>
      <x:c r="G134">
        <x:v>2035</x:v>
      </x:c>
      <x:c r="H134">
        <x:v>2035</x:v>
      </x:c>
      <x:c r="I134" t="s">
        <x:v>797</x:v>
      </x:c>
      <x:c r="J134" t="s">
        <x:v>798</x:v>
      </x:c>
      <x:c r="K134" t="s">
        <x:v>799</x:v>
      </x:c>
      <x:c r="L134" t="s">
        <x:v>419</x:v>
      </x:c>
      <x:c r="M134" t="s">
        <x:v>800</x:v>
      </x:c>
      <x:c r="N134" t="s">
        <x:v>801</x:v>
      </x:c>
      <x:c r="O134" t="s">
        <x:v>422</x:v>
      </x:c>
      <x:c r="P134" t="s">
        <x:v>802</x:v>
      </x:c>
      <x:c r="R134" s="9"/>
      <x:c r="W134" s="26" t="n">
        <x:v>4.6666667</x:v>
      </x:c>
      <x:c r="X134" s="26" t="n">
        <x:v>-75.5</x:v>
      </x:c>
      <x:c r="AF134" t="s">
        <x:v>50</x:v>
      </x:c>
      <x:c r="AG134" t="s">
        <x:v>182</x:v>
      </x:c>
      <x:c r="AH134" t="s">
        <x:v>803</x:v>
      </x:c>
      <x:c r="AI134" t="s">
        <x:v>1150</x:v>
      </x:c>
      <x:c r="AJ134">
        <x:v>141</x:v>
      </x:c>
    </x:row>
    <x:row r="135">
      <x:c r="A135" t="s">
        <x:v>387</x:v>
      </x:c>
      <x:c r="B135" t="s">
        <x:v>37</x:v>
      </x:c>
      <x:c r="C135" t="s">
        <x:v>1151</x:v>
      </x:c>
      <x:c r="D135" t="s">
        <x:v>984</x:v>
      </x:c>
      <x:c r="E135" t="s">
        <x:v>1152</x:v>
      </x:c>
      <x:c r="F135">
        <x:v>1950</x:v>
      </x:c>
      <x:c r="G135">
        <x:v>1950</x:v>
      </x:c>
      <x:c r="H135">
        <x:v>1950</x:v>
      </x:c>
      <x:c r="I135" t="s">
        <x:v>1100</x:v>
      </x:c>
      <x:c r="J135" t="s">
        <x:v>1100</x:v>
      </x:c>
      <x:c r="K135" t="s">
        <x:v>1101</x:v>
      </x:c>
      <x:c r="L135" t="s">
        <x:v>1102</x:v>
      </x:c>
      <x:c r="M135" t="s">
        <x:v>1103</x:v>
      </x:c>
      <x:c r="P135" t="s">
        <x:v>80</x:v>
      </x:c>
      <x:c r="R135" s="9"/>
      <x:c r="W135" s="26" t="n">
        <x:v>4.68573</x:v>
      </x:c>
      <x:c r="X135" s="26" t="n">
        <x:v>-75.57803</x:v>
      </x:c>
      <x:c r="Y135">
        <x:v>5540.5119999999997</x:v>
      </x:c>
      <x:c r="Z135">
        <x:v>2087</x:v>
      </x:c>
      <x:c r="AB135" t="s">
        <x:v>1153</x:v>
      </x:c>
      <x:c r="AF135" t="s">
        <x:v>50</x:v>
      </x:c>
      <x:c r="AG135" t="s">
        <x:v>182</x:v>
      </x:c>
      <x:c r="AH135" t="s">
        <x:v>803</x:v>
      </x:c>
      <x:c r="AI135" t="s">
        <x:v>1154</x:v>
      </x:c>
      <x:c r="AJ135">
        <x:v>142</x:v>
      </x:c>
    </x:row>
    <x:row r="136">
      <x:c r="A136" t="s">
        <x:v>387</x:v>
      </x:c>
      <x:c r="B136" t="s">
        <x:v>37</x:v>
      </x:c>
      <x:c r="C136" t="s">
        <x:v>1155</x:v>
      </x:c>
      <x:c r="D136" t="s">
        <x:v>1156</x:v>
      </x:c>
      <x:c r="E136" t="s">
        <x:v>1157</x:v>
      </x:c>
      <x:c r="F136">
        <x:v>2140</x:v>
      </x:c>
      <x:c r="G136">
        <x:v>2140</x:v>
      </x:c>
      <x:c r="H136">
        <x:v>2140</x:v>
      </x:c>
      <x:c r="I136" t="s">
        <x:v>672</x:v>
      </x:c>
      <x:c r="J136" t="s">
        <x:v>673</x:v>
      </x:c>
      <x:c r="K136" t="s">
        <x:v>674</x:v>
      </x:c>
      <x:c r="L136" t="s">
        <x:v>675</x:v>
      </x:c>
      <x:c r="M136" t="s">
        <x:v>676</x:v>
      </x:c>
      <x:c r="N136" t="s">
        <x:v>677</x:v>
      </x:c>
      <x:c r="O136" t="s">
        <x:v>678</x:v>
      </x:c>
      <x:c r="P136" t="s">
        <x:v>679</x:v>
      </x:c>
      <x:c r="R136" s="9"/>
      <x:c r="T136" t="s">
        <x:v>119</x:v>
      </x:c>
      <x:c r="W136" s="26" t="n">
        <x:v>4.72086</x:v>
      </x:c>
      <x:c r="X136" s="26" t="n">
        <x:v>-75.56629</x:v>
      </x:c>
      <x:c r="Y136">
        <x:v>2874.5509999999999</x:v>
      </x:c>
      <x:c r="AB136" t="s">
        <x:v>680</x:v>
      </x:c>
      <x:c r="AF136" t="s">
        <x:v>50</x:v>
      </x:c>
      <x:c r="AG136" t="s">
        <x:v>360</x:v>
      </x:c>
      <x:c r="AH136" t="s">
        <x:v>361</x:v>
      </x:c>
      <x:c r="AI136" t="s">
        <x:v>1158</x:v>
      </x:c>
      <x:c r="AJ136">
        <x:v>143</x:v>
      </x:c>
    </x:row>
    <x:row r="137">
      <x:c r="A137" t="s">
        <x:v>387</x:v>
      </x:c>
      <x:c r="B137" t="s">
        <x:v>37</x:v>
      </x:c>
      <x:c r="C137" t="s">
        <x:v>1159</x:v>
      </x:c>
      <x:c r="D137" t="s">
        <x:v>984</x:v>
      </x:c>
      <x:c r="E137" t="s">
        <x:v>1160</x:v>
      </x:c>
      <x:c r="F137">
        <x:v>1669</x:v>
      </x:c>
      <x:c r="G137">
        <x:v>1669</x:v>
      </x:c>
      <x:c r="H137">
        <x:v>1669</x:v>
      </x:c>
      <x:c r="I137" t="s">
        <x:v>1161</x:v>
      </x:c>
      <x:c r="J137" t="s">
        <x:v>1161</x:v>
      </x:c>
      <x:c r="K137" t="s">
        <x:v>1162</x:v>
      </x:c>
      <x:c r="L137" t="s">
        <x:v>1162</x:v>
      </x:c>
      <x:c r="M137" t="s">
        <x:v>1163</x:v>
      </x:c>
      <x:c r="N137" t="s">
        <x:v>1164</x:v>
      </x:c>
      <x:c r="O137" t="s">
        <x:v>1165</x:v>
      </x:c>
      <x:c r="P137" t="s">
        <x:v>1166</x:v>
      </x:c>
      <x:c r="R137" s="9"/>
      <x:c r="W137" s="26" t="n">
        <x:v>5.12739</x:v>
      </x:c>
      <x:c r="X137" s="26" t="n">
        <x:v>-75.7784</x:v>
      </x:c>
      <x:c r="Y137">
        <x:v>4307.0860000000002</x:v>
      </x:c>
      <x:c r="Z137">
        <x:v>1647</x:v>
      </x:c>
      <x:c r="AB137" t="s">
        <x:v>1167</x:v>
      </x:c>
      <x:c r="AF137" t="s">
        <x:v>50</x:v>
      </x:c>
      <x:c r="AG137" t="s">
        <x:v>360</x:v>
      </x:c>
      <x:c r="AH137" t="s">
        <x:v>1168</x:v>
      </x:c>
      <x:c r="AI137" t="s">
        <x:v>1169</x:v>
      </x:c>
      <x:c r="AJ137">
        <x:v>144</x:v>
      </x:c>
    </x:row>
    <x:row r="138" s="17" customFormat="1">
      <x:c r="A138" s="17" t="s">
        <x:v>1170</x:v>
      </x:c>
      <x:c r="B138" s="17" t="s">
        <x:v>1171</x:v>
      </x:c>
      <x:c r="C138" s="17" t="s">
        <x:v>1172</x:v>
      </x:c>
      <x:c r="D138" s="17" t="s">
        <x:v>1173</x:v>
      </x:c>
      <x:c r="E138" s="17" t="s">
        <x:v>1174</x:v>
      </x:c>
      <x:c r="F138" s="17" t="s">
        <x:v>1175</x:v>
      </x:c>
      <x:c r="G138" s="17">
        <x:v>400</x:v>
      </x:c>
      <x:c r="H138" s="17">
        <x:v>900</x:v>
      </x:c>
      <x:c r="I138" s="17" t="s">
        <x:v>1176</x:v>
      </x:c>
      <x:c r="J138" s="17" t="s">
        <x:v>1177</x:v>
      </x:c>
      <x:c r="K138" s="17" t="s">
        <x:v>1178</x:v>
      </x:c>
      <x:c r="L138" s="17" t="s">
        <x:v>1179</x:v>
      </x:c>
      <x:c r="M138" s="17" t="s">
        <x:v>1180</x:v>
      </x:c>
      <x:c r="N138" s="17" t="s">
        <x:v>1181</x:v>
      </x:c>
      <x:c r="O138" s="17" t="s">
        <x:v>1182</x:v>
      </x:c>
      <x:c r="P138" s="17" t="s">
        <x:v>1183</x:v>
      </x:c>
      <x:c r="R138" s="19">
        <x:v>27588</x:v>
      </x:c>
      <x:c r="T138" s="17" t="s">
        <x:v>119</x:v>
      </x:c>
      <x:c r="W138" s="26" t="n">
        <x:v>7.29167</x:v>
      </x:c>
      <x:c r="X138" s="26" t="n">
        <x:v>-75.06623</x:v>
      </x:c>
      <x:c r="Y138" s="17" t="s">
        <x:v>1184</x:v>
      </x:c>
      <x:c r="Z138" s="17">
        <x:v>666</x:v>
      </x:c>
      <x:c r="AA138" s="21" t="s">
        <x:v>1185</x:v>
      </x:c>
      <x:c r="AF138" s="17" t="s">
        <x:v>50</x:v>
      </x:c>
      <x:c r="AG138" s="17" t="s">
        <x:v>402</x:v>
      </x:c>
      <x:c r="AH138" s="17" t="s">
        <x:v>1186</x:v>
      </x:c>
      <x:c r="AI138" s="17" t="s">
        <x:v>1187</x:v>
      </x:c>
      <x:c r="AJ138" s="17">
        <x:v>145</x:v>
      </x:c>
    </x:row>
    <x:row r="139">
      <x:c r="A139" t="s">
        <x:v>1170</x:v>
      </x:c>
      <x:c r="B139" t="s">
        <x:v>1171</x:v>
      </x:c>
      <x:c r="C139" t="s">
        <x:v>1188</x:v>
      </x:c>
      <x:c r="D139" t="s">
        <x:v>1189</x:v>
      </x:c>
      <x:c r="E139" t="s">
        <x:v>1190</x:v>
      </x:c>
      <x:c r="F139">
        <x:v>400</x:v>
      </x:c>
      <x:c r="G139">
        <x:v>400</x:v>
      </x:c>
      <x:c r="H139">
        <x:v>400</x:v>
      </x:c>
      <x:c r="I139" t="s">
        <x:v>1191</x:v>
      </x:c>
      <x:c r="J139" t="s">
        <x:v>1192</x:v>
      </x:c>
      <x:c r="K139" t="s">
        <x:v>1193</x:v>
      </x:c>
      <x:c r="L139" t="s">
        <x:v>1194</x:v>
      </x:c>
      <x:c r="M139" t="s">
        <x:v>1195</x:v>
      </x:c>
      <x:c r="N139" t="s">
        <x:v>1196</x:v>
      </x:c>
      <x:c r="O139" t="s">
        <x:v>1197</x:v>
      </x:c>
      <x:c r="P139" t="s">
        <x:v>1198</x:v>
      </x:c>
      <x:c r="R139" s="9">
        <x:v>30388</x:v>
      </x:c>
      <x:c r="T139" t="s">
        <x:v>119</x:v>
      </x:c>
      <x:c r="W139" s="26" t="n">
        <x:v>5.98799</x:v>
      </x:c>
      <x:c r="X139" s="26" t="n">
        <x:v>-74.92925</x:v>
      </x:c>
      <x:c r="Y139">
        <x:v>2829.34</x:v>
      </x:c>
      <x:c r="Z139">
        <x:v>533</x:v>
      </x:c>
      <x:c r="AB139" t="s">
        <x:v>1199</x:v>
      </x:c>
      <x:c r="AF139" t="s">
        <x:v>50</x:v>
      </x:c>
      <x:c r="AG139" t="s">
        <x:v>402</x:v>
      </x:c>
      <x:c r="AH139" t="s">
        <x:v>1200</x:v>
      </x:c>
      <x:c r="AI139" t="s">
        <x:v>1201</x:v>
      </x:c>
      <x:c r="AJ139">
        <x:v>146</x:v>
      </x:c>
    </x:row>
    <x:row r="140">
      <x:c r="A140" t="s">
        <x:v>1170</x:v>
      </x:c>
      <x:c r="B140" t="s">
        <x:v>1171</x:v>
      </x:c>
      <x:c r="C140" t="s">
        <x:v>1202</x:v>
      </x:c>
      <x:c r="D140" t="s">
        <x:v>1203</x:v>
      </x:c>
      <x:c r="E140" t="s">
        <x:v>1204</x:v>
      </x:c>
      <x:c r="F140">
        <x:v>800</x:v>
      </x:c>
      <x:c r="G140">
        <x:v>800</x:v>
      </x:c>
      <x:c r="H140">
        <x:v>800</x:v>
      </x:c>
      <x:c r="I140" t="s">
        <x:v>1205</x:v>
      </x:c>
      <x:c r="J140" t="s">
        <x:v>1206</x:v>
      </x:c>
      <x:c r="K140" t="s">
        <x:v>1207</x:v>
      </x:c>
      <x:c r="L140" t="s">
        <x:v>1208</x:v>
      </x:c>
      <x:c r="M140" t="s">
        <x:v>1209</x:v>
      </x:c>
      <x:c r="N140" t="s">
        <x:v>1210</x:v>
      </x:c>
      <x:c r="O140" t="s">
        <x:v>1211</x:v>
      </x:c>
      <x:c r="P140" t="s">
        <x:v>1212</x:v>
      </x:c>
      <x:c r="R140" s="9">
        <x:v>30651</x:v>
      </x:c>
      <x:c r="T140" t="s">
        <x:v>119</x:v>
      </x:c>
      <x:c r="W140" s="26" t="n">
        <x:v>6.05</x:v>
      </x:c>
      <x:c r="X140" s="26" t="n">
        <x:v>-75</x:v>
      </x:c>
      <x:c r="AF140" t="s">
        <x:v>50</x:v>
      </x:c>
      <x:c r="AG140" t="s">
        <x:v>402</x:v>
      </x:c>
      <x:c r="AH140" t="s">
        <x:v>1200</x:v>
      </x:c>
      <x:c r="AI140" t="s">
        <x:v>1213</x:v>
      </x:c>
      <x:c r="AJ140">
        <x:v>147</x:v>
      </x:c>
    </x:row>
    <x:row r="141">
      <x:c r="A141" t="s">
        <x:v>1170</x:v>
      </x:c>
      <x:c r="B141" t="s">
        <x:v>1171</x:v>
      </x:c>
      <x:c r="C141" t="s">
        <x:v>1214</x:v>
      </x:c>
      <x:c r="D141" t="s">
        <x:v>1215</x:v>
      </x:c>
      <x:c r="E141" t="s">
        <x:v>1204</x:v>
      </x:c>
      <x:c r="F141">
        <x:v>800</x:v>
      </x:c>
      <x:c r="G141">
        <x:v>800</x:v>
      </x:c>
      <x:c r="H141">
        <x:v>800</x:v>
      </x:c>
      <x:c r="I141" t="s">
        <x:v>1205</x:v>
      </x:c>
      <x:c r="J141" t="s">
        <x:v>1206</x:v>
      </x:c>
      <x:c r="K141" t="s">
        <x:v>1207</x:v>
      </x:c>
      <x:c r="L141" t="s">
        <x:v>1208</x:v>
      </x:c>
      <x:c r="M141" t="s">
        <x:v>1209</x:v>
      </x:c>
      <x:c r="N141" t="s">
        <x:v>1210</x:v>
      </x:c>
      <x:c r="O141" t="s">
        <x:v>1216</x:v>
      </x:c>
      <x:c r="P141" t="s">
        <x:v>1217</x:v>
      </x:c>
      <x:c r="R141" s="9">
        <x:v>30676</x:v>
      </x:c>
      <x:c r="T141" t="s">
        <x:v>119</x:v>
      </x:c>
      <x:c r="W141" s="26" t="n">
        <x:v>6.05</x:v>
      </x:c>
      <x:c r="X141" s="26" t="n">
        <x:v>-75</x:v>
      </x:c>
      <x:c r="AF141" t="s">
        <x:v>50</x:v>
      </x:c>
      <x:c r="AG141" t="s">
        <x:v>402</x:v>
      </x:c>
      <x:c r="AH141" t="s">
        <x:v>1200</x:v>
      </x:c>
      <x:c r="AI141" t="s">
        <x:v>1213</x:v>
      </x:c>
      <x:c r="AJ141">
        <x:v>148</x:v>
      </x:c>
    </x:row>
    <x:row r="142">
      <x:c r="A142" t="s">
        <x:v>1170</x:v>
      </x:c>
      <x:c r="B142" t="s">
        <x:v>1171</x:v>
      </x:c>
      <x:c r="C142" t="s">
        <x:v>1218</x:v>
      </x:c>
      <x:c r="D142" t="s">
        <x:v>1219</x:v>
      </x:c>
      <x:c r="E142" t="s">
        <x:v>1220</x:v>
      </x:c>
      <x:c r="F142">
        <x:v>740</x:v>
      </x:c>
      <x:c r="G142">
        <x:v>740</x:v>
      </x:c>
      <x:c r="H142">
        <x:v>740</x:v>
      </x:c>
      <x:c r="I142" t="s">
        <x:v>1221</x:v>
      </x:c>
      <x:c r="J142" t="s">
        <x:v>1222</x:v>
      </x:c>
      <x:c r="K142" t="s">
        <x:v>1223</x:v>
      </x:c>
      <x:c r="L142" t="s">
        <x:v>1224</x:v>
      </x:c>
      <x:c r="M142" t="s">
        <x:v>1225</x:v>
      </x:c>
      <x:c r="N142" t="s">
        <x:v>1226</x:v>
      </x:c>
      <x:c r="O142" t="s">
        <x:v>1227</x:v>
      </x:c>
      <x:c r="P142" t="s">
        <x:v>1228</x:v>
      </x:c>
      <x:c r="R142" s="9">
        <x:v>37938</x:v>
      </x:c>
      <x:c r="T142" t="s">
        <x:v>119</x:v>
      </x:c>
      <x:c r="W142" s="26" t="n">
        <x:v>7.2662778</x:v>
      </x:c>
      <x:c r="X142" s="26" t="n">
        <x:v>-75.0741667</x:v>
      </x:c>
      <x:c r="AF142" t="s">
        <x:v>50</x:v>
      </x:c>
      <x:c r="AG142" t="s">
        <x:v>402</x:v>
      </x:c>
      <x:c r="AH142" t="s">
        <x:v>1186</x:v>
      </x:c>
      <x:c r="AI142" t="s">
        <x:v>1229</x:v>
      </x:c>
      <x:c r="AJ142">
        <x:v>149</x:v>
      </x:c>
    </x:row>
    <x:row r="143">
      <x:c r="A143" t="s">
        <x:v>1170</x:v>
      </x:c>
      <x:c r="B143" t="s">
        <x:v>1171</x:v>
      </x:c>
      <x:c r="C143" t="s">
        <x:v>1230</x:v>
      </x:c>
      <x:c r="D143" t="s">
        <x:v>1231</x:v>
      </x:c>
      <x:c r="E143" t="s">
        <x:v>1232</x:v>
      </x:c>
      <x:c r="F143">
        <x:v>500</x:v>
      </x:c>
      <x:c r="G143">
        <x:v>500</x:v>
      </x:c>
      <x:c r="H143">
        <x:v>500</x:v>
      </x:c>
      <x:c r="I143" t="s">
        <x:v>1233</x:v>
      </x:c>
      <x:c r="J143" t="s">
        <x:v>1234</x:v>
      </x:c>
      <x:c r="K143" t="s">
        <x:v>1235</x:v>
      </x:c>
      <x:c r="L143" t="s">
        <x:v>1236</x:v>
      </x:c>
      <x:c r="M143" t="s">
        <x:v>1237</x:v>
      </x:c>
      <x:c r="N143" t="s">
        <x:v>1238</x:v>
      </x:c>
      <x:c r="O143" t="s">
        <x:v>1239</x:v>
      </x:c>
      <x:c r="P143" t="s">
        <x:v>1240</x:v>
      </x:c>
      <x:c r="R143" s="9">
        <x:v>38004</x:v>
      </x:c>
      <x:c r="T143" t="s">
        <x:v>81</x:v>
      </x:c>
      <x:c r="W143" s="26" t="n">
        <x:v>7.2934722</x:v>
      </x:c>
      <x:c r="X143" s="26" t="n">
        <x:v>-75.0674722</x:v>
      </x:c>
      <x:c r="AF143" t="s">
        <x:v>50</x:v>
      </x:c>
      <x:c r="AG143" t="s">
        <x:v>402</x:v>
      </x:c>
      <x:c r="AH143" t="s">
        <x:v>1186</x:v>
      </x:c>
      <x:c r="AI143" t="s">
        <x:v>1241</x:v>
      </x:c>
      <x:c r="AJ143">
        <x:v>150</x:v>
      </x:c>
    </x:row>
    <x:row r="144">
      <x:c r="A144" t="s">
        <x:v>1170</x:v>
      </x:c>
      <x:c r="B144" t="s">
        <x:v>1171</x:v>
      </x:c>
      <x:c r="C144" t="s">
        <x:v>1230</x:v>
      </x:c>
      <x:c r="D144" t="s">
        <x:v>1242</x:v>
      </x:c>
      <x:c r="E144" t="s">
        <x:v>1232</x:v>
      </x:c>
      <x:c r="F144">
        <x:v>500</x:v>
      </x:c>
      <x:c r="G144">
        <x:v>500</x:v>
      </x:c>
      <x:c r="H144">
        <x:v>500</x:v>
      </x:c>
      <x:c r="I144" t="s">
        <x:v>1233</x:v>
      </x:c>
      <x:c r="J144" t="s">
        <x:v>1234</x:v>
      </x:c>
      <x:c r="K144" t="s">
        <x:v>1235</x:v>
      </x:c>
      <x:c r="L144" t="s">
        <x:v>1236</x:v>
      </x:c>
      <x:c r="M144" t="s">
        <x:v>1237</x:v>
      </x:c>
      <x:c r="N144" t="s">
        <x:v>1238</x:v>
      </x:c>
      <x:c r="O144" t="s">
        <x:v>1239</x:v>
      </x:c>
      <x:c r="P144" t="s">
        <x:v>1240</x:v>
      </x:c>
      <x:c r="R144" s="9">
        <x:v>38004</x:v>
      </x:c>
      <x:c r="T144" t="s">
        <x:v>81</x:v>
      </x:c>
      <x:c r="W144" s="26" t="n">
        <x:v>7.2934722</x:v>
      </x:c>
      <x:c r="X144" s="26" t="n">
        <x:v>-75.0674722</x:v>
      </x:c>
      <x:c r="AF144" t="s">
        <x:v>50</x:v>
      </x:c>
      <x:c r="AG144" t="s">
        <x:v>402</x:v>
      </x:c>
      <x:c r="AH144" t="s">
        <x:v>1186</x:v>
      </x:c>
      <x:c r="AI144" t="s">
        <x:v>1241</x:v>
      </x:c>
      <x:c r="AJ144">
        <x:v>151</x:v>
      </x:c>
    </x:row>
    <x:row r="145">
      <x:c r="A145" t="s">
        <x:v>1170</x:v>
      </x:c>
      <x:c r="B145" t="s">
        <x:v>1171</x:v>
      </x:c>
      <x:c r="C145" t="s">
        <x:v>1243</x:v>
      </x:c>
      <x:c r="D145" t="s">
        <x:v>1244</x:v>
      </x:c>
      <x:c r="E145" t="s">
        <x:v>1245</x:v>
      </x:c>
      <x:c r="F145">
        <x:v>700</x:v>
      </x:c>
      <x:c r="G145">
        <x:v>700</x:v>
      </x:c>
      <x:c r="H145">
        <x:v>700</x:v>
      </x:c>
      <x:c r="I145" t="s">
        <x:v>1246</x:v>
      </x:c>
      <x:c r="J145" t="s">
        <x:v>1247</x:v>
      </x:c>
      <x:c r="K145" t="s">
        <x:v>1248</x:v>
      </x:c>
      <x:c r="L145" t="s">
        <x:v>1249</x:v>
      </x:c>
      <x:c r="M145" t="s">
        <x:v>1250</x:v>
      </x:c>
      <x:c r="N145" t="s">
        <x:v>1251</x:v>
      </x:c>
      <x:c r="O145" t="s">
        <x:v>1252</x:v>
      </x:c>
      <x:c r="P145" t="s">
        <x:v>1253</x:v>
      </x:c>
      <x:c r="R145" s="9">
        <x:v>38006</x:v>
      </x:c>
      <x:c r="T145" t="s">
        <x:v>119</x:v>
      </x:c>
      <x:c r="W145" s="26" t="n">
        <x:v>7.2546</x:v>
      </x:c>
      <x:c r="X145" s="26" t="n">
        <x:v>-75.04881</x:v>
      </x:c>
      <x:c r="AF145" t="s">
        <x:v>50</x:v>
      </x:c>
      <x:c r="AG145" t="s">
        <x:v>402</x:v>
      </x:c>
      <x:c r="AH145" t="s">
        <x:v>1186</x:v>
      </x:c>
      <x:c r="AI145" t="s">
        <x:v>1254</x:v>
      </x:c>
      <x:c r="AJ145">
        <x:v>152</x:v>
      </x:c>
    </x:row>
    <x:row r="146">
      <x:c r="A146" t="s">
        <x:v>1170</x:v>
      </x:c>
      <x:c r="B146" t="s">
        <x:v>1171</x:v>
      </x:c>
      <x:c r="C146" t="s">
        <x:v>1243</x:v>
      </x:c>
      <x:c r="D146" t="s">
        <x:v>1255</x:v>
      </x:c>
      <x:c r="E146" t="s">
        <x:v>1245</x:v>
      </x:c>
      <x:c r="F146">
        <x:v>700</x:v>
      </x:c>
      <x:c r="G146">
        <x:v>700</x:v>
      </x:c>
      <x:c r="H146">
        <x:v>700</x:v>
      </x:c>
      <x:c r="I146" t="s">
        <x:v>1246</x:v>
      </x:c>
      <x:c r="J146" t="s">
        <x:v>1247</x:v>
      </x:c>
      <x:c r="K146" t="s">
        <x:v>1248</x:v>
      </x:c>
      <x:c r="L146" t="s">
        <x:v>1249</x:v>
      </x:c>
      <x:c r="M146" t="s">
        <x:v>1250</x:v>
      </x:c>
      <x:c r="N146" t="s">
        <x:v>1251</x:v>
      </x:c>
      <x:c r="O146" t="s">
        <x:v>1252</x:v>
      </x:c>
      <x:c r="P146" t="s">
        <x:v>1253</x:v>
      </x:c>
      <x:c r="R146" s="9">
        <x:v>38006</x:v>
      </x:c>
      <x:c r="T146" t="s">
        <x:v>119</x:v>
      </x:c>
      <x:c r="W146" s="26" t="n">
        <x:v>7.2546</x:v>
      </x:c>
      <x:c r="X146" s="26" t="n">
        <x:v>-75.04881</x:v>
      </x:c>
      <x:c r="Y146" t="s">
        <x:v>1256</x:v>
      </x:c>
      <x:c r="Z146">
        <x:v>683</x:v>
      </x:c>
      <x:c r="AF146" t="s">
        <x:v>50</x:v>
      </x:c>
      <x:c r="AG146" t="s">
        <x:v>402</x:v>
      </x:c>
      <x:c r="AH146" t="s">
        <x:v>1186</x:v>
      </x:c>
      <x:c r="AI146" t="s">
        <x:v>1254</x:v>
      </x:c>
      <x:c r="AJ146">
        <x:v>153</x:v>
      </x:c>
    </x:row>
    <x:row r="147">
      <x:c r="A147" t="s">
        <x:v>1170</x:v>
      </x:c>
      <x:c r="B147" t="s">
        <x:v>1171</x:v>
      </x:c>
      <x:c r="C147" t="s">
        <x:v>1257</x:v>
      </x:c>
      <x:c r="D147" t="s">
        <x:v>1258</x:v>
      </x:c>
      <x:c r="E147" t="s">
        <x:v>1259</x:v>
      </x:c>
      <x:c r="F147">
        <x:v>610</x:v>
      </x:c>
      <x:c r="G147">
        <x:v>610</x:v>
      </x:c>
      <x:c r="H147">
        <x:v>610</x:v>
      </x:c>
      <x:c r="I147" t="s">
        <x:v>1260</x:v>
      </x:c>
      <x:c r="J147" t="s">
        <x:v>1261</x:v>
      </x:c>
      <x:c r="K147" t="s">
        <x:v>1262</x:v>
      </x:c>
      <x:c r="L147" t="s">
        <x:v>1263</x:v>
      </x:c>
      <x:c r="M147" t="s">
        <x:v>1264</x:v>
      </x:c>
      <x:c r="N147" t="s">
        <x:v>1265</x:v>
      </x:c>
      <x:c r="O147" t="s">
        <x:v>1266</x:v>
      </x:c>
      <x:c r="P147" t="s">
        <x:v>1267</x:v>
      </x:c>
      <x:c r="R147" s="9">
        <x:v>38008</x:v>
      </x:c>
      <x:c r="T147" t="s">
        <x:v>119</x:v>
      </x:c>
      <x:c r="W147" s="26" t="n">
        <x:v>7.2833889</x:v>
      </x:c>
      <x:c r="X147" s="26" t="n">
        <x:v>-75.05</x:v>
      </x:c>
      <x:c r="AF147" t="s">
        <x:v>50</x:v>
      </x:c>
      <x:c r="AG147" t="s">
        <x:v>402</x:v>
      </x:c>
      <x:c r="AH147" t="s">
        <x:v>1186</x:v>
      </x:c>
      <x:c r="AI147" t="s">
        <x:v>1268</x:v>
      </x:c>
      <x:c r="AJ147">
        <x:v>154</x:v>
      </x:c>
    </x:row>
    <x:row r="148">
      <x:c r="A148" t="s">
        <x:v>1170</x:v>
      </x:c>
      <x:c r="B148" t="s">
        <x:v>1171</x:v>
      </x:c>
      <x:c r="C148" t="s">
        <x:v>1269</x:v>
      </x:c>
      <x:c r="D148" t="s">
        <x:v>1270</x:v>
      </x:c>
      <x:c r="E148" t="s">
        <x:v>1271</x:v>
      </x:c>
      <x:c r="F148">
        <x:v>800</x:v>
      </x:c>
      <x:c r="G148">
        <x:v>800</x:v>
      </x:c>
      <x:c r="H148">
        <x:v>800</x:v>
      </x:c>
      <x:c r="I148" t="s">
        <x:v>1272</x:v>
      </x:c>
      <x:c r="J148" t="s">
        <x:v>1273</x:v>
      </x:c>
      <x:c r="K148" t="s">
        <x:v>1274</x:v>
      </x:c>
      <x:c r="L148" t="s">
        <x:v>1275</x:v>
      </x:c>
      <x:c r="M148" t="s">
        <x:v>1276</x:v>
      </x:c>
      <x:c r="N148" t="s">
        <x:v>1277</x:v>
      </x:c>
      <x:c r="O148" t="s">
        <x:v>1278</x:v>
      </x:c>
      <x:c r="P148" t="s">
        <x:v>1279</x:v>
      </x:c>
      <x:c r="R148" s="9">
        <x:v>39193</x:v>
      </x:c>
      <x:c r="T148" t="s">
        <x:v>318</x:v>
      </x:c>
      <x:c r="W148" s="26" t="n">
        <x:v>5.90007</x:v>
      </x:c>
      <x:c r="X148" s="26" t="n">
        <x:v>-74.85718</x:v>
      </x:c>
      <x:c r="Y148">
        <x:v>893.81299999999999</x:v>
      </x:c>
      <x:c r="Z148">
        <x:v>334</x:v>
      </x:c>
      <x:c r="AA148" t="s">
        <x:v>1280</x:v>
      </x:c>
      <x:c r="AB148" t="s">
        <x:v>1281</x:v>
      </x:c>
      <x:c r="AF148" t="s">
        <x:v>50</x:v>
      </x:c>
      <x:c r="AG148" t="s">
        <x:v>402</x:v>
      </x:c>
      <x:c r="AH148" t="s">
        <x:v>1200</x:v>
      </x:c>
      <x:c r="AI148" t="s">
        <x:v>1282</x:v>
      </x:c>
      <x:c r="AJ148">
        <x:v>155</x:v>
      </x:c>
    </x:row>
    <x:row r="149">
      <x:c r="A149" t="s">
        <x:v>1283</x:v>
      </x:c>
      <x:c r="B149" t="s">
        <x:v>1284</x:v>
      </x:c>
      <x:c r="C149" t="s">
        <x:v>1285</x:v>
      </x:c>
      <x:c r="D149" t="s">
        <x:v>1286</x:v>
      </x:c>
      <x:c r="E149" t="s">
        <x:v>1287</x:v>
      </x:c>
      <x:c r="F149">
        <x:v>200</x:v>
      </x:c>
      <x:c r="G149">
        <x:v>200</x:v>
      </x:c>
      <x:c r="H149">
        <x:v>200</x:v>
      </x:c>
      <x:c r="P149" t="s">
        <x:v>80</x:v>
      </x:c>
      <x:c r="R149" s="9">
        <x:v>16502</x:v>
      </x:c>
      <x:c r="T149" t="s">
        <x:v>119</x:v>
      </x:c>
      <x:c r="W149" s="26" t="n">
        <x:v>0.72566</x:v>
      </x:c>
      <x:c r="X149" s="26" t="n">
        <x:v>-75.26382</x:v>
      </x:c>
      <x:c r="Y149">
        <x:v>4712.6779999999999</x:v>
      </x:c>
      <x:c r="Z149">
        <x:v>200</x:v>
      </x:c>
      <x:c r="AB149" t="s">
        <x:v>1288</x:v>
      </x:c>
      <x:c r="AF149" t="s">
        <x:v>50</x:v>
      </x:c>
      <x:c r="AG149" t="s">
        <x:v>1289</x:v>
      </x:c>
      <x:c r="AH149" t="s">
        <x:v>1290</x:v>
      </x:c>
      <x:c r="AI149" t="s">
        <x:v>1291</x:v>
      </x:c>
      <x:c r="AJ149">
        <x:v>156</x:v>
      </x:c>
    </x:row>
    <x:row r="150">
      <x:c r="A150" t="s">
        <x:v>1283</x:v>
      </x:c>
      <x:c r="B150" t="s">
        <x:v>1284</x:v>
      </x:c>
      <x:c r="C150" t="s">
        <x:v>1292</x:v>
      </x:c>
      <x:c r="D150" t="s">
        <x:v>1293</x:v>
      </x:c>
      <x:c r="E150" t="s">
        <x:v>1294</x:v>
      </x:c>
      <x:c r="F150">
        <x:v>1300</x:v>
      </x:c>
      <x:c r="G150">
        <x:v>1300</x:v>
      </x:c>
      <x:c r="H150">
        <x:v>1300</x:v>
      </x:c>
      <x:c r="P150" t="s">
        <x:v>80</x:v>
      </x:c>
      <x:c r="R150" s="9">
        <x:v>17543</x:v>
      </x:c>
      <x:c r="W150" s="26" t="n">
        <x:v>11.10533</x:v>
      </x:c>
      <x:c r="X150" s="26" t="n">
        <x:v>-74.10126</x:v>
      </x:c>
      <x:c r="Y150">
        <x:v>1405.8409999999999</x:v>
      </x:c>
      <x:c r="Z150">
        <x:v>1291</x:v>
      </x:c>
      <x:c r="AB150" t="s">
        <x:v>1295</x:v>
      </x:c>
      <x:c r="AF150" t="s">
        <x:v>50</x:v>
      </x:c>
      <x:c r="AG150" t="s">
        <x:v>1296</x:v>
      </x:c>
      <x:c r="AH150" t="s">
        <x:v>1297</x:v>
      </x:c>
      <x:c r="AI150" t="s">
        <x:v>1298</x:v>
      </x:c>
      <x:c r="AJ150">
        <x:v>157</x:v>
      </x:c>
    </x:row>
    <x:row r="151">
      <x:c r="A151" t="s">
        <x:v>1283</x:v>
      </x:c>
      <x:c r="B151" t="s">
        <x:v>1284</x:v>
      </x:c>
      <x:c r="C151" t="s">
        <x:v>1292</x:v>
      </x:c>
      <x:c r="D151" t="s">
        <x:v>1299</x:v>
      </x:c>
      <x:c r="E151" t="s">
        <x:v>1294</x:v>
      </x:c>
      <x:c r="F151">
        <x:v>1300</x:v>
      </x:c>
      <x:c r="G151">
        <x:v>1300</x:v>
      </x:c>
      <x:c r="H151">
        <x:v>1300</x:v>
      </x:c>
      <x:c r="P151" t="s">
        <x:v>80</x:v>
      </x:c>
      <x:c r="R151" s="9">
        <x:v>17543</x:v>
      </x:c>
      <x:c r="W151" s="26" t="n">
        <x:v>11.10533</x:v>
      </x:c>
      <x:c r="X151" s="26" t="n">
        <x:v>-74.10126</x:v>
      </x:c>
      <x:c r="Y151">
        <x:v>1405.8409999999999</x:v>
      </x:c>
      <x:c r="Z151">
        <x:v>1291</x:v>
      </x:c>
      <x:c r="AB151" t="s">
        <x:v>1295</x:v>
      </x:c>
      <x:c r="AF151" t="s">
        <x:v>50</x:v>
      </x:c>
      <x:c r="AG151" t="s">
        <x:v>1296</x:v>
      </x:c>
      <x:c r="AH151" t="s">
        <x:v>1297</x:v>
      </x:c>
      <x:c r="AI151" t="s">
        <x:v>1298</x:v>
      </x:c>
      <x:c r="AJ151">
        <x:v>158</x:v>
      </x:c>
    </x:row>
    <x:row r="152">
      <x:c r="A152" t="s">
        <x:v>1283</x:v>
      </x:c>
      <x:c r="B152" t="s">
        <x:v>1284</x:v>
      </x:c>
      <x:c r="C152" t="s">
        <x:v>1300</x:v>
      </x:c>
      <x:c r="D152" t="s">
        <x:v>1301</x:v>
      </x:c>
      <x:c r="E152" t="s">
        <x:v>1302</x:v>
      </x:c>
      <x:c r="F152" t="s">
        <x:v>1303</x:v>
      </x:c>
      <x:c r="G152">
        <x:v>700</x:v>
      </x:c>
      <x:c r="H152">
        <x:v>900</x:v>
      </x:c>
      <x:c r="P152" t="s">
        <x:v>80</x:v>
      </x:c>
      <x:c r="R152" s="9">
        <x:v>21635</x:v>
      </x:c>
      <x:c r="T152" t="s">
        <x:v>119</x:v>
      </x:c>
      <x:c r="W152" s="26" t="n">
        <x:v>7.01107</x:v>
      </x:c>
      <x:c r="X152" s="26" t="n">
        <x:v>-72.12883</x:v>
      </x:c>
      <x:c r="Y152">
        <x:v>2060.288</x:v>
      </x:c>
      <x:c r="Z152">
        <x:v>401</x:v>
      </x:c>
      <x:c r="AA152" t="s">
        <x:v>1304</x:v>
      </x:c>
      <x:c r="AB152" t="s">
        <x:v>1305</x:v>
      </x:c>
      <x:c r="AF152" t="s">
        <x:v>50</x:v>
      </x:c>
      <x:c r="AG152" t="s">
        <x:v>1306</x:v>
      </x:c>
      <x:c r="AH152" t="s">
        <x:v>1307</x:v>
      </x:c>
      <x:c r="AI152" t="s">
        <x:v>1308</x:v>
      </x:c>
      <x:c r="AJ152">
        <x:v>159</x:v>
      </x:c>
    </x:row>
    <x:row r="153">
      <x:c r="A153" t="s">
        <x:v>1283</x:v>
      </x:c>
      <x:c r="B153" t="s">
        <x:v>1284</x:v>
      </x:c>
      <x:c r="C153" t="s">
        <x:v>1309</x:v>
      </x:c>
      <x:c r="D153" t="s">
        <x:v>1310</x:v>
      </x:c>
      <x:c r="E153" t="s">
        <x:v>1311</x:v>
      </x:c>
      <x:c r="P153" t="s">
        <x:v>80</x:v>
      </x:c>
      <x:c r="R153" s="9">
        <x:v>22412</x:v>
      </x:c>
      <x:c r="T153" t="s">
        <x:v>119</x:v>
      </x:c>
      <x:c r="W153" s="26" t="n">
        <x:v>4.91813</x:v>
      </x:c>
      <x:c r="X153" s="26" t="n">
        <x:v>-74.41784</x:v>
      </x:c>
      <x:c r="Y153">
        <x:v>835.35299999999995</x:v>
      </x:c>
      <x:c r="Z153">
        <x:v>1647</x:v>
      </x:c>
      <x:c r="AB153" t="s">
        <x:v>1312</x:v>
      </x:c>
      <x:c r="AF153" t="s">
        <x:v>50</x:v>
      </x:c>
      <x:c r="AG153" t="s">
        <x:v>98</x:v>
      </x:c>
      <x:c r="AH153" t="s">
        <x:v>1313</x:v>
      </x:c>
      <x:c r="AI153" t="s">
        <x:v>1314</x:v>
      </x:c>
      <x:c r="AJ153">
        <x:v>160</x:v>
      </x:c>
    </x:row>
    <x:row r="154">
      <x:c r="A154" t="s">
        <x:v>1283</x:v>
      </x:c>
      <x:c r="B154" t="s">
        <x:v>1284</x:v>
      </x:c>
      <x:c r="C154" t="s">
        <x:v>1315</x:v>
      </x:c>
      <x:c r="D154" t="s">
        <x:v>1316</x:v>
      </x:c>
      <x:c r="E154" t="s">
        <x:v>1317</x:v>
      </x:c>
      <x:c r="F154">
        <x:v>5</x:v>
      </x:c>
      <x:c r="G154">
        <x:v>5</x:v>
      </x:c>
      <x:c r="H154">
        <x:v>5</x:v>
      </x:c>
      <x:c r="I154" t="s">
        <x:v>1318</x:v>
      </x:c>
      <x:c r="J154" t="s">
        <x:v>1319</x:v>
      </x:c>
      <x:c r="K154" t="s">
        <x:v>1320</x:v>
      </x:c>
      <x:c r="L154" t="s">
        <x:v>1321</x:v>
      </x:c>
      <x:c r="M154" t="s">
        <x:v>1322</x:v>
      </x:c>
      <x:c r="P154" t="s">
        <x:v>80</x:v>
      </x:c>
      <x:c r="R154" s="9">
        <x:v>28946</x:v>
      </x:c>
      <x:c r="W154" s="26" t="n">
        <x:v>4.1569</x:v>
      </x:c>
      <x:c r="X154" s="26" t="n">
        <x:v>-77.13704</x:v>
      </x:c>
      <x:c r="Y154">
        <x:v>3254.4549999999999</x:v>
      </x:c>
      <x:c r="Z154">
        <x:v>13</x:v>
      </x:c>
      <x:c r="AB154" t="s">
        <x:v>1323</x:v>
      </x:c>
      <x:c r="AF154" t="s">
        <x:v>50</x:v>
      </x:c>
      <x:c r="AG154" t="s">
        <x:v>374</x:v>
      </x:c>
      <x:c r="AH154" t="s">
        <x:v>1324</x:v>
      </x:c>
      <x:c r="AI154" t="s">
        <x:v>1325</x:v>
      </x:c>
      <x:c r="AJ154">
        <x:v>161</x:v>
      </x:c>
    </x:row>
    <x:row r="155">
      <x:c r="A155" t="s">
        <x:v>1283</x:v>
      </x:c>
      <x:c r="B155" t="s">
        <x:v>1284</x:v>
      </x:c>
      <x:c r="C155" t="s">
        <x:v>1326</x:v>
      </x:c>
      <x:c r="D155" t="s">
        <x:v>1327</x:v>
      </x:c>
      <x:c r="E155" t="s">
        <x:v>1328</x:v>
      </x:c>
      <x:c r="F155">
        <x:v>1300</x:v>
      </x:c>
      <x:c r="G155">
        <x:v>1300</x:v>
      </x:c>
      <x:c r="H155">
        <x:v>1300</x:v>
      </x:c>
      <x:c r="P155" t="s">
        <x:v>80</x:v>
      </x:c>
      <x:c r="R155" s="9">
        <x:v>30411</x:v>
      </x:c>
      <x:c r="T155" t="s">
        <x:v>111</x:v>
      </x:c>
      <x:c r="W155" s="26" t="n">
        <x:v>1.73467</x:v>
      </x:c>
      <x:c r="X155" s="26" t="n">
        <x:v>-76.00001</x:v>
      </x:c>
      <x:c r="Y155">
        <x:v>3798.6889999999999</x:v>
      </x:c>
      <x:c r="Z155">
        <x:v>1497</x:v>
      </x:c>
      <x:c r="AB155" t="s">
        <x:v>1329</x:v>
      </x:c>
      <x:c r="AF155" t="s">
        <x:v>50</x:v>
      </x:c>
      <x:c r="AG155" t="s">
        <x:v>51</x:v>
      </x:c>
      <x:c r="AH155" t="s">
        <x:v>1330</x:v>
      </x:c>
      <x:c r="AI155" t="s">
        <x:v>1331</x:v>
      </x:c>
      <x:c r="AJ155">
        <x:v>163</x:v>
      </x:c>
    </x:row>
    <x:row r="156">
      <x:c r="A156" t="s">
        <x:v>1283</x:v>
      </x:c>
      <x:c r="B156" t="s">
        <x:v>1284</x:v>
      </x:c>
      <x:c r="C156" t="s">
        <x:v>1332</x:v>
      </x:c>
      <x:c r="D156" t="s">
        <x:v>1333</x:v>
      </x:c>
      <x:c r="E156" t="s">
        <x:v>1334</x:v>
      </x:c>
      <x:c r="P156" t="s">
        <x:v>80</x:v>
      </x:c>
      <x:c r="R156" s="9">
        <x:v>31581</x:v>
      </x:c>
      <x:c r="W156" s="26" t="n">
        <x:v>4.57909</x:v>
      </x:c>
      <x:c r="X156" s="26" t="n">
        <x:v>-73.36074</x:v>
      </x:c>
      <x:c r="Y156">
        <x:v>7578.2569999999996</x:v>
      </x:c>
      <x:c r="Z156">
        <x:v>761</x:v>
      </x:c>
      <x:c r="AB156" t="s">
        <x:v>1335</x:v>
      </x:c>
      <x:c r="AF156" t="s">
        <x:v>50</x:v>
      </x:c>
      <x:c r="AG156" t="s">
        <x:v>1336</x:v>
      </x:c>
      <x:c r="AH156" t="s">
        <x:v>1337</x:v>
      </x:c>
      <x:c r="AI156" t="s">
        <x:v>1338</x:v>
      </x:c>
      <x:c r="AJ156">
        <x:v>164</x:v>
      </x:c>
    </x:row>
    <x:row r="157">
      <x:c r="A157" t="s">
        <x:v>1283</x:v>
      </x:c>
      <x:c r="B157" t="s">
        <x:v>1284</x:v>
      </x:c>
      <x:c r="C157" t="s">
        <x:v>1339</x:v>
      </x:c>
      <x:c r="D157" t="s">
        <x:v>1340</x:v>
      </x:c>
      <x:c r="E157" t="s">
        <x:v>1341</x:v>
      </x:c>
      <x:c r="F157" t="s">
        <x:v>1342</x:v>
      </x:c>
      <x:c r="G157">
        <x:v>410</x:v>
      </x:c>
      <x:c r="H157">
        <x:v>560</x:v>
      </x:c>
      <x:c r="P157" t="s">
        <x:v>80</x:v>
      </x:c>
      <x:c r="R157" s="9">
        <x:v>32200</x:v>
      </x:c>
      <x:c r="T157" t="s">
        <x:v>119</x:v>
      </x:c>
      <x:c r="W157" s="26" t="n">
        <x:v>3.58688</x:v>
      </x:c>
      <x:c r="X157" s="26" t="n">
        <x:v>-76.78254</x:v>
      </x:c>
      <x:c r="Y157">
        <x:v>4062.6880000000001</x:v>
      </x:c>
      <x:c r="Z157">
        <x:v>816</x:v>
      </x:c>
      <x:c r="AB157" t="s">
        <x:v>1343</x:v>
      </x:c>
      <x:c r="AF157" t="s">
        <x:v>50</x:v>
      </x:c>
      <x:c r="AG157" t="s">
        <x:v>83</x:v>
      </x:c>
      <x:c r="AH157" t="s">
        <x:v>1344</x:v>
      </x:c>
      <x:c r="AI157" t="s">
        <x:v>1345</x:v>
      </x:c>
      <x:c r="AJ157">
        <x:v>165</x:v>
      </x:c>
    </x:row>
    <x:row r="158">
      <x:c r="A158" t="s">
        <x:v>1283</x:v>
      </x:c>
      <x:c r="B158" t="s">
        <x:v>1284</x:v>
      </x:c>
      <x:c r="C158" t="s">
        <x:v>1346</x:v>
      </x:c>
      <x:c r="D158" t="s">
        <x:v>1347</x:v>
      </x:c>
      <x:c r="E158" t="s">
        <x:v>1348</x:v>
      </x:c>
      <x:c r="F158" t="s">
        <x:v>1349</x:v>
      </x:c>
      <x:c r="G158">
        <x:v>1050</x:v>
      </x:c>
      <x:c r="H158">
        <x:v>1350</x:v>
      </x:c>
      <x:c r="I158" t="s">
        <x:v>1350</x:v>
      </x:c>
      <x:c r="J158" t="s">
        <x:v>1351</x:v>
      </x:c>
      <x:c r="K158" t="s">
        <x:v>1352</x:v>
      </x:c>
      <x:c r="L158" t="s">
        <x:v>1353</x:v>
      </x:c>
      <x:c r="M158" t="s">
        <x:v>1354</x:v>
      </x:c>
      <x:c r="P158" t="s">
        <x:v>80</x:v>
      </x:c>
      <x:c r="R158" s="9">
        <x:v>32452</x:v>
      </x:c>
      <x:c r="T158" t="s">
        <x:v>119</x:v>
      </x:c>
      <x:c r="W158" s="26" t="n">
        <x:v>6.74418</x:v>
      </x:c>
      <x:c r="X158" s="26" t="n">
        <x:v>-76.36816</x:v>
      </x:c>
      <x:c r="Y158">
        <x:v>3673.5120000000002</x:v>
      </x:c>
      <x:c r="Z158">
        <x:v>784</x:v>
      </x:c>
      <x:c r="AB158" t="s">
        <x:v>1355</x:v>
      </x:c>
      <x:c r="AF158" t="s">
        <x:v>50</x:v>
      </x:c>
      <x:c r="AG158" t="s">
        <x:v>402</x:v>
      </x:c>
      <x:c r="AH158" t="s">
        <x:v>1356</x:v>
      </x:c>
      <x:c r="AI158" t="s">
        <x:v>1357</x:v>
      </x:c>
      <x:c r="AJ158">
        <x:v>166</x:v>
      </x:c>
    </x:row>
    <x:row r="159">
      <x:c r="A159" t="s">
        <x:v>1283</x:v>
      </x:c>
      <x:c r="B159" t="s">
        <x:v>1284</x:v>
      </x:c>
      <x:c r="C159" t="s">
        <x:v>1358</x:v>
      </x:c>
      <x:c r="D159" t="s">
        <x:v>1359</x:v>
      </x:c>
      <x:c r="E159" t="s">
        <x:v>1360</x:v>
      </x:c>
      <x:c r="F159">
        <x:v>800</x:v>
      </x:c>
      <x:c r="G159">
        <x:v>800</x:v>
      </x:c>
      <x:c r="H159">
        <x:v>800</x:v>
      </x:c>
      <x:c r="P159" t="s">
        <x:v>80</x:v>
      </x:c>
      <x:c r="R159" s="9">
        <x:v>38846</x:v>
      </x:c>
      <x:c r="T159" t="s">
        <x:v>119</x:v>
      </x:c>
      <x:c r="W159" s="26" t="n">
        <x:v>1.20902</x:v>
      </x:c>
      <x:c r="X159" s="26" t="n">
        <x:v>-76.52748</x:v>
      </x:c>
      <x:c r="Y159">
        <x:v>8043.1989999999996</x:v>
      </x:c>
      <x:c r="Z159">
        <x:v>812</x:v>
      </x:c>
      <x:c r="AB159" t="s">
        <x:v>1361</x:v>
      </x:c>
      <x:c r="AF159" t="s">
        <x:v>50</x:v>
      </x:c>
      <x:c r="AG159" t="s">
        <x:v>283</x:v>
      </x:c>
      <x:c r="AH159" t="s">
        <x:v>1362</x:v>
      </x:c>
      <x:c r="AI159" t="s">
        <x:v>1363</x:v>
      </x:c>
      <x:c r="AJ159">
        <x:v>167</x:v>
      </x:c>
    </x:row>
    <x:row r="160">
      <x:c r="A160" t="s">
        <x:v>1283</x:v>
      </x:c>
      <x:c r="B160" t="s">
        <x:v>1284</x:v>
      </x:c>
      <x:c r="C160" t="s">
        <x:v>1364</x:v>
      </x:c>
      <x:c r="D160" t="s">
        <x:v>1060</x:v>
      </x:c>
      <x:c r="E160" t="s">
        <x:v>1365</x:v>
      </x:c>
      <x:c r="F160">
        <x:v>641</x:v>
      </x:c>
      <x:c r="G160">
        <x:v>641</x:v>
      </x:c>
      <x:c r="H160">
        <x:v>641</x:v>
      </x:c>
      <x:c r="I160" t="s">
        <x:v>1366</x:v>
      </x:c>
      <x:c r="J160" t="s">
        <x:v>1367</x:v>
      </x:c>
      <x:c r="K160" t="s">
        <x:v>1368</x:v>
      </x:c>
      <x:c r="L160" t="s">
        <x:v>1369</x:v>
      </x:c>
      <x:c r="M160" t="s">
        <x:v>1370</x:v>
      </x:c>
      <x:c r="N160" t="s">
        <x:v>1371</x:v>
      </x:c>
      <x:c r="O160" t="s">
        <x:v>1372</x:v>
      </x:c>
      <x:c r="P160" t="s">
        <x:v>1373</x:v>
      </x:c>
      <x:c r="R160" s="9">
        <x:v>39954</x:v>
      </x:c>
      <x:c r="T160" t="s">
        <x:v>318</x:v>
      </x:c>
      <x:c r="W160" s="26" t="n">
        <x:v>4.8692722</x:v>
      </x:c>
      <x:c r="X160" s="26" t="n">
        <x:v>-76.2506472</x:v>
      </x:c>
      <x:c r="AF160" t="s">
        <x:v>50</x:v>
      </x:c>
      <x:c r="AG160" t="s">
        <x:v>1374</x:v>
      </x:c>
      <x:c r="AH160" t="s">
        <x:v>375</x:v>
      </x:c>
      <x:c r="AI160" t="s">
        <x:v>1375</x:v>
      </x:c>
      <x:c r="AJ160">
        <x:v>168</x:v>
      </x:c>
    </x:row>
    <x:row r="161">
      <x:c r="A161" t="s">
        <x:v>1283</x:v>
      </x:c>
      <x:c r="B161" t="s">
        <x:v>1284</x:v>
      </x:c>
      <x:c r="C161" t="s">
        <x:v>1376</x:v>
      </x:c>
      <x:c r="D161" t="s">
        <x:v>1377</x:v>
      </x:c>
      <x:c r="E161" t="s">
        <x:v>1378</x:v>
      </x:c>
      <x:c r="F161">
        <x:v>800</x:v>
      </x:c>
      <x:c r="G161">
        <x:v>800</x:v>
      </x:c>
      <x:c r="H161">
        <x:v>800</x:v>
      </x:c>
      <x:c r="P161" t="s">
        <x:v>80</x:v>
      </x:c>
      <x:c r="R161" s="9"/>
      <x:c r="T161" t="s">
        <x:v>119</x:v>
      </x:c>
      <x:c r="W161" s="26" t="n">
        <x:v>6.13166</x:v>
      </x:c>
      <x:c r="X161" s="26" t="n">
        <x:v>-77.30382</x:v>
      </x:c>
      <x:c r="Y161">
        <x:v>3006.6210000000001</x:v>
      </x:c>
      <x:c r="Z161">
        <x:v>177</x:v>
      </x:c>
      <x:c r="AB161" t="s">
        <x:v>1379</x:v>
      </x:c>
      <x:c r="AF161" t="s">
        <x:v>50</x:v>
      </x:c>
      <x:c r="AG161" t="s">
        <x:v>374</x:v>
      </x:c>
      <x:c r="AH161" t="s">
        <x:v>1380</x:v>
      </x:c>
      <x:c r="AI161" t="s">
        <x:v>1381</x:v>
      </x:c>
      <x:c r="AJ161">
        <x:v>169</x:v>
      </x:c>
    </x:row>
    <x:row r="162">
      <x:c r="A162" t="s">
        <x:v>1283</x:v>
      </x:c>
      <x:c r="B162" t="s">
        <x:v>1284</x:v>
      </x:c>
      <x:c r="C162" t="s">
        <x:v>1382</x:v>
      </x:c>
      <x:c r="D162" t="s">
        <x:v>1383</x:v>
      </x:c>
      <x:c r="E162" t="s">
        <x:v>1384</x:v>
      </x:c>
      <x:c r="F162" t="s">
        <x:v>1342</x:v>
      </x:c>
      <x:c r="G162">
        <x:v>410</x:v>
      </x:c>
      <x:c r="H162">
        <x:v>560</x:v>
      </x:c>
      <x:c r="P162" t="s">
        <x:v>80</x:v>
      </x:c>
      <x:c r="R162" s="9"/>
      <x:c r="W162" s="26" t="n">
        <x:v>3.06074</x:v>
      </x:c>
      <x:c r="X162" s="26" t="n">
        <x:v>-74.46275</x:v>
      </x:c>
      <x:c r="Y162">
        <x:v>5084.5</x:v>
      </x:c>
      <x:c r="Z162">
        <x:v>510</x:v>
      </x:c>
      <x:c r="AA162" t="s">
        <x:v>1385</x:v>
      </x:c>
      <x:c r="AB162" t="s">
        <x:v>1386</x:v>
      </x:c>
      <x:c r="AF162" t="s">
        <x:v>50</x:v>
      </x:c>
      <x:c r="AG162" t="s">
        <x:v>1336</x:v>
      </x:c>
      <x:c r="AH162" t="s">
        <x:v>1387</x:v>
      </x:c>
      <x:c r="AI162" t="s">
        <x:v>1388</x:v>
      </x:c>
      <x:c r="AJ162">
        <x:v>170</x:v>
      </x:c>
    </x:row>
    <x:row r="163">
      <x:c r="A163" t="s">
        <x:v>1389</x:v>
      </x:c>
      <x:c r="B163" t="s">
        <x:v>1390</x:v>
      </x:c>
      <x:c r="C163" t="s">
        <x:v>1391</x:v>
      </x:c>
      <x:c r="D163" t="s">
        <x:v>1392</x:v>
      </x:c>
      <x:c r="E163" t="s">
        <x:v>1393</x:v>
      </x:c>
      <x:c r="F163">
        <x:v>250</x:v>
      </x:c>
      <x:c r="G163">
        <x:v>250</x:v>
      </x:c>
      <x:c r="H163">
        <x:v>250</x:v>
      </x:c>
      <x:c r="P163" t="s">
        <x:v>80</x:v>
      </x:c>
      <x:c r="R163" s="9">
        <x:v>25728</x:v>
      </x:c>
      <x:c r="T163" t="s">
        <x:v>65</x:v>
      </x:c>
      <x:c r="W163" s="26" t="n">
        <x:v>2.29504</x:v>
      </x:c>
      <x:c r="X163" s="26" t="n">
        <x:v>-73.88051</x:v>
      </x:c>
      <x:c r="Y163" t="s">
        <x:v>1394</x:v>
      </x:c>
      <x:c r="Z163">
        <x:v>241</x:v>
      </x:c>
      <x:c r="AB163" t="s">
        <x:v>1395</x:v>
      </x:c>
      <x:c r="AF163" t="s">
        <x:v>50</x:v>
      </x:c>
      <x:c r="AG163" t="s">
        <x:v>1336</x:v>
      </x:c>
      <x:c r="AH163" t="s">
        <x:v>1396</x:v>
      </x:c>
      <x:c r="AI163" t="s">
        <x:v>1397</x:v>
      </x:c>
      <x:c r="AJ163">
        <x:v>171</x:v>
      </x:c>
    </x:row>
    <x:row r="164">
      <x:c r="A164" t="s">
        <x:v>1389</x:v>
      </x:c>
      <x:c r="B164" t="s">
        <x:v>1390</x:v>
      </x:c>
      <x:c r="C164" t="s">
        <x:v>1391</x:v>
      </x:c>
      <x:c r="D164" t="s">
        <x:v>1398</x:v>
      </x:c>
      <x:c r="E164" t="s">
        <x:v>1393</x:v>
      </x:c>
      <x:c r="F164">
        <x:v>25</x:v>
      </x:c>
      <x:c r="G164">
        <x:v>25</x:v>
      </x:c>
      <x:c r="H164">
        <x:v>25</x:v>
      </x:c>
      <x:c r="P164" t="s">
        <x:v>80</x:v>
      </x:c>
      <x:c r="R164" s="9">
        <x:v>25728</x:v>
      </x:c>
      <x:c r="T164" t="s">
        <x:v>65</x:v>
      </x:c>
      <x:c r="W164" s="26" t="n">
        <x:v>2.29504</x:v>
      </x:c>
      <x:c r="X164" s="26" t="n">
        <x:v>-73.88051</x:v>
      </x:c>
      <x:c r="Y164" t="s">
        <x:v>1394</x:v>
      </x:c>
      <x:c r="Z164">
        <x:v>241</x:v>
      </x:c>
      <x:c r="AB164" t="s">
        <x:v>1395</x:v>
      </x:c>
      <x:c r="AF164" t="s">
        <x:v>50</x:v>
      </x:c>
      <x:c r="AG164" t="s">
        <x:v>1336</x:v>
      </x:c>
      <x:c r="AH164" t="s">
        <x:v>1396</x:v>
      </x:c>
      <x:c r="AI164" t="s">
        <x:v>1397</x:v>
      </x:c>
      <x:c r="AJ164">
        <x:v>172</x:v>
      </x:c>
    </x:row>
    <x:row r="165">
      <x:c r="A165" t="s">
        <x:v>1399</x:v>
      </x:c>
      <x:c r="B165" t="s">
        <x:v>1400</x:v>
      </x:c>
      <x:c r="C165" t="s">
        <x:v>1401</x:v>
      </x:c>
      <x:c r="D165" t="s">
        <x:v>1402</x:v>
      </x:c>
      <x:c r="E165" t="s">
        <x:v>1403</x:v>
      </x:c>
      <x:c r="F165" t="s">
        <x:v>1404</x:v>
      </x:c>
      <x:c r="G165">
        <x:v>1800</x:v>
      </x:c>
      <x:c r="H165">
        <x:v>1900</x:v>
      </x:c>
      <x:c r="I165" t="s">
        <x:v>1405</x:v>
      </x:c>
      <x:c r="J165" t="s">
        <x:v>1405</x:v>
      </x:c>
      <x:c r="K165" t="s">
        <x:v>1406</x:v>
      </x:c>
      <x:c r="L165" t="s">
        <x:v>1406</x:v>
      </x:c>
      <x:c r="M165" t="s">
        <x:v>1407</x:v>
      </x:c>
      <x:c r="N165" t="s">
        <x:v>1408</x:v>
      </x:c>
      <x:c r="O165" t="s">
        <x:v>1409</x:v>
      </x:c>
      <x:c r="P165" t="s">
        <x:v>1410</x:v>
      </x:c>
      <x:c r="R165" s="9">
        <x:v>40343</x:v>
      </x:c>
      <x:c r="T165" t="s">
        <x:v>318</x:v>
      </x:c>
      <x:c r="W165" s="26" t="n">
        <x:v>6.6869444</x:v>
      </x:c>
      <x:c r="X165" s="26" t="n">
        <x:v>-73.4371944</x:v>
      </x:c>
      <x:c r="AF165" t="s">
        <x:v>50</x:v>
      </x:c>
      <x:c r="AG165" t="s">
        <x:v>1411</x:v>
      </x:c>
      <x:c r="AH165" t="s">
        <x:v>1412</x:v>
      </x:c>
      <x:c r="AI165" t="s">
        <x:v>1413</x:v>
      </x:c>
      <x:c r="AJ165">
        <x:v>173</x:v>
      </x:c>
    </x:row>
    <x:row r="166">
      <x:c r="A166" t="s">
        <x:v>1399</x:v>
      </x:c>
      <x:c r="B166" t="s">
        <x:v>1400</x:v>
      </x:c>
      <x:c r="C166" t="s">
        <x:v>1414</x:v>
      </x:c>
      <x:c r="D166" t="s">
        <x:v>1415</x:v>
      </x:c>
      <x:c r="E166" t="s">
        <x:v>1416</x:v>
      </x:c>
      <x:c r="F166">
        <x:v>1401</x:v>
      </x:c>
      <x:c r="G166">
        <x:v>1401</x:v>
      </x:c>
      <x:c r="H166">
        <x:v>1401</x:v>
      </x:c>
      <x:c r="I166">
        <x:v>6.5865999999999998</x:v>
      </x:c>
      <x:c r="J166">
        <x:v>6.5865999999999998</x:v>
      </x:c>
      <x:c r="K166">
        <x:v>73.518199999999993</x:v>
      </x:c>
      <x:c r="L166">
        <x:v>73.518199999999993</x:v>
      </x:c>
      <x:c r="M166" t="s">
        <x:v>1417</x:v>
      </x:c>
      <x:c r="P166" t="s">
        <x:v>80</x:v>
      </x:c>
      <x:c r="R166" s="9">
        <x:v>45423</x:v>
      </x:c>
      <x:c r="T166" t="s">
        <x:v>318</x:v>
      </x:c>
      <x:c r="W166" s="26" t="n">
        <x:v>6.5866</x:v>
      </x:c>
      <x:c r="X166" s="26" t="n">
        <x:v>-73.5182</x:v>
      </x:c>
      <x:c r="AF166" t="s">
        <x:v>50</x:v>
      </x:c>
      <x:c r="AG166" t="s">
        <x:v>1418</x:v>
      </x:c>
      <x:c r="AH166" t="s">
        <x:v>1419</x:v>
      </x:c>
      <x:c r="AI166" t="s">
        <x:v>1420</x:v>
      </x:c>
      <x:c r="AJ166">
        <x:v>174</x:v>
      </x:c>
    </x:row>
    <x:row r="167">
      <x:c r="A167" t="s">
        <x:v>1399</x:v>
      </x:c>
      <x:c r="B167" t="s">
        <x:v>1400</x:v>
      </x:c>
      <x:c r="C167" t="s">
        <x:v>1421</x:v>
      </x:c>
      <x:c r="D167" t="s">
        <x:v>1422</x:v>
      </x:c>
      <x:c r="E167" t="s">
        <x:v>1423</x:v>
      </x:c>
      <x:c r="F167">
        <x:v>1616</x:v>
      </x:c>
      <x:c r="G167">
        <x:v>1616</x:v>
      </x:c>
      <x:c r="H167">
        <x:v>1616</x:v>
      </x:c>
      <x:c r="I167" t="s">
        <x:v>1424</x:v>
      </x:c>
      <x:c r="J167" t="s">
        <x:v>1424</x:v>
      </x:c>
      <x:c r="K167" t="s">
        <x:v>1425</x:v>
      </x:c>
      <x:c r="L167" t="s">
        <x:v>1426</x:v>
      </x:c>
      <x:c r="M167" t="s">
        <x:v>1427</x:v>
      </x:c>
      <x:c r="N167" t="s">
        <x:v>1428</x:v>
      </x:c>
      <x:c r="O167" t="s">
        <x:v>1429</x:v>
      </x:c>
      <x:c r="P167" t="s">
        <x:v>1430</x:v>
      </x:c>
      <x:c r="R167" s="9">
        <x:v>45466</x:v>
      </x:c>
      <x:c r="T167" t="s">
        <x:v>318</x:v>
      </x:c>
      <x:c r="W167" s="26" t="n">
        <x:v>6.7383333</x:v>
      </x:c>
      <x:c r="X167" s="26" t="n">
        <x:v>-73.4279722</x:v>
      </x:c>
      <x:c r="AF167" t="s">
        <x:v>50</x:v>
      </x:c>
      <x:c r="AG167" t="s">
        <x:v>1431</x:v>
      </x:c>
      <x:c r="AH167" t="s">
        <x:v>1432</x:v>
      </x:c>
      <x:c r="AI167" t="s">
        <x:v>1433</x:v>
      </x:c>
      <x:c r="AJ167">
        <x:v>175</x:v>
      </x:c>
    </x:row>
    <x:row r="168">
      <x:c r="A168" t="s">
        <x:v>1434</x:v>
      </x:c>
      <x:c r="B168" t="s">
        <x:v>1435</x:v>
      </x:c>
      <x:c r="C168" t="s">
        <x:v>1436</x:v>
      </x:c>
      <x:c r="D168" t="s">
        <x:v>1437</x:v>
      </x:c>
      <x:c r="E168" t="s">
        <x:v>1438</x:v>
      </x:c>
      <x:c r="F168">
        <x:v>2500</x:v>
      </x:c>
      <x:c r="G168">
        <x:v>2500</x:v>
      </x:c>
      <x:c r="H168">
        <x:v>2500</x:v>
      </x:c>
      <x:c r="P168" t="s">
        <x:v>80</x:v>
      </x:c>
      <x:c r="R168" s="9">
        <x:v>26674</x:v>
      </x:c>
      <x:c r="T168" t="s">
        <x:v>119</x:v>
      </x:c>
      <x:c r="W168" s="26" t="n">
        <x:v>0.83831</x:v>
      </x:c>
      <x:c r="X168" s="26" t="n">
        <x:v>-77.61692</x:v>
      </x:c>
      <x:c r="Y168">
        <x:v>2955.806</x:v>
      </x:c>
      <x:c r="Z168">
        <x:v>2876</x:v>
      </x:c>
      <x:c r="AB168" t="s">
        <x:v>1439</x:v>
      </x:c>
      <x:c r="AF168" t="s">
        <x:v>50</x:v>
      </x:c>
      <x:c r="AG168" t="s">
        <x:v>127</x:v>
      </x:c>
      <x:c r="AH168" t="s">
        <x:v>1440</x:v>
      </x:c>
      <x:c r="AI168" t="s">
        <x:v>1441</x:v>
      </x:c>
      <x:c r="AJ168">
        <x:v>176</x:v>
      </x:c>
    </x:row>
    <x:row r="169">
      <x:c r="A169" t="s">
        <x:v>1434</x:v>
      </x:c>
      <x:c r="B169" t="s">
        <x:v>1435</x:v>
      </x:c>
      <x:c r="C169" t="s">
        <x:v>1442</x:v>
      </x:c>
      <x:c r="D169" t="s">
        <x:v>1443</x:v>
      </x:c>
      <x:c r="E169" t="s">
        <x:v>1444</x:v>
      </x:c>
      <x:c r="F169" t="s">
        <x:v>1445</x:v>
      </x:c>
      <x:c r="G169">
        <x:v>2700</x:v>
      </x:c>
      <x:c r="H169">
        <x:v>2800</x:v>
      </x:c>
      <x:c r="P169" t="s">
        <x:v>80</x:v>
      </x:c>
      <x:c r="R169" s="9">
        <x:v>32376</x:v>
      </x:c>
      <x:c r="T169" t="s">
        <x:v>111</x:v>
      </x:c>
      <x:c r="W169" s="26" t="n">
        <x:v>4.78131</x:v>
      </x:c>
      <x:c r="X169" s="26" t="n">
        <x:v>-76.49498</x:v>
      </x:c>
      <x:c r="Y169">
        <x:v>1679.8140000000001</x:v>
      </x:c>
      <x:c r="Z169">
        <x:v>2572</x:v>
      </x:c>
      <x:c r="AB169" t="s">
        <x:v>1446</x:v>
      </x:c>
      <x:c r="AF169" t="s">
        <x:v>50</x:v>
      </x:c>
      <x:c r="AG169" t="s">
        <x:v>374</x:v>
      </x:c>
      <x:c r="AH169" t="s">
        <x:v>1447</x:v>
      </x:c>
      <x:c r="AI169" t="s">
        <x:v>1448</x:v>
      </x:c>
      <x:c r="AJ169">
        <x:v>177</x:v>
      </x:c>
    </x:row>
    <x:row r="170">
      <x:c r="A170" t="s">
        <x:v>1434</x:v>
      </x:c>
      <x:c r="B170" t="s">
        <x:v>1435</x:v>
      </x:c>
      <x:c r="C170" t="s">
        <x:v>1442</x:v>
      </x:c>
      <x:c r="D170" t="s">
        <x:v>1449</x:v>
      </x:c>
      <x:c r="E170" t="s">
        <x:v>1444</x:v>
      </x:c>
      <x:c r="F170" t="s">
        <x:v>1445</x:v>
      </x:c>
      <x:c r="G170">
        <x:v>2700</x:v>
      </x:c>
      <x:c r="H170">
        <x:v>2800</x:v>
      </x:c>
      <x:c r="P170" t="s">
        <x:v>80</x:v>
      </x:c>
      <x:c r="R170" s="9">
        <x:v>32376</x:v>
      </x:c>
      <x:c r="T170" t="s">
        <x:v>111</x:v>
      </x:c>
      <x:c r="W170" s="26" t="n">
        <x:v>4.78131</x:v>
      </x:c>
      <x:c r="X170" s="26" t="n">
        <x:v>-76.49498</x:v>
      </x:c>
      <x:c r="Y170">
        <x:v>1679.8140000000001</x:v>
      </x:c>
      <x:c r="Z170">
        <x:v>2572</x:v>
      </x:c>
      <x:c r="AB170" t="s">
        <x:v>1446</x:v>
      </x:c>
      <x:c r="AF170" t="s">
        <x:v>50</x:v>
      </x:c>
      <x:c r="AG170" t="s">
        <x:v>374</x:v>
      </x:c>
      <x:c r="AH170" t="s">
        <x:v>1447</x:v>
      </x:c>
      <x:c r="AI170" t="s">
        <x:v>1448</x:v>
      </x:c>
      <x:c r="AJ170">
        <x:v>178</x:v>
      </x:c>
    </x:row>
    <x:row r="171">
      <x:c r="A171" t="s">
        <x:v>1434</x:v>
      </x:c>
      <x:c r="B171" t="s">
        <x:v>1435</x:v>
      </x:c>
      <x:c r="C171" t="s">
        <x:v>1450</x:v>
      </x:c>
      <x:c r="D171" t="s">
        <x:v>1451</x:v>
      </x:c>
      <x:c r="E171" t="s">
        <x:v>1452</x:v>
      </x:c>
      <x:c r="F171">
        <x:v>1820</x:v>
      </x:c>
      <x:c r="G171">
        <x:v>1820</x:v>
      </x:c>
      <x:c r="H171">
        <x:v>1820</x:v>
      </x:c>
      <x:c r="I171" t="s">
        <x:v>1453</x:v>
      </x:c>
      <x:c r="J171" t="s">
        <x:v>1454</x:v>
      </x:c>
      <x:c r="K171" t="s">
        <x:v>1455</x:v>
      </x:c>
      <x:c r="L171" t="s">
        <x:v>1456</x:v>
      </x:c>
      <x:c r="M171" t="s">
        <x:v>1457</x:v>
      </x:c>
      <x:c r="N171" t="s">
        <x:v>1458</x:v>
      </x:c>
      <x:c r="O171" t="s">
        <x:v>1459</x:v>
      </x:c>
      <x:c r="P171" t="s">
        <x:v>1460</x:v>
      </x:c>
      <x:c r="R171" s="9">
        <x:v>32904</x:v>
      </x:c>
      <x:c r="T171" t="s">
        <x:v>119</x:v>
      </x:c>
      <x:c r="W171" s="26" t="n">
        <x:v>1.1716667</x:v>
      </x:c>
      <x:c r="X171" s="26" t="n">
        <x:v>-78.0025</x:v>
      </x:c>
      <x:c r="AF171" t="s">
        <x:v>50</x:v>
      </x:c>
      <x:c r="AG171" t="s">
        <x:v>127</x:v>
      </x:c>
      <x:c r="AH171" t="s">
        <x:v>1461</x:v>
      </x:c>
      <x:c r="AI171" t="s">
        <x:v>1462</x:v>
      </x:c>
      <x:c r="AJ171">
        <x:v>179</x:v>
      </x:c>
    </x:row>
    <x:row r="172">
      <x:c r="A172" t="s">
        <x:v>1434</x:v>
      </x:c>
      <x:c r="B172" t="s">
        <x:v>1435</x:v>
      </x:c>
      <x:c r="C172" t="s">
        <x:v>1463</x:v>
      </x:c>
      <x:c r="D172" t="s">
        <x:v>1451</x:v>
      </x:c>
      <x:c r="E172" t="s">
        <x:v>1452</x:v>
      </x:c>
      <x:c r="F172">
        <x:v>1820</x:v>
      </x:c>
      <x:c r="G172">
        <x:v>1820</x:v>
      </x:c>
      <x:c r="H172">
        <x:v>1820</x:v>
      </x:c>
      <x:c r="I172" t="s">
        <x:v>1453</x:v>
      </x:c>
      <x:c r="J172" t="s">
        <x:v>1454</x:v>
      </x:c>
      <x:c r="K172" t="s">
        <x:v>1455</x:v>
      </x:c>
      <x:c r="L172" t="s">
        <x:v>1456</x:v>
      </x:c>
      <x:c r="M172" t="s">
        <x:v>1457</x:v>
      </x:c>
      <x:c r="N172" t="s">
        <x:v>1458</x:v>
      </x:c>
      <x:c r="O172" t="s">
        <x:v>1459</x:v>
      </x:c>
      <x:c r="P172" t="s">
        <x:v>1460</x:v>
      </x:c>
      <x:c r="Q172" s="11"/>
      <x:c r="R172" s="9">
        <x:v>32904</x:v>
      </x:c>
      <x:c r="W172" s="26" t="n">
        <x:v>1.1716667</x:v>
      </x:c>
      <x:c r="X172" s="26" t="n">
        <x:v>-78.0025</x:v>
      </x:c>
      <x:c r="AF172" t="s">
        <x:v>50</x:v>
      </x:c>
      <x:c r="AJ172">
        <x:v>180</x:v>
      </x:c>
    </x:row>
    <x:row r="173">
      <x:c r="A173" t="s">
        <x:v>1464</x:v>
      </x:c>
      <x:c r="B173" t="s">
        <x:v>1465</x:v>
      </x:c>
      <x:c r="C173" t="s">
        <x:v>1466</x:v>
      </x:c>
      <x:c r="D173" t="s">
        <x:v>1467</x:v>
      </x:c>
      <x:c r="E173" t="s">
        <x:v>1468</x:v>
      </x:c>
      <x:c r="F173">
        <x:v>1100</x:v>
      </x:c>
      <x:c r="G173">
        <x:v>1100</x:v>
      </x:c>
      <x:c r="H173">
        <x:v>1100</x:v>
      </x:c>
      <x:c r="P173" t="s">
        <x:v>80</x:v>
      </x:c>
      <x:c r="R173" s="9">
        <x:v>16908</x:v>
      </x:c>
      <x:c r="T173" t="s">
        <x:v>119</x:v>
      </x:c>
      <x:c r="W173" s="26" t="n">
        <x:v>6.54619</x:v>
      </x:c>
      <x:c r="X173" s="26" t="n">
        <x:v>-75.2327</x:v>
      </x:c>
      <x:c r="Y173">
        <x:v>574.10400000000004</x:v>
      </x:c>
      <x:c r="Z173">
        <x:v>1092</x:v>
      </x:c>
      <x:c r="AB173" t="s">
        <x:v>1469</x:v>
      </x:c>
      <x:c r="AF173" t="s">
        <x:v>50</x:v>
      </x:c>
      <x:c r="AG173" t="s">
        <x:v>402</x:v>
      </x:c>
      <x:c r="AH173" t="s">
        <x:v>855</x:v>
      </x:c>
      <x:c r="AI173" t="s">
        <x:v>1470</x:v>
      </x:c>
      <x:c r="AJ173">
        <x:v>181</x:v>
      </x:c>
    </x:row>
    <x:row r="174">
      <x:c r="A174" t="s">
        <x:v>1464</x:v>
      </x:c>
      <x:c r="B174" t="s">
        <x:v>1465</x:v>
      </x:c>
      <x:c r="C174" t="s">
        <x:v>1471</x:v>
      </x:c>
      <x:c r="D174" t="s">
        <x:v>1472</x:v>
      </x:c>
      <x:c r="E174" t="s">
        <x:v>1473</x:v>
      </x:c>
      <x:c r="F174">
        <x:v>1100</x:v>
      </x:c>
      <x:c r="G174">
        <x:v>1100</x:v>
      </x:c>
      <x:c r="H174">
        <x:v>1100</x:v>
      </x:c>
      <x:c r="P174" t="s">
        <x:v>80</x:v>
      </x:c>
      <x:c r="R174" s="9">
        <x:v>16908</x:v>
      </x:c>
      <x:c r="T174" t="s">
        <x:v>119</x:v>
      </x:c>
      <x:c r="W174" s="26" t="n">
        <x:v>6.54619</x:v>
      </x:c>
      <x:c r="X174" s="26" t="n">
        <x:v>-75.2327</x:v>
      </x:c>
      <x:c r="Y174">
        <x:v>574.10400000000004</x:v>
      </x:c>
      <x:c r="Z174">
        <x:v>1092</x:v>
      </x:c>
      <x:c r="AB174" t="s">
        <x:v>1469</x:v>
      </x:c>
      <x:c r="AF174" t="s">
        <x:v>50</x:v>
      </x:c>
      <x:c r="AG174" t="s">
        <x:v>402</x:v>
      </x:c>
      <x:c r="AH174" t="s">
        <x:v>1474</x:v>
      </x:c>
      <x:c r="AI174" t="s">
        <x:v>1475</x:v>
      </x:c>
      <x:c r="AJ174">
        <x:v>182</x:v>
      </x:c>
    </x:row>
    <x:row r="175">
      <x:c r="A175" t="s">
        <x:v>1464</x:v>
      </x:c>
      <x:c r="B175" t="s">
        <x:v>1465</x:v>
      </x:c>
      <x:c r="C175" t="s">
        <x:v>1476</x:v>
      </x:c>
      <x:c r="D175" t="s">
        <x:v>1477</x:v>
      </x:c>
      <x:c r="E175" t="s">
        <x:v>1478</x:v>
      </x:c>
      <x:c r="F175" t="s">
        <x:v>1303</x:v>
      </x:c>
      <x:c r="G175">
        <x:v>700</x:v>
      </x:c>
      <x:c r="H175">
        <x:v>900</x:v>
      </x:c>
      <x:c r="I175" t="s">
        <x:v>1479</x:v>
      </x:c>
      <x:c r="J175" t="s">
        <x:v>1480</x:v>
      </x:c>
      <x:c r="K175" t="s">
        <x:v>1481</x:v>
      </x:c>
      <x:c r="L175" t="s">
        <x:v>1482</x:v>
      </x:c>
      <x:c r="M175" t="s">
        <x:v>1483</x:v>
      </x:c>
      <x:c r="N175" t="s">
        <x:v>1484</x:v>
      </x:c>
      <x:c r="O175" t="s">
        <x:v>1485</x:v>
      </x:c>
      <x:c r="P175" t="s">
        <x:v>1486</x:v>
      </x:c>
      <x:c r="R175" s="9">
        <x:v>33586</x:v>
      </x:c>
      <x:c r="T175" t="s">
        <x:v>119</x:v>
      </x:c>
      <x:c r="W175" s="26" t="n">
        <x:v>6.0333333</x:v>
      </x:c>
      <x:c r="X175" s="26" t="n">
        <x:v>-75.1333333</x:v>
      </x:c>
      <x:c r="AF175" t="s">
        <x:v>50</x:v>
      </x:c>
      <x:c r="AG175" t="s">
        <x:v>402</x:v>
      </x:c>
      <x:c r="AH175" t="s">
        <x:v>1487</x:v>
      </x:c>
      <x:c r="AI175" t="s">
        <x:v>1488</x:v>
      </x:c>
      <x:c r="AJ175">
        <x:v>183</x:v>
      </x:c>
    </x:row>
    <x:row r="176">
      <x:c r="A176" t="s">
        <x:v>1464</x:v>
      </x:c>
      <x:c r="B176" t="s">
        <x:v>1465</x:v>
      </x:c>
      <x:c r="C176" t="s">
        <x:v>1489</x:v>
      </x:c>
      <x:c r="D176" t="s">
        <x:v>1490</x:v>
      </x:c>
      <x:c r="E176" t="s">
        <x:v>1491</x:v>
      </x:c>
      <x:c r="F176" t="s">
        <x:v>1492</x:v>
      </x:c>
      <x:c r="G176">
        <x:v>860</x:v>
      </x:c>
      <x:c r="H176">
        <x:v>910</x:v>
      </x:c>
      <x:c r="I176" t="s">
        <x:v>1493</x:v>
      </x:c>
      <x:c r="J176" t="s">
        <x:v>1494</x:v>
      </x:c>
      <x:c r="K176" t="s">
        <x:v>1495</x:v>
      </x:c>
      <x:c r="L176" t="s">
        <x:v>1496</x:v>
      </x:c>
      <x:c r="M176" t="s">
        <x:v>1497</x:v>
      </x:c>
      <x:c r="N176" t="s">
        <x:v>1498</x:v>
      </x:c>
      <x:c r="O176" t="s">
        <x:v>1499</x:v>
      </x:c>
      <x:c r="P176" t="s">
        <x:v>1500</x:v>
      </x:c>
      <x:c r="R176" s="9">
        <x:v>40747</x:v>
      </x:c>
      <x:c r="T176" t="s">
        <x:v>119</x:v>
      </x:c>
      <x:c r="W176" s="26" t="n">
        <x:v>6.53815</x:v>
      </x:c>
      <x:c r="X176" s="26" t="n">
        <x:v>-76.3222</x:v>
      </x:c>
      <x:c r="Y176">
        <x:v>2588.0100000000002</x:v>
      </x:c>
      <x:c r="Z176">
        <x:v>861</x:v>
      </x:c>
      <x:c r="AB176" t="s">
        <x:v>1501</x:v>
      </x:c>
      <x:c r="AF176" t="s">
        <x:v>50</x:v>
      </x:c>
      <x:c r="AG176" t="s">
        <x:v>402</x:v>
      </x:c>
      <x:c r="AH176" t="s">
        <x:v>1356</x:v>
      </x:c>
      <x:c r="AI176" t="s">
        <x:v>1502</x:v>
      </x:c>
      <x:c r="AJ176">
        <x:v>185</x:v>
      </x:c>
    </x:row>
    <x:row r="177">
      <x:c r="A177" t="s">
        <x:v>1464</x:v>
      </x:c>
      <x:c r="B177" t="s">
        <x:v>1465</x:v>
      </x:c>
      <x:c r="C177" t="s">
        <x:v>1503</x:v>
      </x:c>
      <x:c r="D177" t="s">
        <x:v>1490</x:v>
      </x:c>
      <x:c r="E177" t="s">
        <x:v>1504</x:v>
      </x:c>
      <x:c r="F177" t="s">
        <x:v>1505</x:v>
      </x:c>
      <x:c r="G177">
        <x:v>950</x:v>
      </x:c>
      <x:c r="H177">
        <x:v>1000</x:v>
      </x:c>
      <x:c r="I177" t="s">
        <x:v>1506</x:v>
      </x:c>
      <x:c r="J177" t="s">
        <x:v>1507</x:v>
      </x:c>
      <x:c r="K177" t="s">
        <x:v>1508</x:v>
      </x:c>
      <x:c r="L177" t="s">
        <x:v>1509</x:v>
      </x:c>
      <x:c r="M177" t="s">
        <x:v>1510</x:v>
      </x:c>
      <x:c r="N177" t="s">
        <x:v>1511</x:v>
      </x:c>
      <x:c r="O177" t="s">
        <x:v>1512</x:v>
      </x:c>
      <x:c r="P177" t="s">
        <x:v>1513</x:v>
      </x:c>
      <x:c r="R177" s="9">
        <x:v>40750</x:v>
      </x:c>
      <x:c r="T177" t="s">
        <x:v>119</x:v>
      </x:c>
      <x:c r="W177" s="26" t="n">
        <x:v>6.53815</x:v>
      </x:c>
      <x:c r="X177" s="26" t="n">
        <x:v>-76.3222</x:v>
      </x:c>
      <x:c r="Y177">
        <x:v>2588.0100000000002</x:v>
      </x:c>
      <x:c r="Z177">
        <x:v>861</x:v>
      </x:c>
      <x:c r="AB177" t="s">
        <x:v>1501</x:v>
      </x:c>
      <x:c r="AF177" t="s">
        <x:v>50</x:v>
      </x:c>
      <x:c r="AG177" t="s">
        <x:v>402</x:v>
      </x:c>
      <x:c r="AH177" t="s">
        <x:v>1356</x:v>
      </x:c>
      <x:c r="AI177" t="s">
        <x:v>1514</x:v>
      </x:c>
      <x:c r="AJ177">
        <x:v>187</x:v>
      </x:c>
    </x:row>
    <x:row r="178">
      <x:c r="A178" t="s">
        <x:v>1464</x:v>
      </x:c>
      <x:c r="B178" t="s">
        <x:v>1465</x:v>
      </x:c>
      <x:c r="C178" t="s">
        <x:v>1515</x:v>
      </x:c>
      <x:c r="D178" t="s">
        <x:v>1516</x:v>
      </x:c>
      <x:c r="E178" t="s">
        <x:v>1517</x:v>
      </x:c>
      <x:c r="F178">
        <x:v>900</x:v>
      </x:c>
      <x:c r="G178">
        <x:v>900</x:v>
      </x:c>
      <x:c r="H178">
        <x:v>900</x:v>
      </x:c>
      <x:c r="I178" t="s">
        <x:v>1518</x:v>
      </x:c>
      <x:c r="J178" t="s">
        <x:v>1519</x:v>
      </x:c>
      <x:c r="K178" t="s">
        <x:v>1520</x:v>
      </x:c>
      <x:c r="L178" t="s">
        <x:v>1521</x:v>
      </x:c>
      <x:c r="M178" t="s">
        <x:v>1522</x:v>
      </x:c>
      <x:c r="N178" t="s">
        <x:v>1523</x:v>
      </x:c>
      <x:c r="O178" t="s">
        <x:v>1524</x:v>
      </x:c>
      <x:c r="P178" t="s">
        <x:v>1525</x:v>
      </x:c>
      <x:c r="R178" s="9">
        <x:v>27260</x:v>
      </x:c>
      <x:c r="T178" t="s">
        <x:v>399</x:v>
      </x:c>
      <x:c r="W178" s="26" t="n">
        <x:v>5.5751167</x:v>
      </x:c>
      <x:c r="X178" s="26" t="n">
        <x:v>-74.8901833</x:v>
      </x:c>
      <x:c r="AF178" t="s">
        <x:v>50</x:v>
      </x:c>
      <x:c r="AG178" t="s">
        <x:v>167</x:v>
      </x:c>
      <x:c r="AH178" t="s">
        <x:v>1526</x:v>
      </x:c>
      <x:c r="AI178" t="s">
        <x:v>1527</x:v>
      </x:c>
      <x:c r="AJ178">
        <x:v>188</x:v>
      </x:c>
    </x:row>
    <x:row r="179">
      <x:c r="A179" t="s">
        <x:v>1464</x:v>
      </x:c>
      <x:c r="B179" t="s">
        <x:v>1465</x:v>
      </x:c>
      <x:c r="C179" t="s">
        <x:v>1528</x:v>
      </x:c>
      <x:c r="D179" t="s">
        <x:v>1529</x:v>
      </x:c>
      <x:c r="E179" t="s">
        <x:v>1530</x:v>
      </x:c>
      <x:c r="F179">
        <x:v>900</x:v>
      </x:c>
      <x:c r="G179">
        <x:v>900</x:v>
      </x:c>
      <x:c r="H179">
        <x:v>900</x:v>
      </x:c>
      <x:c r="I179" t="s">
        <x:v>1531</x:v>
      </x:c>
      <x:c r="J179" t="s">
        <x:v>1532</x:v>
      </x:c>
      <x:c r="K179" t="s">
        <x:v>1533</x:v>
      </x:c>
      <x:c r="L179" t="s">
        <x:v>1534</x:v>
      </x:c>
      <x:c r="M179" t="s">
        <x:v>1535</x:v>
      </x:c>
      <x:c r="N179" t="s">
        <x:v>1536</x:v>
      </x:c>
      <x:c r="O179" t="s">
        <x:v>1537</x:v>
      </x:c>
      <x:c r="P179" t="s">
        <x:v>1538</x:v>
      </x:c>
      <x:c r="R179" s="9">
        <x:v>41029</x:v>
      </x:c>
      <x:c r="T179" t="s">
        <x:v>119</x:v>
      </x:c>
      <x:c r="W179" s="26" t="n">
        <x:v>5.0588889</x:v>
      </x:c>
      <x:c r="X179" s="26" t="n">
        <x:v>-75.7354444</x:v>
      </x:c>
      <x:c r="AF179" t="s">
        <x:v>50</x:v>
      </x:c>
      <x:c r="AG179" t="s">
        <x:v>167</x:v>
      </x:c>
      <x:c r="AH179" t="s">
        <x:v>1539</x:v>
      </x:c>
      <x:c r="AI179" t="s">
        <x:v>1540</x:v>
      </x:c>
      <x:c r="AJ179">
        <x:v>189</x:v>
      </x:c>
    </x:row>
    <x:row r="180">
      <x:c r="A180" t="s">
        <x:v>1464</x:v>
      </x:c>
      <x:c r="B180" t="s">
        <x:v>1465</x:v>
      </x:c>
      <x:c r="C180" t="s">
        <x:v>1541</x:v>
      </x:c>
      <x:c r="D180" t="s">
        <x:v>1542</x:v>
      </x:c>
      <x:c r="E180" t="s">
        <x:v>1543</x:v>
      </x:c>
      <x:c r="F180">
        <x:v>1100</x:v>
      </x:c>
      <x:c r="G180">
        <x:v>1100</x:v>
      </x:c>
      <x:c r="H180">
        <x:v>1100</x:v>
      </x:c>
      <x:c r="I180" t="s">
        <x:v>1544</x:v>
      </x:c>
      <x:c r="J180" t="s">
        <x:v>1545</x:v>
      </x:c>
      <x:c r="K180" t="s">
        <x:v>1546</x:v>
      </x:c>
      <x:c r="L180" t="s">
        <x:v>1547</x:v>
      </x:c>
      <x:c r="M180" t="s">
        <x:v>1548</x:v>
      </x:c>
      <x:c r="N180" t="s">
        <x:v>1549</x:v>
      </x:c>
      <x:c r="O180" t="s">
        <x:v>1550</x:v>
      </x:c>
      <x:c r="P180" t="s">
        <x:v>1551</x:v>
      </x:c>
      <x:c r="R180" s="9">
        <x:v>36011</x:v>
      </x:c>
      <x:c r="T180" t="s">
        <x:v>111</x:v>
      </x:c>
      <x:c r="W180" s="26" t="n">
        <x:v>1.2331444</x:v>
      </x:c>
      <x:c r="X180" s="26" t="n">
        <x:v>-76.5328444</x:v>
      </x:c>
      <x:c r="AF180" t="s">
        <x:v>50</x:v>
      </x:c>
      <x:c r="AG180" t="s">
        <x:v>283</x:v>
      </x:c>
      <x:c r="AH180" t="s">
        <x:v>1014</x:v>
      </x:c>
      <x:c r="AI180" t="s">
        <x:v>1552</x:v>
      </x:c>
      <x:c r="AJ180">
        <x:v>190</x:v>
      </x:c>
    </x:row>
    <x:row r="181">
      <x:c r="A181" t="s">
        <x:v>1464</x:v>
      </x:c>
      <x:c r="B181" t="s">
        <x:v>1465</x:v>
      </x:c>
      <x:c r="C181" t="s">
        <x:v>1553</x:v>
      </x:c>
      <x:c r="D181" t="s">
        <x:v>1554</x:v>
      </x:c>
      <x:c r="E181" t="s">
        <x:v>281</x:v>
      </x:c>
      <x:c r="F181">
        <x:v>1600</x:v>
      </x:c>
      <x:c r="G181">
        <x:v>1600</x:v>
      </x:c>
      <x:c r="H181">
        <x:v>1600</x:v>
      </x:c>
      <x:c r="I181" t="s">
        <x:v>1555</x:v>
      </x:c>
      <x:c r="J181" t="s">
        <x:v>1556</x:v>
      </x:c>
      <x:c r="K181" t="s">
        <x:v>1557</x:v>
      </x:c>
      <x:c r="L181" t="s">
        <x:v>1558</x:v>
      </x:c>
      <x:c r="M181" t="s">
        <x:v>1559</x:v>
      </x:c>
      <x:c r="N181" t="s">
        <x:v>1560</x:v>
      </x:c>
      <x:c r="O181" t="s">
        <x:v>1561</x:v>
      </x:c>
      <x:c r="P181" t="s">
        <x:v>1562</x:v>
      </x:c>
      <x:c r="R181" s="9">
        <x:v>38825</x:v>
      </x:c>
      <x:c r="T181" t="s">
        <x:v>119</x:v>
      </x:c>
      <x:c r="W181" s="26" t="n">
        <x:v>2.51058</x:v>
      </x:c>
      <x:c r="X181" s="26" t="n">
        <x:v>-76.98421</x:v>
      </x:c>
      <x:c r="Y181">
        <x:v>1862.7349999999999</x:v>
      </x:c>
      <x:c r="Z181">
        <x:v>1783</x:v>
      </x:c>
      <x:c r="AB181" t="s">
        <x:v>282</x:v>
      </x:c>
      <x:c r="AF181" t="s">
        <x:v>50</x:v>
      </x:c>
      <x:c r="AG181" t="s">
        <x:v>283</x:v>
      </x:c>
      <x:c r="AH181" t="s">
        <x:v>284</x:v>
      </x:c>
      <x:c r="AI181" t="s">
        <x:v>285</x:v>
      </x:c>
      <x:c r="AJ181">
        <x:v>191</x:v>
      </x:c>
    </x:row>
    <x:row r="182">
      <x:c r="A182" t="s">
        <x:v>1464</x:v>
      </x:c>
      <x:c r="B182" t="s">
        <x:v>1465</x:v>
      </x:c>
      <x:c r="C182" t="s">
        <x:v>1563</x:v>
      </x:c>
      <x:c r="D182" t="s">
        <x:v>1564</x:v>
      </x:c>
      <x:c r="E182" t="s">
        <x:v>1565</x:v>
      </x:c>
      <x:c r="F182">
        <x:v>641</x:v>
      </x:c>
      <x:c r="G182">
        <x:v>641</x:v>
      </x:c>
      <x:c r="H182">
        <x:v>641</x:v>
      </x:c>
      <x:c r="I182" t="s">
        <x:v>1566</x:v>
      </x:c>
      <x:c r="J182" t="s">
        <x:v>1567</x:v>
      </x:c>
      <x:c r="K182" t="s">
        <x:v>1568</x:v>
      </x:c>
      <x:c r="L182" t="s">
        <x:v>1569</x:v>
      </x:c>
      <x:c r="M182" t="s">
        <x:v>1570</x:v>
      </x:c>
      <x:c r="N182" t="s">
        <x:v>1371</x:v>
      </x:c>
      <x:c r="O182" t="s">
        <x:v>1372</x:v>
      </x:c>
      <x:c r="P182" t="s">
        <x:v>1373</x:v>
      </x:c>
      <x:c r="R182" s="9">
        <x:v>39954</x:v>
      </x:c>
      <x:c r="T182" t="s">
        <x:v>119</x:v>
      </x:c>
      <x:c r="W182" s="26" t="n">
        <x:v>4.8692722</x:v>
      </x:c>
      <x:c r="X182" s="26" t="n">
        <x:v>-76.2506472</x:v>
      </x:c>
      <x:c r="AF182" t="s">
        <x:v>50</x:v>
      </x:c>
      <x:c r="AG182" t="s">
        <x:v>374</x:v>
      </x:c>
      <x:c r="AH182" t="s">
        <x:v>375</x:v>
      </x:c>
      <x:c r="AI182" t="s">
        <x:v>1375</x:v>
      </x:c>
      <x:c r="AJ182">
        <x:v>192</x:v>
      </x:c>
    </x:row>
    <x:row r="183">
      <x:c r="A183" t="s">
        <x:v>1464</x:v>
      </x:c>
      <x:c r="B183" t="s">
        <x:v>1465</x:v>
      </x:c>
      <x:c r="C183" t="s">
        <x:v>1571</x:v>
      </x:c>
      <x:c r="D183" t="s">
        <x:v>1529</x:v>
      </x:c>
      <x:c r="E183" t="s">
        <x:v>1565</x:v>
      </x:c>
      <x:c r="F183">
        <x:v>641</x:v>
      </x:c>
      <x:c r="G183">
        <x:v>641</x:v>
      </x:c>
      <x:c r="H183">
        <x:v>641</x:v>
      </x:c>
      <x:c r="I183" t="s">
        <x:v>1566</x:v>
      </x:c>
      <x:c r="J183" t="s">
        <x:v>1567</x:v>
      </x:c>
      <x:c r="K183" t="s">
        <x:v>1572</x:v>
      </x:c>
      <x:c r="L183" t="s">
        <x:v>1573</x:v>
      </x:c>
      <x:c r="M183" t="s">
        <x:v>1574</x:v>
      </x:c>
      <x:c r="N183" t="s">
        <x:v>1371</x:v>
      </x:c>
      <x:c r="O183" t="s">
        <x:v>1372</x:v>
      </x:c>
      <x:c r="P183" t="s">
        <x:v>1373</x:v>
      </x:c>
      <x:c r="R183" s="9">
        <x:v>39985</x:v>
      </x:c>
      <x:c r="T183" t="s">
        <x:v>119</x:v>
      </x:c>
      <x:c r="W183" s="26" t="n">
        <x:v>4.8692722</x:v>
      </x:c>
      <x:c r="X183" s="26" t="n">
        <x:v>-76.2506472</x:v>
      </x:c>
      <x:c r="AF183" t="s">
        <x:v>50</x:v>
      </x:c>
      <x:c r="AG183" t="s">
        <x:v>374</x:v>
      </x:c>
      <x:c r="AH183" t="s">
        <x:v>375</x:v>
      </x:c>
      <x:c r="AI183" t="s">
        <x:v>1375</x:v>
      </x:c>
      <x:c r="AJ183">
        <x:v>193</x:v>
      </x:c>
    </x:row>
    <x:row r="184">
      <x:c r="A184" t="s">
        <x:v>1464</x:v>
      </x:c>
      <x:c r="B184" t="s">
        <x:v>1465</x:v>
      </x:c>
      <x:c r="C184" t="s">
        <x:v>1575</x:v>
      </x:c>
      <x:c r="D184" t="s">
        <x:v>1564</x:v>
      </x:c>
      <x:c r="E184" t="s">
        <x:v>1565</x:v>
      </x:c>
      <x:c r="F184">
        <x:v>641</x:v>
      </x:c>
      <x:c r="G184">
        <x:v>641</x:v>
      </x:c>
      <x:c r="H184">
        <x:v>641</x:v>
      </x:c>
      <x:c r="I184" t="s">
        <x:v>1566</x:v>
      </x:c>
      <x:c r="J184" t="s">
        <x:v>1567</x:v>
      </x:c>
      <x:c r="K184" t="s">
        <x:v>1572</x:v>
      </x:c>
      <x:c r="L184" t="s">
        <x:v>1573</x:v>
      </x:c>
      <x:c r="M184" t="s">
        <x:v>1574</x:v>
      </x:c>
      <x:c r="N184" t="s">
        <x:v>1371</x:v>
      </x:c>
      <x:c r="O184" t="s">
        <x:v>1372</x:v>
      </x:c>
      <x:c r="P184" t="s">
        <x:v>1373</x:v>
      </x:c>
      <x:c r="R184" s="9">
        <x:v>39985</x:v>
      </x:c>
      <x:c r="T184" t="s">
        <x:v>119</x:v>
      </x:c>
      <x:c r="W184" s="26" t="n">
        <x:v>4.8692722</x:v>
      </x:c>
      <x:c r="X184" s="26" t="n">
        <x:v>-76.2506472</x:v>
      </x:c>
      <x:c r="AF184" t="s">
        <x:v>50</x:v>
      </x:c>
      <x:c r="AG184" t="s">
        <x:v>374</x:v>
      </x:c>
      <x:c r="AH184" t="s">
        <x:v>375</x:v>
      </x:c>
      <x:c r="AI184" t="s">
        <x:v>1375</x:v>
      </x:c>
      <x:c r="AJ184">
        <x:v>194</x:v>
      </x:c>
    </x:row>
    <x:row r="185">
      <x:c r="A185" t="s">
        <x:v>1464</x:v>
      </x:c>
      <x:c r="B185" t="s">
        <x:v>1465</x:v>
      </x:c>
      <x:c r="C185" t="s">
        <x:v>1576</x:v>
      </x:c>
      <x:c r="D185" t="s">
        <x:v>1577</x:v>
      </x:c>
      <x:c r="E185" t="s">
        <x:v>1578</x:v>
      </x:c>
      <x:c r="F185">
        <x:v>5</x:v>
      </x:c>
      <x:c r="G185">
        <x:v>5</x:v>
      </x:c>
      <x:c r="H185">
        <x:v>5</x:v>
      </x:c>
      <x:c r="I185" t="s">
        <x:v>1318</x:v>
      </x:c>
      <x:c r="J185" t="s">
        <x:v>1319</x:v>
      </x:c>
      <x:c r="K185" t="s">
        <x:v>1579</x:v>
      </x:c>
      <x:c r="L185" t="s">
        <x:v>1580</x:v>
      </x:c>
      <x:c r="M185" t="s">
        <x:v>1581</x:v>
      </x:c>
      <x:c r="N185" t="s">
        <x:v>1582</x:v>
      </x:c>
      <x:c r="O185" t="s">
        <x:v>1583</x:v>
      </x:c>
      <x:c r="P185" t="s">
        <x:v>1584</x:v>
      </x:c>
      <x:c r="R185" s="9">
        <x:v>28946</x:v>
      </x:c>
      <x:c r="T185" t="s">
        <x:v>119</x:v>
      </x:c>
      <x:c r="W185" s="26" t="n">
        <x:v>4.1569</x:v>
      </x:c>
      <x:c r="X185" s="26" t="n">
        <x:v>-77.13704</x:v>
      </x:c>
      <x:c r="Y185">
        <x:v>3254.4549999999999</x:v>
      </x:c>
      <x:c r="Z185">
        <x:v>13</x:v>
      </x:c>
      <x:c r="AB185" t="s">
        <x:v>1323</x:v>
      </x:c>
      <x:c r="AF185" t="s">
        <x:v>50</x:v>
      </x:c>
      <x:c r="AG185" t="s">
        <x:v>50</x:v>
      </x:c>
      <x:c r="AH185" t="s">
        <x:v>374</x:v>
      </x:c>
      <x:c r="AI185" t="s">
        <x:v>1585</x:v>
      </x:c>
      <x:c r="AJ185">
        <x:v>195</x:v>
      </x:c>
    </x:row>
    <x:row r="186">
      <x:c r="A186" t="s">
        <x:v>1464</x:v>
      </x:c>
      <x:c r="B186" t="s">
        <x:v>1465</x:v>
      </x:c>
      <x:c r="C186" t="s">
        <x:v>1586</x:v>
      </x:c>
      <x:c r="D186" t="s">
        <x:v>1587</x:v>
      </x:c>
      <x:c r="E186" t="s">
        <x:v>1588</x:v>
      </x:c>
      <x:c r="F186">
        <x:v>1540</x:v>
      </x:c>
      <x:c r="G186">
        <x:v>1540</x:v>
      </x:c>
      <x:c r="H186">
        <x:v>1540</x:v>
      </x:c>
      <x:c r="P186" t="s">
        <x:v>80</x:v>
      </x:c>
      <x:c r="R186" s="9">
        <x:v>24828</x:v>
      </x:c>
      <x:c r="T186" t="s">
        <x:v>65</x:v>
      </x:c>
      <x:c r="W186" s="26" t="n">
        <x:v>4.96954</x:v>
      </x:c>
      <x:c r="X186" s="26" t="n">
        <x:v>-74.39447</x:v>
      </x:c>
      <x:c r="Y186">
        <x:v>377.488</x:v>
      </x:c>
      <x:c r="Z186">
        <x:v>1283</x:v>
      </x:c>
      <x:c r="AB186" t="s">
        <x:v>1589</x:v>
      </x:c>
      <x:c r="AF186" t="s">
        <x:v>50</x:v>
      </x:c>
      <x:c r="AG186" t="s">
        <x:v>98</x:v>
      </x:c>
      <x:c r="AH186" t="s">
        <x:v>1590</x:v>
      </x:c>
      <x:c r="AI186" t="s">
        <x:v>1591</x:v>
      </x:c>
      <x:c r="AJ186">
        <x:v>196</x:v>
      </x:c>
    </x:row>
    <x:row r="187">
      <x:c r="A187" t="s">
        <x:v>1464</x:v>
      </x:c>
      <x:c r="B187" t="s">
        <x:v>1465</x:v>
      </x:c>
      <x:c r="C187" t="s">
        <x:v>1592</x:v>
      </x:c>
      <x:c r="D187" t="s">
        <x:v>1593</x:v>
      </x:c>
      <x:c r="E187" t="s">
        <x:v>1594</x:v>
      </x:c>
      <x:c r="F187">
        <x:v>1620</x:v>
      </x:c>
      <x:c r="G187">
        <x:v>1620</x:v>
      </x:c>
      <x:c r="H187">
        <x:v>1620</x:v>
      </x:c>
      <x:c r="P187" t="s">
        <x:v>80</x:v>
      </x:c>
      <x:c r="R187" s="9">
        <x:v>30406</x:v>
      </x:c>
      <x:c r="T187" t="s">
        <x:v>119</x:v>
      </x:c>
      <x:c r="W187" s="26" t="n">
        <x:v>4.91823</x:v>
      </x:c>
      <x:c r="X187" s="26" t="n">
        <x:v>-74.41781</x:v>
      </x:c>
      <x:c r="Y187">
        <x:v>1402.2139999999999</x:v>
      </x:c>
      <x:c r="Z187">
        <x:v>1647</x:v>
      </x:c>
      <x:c r="AB187" t="s">
        <x:v>1595</x:v>
      </x:c>
      <x:c r="AF187" t="s">
        <x:v>50</x:v>
      </x:c>
      <x:c r="AG187" t="s">
        <x:v>98</x:v>
      </x:c>
      <x:c r="AH187" t="s">
        <x:v>1596</x:v>
      </x:c>
      <x:c r="AI187" t="s">
        <x:v>1597</x:v>
      </x:c>
      <x:c r="AJ187">
        <x:v>197</x:v>
      </x:c>
    </x:row>
    <x:row r="188">
      <x:c r="A188" t="s">
        <x:v>1464</x:v>
      </x:c>
      <x:c r="B188" t="s">
        <x:v>1465</x:v>
      </x:c>
      <x:c r="C188" t="s">
        <x:v>1598</x:v>
      </x:c>
      <x:c r="D188" t="s">
        <x:v>1599</x:v>
      </x:c>
      <x:c r="E188" t="s">
        <x:v>1594</x:v>
      </x:c>
      <x:c r="F188">
        <x:v>1620</x:v>
      </x:c>
      <x:c r="G188">
        <x:v>1620</x:v>
      </x:c>
      <x:c r="H188">
        <x:v>1620</x:v>
      </x:c>
      <x:c r="P188" t="s">
        <x:v>80</x:v>
      </x:c>
      <x:c r="R188" s="9">
        <x:v>30406</x:v>
      </x:c>
      <x:c r="T188" t="s">
        <x:v>119</x:v>
      </x:c>
      <x:c r="W188" s="26" t="n">
        <x:v>4.91823</x:v>
      </x:c>
      <x:c r="X188" s="26" t="n">
        <x:v>-74.41781</x:v>
      </x:c>
      <x:c r="Y188">
        <x:v>1402.2139999999999</x:v>
      </x:c>
      <x:c r="Z188">
        <x:v>1647</x:v>
      </x:c>
      <x:c r="AB188" t="s">
        <x:v>1595</x:v>
      </x:c>
      <x:c r="AF188" t="s">
        <x:v>50</x:v>
      </x:c>
      <x:c r="AG188" t="s">
        <x:v>98</x:v>
      </x:c>
      <x:c r="AH188" t="s">
        <x:v>1596</x:v>
      </x:c>
      <x:c r="AI188" t="s">
        <x:v>1597</x:v>
      </x:c>
      <x:c r="AJ188">
        <x:v>198</x:v>
      </x:c>
    </x:row>
    <x:row r="189">
      <x:c r="A189" t="s">
        <x:v>1464</x:v>
      </x:c>
      <x:c r="B189" t="s">
        <x:v>1465</x:v>
      </x:c>
      <x:c r="C189" t="s">
        <x:v>1600</x:v>
      </x:c>
      <x:c r="D189" t="s">
        <x:v>1601</x:v>
      </x:c>
      <x:c r="E189" t="s">
        <x:v>1602</x:v>
      </x:c>
      <x:c r="F189">
        <x:v>880</x:v>
      </x:c>
      <x:c r="G189">
        <x:v>880</x:v>
      </x:c>
      <x:c r="H189">
        <x:v>880</x:v>
      </x:c>
      <x:c r="I189" t="s">
        <x:v>1603</x:v>
      </x:c>
      <x:c r="J189" t="s">
        <x:v>1604</x:v>
      </x:c>
      <x:c r="K189" t="s">
        <x:v>1605</x:v>
      </x:c>
      <x:c r="L189" t="s">
        <x:v>1606</x:v>
      </x:c>
      <x:c r="M189" t="s">
        <x:v>1607</x:v>
      </x:c>
      <x:c r="N189" t="s">
        <x:v>1608</x:v>
      </x:c>
      <x:c r="O189" t="s">
        <x:v>1609</x:v>
      </x:c>
      <x:c r="P189" t="s">
        <x:v>1610</x:v>
      </x:c>
      <x:c r="R189" s="9">
        <x:v>36002</x:v>
      </x:c>
      <x:c r="T189" t="s">
        <x:v>119</x:v>
      </x:c>
      <x:c r="W189" s="26" t="n">
        <x:v>4.76809</x:v>
      </x:c>
      <x:c r="X189" s="26" t="n">
        <x:v>-73.3272</x:v>
      </x:c>
      <x:c r="Y189">
        <x:v>340.38200000000001</x:v>
      </x:c>
      <x:c r="Z189">
        <x:v>809</x:v>
      </x:c>
      <x:c r="AB189" t="s">
        <x:v>1611</x:v>
      </x:c>
      <x:c r="AF189" t="s">
        <x:v>50</x:v>
      </x:c>
      <x:c r="AG189" t="s">
        <x:v>98</x:v>
      </x:c>
      <x:c r="AH189" t="s">
        <x:v>1612</x:v>
      </x:c>
      <x:c r="AI189" t="s">
        <x:v>1613</x:v>
      </x:c>
      <x:c r="AJ189">
        <x:v>199</x:v>
      </x:c>
    </x:row>
    <x:row r="190">
      <x:c r="A190" t="s">
        <x:v>1464</x:v>
      </x:c>
      <x:c r="B190" t="s">
        <x:v>1465</x:v>
      </x:c>
      <x:c r="C190" t="s">
        <x:v>1614</x:v>
      </x:c>
      <x:c r="D190" t="s">
        <x:v>1615</x:v>
      </x:c>
      <x:c r="E190" t="s">
        <x:v>1616</x:v>
      </x:c>
      <x:c r="F190">
        <x:v>1400</x:v>
      </x:c>
      <x:c r="G190">
        <x:v>1400</x:v>
      </x:c>
      <x:c r="H190">
        <x:v>1400</x:v>
      </x:c>
      <x:c r="I190" t="s">
        <x:v>1617</x:v>
      </x:c>
      <x:c r="J190" t="s">
        <x:v>1618</x:v>
      </x:c>
      <x:c r="K190" t="s">
        <x:v>1619</x:v>
      </x:c>
      <x:c r="L190" t="s">
        <x:v>1620</x:v>
      </x:c>
      <x:c r="M190" t="s">
        <x:v>1621</x:v>
      </x:c>
      <x:c r="N190" t="s">
        <x:v>1622</x:v>
      </x:c>
      <x:c r="O190" t="s">
        <x:v>1623</x:v>
      </x:c>
      <x:c r="P190" t="s">
        <x:v>1624</x:v>
      </x:c>
      <x:c r="R190" s="9">
        <x:v>30205</x:v>
      </x:c>
      <x:c r="T190" t="s">
        <x:v>65</x:v>
      </x:c>
      <x:c r="W190" s="26" t="n">
        <x:v>1.8562917</x:v>
      </x:c>
      <x:c r="X190" s="26" t="n">
        <x:v>-76.0393917</x:v>
      </x:c>
      <x:c r="AF190" t="s">
        <x:v>50</x:v>
      </x:c>
      <x:c r="AG190" t="s">
        <x:v>51</x:v>
      </x:c>
      <x:c r="AH190" t="s">
        <x:v>140</x:v>
      </x:c>
      <x:c r="AI190" t="s">
        <x:v>1625</x:v>
      </x:c>
      <x:c r="AJ190">
        <x:v>200</x:v>
      </x:c>
    </x:row>
    <x:row r="191">
      <x:c r="A191" t="s">
        <x:v>1464</x:v>
      </x:c>
      <x:c r="B191" t="s">
        <x:v>1465</x:v>
      </x:c>
      <x:c r="C191" t="s">
        <x:v>1626</x:v>
      </x:c>
      <x:c r="D191" t="s">
        <x:v>1627</x:v>
      </x:c>
      <x:c r="E191" t="s">
        <x:v>1628</x:v>
      </x:c>
      <x:c r="F191">
        <x:v>1200</x:v>
      </x:c>
      <x:c r="G191">
        <x:v>1200</x:v>
      </x:c>
      <x:c r="H191">
        <x:v>1200</x:v>
      </x:c>
      <x:c r="I191" t="s">
        <x:v>1629</x:v>
      </x:c>
      <x:c r="J191" t="s">
        <x:v>1630</x:v>
      </x:c>
      <x:c r="K191" t="s">
        <x:v>1631</x:v>
      </x:c>
      <x:c r="L191" t="s">
        <x:v>1632</x:v>
      </x:c>
      <x:c r="M191" t="s">
        <x:v>1633</x:v>
      </x:c>
      <x:c r="N191" t="s">
        <x:v>1634</x:v>
      </x:c>
      <x:c r="O191" t="s">
        <x:v>1635</x:v>
      </x:c>
      <x:c r="P191" t="s">
        <x:v>1636</x:v>
      </x:c>
      <x:c r="R191" s="9">
        <x:v>30411</x:v>
      </x:c>
      <x:c r="T191" t="s">
        <x:v>119</x:v>
      </x:c>
      <x:c r="W191" s="26" t="n">
        <x:v>1.8038028</x:v>
      </x:c>
      <x:c r="X191" s="26" t="n">
        <x:v>-75.8897028</x:v>
      </x:c>
      <x:c r="AF191" t="s">
        <x:v>50</x:v>
      </x:c>
      <x:c r="AG191" t="s">
        <x:v>51</x:v>
      </x:c>
      <x:c r="AH191" t="s">
        <x:v>1330</x:v>
      </x:c>
      <x:c r="AI191" t="s">
        <x:v>1637</x:v>
      </x:c>
      <x:c r="AJ191">
        <x:v>201</x:v>
      </x:c>
    </x:row>
    <x:row r="192">
      <x:c r="A192" t="s">
        <x:v>1464</x:v>
      </x:c>
      <x:c r="B192" t="s">
        <x:v>1465</x:v>
      </x:c>
      <x:c r="C192" t="s">
        <x:v>1638</x:v>
      </x:c>
      <x:c r="D192" t="s">
        <x:v>1639</x:v>
      </x:c>
      <x:c r="E192" t="s">
        <x:v>1640</x:v>
      </x:c>
      <x:c r="F192">
        <x:v>1400</x:v>
      </x:c>
      <x:c r="G192">
        <x:v>1400</x:v>
      </x:c>
      <x:c r="H192">
        <x:v>1400</x:v>
      </x:c>
      <x:c r="I192" t="s">
        <x:v>1641</x:v>
      </x:c>
      <x:c r="J192" t="s">
        <x:v>1642</x:v>
      </x:c>
      <x:c r="K192" t="s">
        <x:v>1643</x:v>
      </x:c>
      <x:c r="L192" t="s">
        <x:v>1644</x:v>
      </x:c>
      <x:c r="M192" t="s">
        <x:v>1645</x:v>
      </x:c>
      <x:c r="N192" t="s">
        <x:v>1646</x:v>
      </x:c>
      <x:c r="O192" t="s">
        <x:v>1647</x:v>
      </x:c>
      <x:c r="P192" t="s">
        <x:v>1648</x:v>
      </x:c>
      <x:c r="R192" s="9">
        <x:v>33145</x:v>
      </x:c>
      <x:c r="T192" t="s">
        <x:v>65</x:v>
      </x:c>
      <x:c r="W192" s="26" t="n">
        <x:v>3.377</x:v>
      </x:c>
      <x:c r="X192" s="26" t="n">
        <x:v>-74.8024583</x:v>
      </x:c>
      <x:c r="AF192" t="s">
        <x:v>50</x:v>
      </x:c>
      <x:c r="AG192" t="s">
        <x:v>51</x:v>
      </x:c>
      <x:c r="AH192" t="s">
        <x:v>50</x:v>
      </x:c>
      <x:c r="AI192" t="s">
        <x:v>1649</x:v>
      </x:c>
      <x:c r="AJ192">
        <x:v>202</x:v>
      </x:c>
    </x:row>
    <x:row r="193">
      <x:c r="A193" t="s">
        <x:v>1464</x:v>
      </x:c>
      <x:c r="B193" t="s">
        <x:v>1465</x:v>
      </x:c>
      <x:c r="C193" t="s">
        <x:v>1638</x:v>
      </x:c>
      <x:c r="D193" t="s">
        <x:v>1650</x:v>
      </x:c>
      <x:c r="E193" t="s">
        <x:v>1640</x:v>
      </x:c>
      <x:c r="F193">
        <x:v>1400</x:v>
      </x:c>
      <x:c r="G193">
        <x:v>1400</x:v>
      </x:c>
      <x:c r="H193">
        <x:v>1400</x:v>
      </x:c>
      <x:c r="I193" t="s">
        <x:v>1641</x:v>
      </x:c>
      <x:c r="J193" t="s">
        <x:v>1642</x:v>
      </x:c>
      <x:c r="K193" t="s">
        <x:v>1643</x:v>
      </x:c>
      <x:c r="L193" t="s">
        <x:v>1644</x:v>
      </x:c>
      <x:c r="M193" t="s">
        <x:v>1645</x:v>
      </x:c>
      <x:c r="N193" t="s">
        <x:v>1646</x:v>
      </x:c>
      <x:c r="O193" t="s">
        <x:v>1647</x:v>
      </x:c>
      <x:c r="P193" t="s">
        <x:v>1648</x:v>
      </x:c>
      <x:c r="R193" s="9">
        <x:v>33145</x:v>
      </x:c>
      <x:c r="T193" t="s">
        <x:v>65</x:v>
      </x:c>
      <x:c r="W193" s="26" t="n">
        <x:v>3.377</x:v>
      </x:c>
      <x:c r="X193" s="26" t="n">
        <x:v>-74.8024583</x:v>
      </x:c>
      <x:c r="AF193" t="s">
        <x:v>50</x:v>
      </x:c>
      <x:c r="AG193" t="s">
        <x:v>51</x:v>
      </x:c>
      <x:c r="AH193" t="s">
        <x:v>50</x:v>
      </x:c>
      <x:c r="AI193" t="s">
        <x:v>1649</x:v>
      </x:c>
      <x:c r="AJ193">
        <x:v>203</x:v>
      </x:c>
    </x:row>
    <x:row r="194">
      <x:c r="A194" t="s">
        <x:v>1464</x:v>
      </x:c>
      <x:c r="B194" t="s">
        <x:v>1465</x:v>
      </x:c>
      <x:c r="C194" t="s">
        <x:v>1651</x:v>
      </x:c>
      <x:c r="D194" t="s">
        <x:v>1652</x:v>
      </x:c>
      <x:c r="E194" t="s">
        <x:v>1653</x:v>
      </x:c>
      <x:c r="F194">
        <x:v>1150</x:v>
      </x:c>
      <x:c r="G194">
        <x:v>1150</x:v>
      </x:c>
      <x:c r="H194">
        <x:v>1150</x:v>
      </x:c>
      <x:c r="I194" t="s">
        <x:v>1654</x:v>
      </x:c>
      <x:c r="J194" t="s">
        <x:v>1655</x:v>
      </x:c>
      <x:c r="K194" t="s">
        <x:v>1656</x:v>
      </x:c>
      <x:c r="L194" t="s">
        <x:v>1657</x:v>
      </x:c>
      <x:c r="M194" t="s">
        <x:v>1658</x:v>
      </x:c>
      <x:c r="N194" t="s">
        <x:v>1659</x:v>
      </x:c>
      <x:c r="O194" t="s">
        <x:v>1660</x:v>
      </x:c>
      <x:c r="P194" t="s">
        <x:v>1661</x:v>
      </x:c>
      <x:c r="R194" s="9">
        <x:v>32948</x:v>
      </x:c>
      <x:c r="T194" t="s">
        <x:v>119</x:v>
      </x:c>
      <x:c r="W194" s="26" t="n">
        <x:v>1.25195</x:v>
      </x:c>
      <x:c r="X194" s="26" t="n">
        <x:v>-77.99668</x:v>
      </x:c>
      <x:c r="Y194">
        <x:v>1684.6179999999999</x:v>
      </x:c>
      <x:c r="Z194">
        <x:v>1496</x:v>
      </x:c>
      <x:c r="AB194" t="s">
        <x:v>1662</x:v>
      </x:c>
      <x:c r="AF194" t="s">
        <x:v>50</x:v>
      </x:c>
      <x:c r="AG194" t="s">
        <x:v>127</x:v>
      </x:c>
      <x:c r="AH194" t="s">
        <x:v>652</x:v>
      </x:c>
      <x:c r="AI194" t="s">
        <x:v>1663</x:v>
      </x:c>
      <x:c r="AJ194">
        <x:v>205</x:v>
      </x:c>
    </x:row>
    <x:row r="195">
      <x:c r="A195" t="s">
        <x:v>1464</x:v>
      </x:c>
      <x:c r="B195" t="s">
        <x:v>1465</x:v>
      </x:c>
      <x:c r="C195" t="s">
        <x:v>1664</x:v>
      </x:c>
      <x:c r="D195" t="s">
        <x:v>1564</x:v>
      </x:c>
      <x:c r="E195" t="s">
        <x:v>1665</x:v>
      </x:c>
      <x:c r="F195">
        <x:v>1950</x:v>
      </x:c>
      <x:c r="G195">
        <x:v>1950</x:v>
      </x:c>
      <x:c r="H195">
        <x:v>1950</x:v>
      </x:c>
      <x:c r="I195" t="s">
        <x:v>1666</x:v>
      </x:c>
      <x:c r="J195" t="s">
        <x:v>1667</x:v>
      </x:c>
      <x:c r="K195" t="s">
        <x:v>1668</x:v>
      </x:c>
      <x:c r="L195" t="s">
        <x:v>1669</x:v>
      </x:c>
      <x:c r="M195" t="s">
        <x:v>1670</x:v>
      </x:c>
      <x:c r="N195" t="s">
        <x:v>315</x:v>
      </x:c>
      <x:c r="O195" t="s">
        <x:v>316</x:v>
      </x:c>
      <x:c r="P195" t="s">
        <x:v>317</x:v>
      </x:c>
      <x:c r="R195" s="9">
        <x:v>40014</x:v>
      </x:c>
      <x:c r="T195" t="s">
        <x:v>119</x:v>
      </x:c>
      <x:c r="W195" s="26" t="n">
        <x:v>4.68573</x:v>
      </x:c>
      <x:c r="X195" s="26" t="n">
        <x:v>-75.57803</x:v>
      </x:c>
      <x:c r="Y195">
        <x:v>5540.5119999999997</x:v>
      </x:c>
      <x:c r="Z195">
        <x:v>2087</x:v>
      </x:c>
      <x:c r="AB195" t="s">
        <x:v>1153</x:v>
      </x:c>
      <x:c r="AF195" t="s">
        <x:v>50</x:v>
      </x:c>
      <x:c r="AG195" t="s">
        <x:v>1671</x:v>
      </x:c>
      <x:c r="AH195" t="s">
        <x:v>803</x:v>
      </x:c>
      <x:c r="AI195" t="s">
        <x:v>1672</x:v>
      </x:c>
      <x:c r="AJ195">
        <x:v>206</x:v>
      </x:c>
    </x:row>
    <x:row r="196">
      <x:c r="A196" t="s">
        <x:v>1464</x:v>
      </x:c>
      <x:c r="B196" t="s">
        <x:v>1465</x:v>
      </x:c>
      <x:c r="C196" t="s">
        <x:v>1673</x:v>
      </x:c>
      <x:c r="D196" t="s">
        <x:v>1674</x:v>
      </x:c>
      <x:c r="E196" t="s">
        <x:v>1675</x:v>
      </x:c>
      <x:c r="P196" t="s">
        <x:v>80</x:v>
      </x:c>
      <x:c r="R196" s="9">
        <x:v>24733</x:v>
      </x:c>
      <x:c r="T196" t="s">
        <x:v>119</x:v>
      </x:c>
      <x:c r="W196" s="26" t="n">
        <x:v>3.63879</x:v>
      </x:c>
      <x:c r="X196" s="26" t="n">
        <x:v>-77.00698</x:v>
      </x:c>
      <x:c r="Y196">
        <x:v>4951.4979999999996</x:v>
      </x:c>
      <x:c r="Z196">
        <x:v>98</x:v>
      </x:c>
      <x:c r="AA196" t="s">
        <x:v>1676</x:v>
      </x:c>
      <x:c r="AB196" t="s">
        <x:v>1677</x:v>
      </x:c>
      <x:c r="AF196" t="s">
        <x:v>50</x:v>
      </x:c>
      <x:c r="AG196" t="s">
        <x:v>83</x:v>
      </x:c>
      <x:c r="AH196" t="s">
        <x:v>1678</x:v>
      </x:c>
      <x:c r="AI196" t="s">
        <x:v>1679</x:v>
      </x:c>
      <x:c r="AJ196">
        <x:v>207</x:v>
      </x:c>
    </x:row>
    <x:row r="197">
      <x:c r="A197" t="s">
        <x:v>1680</x:v>
      </x:c>
      <x:c r="B197" t="s">
        <x:v>1681</x:v>
      </x:c>
      <x:c r="C197" t="s">
        <x:v>1682</x:v>
      </x:c>
      <x:c r="D197" t="s">
        <x:v>1683</x:v>
      </x:c>
      <x:c r="E197" t="s">
        <x:v>1684</x:v>
      </x:c>
      <x:c r="F197">
        <x:v>3460</x:v>
      </x:c>
      <x:c r="G197">
        <x:v>3460</x:v>
      </x:c>
      <x:c r="H197">
        <x:v>3460</x:v>
      </x:c>
      <x:c r="P197" t="s">
        <x:v>80</x:v>
      </x:c>
      <x:c r="R197" s="9">
        <x:v>30895</x:v>
      </x:c>
      <x:c r="W197" s="26" t="n">
        <x:v>6.43758</x:v>
      </x:c>
      <x:c r="X197" s="26" t="n">
        <x:v>-76.1159</x:v>
      </x:c>
      <x:c r="Y197">
        <x:v>7088.2489999999998</x:v>
      </x:c>
      <x:c r="Z197">
        <x:v>2463</x:v>
      </x:c>
      <x:c r="AB197" t="s">
        <x:v>1683</x:v>
      </x:c>
      <x:c r="AF197" t="s">
        <x:v>50</x:v>
      </x:c>
      <x:c r="AG197" t="s">
        <x:v>402</x:v>
      </x:c>
      <x:c r="AH197" t="s">
        <x:v>1685</x:v>
      </x:c>
      <x:c r="AI197" t="s">
        <x:v>1686</x:v>
      </x:c>
      <x:c r="AJ197">
        <x:v>208</x:v>
      </x:c>
    </x:row>
    <x:row r="198">
      <x:c r="A198" t="s">
        <x:v>1680</x:v>
      </x:c>
      <x:c r="B198" t="s">
        <x:v>1681</x:v>
      </x:c>
      <x:c r="C198" t="s">
        <x:v>1687</x:v>
      </x:c>
      <x:c r="D198" t="s">
        <x:v>1688</x:v>
      </x:c>
      <x:c r="E198" t="s">
        <x:v>1689</x:v>
      </x:c>
      <x:c r="F198">
        <x:v>3540</x:v>
      </x:c>
      <x:c r="G198">
        <x:v>3540</x:v>
      </x:c>
      <x:c r="H198">
        <x:v>3540</x:v>
      </x:c>
      <x:c r="I198" t="s">
        <x:v>1690</x:v>
      </x:c>
      <x:c r="J198" t="s">
        <x:v>1691</x:v>
      </x:c>
      <x:c r="K198" t="s">
        <x:v>1692</x:v>
      </x:c>
      <x:c r="L198" t="s">
        <x:v>1693</x:v>
      </x:c>
      <x:c r="M198" t="s">
        <x:v>1694</x:v>
      </x:c>
      <x:c r="N198" t="s">
        <x:v>1695</x:v>
      </x:c>
      <x:c r="O198" t="s">
        <x:v>1696</x:v>
      </x:c>
      <x:c r="P198" t="s">
        <x:v>1697</x:v>
      </x:c>
      <x:c r="R198" s="9">
        <x:v>36775</x:v>
      </x:c>
      <x:c r="W198" s="26" t="n">
        <x:v>6.5</x:v>
      </x:c>
      <x:c r="X198" s="26" t="n">
        <x:v>-76.1166667</x:v>
      </x:c>
      <x:c r="AF198" t="s">
        <x:v>50</x:v>
      </x:c>
      <x:c r="AG198" t="s">
        <x:v>402</x:v>
      </x:c>
      <x:c r="AH198" t="s">
        <x:v>1685</x:v>
      </x:c>
      <x:c r="AI198" t="s">
        <x:v>1698</x:v>
      </x:c>
      <x:c r="AJ198">
        <x:v>209</x:v>
      </x:c>
    </x:row>
    <x:row r="199">
      <x:c r="A199" t="s">
        <x:v>1680</x:v>
      </x:c>
      <x:c r="B199" t="s">
        <x:v>1681</x:v>
      </x:c>
      <x:c r="C199" t="s">
        <x:v>1699</x:v>
      </x:c>
      <x:c r="D199" t="s">
        <x:v>1700</x:v>
      </x:c>
      <x:c r="E199" t="s">
        <x:v>1701</x:v>
      </x:c>
      <x:c r="F199">
        <x:v>3290</x:v>
      </x:c>
      <x:c r="G199">
        <x:v>3290</x:v>
      </x:c>
      <x:c r="H199">
        <x:v>3290</x:v>
      </x:c>
      <x:c r="I199" t="s">
        <x:v>1702</x:v>
      </x:c>
      <x:c r="J199" t="s">
        <x:v>1703</x:v>
      </x:c>
      <x:c r="K199" t="s">
        <x:v>1704</x:v>
      </x:c>
      <x:c r="L199" t="s">
        <x:v>1705</x:v>
      </x:c>
      <x:c r="M199" t="s">
        <x:v>1706</x:v>
      </x:c>
      <x:c r="N199" t="s">
        <x:v>1707</x:v>
      </x:c>
      <x:c r="O199" t="s">
        <x:v>1708</x:v>
      </x:c>
      <x:c r="P199" t="s">
        <x:v>1709</x:v>
      </x:c>
      <x:c r="R199" s="9">
        <x:v>37404</x:v>
      </x:c>
      <x:c r="T199" t="s">
        <x:v>119</x:v>
      </x:c>
      <x:c r="W199" s="26" t="n">
        <x:v>6.6858611</x:v>
      </x:c>
      <x:c r="X199" s="26" t="n">
        <x:v>-75.6748889</x:v>
      </x:c>
      <x:c r="AF199" t="s">
        <x:v>50</x:v>
      </x:c>
      <x:c r="AG199" t="s">
        <x:v>402</x:v>
      </x:c>
      <x:c r="AH199" t="s">
        <x:v>1710</x:v>
      </x:c>
      <x:c r="AI199" t="s">
        <x:v>1711</x:v>
      </x:c>
      <x:c r="AJ199">
        <x:v>210</x:v>
      </x:c>
    </x:row>
    <x:row r="200">
      <x:c r="A200" t="s">
        <x:v>1680</x:v>
      </x:c>
      <x:c r="B200" t="s">
        <x:v>1681</x:v>
      </x:c>
      <x:c r="C200" t="s">
        <x:v>1699</x:v>
      </x:c>
      <x:c r="D200" t="s">
        <x:v>1712</x:v>
      </x:c>
      <x:c r="E200" t="s">
        <x:v>1701</x:v>
      </x:c>
      <x:c r="F200">
        <x:v>3290</x:v>
      </x:c>
      <x:c r="G200">
        <x:v>3290</x:v>
      </x:c>
      <x:c r="H200">
        <x:v>3290</x:v>
      </x:c>
      <x:c r="I200" t="s">
        <x:v>1702</x:v>
      </x:c>
      <x:c r="J200" t="s">
        <x:v>1703</x:v>
      </x:c>
      <x:c r="K200" t="s">
        <x:v>1704</x:v>
      </x:c>
      <x:c r="L200" t="s">
        <x:v>1705</x:v>
      </x:c>
      <x:c r="M200" t="s">
        <x:v>1706</x:v>
      </x:c>
      <x:c r="N200" t="s">
        <x:v>1707</x:v>
      </x:c>
      <x:c r="O200" t="s">
        <x:v>1708</x:v>
      </x:c>
      <x:c r="P200" t="s">
        <x:v>1709</x:v>
      </x:c>
      <x:c r="R200" s="9">
        <x:v>37404</x:v>
      </x:c>
      <x:c r="T200" t="s">
        <x:v>119</x:v>
      </x:c>
      <x:c r="W200" s="26" t="n">
        <x:v>6.6858611</x:v>
      </x:c>
      <x:c r="X200" s="26" t="n">
        <x:v>-75.6748889</x:v>
      </x:c>
      <x:c r="AF200" t="s">
        <x:v>50</x:v>
      </x:c>
      <x:c r="AG200" t="s">
        <x:v>402</x:v>
      </x:c>
      <x:c r="AH200" t="s">
        <x:v>1710</x:v>
      </x:c>
      <x:c r="AI200" t="s">
        <x:v>1711</x:v>
      </x:c>
      <x:c r="AJ200">
        <x:v>211</x:v>
      </x:c>
    </x:row>
    <x:row r="201">
      <x:c r="A201" t="s">
        <x:v>1680</x:v>
      </x:c>
      <x:c r="B201" t="s">
        <x:v>1681</x:v>
      </x:c>
      <x:c r="C201" t="s">
        <x:v>1713</x:v>
      </x:c>
      <x:c r="D201" t="s">
        <x:v>1714</x:v>
      </x:c>
      <x:c r="E201" t="s">
        <x:v>1715</x:v>
      </x:c>
      <x:c r="F201">
        <x:v>3110</x:v>
      </x:c>
      <x:c r="G201">
        <x:v>3110</x:v>
      </x:c>
      <x:c r="H201">
        <x:v>3110</x:v>
      </x:c>
      <x:c r="I201" t="s">
        <x:v>1716</x:v>
      </x:c>
      <x:c r="J201" t="s">
        <x:v>1717</x:v>
      </x:c>
      <x:c r="K201" t="s">
        <x:v>1718</x:v>
      </x:c>
      <x:c r="L201" t="s">
        <x:v>1719</x:v>
      </x:c>
      <x:c r="M201" t="s">
        <x:v>1720</x:v>
      </x:c>
      <x:c r="N201" t="s">
        <x:v>1721</x:v>
      </x:c>
      <x:c r="O201" t="s">
        <x:v>1722</x:v>
      </x:c>
      <x:c r="P201" t="s">
        <x:v>1723</x:v>
      </x:c>
      <x:c r="R201" s="9">
        <x:v>37460</x:v>
      </x:c>
      <x:c r="W201" s="26" t="n">
        <x:v>6.77175</x:v>
      </x:c>
      <x:c r="X201" s="26" t="n">
        <x:v>-75.6946944</x:v>
      </x:c>
      <x:c r="AF201" t="s">
        <x:v>50</x:v>
      </x:c>
      <x:c r="AG201" t="s">
        <x:v>402</x:v>
      </x:c>
      <x:c r="AH201" t="s">
        <x:v>1724</x:v>
      </x:c>
      <x:c r="AI201" t="s">
        <x:v>1725</x:v>
      </x:c>
      <x:c r="AJ201">
        <x:v>213</x:v>
      </x:c>
    </x:row>
    <x:row r="202">
      <x:c r="A202" t="s">
        <x:v>1680</x:v>
      </x:c>
      <x:c r="B202" t="s">
        <x:v>1681</x:v>
      </x:c>
      <x:c r="C202" t="s">
        <x:v>1726</x:v>
      </x:c>
      <x:c r="D202" t="s">
        <x:v>1714</x:v>
      </x:c>
      <x:c r="E202" t="s">
        <x:v>1727</x:v>
      </x:c>
      <x:c r="F202">
        <x:v>3110</x:v>
      </x:c>
      <x:c r="G202">
        <x:v>3110</x:v>
      </x:c>
      <x:c r="H202">
        <x:v>3110</x:v>
      </x:c>
      <x:c r="I202" t="s">
        <x:v>1716</x:v>
      </x:c>
      <x:c r="J202" t="s">
        <x:v>1717</x:v>
      </x:c>
      <x:c r="K202" t="s">
        <x:v>1718</x:v>
      </x:c>
      <x:c r="L202" t="s">
        <x:v>1719</x:v>
      </x:c>
      <x:c r="M202" t="s">
        <x:v>1720</x:v>
      </x:c>
      <x:c r="N202" t="s">
        <x:v>1721</x:v>
      </x:c>
      <x:c r="O202" t="s">
        <x:v>1722</x:v>
      </x:c>
      <x:c r="P202" t="s">
        <x:v>1723</x:v>
      </x:c>
      <x:c r="R202" s="9">
        <x:v>37460</x:v>
      </x:c>
      <x:c r="T202" t="s">
        <x:v>119</x:v>
      </x:c>
      <x:c r="W202" s="26" t="n">
        <x:v>6.77175</x:v>
      </x:c>
      <x:c r="X202" s="26" t="n">
        <x:v>-75.6946944</x:v>
      </x:c>
      <x:c r="AF202" t="s">
        <x:v>50</x:v>
      </x:c>
      <x:c r="AG202" t="s">
        <x:v>402</x:v>
      </x:c>
      <x:c r="AH202" t="s">
        <x:v>1728</x:v>
      </x:c>
      <x:c r="AI202" t="s">
        <x:v>1729</x:v>
      </x:c>
      <x:c r="AJ202">
        <x:v>214</x:v>
      </x:c>
    </x:row>
    <x:row r="203">
      <x:c r="A203" t="s">
        <x:v>1680</x:v>
      </x:c>
      <x:c r="B203" t="s">
        <x:v>1681</x:v>
      </x:c>
      <x:c r="C203" t="s">
        <x:v>1730</x:v>
      </x:c>
      <x:c r="D203" t="s">
        <x:v>1731</x:v>
      </x:c>
      <x:c r="E203" t="s">
        <x:v>1732</x:v>
      </x:c>
      <x:c r="F203">
        <x:v>3400</x:v>
      </x:c>
      <x:c r="G203">
        <x:v>3400</x:v>
      </x:c>
      <x:c r="H203">
        <x:v>3400</x:v>
      </x:c>
      <x:c r="I203" t="s">
        <x:v>1733</x:v>
      </x:c>
      <x:c r="J203" t="s">
        <x:v>1734</x:v>
      </x:c>
      <x:c r="K203" t="s">
        <x:v>1735</x:v>
      </x:c>
      <x:c r="L203" t="s">
        <x:v>1736</x:v>
      </x:c>
      <x:c r="M203" t="s">
        <x:v>1737</x:v>
      </x:c>
      <x:c r="N203" t="s">
        <x:v>1738</x:v>
      </x:c>
      <x:c r="O203" t="s">
        <x:v>1739</x:v>
      </x:c>
      <x:c r="P203" t="s">
        <x:v>1740</x:v>
      </x:c>
      <x:c r="R203" s="9">
        <x:v>14735</x:v>
      </x:c>
      <x:c r="T203" t="s">
        <x:v>119</x:v>
      </x:c>
      <x:c r="W203" s="26" t="n">
        <x:v>5.0000194</x:v>
      </x:c>
      <x:c r="X203" s="26" t="n">
        <x:v>-75.3499833</x:v>
      </x:c>
      <x:c r="AF203" t="s">
        <x:v>50</x:v>
      </x:c>
      <x:c r="AG203" t="s">
        <x:v>167</x:v>
      </x:c>
      <x:c r="AH203" t="s">
        <x:v>1741</x:v>
      </x:c>
      <x:c r="AI203" t="s">
        <x:v>1742</x:v>
      </x:c>
      <x:c r="AJ203">
        <x:v>215</x:v>
      </x:c>
    </x:row>
    <x:row r="204">
      <x:c r="A204" t="s">
        <x:v>1680</x:v>
      </x:c>
      <x:c r="B204" t="s">
        <x:v>1681</x:v>
      </x:c>
      <x:c r="C204" t="s">
        <x:v>1743</x:v>
      </x:c>
      <x:c r="D204" t="s">
        <x:v>1744</x:v>
      </x:c>
      <x:c r="E204" t="s">
        <x:v>1745</x:v>
      </x:c>
      <x:c r="F204">
        <x:v>3000</x:v>
      </x:c>
      <x:c r="G204">
        <x:v>3000</x:v>
      </x:c>
      <x:c r="H204">
        <x:v>3000</x:v>
      </x:c>
      <x:c r="I204" t="s">
        <x:v>1746</x:v>
      </x:c>
      <x:c r="J204" t="s">
        <x:v>1747</x:v>
      </x:c>
      <x:c r="K204" t="s">
        <x:v>1748</x:v>
      </x:c>
      <x:c r="L204" t="s">
        <x:v>1749</x:v>
      </x:c>
      <x:c r="M204" t="s">
        <x:v>1750</x:v>
      </x:c>
      <x:c r="N204" t="s">
        <x:v>1751</x:v>
      </x:c>
      <x:c r="O204" t="s">
        <x:v>1752</x:v>
      </x:c>
      <x:c r="P204" t="s">
        <x:v>1753</x:v>
      </x:c>
      <x:c r="R204" s="9">
        <x:v>21402</x:v>
      </x:c>
      <x:c r="T204" t="s">
        <x:v>119</x:v>
      </x:c>
      <x:c r="W204" s="26" t="n">
        <x:v>4.9817667</x:v>
      </x:c>
      <x:c r="X204" s="26" t="n">
        <x:v>-75.3602389</x:v>
      </x:c>
      <x:c r="AF204" t="s">
        <x:v>50</x:v>
      </x:c>
      <x:c r="AG204" t="s">
        <x:v>167</x:v>
      </x:c>
      <x:c r="AH204" t="s">
        <x:v>1754</x:v>
      </x:c>
      <x:c r="AI204" t="s">
        <x:v>1755</x:v>
      </x:c>
      <x:c r="AJ204">
        <x:v>216</x:v>
      </x:c>
    </x:row>
    <x:row r="205">
      <x:c r="A205" t="s">
        <x:v>1680</x:v>
      </x:c>
      <x:c r="B205" t="s">
        <x:v>1681</x:v>
      </x:c>
      <x:c r="C205" t="s">
        <x:v>1756</x:v>
      </x:c>
      <x:c r="D205" t="s">
        <x:v>1757</x:v>
      </x:c>
      <x:c r="E205" t="s">
        <x:v>1758</x:v>
      </x:c>
      <x:c r="F205">
        <x:v>3240</x:v>
      </x:c>
      <x:c r="G205">
        <x:v>3240</x:v>
      </x:c>
      <x:c r="H205">
        <x:v>3240</x:v>
      </x:c>
      <x:c r="I205" t="s">
        <x:v>1733</x:v>
      </x:c>
      <x:c r="J205" t="s">
        <x:v>1734</x:v>
      </x:c>
      <x:c r="K205" t="s">
        <x:v>1735</x:v>
      </x:c>
      <x:c r="L205" t="s">
        <x:v>1736</x:v>
      </x:c>
      <x:c r="M205" t="s">
        <x:v>1737</x:v>
      </x:c>
      <x:c r="N205" t="s">
        <x:v>1738</x:v>
      </x:c>
      <x:c r="O205" t="s">
        <x:v>1739</x:v>
      </x:c>
      <x:c r="P205" t="s">
        <x:v>1740</x:v>
      </x:c>
      <x:c r="R205" s="9">
        <x:v>21736</x:v>
      </x:c>
      <x:c r="W205" s="26" t="n">
        <x:v>5.0000194</x:v>
      </x:c>
      <x:c r="X205" s="26" t="n">
        <x:v>-75.3499833</x:v>
      </x:c>
      <x:c r="AF205" t="s">
        <x:v>50</x:v>
      </x:c>
      <x:c r="AG205" t="s">
        <x:v>167</x:v>
      </x:c>
      <x:c r="AH205" t="s">
        <x:v>1759</x:v>
      </x:c>
      <x:c r="AI205" t="s">
        <x:v>1760</x:v>
      </x:c>
      <x:c r="AJ205">
        <x:v>217</x:v>
      </x:c>
    </x:row>
    <x:row r="206">
      <x:c r="A206" t="s">
        <x:v>1680</x:v>
      </x:c>
      <x:c r="B206" t="s">
        <x:v>1681</x:v>
      </x:c>
      <x:c r="C206" t="s">
        <x:v>1761</x:v>
      </x:c>
      <x:c r="D206" t="s">
        <x:v>1762</x:v>
      </x:c>
      <x:c r="E206" t="s">
        <x:v>1763</x:v>
      </x:c>
      <x:c r="I206" t="s">
        <x:v>1733</x:v>
      </x:c>
      <x:c r="J206" t="s">
        <x:v>1734</x:v>
      </x:c>
      <x:c r="K206" t="s">
        <x:v>1735</x:v>
      </x:c>
      <x:c r="L206" t="s">
        <x:v>1736</x:v>
      </x:c>
      <x:c r="M206" t="s">
        <x:v>1737</x:v>
      </x:c>
      <x:c r="N206" t="s">
        <x:v>1738</x:v>
      </x:c>
      <x:c r="O206" t="s">
        <x:v>1739</x:v>
      </x:c>
      <x:c r="P206" t="s">
        <x:v>1740</x:v>
      </x:c>
      <x:c r="R206" s="9">
        <x:v>22576</x:v>
      </x:c>
      <x:c r="W206" s="26" t="n">
        <x:v>5.0000194</x:v>
      </x:c>
      <x:c r="X206" s="26" t="n">
        <x:v>-75.3499833</x:v>
      </x:c>
      <x:c r="AF206" t="s">
        <x:v>50</x:v>
      </x:c>
      <x:c r="AG206" t="s">
        <x:v>167</x:v>
      </x:c>
      <x:c r="AH206" t="s">
        <x:v>1764</x:v>
      </x:c>
      <x:c r="AJ206">
        <x:v>218</x:v>
      </x:c>
    </x:row>
    <x:row r="207">
      <x:c r="A207" t="s">
        <x:v>1680</x:v>
      </x:c>
      <x:c r="B207" t="s">
        <x:v>1681</x:v>
      </x:c>
      <x:c r="C207" t="s">
        <x:v>1765</x:v>
      </x:c>
      <x:c r="D207" t="s">
        <x:v>1766</x:v>
      </x:c>
      <x:c r="E207" t="s">
        <x:v>1767</x:v>
      </x:c>
      <x:c r="F207" t="s">
        <x:v>1768</x:v>
      </x:c>
      <x:c r="G207">
        <x:v>3000</x:v>
      </x:c>
      <x:c r="H207">
        <x:v>3500</x:v>
      </x:c>
      <x:c r="I207" t="s">
        <x:v>1733</x:v>
      </x:c>
      <x:c r="J207" t="s">
        <x:v>1734</x:v>
      </x:c>
      <x:c r="K207" t="s">
        <x:v>1735</x:v>
      </x:c>
      <x:c r="L207" t="s">
        <x:v>1736</x:v>
      </x:c>
      <x:c r="M207" t="s">
        <x:v>1737</x:v>
      </x:c>
      <x:c r="N207" t="s">
        <x:v>1738</x:v>
      </x:c>
      <x:c r="O207" t="s">
        <x:v>1739</x:v>
      </x:c>
      <x:c r="P207" t="s">
        <x:v>1740</x:v>
      </x:c>
      <x:c r="R207" s="9">
        <x:v>24266</x:v>
      </x:c>
      <x:c r="W207" s="26" t="n">
        <x:v>5.0000194</x:v>
      </x:c>
      <x:c r="X207" s="26" t="n">
        <x:v>-75.3499833</x:v>
      </x:c>
      <x:c r="AF207" t="s">
        <x:v>50</x:v>
      </x:c>
      <x:c r="AG207" t="s">
        <x:v>167</x:v>
      </x:c>
      <x:c r="AH207" t="s">
        <x:v>1769</x:v>
      </x:c>
      <x:c r="AJ207">
        <x:v>219</x:v>
      </x:c>
    </x:row>
    <x:row r="208">
      <x:c r="A208" t="s">
        <x:v>1680</x:v>
      </x:c>
      <x:c r="B208" t="s">
        <x:v>1681</x:v>
      </x:c>
      <x:c r="C208" t="s">
        <x:v>1770</x:v>
      </x:c>
      <x:c r="D208" t="s">
        <x:v>1771</x:v>
      </x:c>
      <x:c r="E208" t="s">
        <x:v>1772</x:v>
      </x:c>
      <x:c r="F208">
        <x:v>2650</x:v>
      </x:c>
      <x:c r="G208">
        <x:v>2650</x:v>
      </x:c>
      <x:c r="H208">
        <x:v>2650</x:v>
      </x:c>
      <x:c r="P208" t="s">
        <x:v>80</x:v>
      </x:c>
      <x:c r="R208" s="9">
        <x:v>31350</x:v>
      </x:c>
      <x:c r="T208" t="s">
        <x:v>119</x:v>
      </x:c>
      <x:c r="W208" s="26" t="n">
        <x:v>5.03103</x:v>
      </x:c>
      <x:c r="X208" s="26" t="n">
        <x:v>-75.51113</x:v>
      </x:c>
      <x:c r="Y208">
        <x:v>495.93400000000003</x:v>
      </x:c>
      <x:c r="Z208">
        <x:v>2018</x:v>
      </x:c>
      <x:c r="AB208" t="s">
        <x:v>992</x:v>
      </x:c>
      <x:c r="AF208" t="s">
        <x:v>50</x:v>
      </x:c>
      <x:c r="AG208" t="s">
        <x:v>167</x:v>
      </x:c>
      <x:c r="AH208" t="s">
        <x:v>993</x:v>
      </x:c>
      <x:c r="AI208" t="s">
        <x:v>1773</x:v>
      </x:c>
      <x:c r="AJ208">
        <x:v>221</x:v>
      </x:c>
    </x:row>
    <x:row r="209">
      <x:c r="A209" t="s">
        <x:v>1680</x:v>
      </x:c>
      <x:c r="B209" t="s">
        <x:v>1681</x:v>
      </x:c>
      <x:c r="C209" t="s">
        <x:v>1774</x:v>
      </x:c>
      <x:c r="D209" t="s">
        <x:v>1775</x:v>
      </x:c>
      <x:c r="E209" t="s">
        <x:v>1776</x:v>
      </x:c>
      <x:c r="F209">
        <x:v>3734</x:v>
      </x:c>
      <x:c r="G209">
        <x:v>3734</x:v>
      </x:c>
      <x:c r="H209">
        <x:v>3734</x:v>
      </x:c>
      <x:c r="I209" t="s">
        <x:v>1777</x:v>
      </x:c>
      <x:c r="J209" t="s">
        <x:v>1778</x:v>
      </x:c>
      <x:c r="K209" t="s">
        <x:v>1779</x:v>
      </x:c>
      <x:c r="L209" t="s">
        <x:v>1780</x:v>
      </x:c>
      <x:c r="M209" t="s">
        <x:v>1781</x:v>
      </x:c>
      <x:c r="N209" t="s">
        <x:v>1782</x:v>
      </x:c>
      <x:c r="O209" t="s">
        <x:v>1783</x:v>
      </x:c>
      <x:c r="P209" t="s">
        <x:v>1784</x:v>
      </x:c>
      <x:c r="R209" s="9">
        <x:v>38198</x:v>
      </x:c>
      <x:c r="T209" t="s">
        <x:v>119</x:v>
      </x:c>
      <x:c r="W209" s="26" t="n">
        <x:v>5.0586389</x:v>
      </x:c>
      <x:c r="X209" s="26" t="n">
        <x:v>-75.3834444</x:v>
      </x:c>
      <x:c r="AF209" t="s">
        <x:v>50</x:v>
      </x:c>
      <x:c r="AG209" t="s">
        <x:v>167</x:v>
      </x:c>
      <x:c r="AH209" t="s">
        <x:v>168</x:v>
      </x:c>
      <x:c r="AI209" t="s">
        <x:v>1785</x:v>
      </x:c>
      <x:c r="AJ209">
        <x:v>222</x:v>
      </x:c>
    </x:row>
    <x:row r="210">
      <x:c r="A210" t="s">
        <x:v>1680</x:v>
      </x:c>
      <x:c r="B210" t="s">
        <x:v>1681</x:v>
      </x:c>
      <x:c r="C210" t="s">
        <x:v>1786</x:v>
      </x:c>
      <x:c r="D210" t="s">
        <x:v>1787</x:v>
      </x:c>
      <x:c r="E210" t="s">
        <x:v>1788</x:v>
      </x:c>
      <x:c r="F210">
        <x:v>3677</x:v>
      </x:c>
      <x:c r="G210">
        <x:v>3677</x:v>
      </x:c>
      <x:c r="H210">
        <x:v>3677</x:v>
      </x:c>
      <x:c r="I210" t="s">
        <x:v>1789</x:v>
      </x:c>
      <x:c r="J210" t="s">
        <x:v>1790</x:v>
      </x:c>
      <x:c r="K210" t="s">
        <x:v>1779</x:v>
      </x:c>
      <x:c r="L210" t="s">
        <x:v>1780</x:v>
      </x:c>
      <x:c r="M210" t="s">
        <x:v>1791</x:v>
      </x:c>
      <x:c r="N210" t="s">
        <x:v>1792</x:v>
      </x:c>
      <x:c r="O210" t="s">
        <x:v>1783</x:v>
      </x:c>
      <x:c r="P210" t="s">
        <x:v>1793</x:v>
      </x:c>
      <x:c r="R210" s="9">
        <x:v>38198</x:v>
      </x:c>
      <x:c r="T210" t="s">
        <x:v>119</x:v>
      </x:c>
      <x:c r="W210" s="26" t="n">
        <x:v>5.0039167</x:v>
      </x:c>
      <x:c r="X210" s="26" t="n">
        <x:v>-75.3834444</x:v>
      </x:c>
      <x:c r="AF210" t="s">
        <x:v>50</x:v>
      </x:c>
      <x:c r="AG210" t="s">
        <x:v>167</x:v>
      </x:c>
      <x:c r="AH210" t="s">
        <x:v>1794</x:v>
      </x:c>
      <x:c r="AI210" t="s">
        <x:v>1795</x:v>
      </x:c>
      <x:c r="AJ210">
        <x:v>223</x:v>
      </x:c>
    </x:row>
    <x:row r="211">
      <x:c r="A211" t="s">
        <x:v>1680</x:v>
      </x:c>
      <x:c r="B211" t="s">
        <x:v>1681</x:v>
      </x:c>
      <x:c r="C211" t="s">
        <x:v>1796</x:v>
      </x:c>
      <x:c r="D211" t="s">
        <x:v>1797</x:v>
      </x:c>
      <x:c r="E211" t="s">
        <x:v>1798</x:v>
      </x:c>
      <x:c r="F211">
        <x:v>3580</x:v>
      </x:c>
      <x:c r="G211">
        <x:v>3580</x:v>
      </x:c>
      <x:c r="H211">
        <x:v>3580</x:v>
      </x:c>
      <x:c r="I211" t="s">
        <x:v>1799</x:v>
      </x:c>
      <x:c r="J211" t="s">
        <x:v>1800</x:v>
      </x:c>
      <x:c r="K211" t="s">
        <x:v>1801</x:v>
      </x:c>
      <x:c r="L211" t="s">
        <x:v>1802</x:v>
      </x:c>
      <x:c r="M211" t="s">
        <x:v>1803</x:v>
      </x:c>
      <x:c r="P211" t="s">
        <x:v>80</x:v>
      </x:c>
      <x:c r="R211" s="9">
        <x:v>38594</x:v>
      </x:c>
      <x:c r="W211" s="26" t="n">
        <x:v>4.9722</x:v>
      </x:c>
      <x:c r="X211" s="26" t="n">
        <x:v>-75.38059</x:v>
      </x:c>
      <x:c r="Y211">
        <x:v>615.61400000000003</x:v>
      </x:c>
      <x:c r="Z211">
        <x:v>3513</x:v>
      </x:c>
      <x:c r="AB211" t="s">
        <x:v>1804</x:v>
      </x:c>
      <x:c r="AF211" t="s">
        <x:v>50</x:v>
      </x:c>
      <x:c r="AG211" t="s">
        <x:v>167</x:v>
      </x:c>
      <x:c r="AH211" t="s">
        <x:v>1805</x:v>
      </x:c>
      <x:c r="AI211" t="s">
        <x:v>1806</x:v>
      </x:c>
      <x:c r="AJ211">
        <x:v>224</x:v>
      </x:c>
    </x:row>
    <x:row r="212">
      <x:c r="A212" t="s">
        <x:v>1680</x:v>
      </x:c>
      <x:c r="B212" t="s">
        <x:v>1681</x:v>
      </x:c>
      <x:c r="C212" t="s">
        <x:v>1807</x:v>
      </x:c>
      <x:c r="D212" t="s">
        <x:v>1808</x:v>
      </x:c>
      <x:c r="E212" t="s">
        <x:v>1809</x:v>
      </x:c>
      <x:c r="F212">
        <x:v>3680</x:v>
      </x:c>
      <x:c r="G212">
        <x:v>3680</x:v>
      </x:c>
      <x:c r="H212">
        <x:v>3680</x:v>
      </x:c>
      <x:c r="I212" t="s">
        <x:v>1810</x:v>
      </x:c>
      <x:c r="J212" t="s">
        <x:v>1811</x:v>
      </x:c>
      <x:c r="K212" t="s">
        <x:v>1812</x:v>
      </x:c>
      <x:c r="L212" t="s">
        <x:v>1813</x:v>
      </x:c>
      <x:c r="M212" t="s">
        <x:v>1814</x:v>
      </x:c>
      <x:c r="N212" t="s">
        <x:v>1815</x:v>
      </x:c>
      <x:c r="O212" t="s">
        <x:v>1816</x:v>
      </x:c>
      <x:c r="P212" t="s">
        <x:v>1817</x:v>
      </x:c>
      <x:c r="R212" s="9">
        <x:v>38937</x:v>
      </x:c>
      <x:c r="W212" s="26" t="n">
        <x:v>4.9652778</x:v>
      </x:c>
      <x:c r="X212" s="26" t="n">
        <x:v>-75.36825</x:v>
      </x:c>
      <x:c r="AF212" t="s">
        <x:v>50</x:v>
      </x:c>
      <x:c r="AG212" t="s">
        <x:v>167</x:v>
      </x:c>
      <x:c r="AH212" t="s">
        <x:v>1818</x:v>
      </x:c>
      <x:c r="AJ212">
        <x:v>225</x:v>
      </x:c>
    </x:row>
    <x:row r="213">
      <x:c r="A213" t="s">
        <x:v>1680</x:v>
      </x:c>
      <x:c r="B213" t="s">
        <x:v>1681</x:v>
      </x:c>
      <x:c r="C213" t="s">
        <x:v>1819</x:v>
      </x:c>
      <x:c r="D213" t="s">
        <x:v>1820</x:v>
      </x:c>
      <x:c r="E213" t="s">
        <x:v>1821</x:v>
      </x:c>
      <x:c r="F213">
        <x:v>3000</x:v>
      </x:c>
      <x:c r="G213">
        <x:v>3000</x:v>
      </x:c>
      <x:c r="H213">
        <x:v>3000</x:v>
      </x:c>
      <x:c r="P213" t="s">
        <x:v>80</x:v>
      </x:c>
      <x:c r="R213" s="9">
        <x:v>39693</x:v>
      </x:c>
      <x:c r="T213" t="s">
        <x:v>119</x:v>
      </x:c>
      <x:c r="W213" s="26" t="n">
        <x:v>5.38329</x:v>
      </x:c>
      <x:c r="X213" s="26" t="n">
        <x:v>-75.35331</x:v>
      </x:c>
      <x:c r="Y213">
        <x:v>1469.046</x:v>
      </x:c>
      <x:c r="Z213">
        <x:v>2946</x:v>
      </x:c>
      <x:c r="AB213" t="s">
        <x:v>1822</x:v>
      </x:c>
      <x:c r="AF213" t="s">
        <x:v>50</x:v>
      </x:c>
      <x:c r="AG213" t="s">
        <x:v>167</x:v>
      </x:c>
      <x:c r="AH213" t="s">
        <x:v>1823</x:v>
      </x:c>
      <x:c r="AI213" t="s">
        <x:v>1824</x:v>
      </x:c>
      <x:c r="AJ213">
        <x:v>226</x:v>
      </x:c>
    </x:row>
    <x:row r="214">
      <x:c r="A214" t="s">
        <x:v>1680</x:v>
      </x:c>
      <x:c r="B214" t="s">
        <x:v>1681</x:v>
      </x:c>
      <x:c r="C214" t="s">
        <x:v>1825</x:v>
      </x:c>
      <x:c r="D214" t="s">
        <x:v>1820</x:v>
      </x:c>
      <x:c r="E214" t="s">
        <x:v>1826</x:v>
      </x:c>
      <x:c r="F214">
        <x:v>3808</x:v>
      </x:c>
      <x:c r="G214">
        <x:v>3808</x:v>
      </x:c>
      <x:c r="H214">
        <x:v>3808</x:v>
      </x:c>
      <x:c r="I214" t="s">
        <x:v>1827</x:v>
      </x:c>
      <x:c r="J214" t="s">
        <x:v>1828</x:v>
      </x:c>
      <x:c r="K214" t="s">
        <x:v>1829</x:v>
      </x:c>
      <x:c r="L214" t="s">
        <x:v>1830</x:v>
      </x:c>
      <x:c r="M214" t="s">
        <x:v>1831</x:v>
      </x:c>
      <x:c r="N214" t="s">
        <x:v>1832</x:v>
      </x:c>
      <x:c r="O214" t="s">
        <x:v>1833</x:v>
      </x:c>
      <x:c r="P214" t="s">
        <x:v>1834</x:v>
      </x:c>
      <x:c r="R214" s="9">
        <x:v>39955</x:v>
      </x:c>
      <x:c r="T214" t="s">
        <x:v>119</x:v>
      </x:c>
      <x:c r="W214" s="26" t="n">
        <x:v>5.06275</x:v>
      </x:c>
      <x:c r="X214" s="26" t="n">
        <x:v>-75.3823889</x:v>
      </x:c>
      <x:c r="AF214" t="s">
        <x:v>50</x:v>
      </x:c>
      <x:c r="AG214" t="s">
        <x:v>167</x:v>
      </x:c>
      <x:c r="AH214" t="s">
        <x:v>168</x:v>
      </x:c>
      <x:c r="AI214" t="s">
        <x:v>1835</x:v>
      </x:c>
      <x:c r="AJ214">
        <x:v>227</x:v>
      </x:c>
    </x:row>
    <x:row r="215">
      <x:c r="A215" t="s">
        <x:v>1680</x:v>
      </x:c>
      <x:c r="B215" t="s">
        <x:v>1681</x:v>
      </x:c>
      <x:c r="C215" t="s">
        <x:v>1836</x:v>
      </x:c>
      <x:c r="D215" t="s">
        <x:v>1837</x:v>
      </x:c>
      <x:c r="E215" t="s">
        <x:v>1838</x:v>
      </x:c>
      <x:c r="F215">
        <x:v>3083</x:v>
      </x:c>
      <x:c r="G215">
        <x:v>3083</x:v>
      </x:c>
      <x:c r="H215">
        <x:v>3083</x:v>
      </x:c>
      <x:c r="I215" t="s">
        <x:v>1839</x:v>
      </x:c>
      <x:c r="J215" t="s">
        <x:v>1840</x:v>
      </x:c>
      <x:c r="K215" t="s">
        <x:v>1841</x:v>
      </x:c>
      <x:c r="L215" t="s">
        <x:v>1842</x:v>
      </x:c>
      <x:c r="M215" t="s">
        <x:v>1843</x:v>
      </x:c>
      <x:c r="P215" t="s">
        <x:v>80</x:v>
      </x:c>
      <x:c r="R215" s="9">
        <x:v>40576</x:v>
      </x:c>
      <x:c r="T215" t="s">
        <x:v>119</x:v>
      </x:c>
      <x:c r="W215" s="26" t="n">
        <x:v>5.37045</x:v>
      </x:c>
      <x:c r="X215" s="26" t="n">
        <x:v>-75.38595</x:v>
      </x:c>
      <x:c r="Y215">
        <x:v>5096.4889999999996</x:v>
      </x:c>
      <x:c r="Z215">
        <x:v>2888</x:v>
      </x:c>
      <x:c r="AB215" t="s">
        <x:v>1844</x:v>
      </x:c>
      <x:c r="AF215" t="s">
        <x:v>50</x:v>
      </x:c>
      <x:c r="AG215" t="s">
        <x:v>167</x:v>
      </x:c>
      <x:c r="AH215" t="s">
        <x:v>1823</x:v>
      </x:c>
      <x:c r="AI215" t="s">
        <x:v>1845</x:v>
      </x:c>
      <x:c r="AJ215">
        <x:v>228</x:v>
      </x:c>
    </x:row>
    <x:row r="216">
      <x:c r="A216" t="s">
        <x:v>1680</x:v>
      </x:c>
      <x:c r="B216" t="s">
        <x:v>1681</x:v>
      </x:c>
      <x:c r="C216" t="s">
        <x:v>1846</x:v>
      </x:c>
      <x:c r="D216" t="s">
        <x:v>1837</x:v>
      </x:c>
      <x:c r="E216" t="s">
        <x:v>1847</x:v>
      </x:c>
      <x:c r="F216" t="s">
        <x:v>1848</x:v>
      </x:c>
      <x:c r="G216">
        <x:v>3500</x:v>
      </x:c>
      <x:c r="H216">
        <x:v>3800</x:v>
      </x:c>
      <x:c r="P216" t="s">
        <x:v>80</x:v>
      </x:c>
      <x:c r="R216" s="9">
        <x:v>40744</x:v>
      </x:c>
      <x:c r="T216" t="s">
        <x:v>111</x:v>
      </x:c>
      <x:c r="W216" s="26" t="n">
        <x:v>4.9722</x:v>
      </x:c>
      <x:c r="X216" s="26" t="n">
        <x:v>-75.38059</x:v>
      </x:c>
      <x:c r="Y216">
        <x:v>615.61400000000003</x:v>
      </x:c>
      <x:c r="Z216">
        <x:v>3513</x:v>
      </x:c>
      <x:c r="AB216" t="s">
        <x:v>1849</x:v>
      </x:c>
      <x:c r="AF216" t="s">
        <x:v>50</x:v>
      </x:c>
      <x:c r="AG216" t="s">
        <x:v>167</x:v>
      </x:c>
      <x:c r="AH216" t="s">
        <x:v>993</x:v>
      </x:c>
      <x:c r="AI216" t="s">
        <x:v>1850</x:v>
      </x:c>
      <x:c r="AJ216">
        <x:v>229</x:v>
      </x:c>
    </x:row>
    <x:row r="217">
      <x:c r="A217" t="s">
        <x:v>1680</x:v>
      </x:c>
      <x:c r="B217" t="s">
        <x:v>1681</x:v>
      </x:c>
      <x:c r="C217" t="s">
        <x:v>1851</x:v>
      </x:c>
      <x:c r="D217" t="s">
        <x:v>1852</x:v>
      </x:c>
      <x:c r="E217" t="s">
        <x:v>1767</x:v>
      </x:c>
      <x:c r="F217" t="s">
        <x:v>1768</x:v>
      </x:c>
      <x:c r="G217">
        <x:v>3000</x:v>
      </x:c>
      <x:c r="H217">
        <x:v>3500</x:v>
      </x:c>
      <x:c r="I217" t="s">
        <x:v>1733</x:v>
      </x:c>
      <x:c r="J217" t="s">
        <x:v>1734</x:v>
      </x:c>
      <x:c r="K217" t="s">
        <x:v>1735</x:v>
      </x:c>
      <x:c r="L217" t="s">
        <x:v>1736</x:v>
      </x:c>
      <x:c r="M217" t="s">
        <x:v>1737</x:v>
      </x:c>
      <x:c r="N217" t="s">
        <x:v>1738</x:v>
      </x:c>
      <x:c r="O217" t="s">
        <x:v>1739</x:v>
      </x:c>
      <x:c r="P217" t="s">
        <x:v>1740</x:v>
      </x:c>
      <x:c r="R217" s="9">
        <x:v>24266</x:v>
      </x:c>
      <x:c r="W217" s="26" t="n">
        <x:v>5.0000194</x:v>
      </x:c>
      <x:c r="X217" s="26" t="n">
        <x:v>-75.3499833</x:v>
      </x:c>
      <x:c r="AF217" t="s">
        <x:v>50</x:v>
      </x:c>
      <x:c r="AG217" t="s">
        <x:v>167</x:v>
      </x:c>
      <x:c r="AH217" t="s">
        <x:v>1769</x:v>
      </x:c>
      <x:c r="AJ217">
        <x:v>230</x:v>
      </x:c>
    </x:row>
    <x:row r="218">
      <x:c r="A218" t="s">
        <x:v>1853</x:v>
      </x:c>
      <x:c r="B218" t="s">
        <x:v>1681</x:v>
      </x:c>
      <x:c r="C218" t="s">
        <x:v>1854</x:v>
      </x:c>
      <x:c r="D218" t="s">
        <x:v>1855</x:v>
      </x:c>
      <x:c r="E218" t="s">
        <x:v>1856</x:v>
      </x:c>
      <x:c r="F218">
        <x:v>3000</x:v>
      </x:c>
      <x:c r="G218">
        <x:v>3000</x:v>
      </x:c>
      <x:c r="H218">
        <x:v>3000</x:v>
      </x:c>
      <x:c r="I218" t="s">
        <x:v>1857</x:v>
      </x:c>
      <x:c r="J218" t="s">
        <x:v>1857</x:v>
      </x:c>
      <x:c r="K218" t="s">
        <x:v>1858</x:v>
      </x:c>
      <x:c r="L218" t="s">
        <x:v>1858</x:v>
      </x:c>
      <x:c r="M218" t="s">
        <x:v>1859</x:v>
      </x:c>
      <x:c r="N218" t="s">
        <x:v>1860</x:v>
      </x:c>
      <x:c r="O218" t="s">
        <x:v>1861</x:v>
      </x:c>
      <x:c r="P218" t="s">
        <x:v>1862</x:v>
      </x:c>
      <x:c r="R218" s="9">
        <x:v>36550</x:v>
      </x:c>
      <x:c r="T218" t="s">
        <x:v>1863</x:v>
      </x:c>
      <x:c r="W218" s="26" t="n">
        <x:v>2.3666667</x:v>
      </x:c>
      <x:c r="X218" s="26" t="n">
        <x:v>-76.4166667</x:v>
      </x:c>
      <x:c r="AF218" t="s">
        <x:v>50</x:v>
      </x:c>
      <x:c r="AG218" t="s">
        <x:v>283</x:v>
      </x:c>
      <x:c r="AH218" t="s">
        <x:v>1864</x:v>
      </x:c>
      <x:c r="AI218" t="s">
        <x:v>1865</x:v>
      </x:c>
      <x:c r="AJ218">
        <x:v>232</x:v>
      </x:c>
    </x:row>
    <x:row r="219">
      <x:c r="A219" t="s">
        <x:v>1680</x:v>
      </x:c>
      <x:c r="B219" t="s">
        <x:v>1681</x:v>
      </x:c>
      <x:c r="C219" t="s">
        <x:v>1866</x:v>
      </x:c>
      <x:c r="D219" t="s">
        <x:v>1867</x:v>
      </x:c>
      <x:c r="E219" t="s">
        <x:v>1868</x:v>
      </x:c>
      <x:c r="F219">
        <x:v>3150</x:v>
      </x:c>
      <x:c r="G219">
        <x:v>3150</x:v>
      </x:c>
      <x:c r="H219">
        <x:v>3150</x:v>
      </x:c>
      <x:c r="P219" t="s">
        <x:v>80</x:v>
      </x:c>
      <x:c r="R219" s="9">
        <x:v>21459</x:v>
      </x:c>
      <x:c r="T219" t="s">
        <x:v>111</x:v>
      </x:c>
      <x:c r="W219" s="26" t="n">
        <x:v>1.92153</x:v>
      </x:c>
      <x:c r="X219" s="26" t="n">
        <x:v>-76.63351</x:v>
      </x:c>
      <x:c r="Y219">
        <x:v>9128.3960000000006</x:v>
      </x:c>
      <x:c r="Z219">
        <x:v>3176</x:v>
      </x:c>
      <x:c r="AB219" t="s">
        <x:v>1869</x:v>
      </x:c>
      <x:c r="AF219" t="s">
        <x:v>50</x:v>
      </x:c>
      <x:c r="AG219" t="s">
        <x:v>283</x:v>
      </x:c>
      <x:c r="AH219" t="s">
        <x:v>1870</x:v>
      </x:c>
      <x:c r="AI219" t="s">
        <x:v>1871</x:v>
      </x:c>
      <x:c r="AJ219">
        <x:v>233</x:v>
      </x:c>
    </x:row>
    <x:row r="220">
      <x:c r="A220" t="s">
        <x:v>1680</x:v>
      </x:c>
      <x:c r="B220" t="s">
        <x:v>1681</x:v>
      </x:c>
      <x:c r="C220" t="s">
        <x:v>1872</x:v>
      </x:c>
      <x:c r="D220" t="s">
        <x:v>1873</x:v>
      </x:c>
      <x:c r="E220" t="s">
        <x:v>1874</x:v>
      </x:c>
      <x:c r="F220">
        <x:v>3180</x:v>
      </x:c>
      <x:c r="G220">
        <x:v>3180</x:v>
      </x:c>
      <x:c r="H220">
        <x:v>3180</x:v>
      </x:c>
      <x:c r="P220" t="s">
        <x:v>80</x:v>
      </x:c>
      <x:c r="R220" s="9">
        <x:v>29474</x:v>
      </x:c>
      <x:c r="T220" t="s">
        <x:v>119</x:v>
      </x:c>
      <x:c r="W220" s="26" t="n">
        <x:v>2.82844</x:v>
      </x:c>
      <x:c r="X220" s="26" t="n">
        <x:v>-76.06299</x:v>
      </x:c>
      <x:c r="Y220">
        <x:v>951.51300000000003</x:v>
      </x:c>
      <x:c r="Z220">
        <x:v>2726</x:v>
      </x:c>
      <x:c r="AB220" t="s">
        <x:v>1875</x:v>
      </x:c>
      <x:c r="AF220" t="s">
        <x:v>50</x:v>
      </x:c>
      <x:c r="AG220" t="s">
        <x:v>283</x:v>
      </x:c>
      <x:c r="AH220" t="s">
        <x:v>1876</x:v>
      </x:c>
      <x:c r="AI220" t="s">
        <x:v>1877</x:v>
      </x:c>
      <x:c r="AJ220">
        <x:v>234</x:v>
      </x:c>
    </x:row>
    <x:row r="221">
      <x:c r="A221" t="s">
        <x:v>1680</x:v>
      </x:c>
      <x:c r="B221" t="s">
        <x:v>1681</x:v>
      </x:c>
      <x:c r="C221" t="s">
        <x:v>1878</x:v>
      </x:c>
      <x:c r="D221" t="s">
        <x:v>1879</x:v>
      </x:c>
      <x:c r="E221" t="s">
        <x:v>1880</x:v>
      </x:c>
      <x:c r="F221">
        <x:v>3600</x:v>
      </x:c>
      <x:c r="G221">
        <x:v>3600</x:v>
      </x:c>
      <x:c r="H221">
        <x:v>3600</x:v>
      </x:c>
      <x:c r="I221" t="s">
        <x:v>1881</x:v>
      </x:c>
      <x:c r="J221" t="s">
        <x:v>1882</x:v>
      </x:c>
      <x:c r="K221" t="s">
        <x:v>1883</x:v>
      </x:c>
      <x:c r="L221" t="s">
        <x:v>1884</x:v>
      </x:c>
      <x:c r="M221" t="s">
        <x:v>1885</x:v>
      </x:c>
      <x:c r="N221" t="s">
        <x:v>1886</x:v>
      </x:c>
      <x:c r="O221" t="s">
        <x:v>1887</x:v>
      </x:c>
      <x:c r="P221" t="s">
        <x:v>1888</x:v>
      </x:c>
      <x:c r="R221" s="9">
        <x:v>35911</x:v>
      </x:c>
      <x:c r="T221" t="s">
        <x:v>119</x:v>
      </x:c>
      <x:c r="W221" s="26" t="n">
        <x:v>2.3812444</x:v>
      </x:c>
      <x:c r="X221" s="26" t="n">
        <x:v>-76.4548639</x:v>
      </x:c>
      <x:c r="AF221" t="s">
        <x:v>50</x:v>
      </x:c>
      <x:c r="AG221" t="s">
        <x:v>283</x:v>
      </x:c>
      <x:c r="AH221" t="s">
        <x:v>1889</x:v>
      </x:c>
      <x:c r="AJ221">
        <x:v>235</x:v>
      </x:c>
    </x:row>
    <x:row r="222">
      <x:c r="A222" t="s">
        <x:v>1680</x:v>
      </x:c>
      <x:c r="B222" t="s">
        <x:v>1681</x:v>
      </x:c>
      <x:c r="C222" t="s">
        <x:v>1890</x:v>
      </x:c>
      <x:c r="D222" t="s">
        <x:v>1891</x:v>
      </x:c>
      <x:c r="E222" t="s">
        <x:v>1892</x:v>
      </x:c>
      <x:c r="I222" t="s">
        <x:v>1893</x:v>
      </x:c>
      <x:c r="J222" t="s">
        <x:v>1894</x:v>
      </x:c>
      <x:c r="K222" t="s">
        <x:v>1883</x:v>
      </x:c>
      <x:c r="L222" t="s">
        <x:v>1884</x:v>
      </x:c>
      <x:c r="M222" t="s">
        <x:v>1895</x:v>
      </x:c>
      <x:c r="N222" t="s">
        <x:v>1896</x:v>
      </x:c>
      <x:c r="O222" t="s">
        <x:v>1887</x:v>
      </x:c>
      <x:c r="P222" t="s">
        <x:v>1897</x:v>
      </x:c>
      <x:c r="R222" s="9">
        <x:v>35911</x:v>
      </x:c>
      <x:c r="T222" t="s">
        <x:v>119</x:v>
      </x:c>
      <x:c r="W222" s="26" t="n">
        <x:v>2.3811111</x:v>
      </x:c>
      <x:c r="X222" s="26" t="n">
        <x:v>-76.4548639</x:v>
      </x:c>
      <x:c r="AF222" t="s">
        <x:v>50</x:v>
      </x:c>
      <x:c r="AG222" t="s">
        <x:v>283</x:v>
      </x:c>
      <x:c r="AH222" t="s">
        <x:v>1864</x:v>
      </x:c>
      <x:c r="AI222" t="s">
        <x:v>1898</x:v>
      </x:c>
      <x:c r="AJ222">
        <x:v>237</x:v>
      </x:c>
    </x:row>
    <x:row r="223">
      <x:c r="A223" t="s">
        <x:v>1680</x:v>
      </x:c>
      <x:c r="B223" t="s">
        <x:v>1681</x:v>
      </x:c>
      <x:c r="C223" t="s">
        <x:v>1899</x:v>
      </x:c>
      <x:c r="D223" t="s">
        <x:v>1900</x:v>
      </x:c>
      <x:c r="E223" t="s">
        <x:v>1901</x:v>
      </x:c>
      <x:c r="F223" t="s">
        <x:v>1902</x:v>
      </x:c>
      <x:c r="G223">
        <x:v>3100</x:v>
      </x:c>
      <x:c r="H223">
        <x:v>3600</x:v>
      </x:c>
      <x:c r="I223" t="s">
        <x:v>785</x:v>
      </x:c>
      <x:c r="J223" t="s">
        <x:v>786</x:v>
      </x:c>
      <x:c r="K223" t="s">
        <x:v>787</x:v>
      </x:c>
      <x:c r="L223" t="s">
        <x:v>788</x:v>
      </x:c>
      <x:c r="M223" t="s">
        <x:v>789</x:v>
      </x:c>
      <x:c r="N223" t="s">
        <x:v>790</x:v>
      </x:c>
      <x:c r="O223" t="s">
        <x:v>791</x:v>
      </x:c>
      <x:c r="P223" t="s">
        <x:v>792</x:v>
      </x:c>
      <x:c r="R223" s="9">
        <x:v>37447</x:v>
      </x:c>
      <x:c r="T223" t="s">
        <x:v>119</x:v>
      </x:c>
      <x:c r="W223" s="26" t="n">
        <x:v>2.5039278</x:v>
      </x:c>
      <x:c r="X223" s="26" t="n">
        <x:v>-76.3912278</x:v>
      </x:c>
      <x:c r="AF223" t="s">
        <x:v>50</x:v>
      </x:c>
      <x:c r="AG223" t="s">
        <x:v>283</x:v>
      </x:c>
      <x:c r="AH223" t="s">
        <x:v>1903</x:v>
      </x:c>
      <x:c r="AI223" t="s">
        <x:v>1904</x:v>
      </x:c>
      <x:c r="AJ223">
        <x:v>238</x:v>
      </x:c>
    </x:row>
    <x:row r="224">
      <x:c r="A224" t="s">
        <x:v>1680</x:v>
      </x:c>
      <x:c r="B224" t="s">
        <x:v>1681</x:v>
      </x:c>
      <x:c r="C224" t="s">
        <x:v>1905</x:v>
      </x:c>
      <x:c r="D224" t="s">
        <x:v>1906</x:v>
      </x:c>
      <x:c r="E224" t="s">
        <x:v>1907</x:v>
      </x:c>
      <x:c r="F224">
        <x:v>3200</x:v>
      </x:c>
      <x:c r="G224">
        <x:v>3200</x:v>
      </x:c>
      <x:c r="H224">
        <x:v>3200</x:v>
      </x:c>
      <x:c r="I224" t="s">
        <x:v>779</x:v>
      </x:c>
      <x:c r="J224" t="s">
        <x:v>780</x:v>
      </x:c>
      <x:c r="K224" t="s">
        <x:v>770</x:v>
      </x:c>
      <x:c r="L224" t="s">
        <x:v>771</x:v>
      </x:c>
      <x:c r="M224" t="s">
        <x:v>781</x:v>
      </x:c>
      <x:c r="N224" t="s">
        <x:v>700</x:v>
      </x:c>
      <x:c r="O224" t="s">
        <x:v>774</x:v>
      </x:c>
      <x:c r="P224" t="s">
        <x:v>782</x:v>
      </x:c>
      <x:c r="R224" s="9">
        <x:v>37660</x:v>
      </x:c>
      <x:c r="T224" t="s">
        <x:v>65</x:v>
      </x:c>
      <x:c r="W224" s="26" t="n">
        <x:v>2.43397</x:v>
      </x:c>
      <x:c r="X224" s="26" t="n">
        <x:v>-76.41676</x:v>
      </x:c>
      <x:c r="Y224">
        <x:v>4151.67</x:v>
      </x:c>
      <x:c r="Z224">
        <x:v>2908</x:v>
      </x:c>
      <x:c r="AB224" t="s">
        <x:v>1908</x:v>
      </x:c>
      <x:c r="AF224" t="s">
        <x:v>50</x:v>
      </x:c>
      <x:c r="AG224" t="s">
        <x:v>283</x:v>
      </x:c>
      <x:c r="AH224" t="s">
        <x:v>703</x:v>
      </x:c>
      <x:c r="AI224" t="s">
        <x:v>1909</x:v>
      </x:c>
      <x:c r="AJ224">
        <x:v>239</x:v>
      </x:c>
    </x:row>
    <x:row r="225">
      <x:c r="A225" t="s">
        <x:v>1680</x:v>
      </x:c>
      <x:c r="B225" t="s">
        <x:v>1681</x:v>
      </x:c>
      <x:c r="C225" t="s">
        <x:v>1910</x:v>
      </x:c>
      <x:c r="D225" t="s">
        <x:v>1911</x:v>
      </x:c>
      <x:c r="E225" t="s">
        <x:v>1912</x:v>
      </x:c>
      <x:c r="F225" t="s">
        <x:v>1913</x:v>
      </x:c>
      <x:c r="G225">
        <x:v>2500</x:v>
      </x:c>
      <x:c r="H225">
        <x:v>3000</x:v>
      </x:c>
      <x:c r="I225" t="s">
        <x:v>1914</x:v>
      </x:c>
      <x:c r="J225" t="s">
        <x:v>1915</x:v>
      </x:c>
      <x:c r="K225" t="s">
        <x:v>1916</x:v>
      </x:c>
      <x:c r="L225" t="s">
        <x:v>1917</x:v>
      </x:c>
      <x:c r="M225" t="s">
        <x:v>1918</x:v>
      </x:c>
      <x:c r="N225" t="s">
        <x:v>1919</x:v>
      </x:c>
      <x:c r="O225" t="s">
        <x:v>1920</x:v>
      </x:c>
      <x:c r="P225" t="s">
        <x:v>1921</x:v>
      </x:c>
      <x:c r="R225" s="9">
        <x:v>37865</x:v>
      </x:c>
      <x:c r="T225" t="s">
        <x:v>119</x:v>
      </x:c>
      <x:c r="W225" s="26" t="n">
        <x:v>1.7598611</x:v>
      </x:c>
      <x:c r="X225" s="26" t="n">
        <x:v>-76.9058333</x:v>
      </x:c>
      <x:c r="AF225" t="s">
        <x:v>50</x:v>
      </x:c>
      <x:c r="AG225" t="s">
        <x:v>283</x:v>
      </x:c>
      <x:c r="AH225" t="s">
        <x:v>1922</x:v>
      </x:c>
      <x:c r="AI225" t="s">
        <x:v>1923</x:v>
      </x:c>
      <x:c r="AJ225">
        <x:v>240</x:v>
      </x:c>
    </x:row>
    <x:row r="226">
      <x:c r="A226" t="s">
        <x:v>1680</x:v>
      </x:c>
      <x:c r="B226" t="s">
        <x:v>1681</x:v>
      </x:c>
      <x:c r="C226" t="s">
        <x:v>1924</x:v>
      </x:c>
      <x:c r="D226" t="s">
        <x:v>1925</x:v>
      </x:c>
      <x:c r="E226" t="s">
        <x:v>1926</x:v>
      </x:c>
      <x:c r="F226">
        <x:v>3887</x:v>
      </x:c>
      <x:c r="G226">
        <x:v>3887</x:v>
      </x:c>
      <x:c r="H226">
        <x:v>3887</x:v>
      </x:c>
      <x:c r="I226" t="s">
        <x:v>1927</x:v>
      </x:c>
      <x:c r="J226" t="s">
        <x:v>1928</x:v>
      </x:c>
      <x:c r="K226" t="s">
        <x:v>1929</x:v>
      </x:c>
      <x:c r="L226" t="s">
        <x:v>1930</x:v>
      </x:c>
      <x:c r="M226" t="s">
        <x:v>1931</x:v>
      </x:c>
      <x:c r="N226" t="s">
        <x:v>1932</x:v>
      </x:c>
      <x:c r="O226" t="s">
        <x:v>1933</x:v>
      </x:c>
      <x:c r="P226" t="s">
        <x:v>1934</x:v>
      </x:c>
      <x:c r="R226" s="9">
        <x:v>40020</x:v>
      </x:c>
      <x:c r="T226" t="s">
        <x:v>119</x:v>
      </x:c>
      <x:c r="W226" s="26" t="n">
        <x:v>2.3807667</x:v>
      </x:c>
      <x:c r="X226" s="26" t="n">
        <x:v>-76.4440833</x:v>
      </x:c>
      <x:c r="AF226" t="s">
        <x:v>50</x:v>
      </x:c>
      <x:c r="AG226" t="s">
        <x:v>283</x:v>
      </x:c>
      <x:c r="AH226" t="s">
        <x:v>703</x:v>
      </x:c>
      <x:c r="AI226" t="s">
        <x:v>1935</x:v>
      </x:c>
      <x:c r="AJ226">
        <x:v>241</x:v>
      </x:c>
    </x:row>
    <x:row r="227">
      <x:c r="A227" t="s">
        <x:v>1680</x:v>
      </x:c>
      <x:c r="B227" t="s">
        <x:v>1681</x:v>
      </x:c>
      <x:c r="C227" t="s">
        <x:v>1936</x:v>
      </x:c>
      <x:c r="D227" t="s">
        <x:v>1937</x:v>
      </x:c>
      <x:c r="E227" t="s">
        <x:v>1938</x:v>
      </x:c>
      <x:c r="F227">
        <x:v>2975</x:v>
      </x:c>
      <x:c r="G227">
        <x:v>2975</x:v>
      </x:c>
      <x:c r="H227">
        <x:v>2975</x:v>
      </x:c>
      <x:c r="P227" t="s">
        <x:v>80</x:v>
      </x:c>
      <x:c r="R227" s="9">
        <x:v>22579</x:v>
      </x:c>
      <x:c r="W227" s="26" t="n">
        <x:v>5.20044</x:v>
      </x:c>
      <x:c r="X227" s="26" t="n">
        <x:v>-73.88017</x:v>
      </x:c>
      <x:c r="Y227">
        <x:v>1058.278</x:v>
      </x:c>
      <x:c r="Z227">
        <x:v>2915</x:v>
      </x:c>
      <x:c r="AB227" t="s">
        <x:v>1939</x:v>
      </x:c>
      <x:c r="AF227" t="s">
        <x:v>50</x:v>
      </x:c>
      <x:c r="AG227" t="s">
        <x:v>98</x:v>
      </x:c>
      <x:c r="AH227" t="s">
        <x:v>1940</x:v>
      </x:c>
      <x:c r="AJ227">
        <x:v>243</x:v>
      </x:c>
    </x:row>
    <x:row r="228">
      <x:c r="A228" t="s">
        <x:v>1680</x:v>
      </x:c>
      <x:c r="B228" t="s">
        <x:v>1681</x:v>
      </x:c>
      <x:c r="C228" t="s">
        <x:v>1941</x:v>
      </x:c>
      <x:c r="D228" t="s">
        <x:v>1942</x:v>
      </x:c>
      <x:c r="E228" t="s">
        <x:v>1943</x:v>
      </x:c>
      <x:c r="F228">
        <x:v>3150</x:v>
      </x:c>
      <x:c r="G228">
        <x:v>3150</x:v>
      </x:c>
      <x:c r="H228">
        <x:v>3150</x:v>
      </x:c>
      <x:c r="P228" t="s">
        <x:v>80</x:v>
      </x:c>
      <x:c r="R228" s="9">
        <x:v>27051</x:v>
      </x:c>
      <x:c r="W228" s="26" t="n">
        <x:v>4.83701</x:v>
      </x:c>
      <x:c r="X228" s="26" t="n">
        <x:v>-73.81069</x:v>
      </x:c>
      <x:c r="Y228">
        <x:v>3779.201</x:v>
      </x:c>
      <x:c r="Z228">
        <x:v>3365</x:v>
      </x:c>
      <x:c r="AB228" t="s">
        <x:v>1944</x:v>
      </x:c>
      <x:c r="AF228" t="s">
        <x:v>50</x:v>
      </x:c>
      <x:c r="AG228" t="s">
        <x:v>98</x:v>
      </x:c>
      <x:c r="AH228" t="s">
        <x:v>1945</x:v>
      </x:c>
      <x:c r="AI228" t="s">
        <x:v>1946</x:v>
      </x:c>
      <x:c r="AJ228">
        <x:v>244</x:v>
      </x:c>
    </x:row>
    <x:row r="229">
      <x:c r="A229" t="s">
        <x:v>1680</x:v>
      </x:c>
      <x:c r="B229" t="s">
        <x:v>1681</x:v>
      </x:c>
      <x:c r="C229" t="s">
        <x:v>1947</x:v>
      </x:c>
      <x:c r="D229" t="s">
        <x:v>1948</x:v>
      </x:c>
      <x:c r="E229" t="s">
        <x:v>1949</x:v>
      </x:c>
      <x:c r="F229">
        <x:v>3000</x:v>
      </x:c>
      <x:c r="G229">
        <x:v>3000</x:v>
      </x:c>
      <x:c r="H229">
        <x:v>3000</x:v>
      </x:c>
      <x:c r="P229" t="s">
        <x:v>80</x:v>
      </x:c>
      <x:c r="R229" s="9">
        <x:v>27190</x:v>
      </x:c>
      <x:c r="W229" s="26" t="n">
        <x:v>4.47614</x:v>
      </x:c>
      <x:c r="X229" s="26" t="n">
        <x:v>-73.80811</x:v>
      </x:c>
      <x:c r="Z229">
        <x:v>2970</x:v>
      </x:c>
      <x:c r="AB229" t="s">
        <x:v>1950</x:v>
      </x:c>
      <x:c r="AF229" t="s">
        <x:v>50</x:v>
      </x:c>
      <x:c r="AG229" t="s">
        <x:v>98</x:v>
      </x:c>
      <x:c r="AH229" t="s">
        <x:v>1951</x:v>
      </x:c>
      <x:c r="AI229" t="s">
        <x:v>1952</x:v>
      </x:c>
      <x:c r="AJ229">
        <x:v>245</x:v>
      </x:c>
    </x:row>
    <x:row r="230">
      <x:c r="A230" t="s">
        <x:v>1680</x:v>
      </x:c>
      <x:c r="B230" t="s">
        <x:v>1681</x:v>
      </x:c>
      <x:c r="C230" t="s">
        <x:v>1953</x:v>
      </x:c>
      <x:c r="D230" t="s">
        <x:v>1954</x:v>
      </x:c>
      <x:c r="E230" t="s">
        <x:v>1955</x:v>
      </x:c>
      <x:c r="F230">
        <x:v>3000</x:v>
      </x:c>
      <x:c r="G230">
        <x:v>3000</x:v>
      </x:c>
      <x:c r="H230">
        <x:v>3000</x:v>
      </x:c>
      <x:c r="P230" t="s">
        <x:v>80</x:v>
      </x:c>
      <x:c r="R230" s="9">
        <x:v>27221</x:v>
      </x:c>
      <x:c r="W230" s="26" t="n">
        <x:v>4.5458</x:v>
      </x:c>
      <x:c r="X230" s="26" t="n">
        <x:v>-73.95736</x:v>
      </x:c>
      <x:c r="Y230">
        <x:v>1301.1089999999999</x:v>
      </x:c>
      <x:c r="Z230">
        <x:v>2907</x:v>
      </x:c>
      <x:c r="AB230" t="s">
        <x:v>1956</x:v>
      </x:c>
      <x:c r="AF230" t="s">
        <x:v>50</x:v>
      </x:c>
      <x:c r="AG230" t="s">
        <x:v>98</x:v>
      </x:c>
      <x:c r="AH230" t="s">
        <x:v>1957</x:v>
      </x:c>
      <x:c r="AI230" t="s">
        <x:v>1958</x:v>
      </x:c>
      <x:c r="AJ230">
        <x:v>246</x:v>
      </x:c>
    </x:row>
    <x:row r="231">
      <x:c r="A231" t="s">
        <x:v>1680</x:v>
      </x:c>
      <x:c r="B231" t="s">
        <x:v>1681</x:v>
      </x:c>
      <x:c r="C231" t="s">
        <x:v>1959</x:v>
      </x:c>
      <x:c r="D231" t="s">
        <x:v>1960</x:v>
      </x:c>
      <x:c r="E231" t="s">
        <x:v>1961</x:v>
      </x:c>
      <x:c r="F231">
        <x:v>3000</x:v>
      </x:c>
      <x:c r="G231">
        <x:v>3000</x:v>
      </x:c>
      <x:c r="H231">
        <x:v>3000</x:v>
      </x:c>
      <x:c r="P231" t="s">
        <x:v>80</x:v>
      </x:c>
      <x:c r="R231" s="9">
        <x:v>29266</x:v>
      </x:c>
      <x:c r="W231" s="26" t="n">
        <x:v>4.63205</x:v>
      </x:c>
      <x:c r="X231" s="26" t="n">
        <x:v>-74.03504</x:v>
      </x:c>
      <x:c r="Y231">
        <x:v>2722.855</x:v>
      </x:c>
      <x:c r="Z231">
        <x:v>3178</x:v>
      </x:c>
      <x:c r="AB231" t="s">
        <x:v>1962</x:v>
      </x:c>
      <x:c r="AF231" t="s">
        <x:v>50</x:v>
      </x:c>
      <x:c r="AG231" t="s">
        <x:v>98</x:v>
      </x:c>
      <x:c r="AH231" t="s">
        <x:v>1963</x:v>
      </x:c>
      <x:c r="AI231" t="s">
        <x:v>1964</x:v>
      </x:c>
      <x:c r="AJ231">
        <x:v>247</x:v>
      </x:c>
    </x:row>
    <x:row r="232">
      <x:c r="A232" t="s">
        <x:v>1680</x:v>
      </x:c>
      <x:c r="B232" t="s">
        <x:v>1681</x:v>
      </x:c>
      <x:c r="C232" t="s">
        <x:v>1965</x:v>
      </x:c>
      <x:c r="D232" t="s">
        <x:v>1966</x:v>
      </x:c>
      <x:c r="E232" t="s">
        <x:v>1967</x:v>
      </x:c>
      <x:c r="F232" t="s">
        <x:v>1968</x:v>
      </x:c>
      <x:c r="G232">
        <x:v>3900</x:v>
      </x:c>
      <x:c r="H232">
        <x:v>3950</x:v>
      </x:c>
      <x:c r="P232" t="s">
        <x:v>80</x:v>
      </x:c>
      <x:c r="R232" s="9">
        <x:v>29784</x:v>
      </x:c>
      <x:c r="T232" t="s">
        <x:v>119</x:v>
      </x:c>
      <x:c r="W232" s="26" t="n">
        <x:v>4.08126</x:v>
      </x:c>
      <x:c r="X232" s="26" t="n">
        <x:v>-74.24773</x:v>
      </x:c>
      <x:c r="Y232">
        <x:v>9246.9719999999998</x:v>
      </x:c>
      <x:c r="Z232">
        <x:v>3901</x:v>
      </x:c>
      <x:c r="AB232" t="s">
        <x:v>1969</x:v>
      </x:c>
      <x:c r="AF232" t="s">
        <x:v>50</x:v>
      </x:c>
      <x:c r="AG232" t="s">
        <x:v>98</x:v>
      </x:c>
      <x:c r="AH232" t="s">
        <x:v>1970</x:v>
      </x:c>
      <x:c r="AI232" t="s">
        <x:v>1971</x:v>
      </x:c>
      <x:c r="AJ232">
        <x:v>248</x:v>
      </x:c>
    </x:row>
    <x:row r="233">
      <x:c r="A233" t="s">
        <x:v>1680</x:v>
      </x:c>
      <x:c r="B233" t="s">
        <x:v>1681</x:v>
      </x:c>
      <x:c r="C233" t="s">
        <x:v>1972</x:v>
      </x:c>
      <x:c r="D233" t="s">
        <x:v>1973</x:v>
      </x:c>
      <x:c r="E233" t="s">
        <x:v>1974</x:v>
      </x:c>
      <x:c r="P233" t="s">
        <x:v>80</x:v>
      </x:c>
      <x:c r="R233" s="9">
        <x:v>32509</x:v>
      </x:c>
      <x:c r="W233" s="26" t="n">
        <x:v>5.15819</x:v>
      </x:c>
      <x:c r="X233" s="26" t="n">
        <x:v>-73.94455</x:v>
      </x:c>
      <x:c r="Y233">
        <x:v>3551.0770000000002</x:v>
      </x:c>
      <x:c r="Z233">
        <x:v>3015</x:v>
      </x:c>
      <x:c r="AB233" t="s">
        <x:v>1975</x:v>
      </x:c>
      <x:c r="AF233" t="s">
        <x:v>50</x:v>
      </x:c>
      <x:c r="AG233" t="s">
        <x:v>98</x:v>
      </x:c>
      <x:c r="AH233" t="s">
        <x:v>1976</x:v>
      </x:c>
      <x:c r="AI233" t="s">
        <x:v>1977</x:v>
      </x:c>
      <x:c r="AJ233">
        <x:v>249</x:v>
      </x:c>
    </x:row>
    <x:row r="234">
      <x:c r="A234" t="s">
        <x:v>1680</x:v>
      </x:c>
      <x:c r="B234" t="s">
        <x:v>1681</x:v>
      </x:c>
      <x:c r="C234" t="s">
        <x:v>1978</x:v>
      </x:c>
      <x:c r="D234" t="s">
        <x:v>1979</x:v>
      </x:c>
      <x:c r="E234" t="s">
        <x:v>1980</x:v>
      </x:c>
      <x:c r="F234" t="s">
        <x:v>1981</x:v>
      </x:c>
      <x:c r="G234">
        <x:v>3530</x:v>
      </x:c>
      <x:c r="H234">
        <x:v>3630</x:v>
      </x:c>
      <x:c r="P234" t="s">
        <x:v>80</x:v>
      </x:c>
      <x:c r="R234" s="9">
        <x:v>21494</x:v>
      </x:c>
      <x:c r="W234" s="26" t="n">
        <x:v>1.91706</x:v>
      </x:c>
      <x:c r="X234" s="26" t="n">
        <x:v>-76.60006</x:v>
      </x:c>
      <x:c r="Y234">
        <x:v>2568.2910000000002</x:v>
      </x:c>
      <x:c r="Z234">
        <x:v>3503</x:v>
      </x:c>
      <x:c r="AB234" t="s">
        <x:v>1982</x:v>
      </x:c>
      <x:c r="AF234" t="s">
        <x:v>50</x:v>
      </x:c>
      <x:c r="AG234" t="s">
        <x:v>1983</x:v>
      </x:c>
      <x:c r="AH234" t="s">
        <x:v>1870</x:v>
      </x:c>
      <x:c r="AI234" t="s">
        <x:v>1984</x:v>
      </x:c>
      <x:c r="AJ234">
        <x:v>250</x:v>
      </x:c>
    </x:row>
    <x:row r="235">
      <x:c r="A235" t="s">
        <x:v>1680</x:v>
      </x:c>
      <x:c r="B235" t="s">
        <x:v>1681</x:v>
      </x:c>
      <x:c r="C235" t="s">
        <x:v>1985</x:v>
      </x:c>
      <x:c r="D235" t="s">
        <x:v>1986</x:v>
      </x:c>
      <x:c r="E235" t="s">
        <x:v>1987</x:v>
      </x:c>
      <x:c r="F235">
        <x:v>3000</x:v>
      </x:c>
      <x:c r="G235">
        <x:v>3000</x:v>
      </x:c>
      <x:c r="H235">
        <x:v>3000</x:v>
      </x:c>
      <x:c r="I235" t="s">
        <x:v>1988</x:v>
      </x:c>
      <x:c r="J235" t="s">
        <x:v>1989</x:v>
      </x:c>
      <x:c r="K235" t="s">
        <x:v>1990</x:v>
      </x:c>
      <x:c r="L235" t="s">
        <x:v>1991</x:v>
      </x:c>
      <x:c r="M235" t="s">
        <x:v>1992</x:v>
      </x:c>
      <x:c r="N235" t="s">
        <x:v>1993</x:v>
      </x:c>
      <x:c r="O235" t="s">
        <x:v>1994</x:v>
      </x:c>
      <x:c r="P235" t="s">
        <x:v>1995</x:v>
      </x:c>
      <x:c r="R235" s="9">
        <x:v>26551</x:v>
      </x:c>
      <x:c r="T235" t="s">
        <x:v>119</x:v>
      </x:c>
      <x:c r="W235" s="26" t="n">
        <x:v>1.2136917</x:v>
      </x:c>
      <x:c r="X235" s="26" t="n">
        <x:v>-77.2726361</x:v>
      </x:c>
      <x:c r="AF235" t="s">
        <x:v>50</x:v>
      </x:c>
      <x:c r="AG235" t="s">
        <x:v>127</x:v>
      </x:c>
      <x:c r="AH235" t="s">
        <x:v>1996</x:v>
      </x:c>
      <x:c r="AI235" t="s">
        <x:v>1997</x:v>
      </x:c>
      <x:c r="AJ235">
        <x:v>251</x:v>
      </x:c>
    </x:row>
    <x:row r="236">
      <x:c r="A236" t="s">
        <x:v>1680</x:v>
      </x:c>
      <x:c r="B236" t="s">
        <x:v>1681</x:v>
      </x:c>
      <x:c r="C236" t="s">
        <x:v>1998</x:v>
      </x:c>
      <x:c r="D236" t="s">
        <x:v>1999</x:v>
      </x:c>
      <x:c r="E236" t="s">
        <x:v>2000</x:v>
      </x:c>
      <x:c r="F236">
        <x:v>3200</x:v>
      </x:c>
      <x:c r="G236">
        <x:v>3200</x:v>
      </x:c>
      <x:c r="H236">
        <x:v>3200</x:v>
      </x:c>
      <x:c r="I236" t="s">
        <x:v>1988</x:v>
      </x:c>
      <x:c r="J236" t="s">
        <x:v>1989</x:v>
      </x:c>
      <x:c r="K236" t="s">
        <x:v>1990</x:v>
      </x:c>
      <x:c r="L236" t="s">
        <x:v>1991</x:v>
      </x:c>
      <x:c r="M236" t="s">
        <x:v>1992</x:v>
      </x:c>
      <x:c r="N236" t="s">
        <x:v>1993</x:v>
      </x:c>
      <x:c r="O236" t="s">
        <x:v>1994</x:v>
      </x:c>
      <x:c r="P236" t="s">
        <x:v>1995</x:v>
      </x:c>
      <x:c r="R236" s="9">
        <x:v>26601</x:v>
      </x:c>
      <x:c r="W236" s="26" t="n">
        <x:v>1.36601</x:v>
      </x:c>
      <x:c r="X236" s="26" t="n">
        <x:v>-77.79836</x:v>
      </x:c>
      <x:c r="Y236">
        <x:v>1951.377</x:v>
      </x:c>
      <x:c r="Z236">
        <x:v>1082</x:v>
      </x:c>
      <x:c r="AB236" t="s">
        <x:v>2001</x:v>
      </x:c>
      <x:c r="AF236" t="s">
        <x:v>50</x:v>
      </x:c>
      <x:c r="AG236" t="s">
        <x:v>127</x:v>
      </x:c>
      <x:c r="AH236" t="s">
        <x:v>2002</x:v>
      </x:c>
      <x:c r="AI236" t="s">
        <x:v>2003</x:v>
      </x:c>
      <x:c r="AJ236">
        <x:v>252</x:v>
      </x:c>
    </x:row>
    <x:row r="237">
      <x:c r="A237" t="s">
        <x:v>1680</x:v>
      </x:c>
      <x:c r="B237" t="s">
        <x:v>1681</x:v>
      </x:c>
      <x:c r="C237" t="s">
        <x:v>2004</x:v>
      </x:c>
      <x:c r="D237" t="s">
        <x:v>2005</x:v>
      </x:c>
      <x:c r="E237" t="s">
        <x:v>2006</x:v>
      </x:c>
      <x:c r="F237">
        <x:v>2900</x:v>
      </x:c>
      <x:c r="G237">
        <x:v>2900</x:v>
      </x:c>
      <x:c r="H237">
        <x:v>2900</x:v>
      </x:c>
      <x:c r="I237" t="s">
        <x:v>1988</x:v>
      </x:c>
      <x:c r="J237" t="s">
        <x:v>1989</x:v>
      </x:c>
      <x:c r="K237" t="s">
        <x:v>1990</x:v>
      </x:c>
      <x:c r="L237" t="s">
        <x:v>1991</x:v>
      </x:c>
      <x:c r="M237" t="s">
        <x:v>1992</x:v>
      </x:c>
      <x:c r="N237" t="s">
        <x:v>1993</x:v>
      </x:c>
      <x:c r="O237" t="s">
        <x:v>1994</x:v>
      </x:c>
      <x:c r="P237" t="s">
        <x:v>1995</x:v>
      </x:c>
      <x:c r="R237" s="9">
        <x:v>29524</x:v>
      </x:c>
      <x:c r="T237" t="s">
        <x:v>119</x:v>
      </x:c>
      <x:c r="W237" s="26" t="n">
        <x:v>1.18713</x:v>
      </x:c>
      <x:c r="X237" s="26" t="n">
        <x:v>-77.32423</x:v>
      </x:c>
      <x:c r="Y237">
        <x:v>5443.5439999999999</x:v>
      </x:c>
      <x:c r="Z237">
        <x:v>2996</x:v>
      </x:c>
      <x:c r="AB237" t="s">
        <x:v>2007</x:v>
      </x:c>
      <x:c r="AF237" t="s">
        <x:v>50</x:v>
      </x:c>
      <x:c r="AG237" t="s">
        <x:v>127</x:v>
      </x:c>
      <x:c r="AH237" t="s">
        <x:v>2008</x:v>
      </x:c>
      <x:c r="AJ237">
        <x:v>253</x:v>
      </x:c>
    </x:row>
    <x:row r="238">
      <x:c r="A238" t="s">
        <x:v>1680</x:v>
      </x:c>
      <x:c r="B238" t="s">
        <x:v>1681</x:v>
      </x:c>
      <x:c r="C238" t="s">
        <x:v>2009</x:v>
      </x:c>
      <x:c r="D238" t="s">
        <x:v>2010</x:v>
      </x:c>
      <x:c r="E238" t="s">
        <x:v>2011</x:v>
      </x:c>
      <x:c r="F238">
        <x:v>3100</x:v>
      </x:c>
      <x:c r="G238">
        <x:v>3100</x:v>
      </x:c>
      <x:c r="H238">
        <x:v>3100</x:v>
      </x:c>
      <x:c r="I238" t="s">
        <x:v>1988</x:v>
      </x:c>
      <x:c r="J238" t="s">
        <x:v>1989</x:v>
      </x:c>
      <x:c r="K238" t="s">
        <x:v>1990</x:v>
      </x:c>
      <x:c r="L238" t="s">
        <x:v>1991</x:v>
      </x:c>
      <x:c r="M238" t="s">
        <x:v>1992</x:v>
      </x:c>
      <x:c r="N238" t="s">
        <x:v>1993</x:v>
      </x:c>
      <x:c r="O238" t="s">
        <x:v>1994</x:v>
      </x:c>
      <x:c r="P238" t="s">
        <x:v>1995</x:v>
      </x:c>
      <x:c r="R238" s="9">
        <x:v>30734</x:v>
      </x:c>
      <x:c r="T238" t="s">
        <x:v>119</x:v>
      </x:c>
      <x:c r="W238" s="26" t="n">
        <x:v>1.2136917</x:v>
      </x:c>
      <x:c r="X238" s="26" t="n">
        <x:v>-77.2726361</x:v>
      </x:c>
      <x:c r="AF238" t="s">
        <x:v>50</x:v>
      </x:c>
      <x:c r="AG238" t="s">
        <x:v>127</x:v>
      </x:c>
      <x:c r="AH238" t="s">
        <x:v>1996</x:v>
      </x:c>
      <x:c r="AI238" t="s">
        <x:v>2012</x:v>
      </x:c>
      <x:c r="AJ238">
        <x:v>254</x:v>
      </x:c>
    </x:row>
    <x:row r="239">
      <x:c r="A239" t="s">
        <x:v>1680</x:v>
      </x:c>
      <x:c r="B239" t="s">
        <x:v>1681</x:v>
      </x:c>
      <x:c r="C239" t="s">
        <x:v>2013</x:v>
      </x:c>
      <x:c r="D239" t="s">
        <x:v>2014</x:v>
      </x:c>
      <x:c r="E239" t="s">
        <x:v>2015</x:v>
      </x:c>
      <x:c r="F239" t="s">
        <x:v>2016</x:v>
      </x:c>
      <x:c r="G239">
        <x:v>3400</x:v>
      </x:c>
      <x:c r="H239">
        <x:v>3500</x:v>
      </x:c>
      <x:c r="I239" t="s">
        <x:v>1988</x:v>
      </x:c>
      <x:c r="J239" t="s">
        <x:v>1989</x:v>
      </x:c>
      <x:c r="K239" t="s">
        <x:v>1990</x:v>
      </x:c>
      <x:c r="L239" t="s">
        <x:v>1991</x:v>
      </x:c>
      <x:c r="M239" t="s">
        <x:v>1992</x:v>
      </x:c>
      <x:c r="N239" t="s">
        <x:v>1993</x:v>
      </x:c>
      <x:c r="O239" t="s">
        <x:v>1994</x:v>
      </x:c>
      <x:c r="P239" t="s">
        <x:v>1995</x:v>
      </x:c>
      <x:c r="R239" s="9">
        <x:v>32859</x:v>
      </x:c>
      <x:c r="T239" t="s">
        <x:v>119</x:v>
      </x:c>
      <x:c r="W239" s="26" t="n">
        <x:v>1.2136917</x:v>
      </x:c>
      <x:c r="X239" s="26" t="n">
        <x:v>-77.2726361</x:v>
      </x:c>
      <x:c r="AF239" t="s">
        <x:v>50</x:v>
      </x:c>
      <x:c r="AG239" t="s">
        <x:v>127</x:v>
      </x:c>
      <x:c r="AH239" t="s">
        <x:v>1996</x:v>
      </x:c>
      <x:c r="AI239" t="s">
        <x:v>2017</x:v>
      </x:c>
      <x:c r="AJ239">
        <x:v>255</x:v>
      </x:c>
    </x:row>
    <x:row r="240">
      <x:c r="A240" t="s">
        <x:v>1680</x:v>
      </x:c>
      <x:c r="B240" t="s">
        <x:v>1681</x:v>
      </x:c>
      <x:c r="C240" t="s">
        <x:v>2018</x:v>
      </x:c>
      <x:c r="D240" t="s">
        <x:v>2019</x:v>
      </x:c>
      <x:c r="E240" t="s">
        <x:v>2020</x:v>
      </x:c>
      <x:c r="F240" t="s">
        <x:v>2021</x:v>
      </x:c>
      <x:c r="G240">
        <x:v>3000</x:v>
      </x:c>
      <x:c r="H240">
        <x:v>3300</x:v>
      </x:c>
      <x:c r="I240" t="s">
        <x:v>1988</x:v>
      </x:c>
      <x:c r="J240" t="s">
        <x:v>1989</x:v>
      </x:c>
      <x:c r="K240" t="s">
        <x:v>1990</x:v>
      </x:c>
      <x:c r="L240" t="s">
        <x:v>1991</x:v>
      </x:c>
      <x:c r="M240" t="s">
        <x:v>1992</x:v>
      </x:c>
      <x:c r="N240" t="s">
        <x:v>1993</x:v>
      </x:c>
      <x:c r="O240" t="s">
        <x:v>1994</x:v>
      </x:c>
      <x:c r="P240" t="s">
        <x:v>1995</x:v>
      </x:c>
      <x:c r="R240" s="9">
        <x:v>33664</x:v>
      </x:c>
      <x:c r="W240" s="26" t="n">
        <x:v>1.2136917</x:v>
      </x:c>
      <x:c r="X240" s="26" t="n">
        <x:v>-77.2726361</x:v>
      </x:c>
      <x:c r="AF240" t="s">
        <x:v>50</x:v>
      </x:c>
      <x:c r="AG240" t="s">
        <x:v>127</x:v>
      </x:c>
      <x:c r="AH240" t="s">
        <x:v>1996</x:v>
      </x:c>
      <x:c r="AI240" t="s">
        <x:v>2022</x:v>
      </x:c>
      <x:c r="AJ240">
        <x:v>256</x:v>
      </x:c>
    </x:row>
    <x:row r="241">
      <x:c r="A241" t="s">
        <x:v>1680</x:v>
      </x:c>
      <x:c r="B241" t="s">
        <x:v>1681</x:v>
      </x:c>
      <x:c r="C241" t="s">
        <x:v>2023</x:v>
      </x:c>
      <x:c r="D241" t="s">
        <x:v>2019</x:v>
      </x:c>
      <x:c r="E241" t="s">
        <x:v>2024</x:v>
      </x:c>
      <x:c r="F241" t="s">
        <x:v>2021</x:v>
      </x:c>
      <x:c r="G241">
        <x:v>3000</x:v>
      </x:c>
      <x:c r="H241">
        <x:v>3300</x:v>
      </x:c>
      <x:c r="P241" t="s">
        <x:v>80</x:v>
      </x:c>
      <x:c r="R241" s="9">
        <x:v>33664</x:v>
      </x:c>
      <x:c r="T241" t="s">
        <x:v>2025</x:v>
      </x:c>
      <x:c r="W241" s="26" t="n">
        <x:v>1.20048</x:v>
      </x:c>
      <x:c r="X241" s="26" t="n">
        <x:v>-77.31593</x:v>
      </x:c>
      <x:c r="Y241">
        <x:v>4874.3140000000003</x:v>
      </x:c>
      <x:c r="Z241">
        <x:v>2893</x:v>
      </x:c>
      <x:c r="AA241" t="s">
        <x:v>2026</x:v>
      </x:c>
      <x:c r="AB241" t="s">
        <x:v>2027</x:v>
      </x:c>
      <x:c r="AF241" t="s">
        <x:v>50</x:v>
      </x:c>
      <x:c r="AG241" t="s">
        <x:v>127</x:v>
      </x:c>
      <x:c r="AH241" t="s">
        <x:v>1996</x:v>
      </x:c>
      <x:c r="AI241" t="s">
        <x:v>2028</x:v>
      </x:c>
      <x:c r="AJ241">
        <x:v>257</x:v>
      </x:c>
    </x:row>
    <x:row r="242">
      <x:c r="A242" t="s">
        <x:v>1680</x:v>
      </x:c>
      <x:c r="B242" t="s">
        <x:v>1681</x:v>
      </x:c>
      <x:c r="C242" t="s">
        <x:v>2029</x:v>
      </x:c>
      <x:c r="D242" t="s">
        <x:v>2030</x:v>
      </x:c>
      <x:c r="E242" t="s">
        <x:v>2031</x:v>
      </x:c>
      <x:c r="F242">
        <x:v>3250</x:v>
      </x:c>
      <x:c r="G242">
        <x:v>3250</x:v>
      </x:c>
      <x:c r="H242">
        <x:v>3250</x:v>
      </x:c>
      <x:c r="I242" t="s">
        <x:v>2032</x:v>
      </x:c>
      <x:c r="J242" t="s">
        <x:v>2033</x:v>
      </x:c>
      <x:c r="K242" t="s">
        <x:v>1320</x:v>
      </x:c>
      <x:c r="L242" t="s">
        <x:v>1321</x:v>
      </x:c>
      <x:c r="M242" t="s">
        <x:v>2034</x:v>
      </x:c>
      <x:c r="N242" t="s">
        <x:v>2035</x:v>
      </x:c>
      <x:c r="O242" t="s">
        <x:v>1583</x:v>
      </x:c>
      <x:c r="P242" t="s">
        <x:v>2036</x:v>
      </x:c>
      <x:c r="R242" s="9">
        <x:v>35635</x:v>
      </x:c>
      <x:c r="T242" t="s">
        <x:v>119</x:v>
      </x:c>
      <x:c r="W242" s="26" t="n">
        <x:v>1.21832</x:v>
      </x:c>
      <x:c r="X242" s="26" t="n">
        <x:v>-77.17091</x:v>
      </x:c>
      <x:c r="Y242">
        <x:v>1275.0609999999999</x:v>
      </x:c>
      <x:c r="Z242">
        <x:v>3254</x:v>
      </x:c>
      <x:c r="AB242" t="s">
        <x:v>2037</x:v>
      </x:c>
      <x:c r="AF242" t="s">
        <x:v>50</x:v>
      </x:c>
      <x:c r="AG242" t="s">
        <x:v>127</x:v>
      </x:c>
      <x:c r="AH242" t="s">
        <x:v>1996</x:v>
      </x:c>
      <x:c r="AI242" t="s">
        <x:v>2038</x:v>
      </x:c>
      <x:c r="AJ242">
        <x:v>258</x:v>
      </x:c>
    </x:row>
    <x:row r="243">
      <x:c r="A243" t="s">
        <x:v>1680</x:v>
      </x:c>
      <x:c r="B243" t="s">
        <x:v>1681</x:v>
      </x:c>
      <x:c r="C243" t="s">
        <x:v>2039</x:v>
      </x:c>
      <x:c r="D243" t="s">
        <x:v>2040</x:v>
      </x:c>
      <x:c r="E243" t="s">
        <x:v>2041</x:v>
      </x:c>
      <x:c r="F243" t="s">
        <x:v>2021</x:v>
      </x:c>
      <x:c r="G243">
        <x:v>3000</x:v>
      </x:c>
      <x:c r="H243">
        <x:v>3300</x:v>
      </x:c>
      <x:c r="I243" t="s">
        <x:v>1988</x:v>
      </x:c>
      <x:c r="J243" t="s">
        <x:v>1989</x:v>
      </x:c>
      <x:c r="K243" t="s">
        <x:v>1990</x:v>
      </x:c>
      <x:c r="L243" t="s">
        <x:v>1991</x:v>
      </x:c>
      <x:c r="M243" t="s">
        <x:v>1992</x:v>
      </x:c>
      <x:c r="N243" t="s">
        <x:v>1993</x:v>
      </x:c>
      <x:c r="O243" t="s">
        <x:v>1994</x:v>
      </x:c>
      <x:c r="P243" t="s">
        <x:v>1995</x:v>
      </x:c>
      <x:c r="R243" s="9">
        <x:v>33664</x:v>
      </x:c>
      <x:c r="T243" t="s">
        <x:v>119</x:v>
      </x:c>
      <x:c r="W243" s="26" t="n">
        <x:v>1.2136917</x:v>
      </x:c>
      <x:c r="X243" s="26" t="n">
        <x:v>-77.2726361</x:v>
      </x:c>
      <x:c r="AF243" t="s">
        <x:v>50</x:v>
      </x:c>
      <x:c r="AG243" t="s">
        <x:v>2042</x:v>
      </x:c>
      <x:c r="AH243" t="s">
        <x:v>2043</x:v>
      </x:c>
      <x:c r="AI243" t="s">
        <x:v>2044</x:v>
      </x:c>
      <x:c r="AJ243">
        <x:v>259</x:v>
      </x:c>
    </x:row>
    <x:row r="244">
      <x:c r="A244" t="s">
        <x:v>1680</x:v>
      </x:c>
      <x:c r="B244" t="s">
        <x:v>1681</x:v>
      </x:c>
      <x:c r="C244" t="s">
        <x:v>2045</x:v>
      </x:c>
      <x:c r="D244" t="s">
        <x:v>2046</x:v>
      </x:c>
      <x:c r="E244" t="s">
        <x:v>2047</x:v>
      </x:c>
      <x:c r="F244" t="s">
        <x:v>2048</x:v>
      </x:c>
      <x:c r="G244">
        <x:v>3000</x:v>
      </x:c>
      <x:c r="H244">
        <x:v>3200</x:v>
      </x:c>
      <x:c r="P244" t="s">
        <x:v>80</x:v>
      </x:c>
      <x:c r="R244" s="9">
        <x:v>15277</x:v>
      </x:c>
      <x:c r="W244" s="26" t="n">
        <x:v>7.39297</x:v>
      </x:c>
      <x:c r="X244" s="26" t="n">
        <x:v>-72.42921</x:v>
      </x:c>
      <x:c r="Y244">
        <x:v>1661.5920000000001</x:v>
      </x:c>
      <x:c r="Z244">
        <x:v>2990</x:v>
      </x:c>
      <x:c r="AB244" t="s">
        <x:v>2049</x:v>
      </x:c>
      <x:c r="AF244" t="s">
        <x:v>50</x:v>
      </x:c>
      <x:c r="AG244" t="s">
        <x:v>1306</x:v>
      </x:c>
      <x:c r="AH244" t="s">
        <x:v>2050</x:v>
      </x:c>
      <x:c r="AI244" t="s">
        <x:v>2051</x:v>
      </x:c>
      <x:c r="AJ244">
        <x:v>260</x:v>
      </x:c>
    </x:row>
    <x:row r="245">
      <x:c r="A245" t="s">
        <x:v>1680</x:v>
      </x:c>
      <x:c r="B245" t="s">
        <x:v>1681</x:v>
      </x:c>
      <x:c r="C245" t="s">
        <x:v>2052</x:v>
      </x:c>
      <x:c r="D245" t="s">
        <x:v>2053</x:v>
      </x:c>
      <x:c r="E245" t="s">
        <x:v>2054</x:v>
      </x:c>
      <x:c r="F245" t="s">
        <x:v>2055</x:v>
      </x:c>
      <x:c r="G245">
        <x:v>3150</x:v>
      </x:c>
      <x:c r="H245">
        <x:v>3250</x:v>
      </x:c>
      <x:c r="I245" t="s">
        <x:v>785</x:v>
      </x:c>
      <x:c r="J245" t="s">
        <x:v>786</x:v>
      </x:c>
      <x:c r="K245" t="s">
        <x:v>787</x:v>
      </x:c>
      <x:c r="L245" t="s">
        <x:v>788</x:v>
      </x:c>
      <x:c r="M245" t="s">
        <x:v>789</x:v>
      </x:c>
      <x:c r="N245" t="s">
        <x:v>790</x:v>
      </x:c>
      <x:c r="O245" t="s">
        <x:v>791</x:v>
      </x:c>
      <x:c r="P245" t="s">
        <x:v>792</x:v>
      </x:c>
      <x:c r="R245" s="9">
        <x:v>34076</x:v>
      </x:c>
      <x:c r="T245" t="s">
        <x:v>119</x:v>
      </x:c>
      <x:c r="W245" s="26" t="n">
        <x:v>1.14804</x:v>
      </x:c>
      <x:c r="X245" s="26" t="n">
        <x:v>-77.09808</x:v>
      </x:c>
      <x:c r="Y245">
        <x:v>2065.6619999999998</x:v>
      </x:c>
      <x:c r="Z245">
        <x:v>3240</x:v>
      </x:c>
      <x:c r="AB245" t="s">
        <x:v>2056</x:v>
      </x:c>
      <x:c r="AF245" t="s">
        <x:v>50</x:v>
      </x:c>
      <x:c r="AG245" t="s">
        <x:v>67</x:v>
      </x:c>
      <x:c r="AH245" t="s">
        <x:v>2057</x:v>
      </x:c>
      <x:c r="AI245" t="s">
        <x:v>2058</x:v>
      </x:c>
      <x:c r="AJ245">
        <x:v>261</x:v>
      </x:c>
    </x:row>
    <x:row r="246">
      <x:c r="A246" t="s">
        <x:v>1680</x:v>
      </x:c>
      <x:c r="B246" t="s">
        <x:v>1681</x:v>
      </x:c>
      <x:c r="C246" t="s">
        <x:v>2059</x:v>
      </x:c>
      <x:c r="D246" t="s">
        <x:v>2060</x:v>
      </x:c>
      <x:c r="E246" t="s">
        <x:v>2061</x:v>
      </x:c>
      <x:c r="F246">
        <x:v>2750</x:v>
      </x:c>
      <x:c r="G246">
        <x:v>2750</x:v>
      </x:c>
      <x:c r="H246">
        <x:v>2750</x:v>
      </x:c>
      <x:c r="I246" t="s">
        <x:v>797</x:v>
      </x:c>
      <x:c r="J246" t="s">
        <x:v>798</x:v>
      </x:c>
      <x:c r="K246" t="s">
        <x:v>2062</x:v>
      </x:c>
      <x:c r="L246" t="s">
        <x:v>2063</x:v>
      </x:c>
      <x:c r="M246" t="s">
        <x:v>2064</x:v>
      </x:c>
      <x:c r="N246" t="s">
        <x:v>801</x:v>
      </x:c>
      <x:c r="O246" t="s">
        <x:v>422</x:v>
      </x:c>
      <x:c r="P246" t="s">
        <x:v>802</x:v>
      </x:c>
      <x:c r="R246" s="9">
        <x:v>33786</x:v>
      </x:c>
      <x:c r="W246" s="26" t="n">
        <x:v>4.6666667</x:v>
      </x:c>
      <x:c r="X246" s="26" t="n">
        <x:v>-75.5</x:v>
      </x:c>
      <x:c r="AF246" t="s">
        <x:v>50</x:v>
      </x:c>
      <x:c r="AG246" t="s">
        <x:v>182</x:v>
      </x:c>
      <x:c r="AH246" t="s">
        <x:v>803</x:v>
      </x:c>
      <x:c r="AI246" t="s">
        <x:v>2065</x:v>
      </x:c>
      <x:c r="AJ246">
        <x:v>262</x:v>
      </x:c>
    </x:row>
    <x:row r="247">
      <x:c r="A247" t="s">
        <x:v>1680</x:v>
      </x:c>
      <x:c r="B247" t="s">
        <x:v>1681</x:v>
      </x:c>
      <x:c r="C247" t="s">
        <x:v>2066</x:v>
      </x:c>
      <x:c r="D247" t="s">
        <x:v>2067</x:v>
      </x:c>
      <x:c r="E247" t="s">
        <x:v>2068</x:v>
      </x:c>
      <x:c r="F247">
        <x:v>3600</x:v>
      </x:c>
      <x:c r="G247">
        <x:v>3600</x:v>
      </x:c>
      <x:c r="H247">
        <x:v>3600</x:v>
      </x:c>
      <x:c r="I247" t="s">
        <x:v>797</x:v>
      </x:c>
      <x:c r="J247" t="s">
        <x:v>798</x:v>
      </x:c>
      <x:c r="K247" t="s">
        <x:v>799</x:v>
      </x:c>
      <x:c r="L247" t="s">
        <x:v>419</x:v>
      </x:c>
      <x:c r="M247" t="s">
        <x:v>800</x:v>
      </x:c>
      <x:c r="N247" t="s">
        <x:v>801</x:v>
      </x:c>
      <x:c r="O247" t="s">
        <x:v>422</x:v>
      </x:c>
      <x:c r="P247" t="s">
        <x:v>802</x:v>
      </x:c>
      <x:c r="R247" s="9">
        <x:v>34637</x:v>
      </x:c>
      <x:c r="T247" t="s">
        <x:v>111</x:v>
      </x:c>
      <x:c r="W247" s="26" t="n">
        <x:v>4.6666667</x:v>
      </x:c>
      <x:c r="X247" s="26" t="n">
        <x:v>-75.5</x:v>
      </x:c>
      <x:c r="AF247" t="s">
        <x:v>50</x:v>
      </x:c>
      <x:c r="AG247" t="s">
        <x:v>182</x:v>
      </x:c>
      <x:c r="AH247" t="s">
        <x:v>803</x:v>
      </x:c>
      <x:c r="AI247" t="s">
        <x:v>2069</x:v>
      </x:c>
      <x:c r="AJ247">
        <x:v>263</x:v>
      </x:c>
    </x:row>
    <x:row r="248">
      <x:c r="A248" t="s">
        <x:v>1680</x:v>
      </x:c>
      <x:c r="B248" t="s">
        <x:v>1681</x:v>
      </x:c>
      <x:c r="C248" t="s">
        <x:v>2070</x:v>
      </x:c>
      <x:c r="D248" t="s">
        <x:v>2071</x:v>
      </x:c>
      <x:c r="E248" t="s">
        <x:v>2072</x:v>
      </x:c>
      <x:c r="F248" t="s">
        <x:v>2073</x:v>
      </x:c>
      <x:c r="G248">
        <x:v>2430</x:v>
      </x:c>
      <x:c r="H248">
        <x:v>3200</x:v>
      </x:c>
      <x:c r="I248" t="s">
        <x:v>2074</x:v>
      </x:c>
      <x:c r="J248" t="s">
        <x:v>2075</x:v>
      </x:c>
      <x:c r="K248" t="s">
        <x:v>2076</x:v>
      </x:c>
      <x:c r="L248" t="s">
        <x:v>2077</x:v>
      </x:c>
      <x:c r="M248" t="s">
        <x:v>2078</x:v>
      </x:c>
      <x:c r="N248" t="s">
        <x:v>2079</x:v>
      </x:c>
      <x:c r="O248" t="s">
        <x:v>2080</x:v>
      </x:c>
      <x:c r="P248" t="s">
        <x:v>2081</x:v>
      </x:c>
      <x:c r="R248" s="9">
        <x:v>40017</x:v>
      </x:c>
      <x:c r="T248" t="s">
        <x:v>119</x:v>
      </x:c>
      <x:c r="W248" s="26" t="n">
        <x:v>4.6415</x:v>
      </x:c>
      <x:c r="X248" s="26" t="n">
        <x:v>-75.4867778</x:v>
      </x:c>
      <x:c r="AF248" t="s">
        <x:v>50</x:v>
      </x:c>
      <x:c r="AG248" t="s">
        <x:v>182</x:v>
      </x:c>
      <x:c r="AH248" t="s">
        <x:v>803</x:v>
      </x:c>
      <x:c r="AI248" t="s">
        <x:v>2082</x:v>
      </x:c>
      <x:c r="AJ248">
        <x:v>264</x:v>
      </x:c>
    </x:row>
    <x:row r="249">
      <x:c r="A249" t="s">
        <x:v>1680</x:v>
      </x:c>
      <x:c r="B249" t="s">
        <x:v>1681</x:v>
      </x:c>
      <x:c r="C249" t="s">
        <x:v>2083</x:v>
      </x:c>
      <x:c r="D249" t="s">
        <x:v>2084</x:v>
      </x:c>
      <x:c r="E249" t="s">
        <x:v>2085</x:v>
      </x:c>
      <x:c r="F249" t="s">
        <x:v>2086</x:v>
      </x:c>
      <x:c r="G249">
        <x:v>2871</x:v>
      </x:c>
      <x:c r="H249">
        <x:v>3502</x:v>
      </x:c>
      <x:c r="I249" t="s">
        <x:v>2087</x:v>
      </x:c>
      <x:c r="J249" t="s">
        <x:v>2088</x:v>
      </x:c>
      <x:c r="K249" t="s">
        <x:v>2089</x:v>
      </x:c>
      <x:c r="L249" t="s">
        <x:v>2090</x:v>
      </x:c>
      <x:c r="M249" t="s">
        <x:v>2091</x:v>
      </x:c>
      <x:c r="N249" t="s">
        <x:v>2092</x:v>
      </x:c>
      <x:c r="O249" t="s">
        <x:v>755</x:v>
      </x:c>
      <x:c r="P249" t="s">
        <x:v>2093</x:v>
      </x:c>
      <x:c r="R249" s="9">
        <x:v>40334</x:v>
      </x:c>
      <x:c r="T249" t="s">
        <x:v>119</x:v>
      </x:c>
      <x:c r="W249" s="26" t="n">
        <x:v>4.65</x:v>
      </x:c>
      <x:c r="X249" s="26" t="n">
        <x:v>-75.4833333</x:v>
      </x:c>
      <x:c r="AF249" t="s">
        <x:v>50</x:v>
      </x:c>
      <x:c r="AG249" t="s">
        <x:v>182</x:v>
      </x:c>
      <x:c r="AH249" t="s">
        <x:v>803</x:v>
      </x:c>
      <x:c r="AI249" t="s">
        <x:v>2094</x:v>
      </x:c>
      <x:c r="AJ249">
        <x:v>265</x:v>
      </x:c>
    </x:row>
    <x:row r="250">
      <x:c r="A250" t="s">
        <x:v>1680</x:v>
      </x:c>
      <x:c r="B250" t="s">
        <x:v>1681</x:v>
      </x:c>
      <x:c r="C250" t="s">
        <x:v>2095</x:v>
      </x:c>
      <x:c r="D250" t="s">
        <x:v>2096</x:v>
      </x:c>
      <x:c r="E250" t="s">
        <x:v>2097</x:v>
      </x:c>
      <x:c r="F250">
        <x:v>3280</x:v>
      </x:c>
      <x:c r="G250">
        <x:v>3280</x:v>
      </x:c>
      <x:c r="H250">
        <x:v>3280</x:v>
      </x:c>
      <x:c r="I250" t="s">
        <x:v>2098</x:v>
      </x:c>
      <x:c r="J250" t="s">
        <x:v>2099</x:v>
      </x:c>
      <x:c r="K250" t="s">
        <x:v>2100</x:v>
      </x:c>
      <x:c r="L250" t="s">
        <x:v>2101</x:v>
      </x:c>
      <x:c r="M250" t="s">
        <x:v>2102</x:v>
      </x:c>
      <x:c r="N250" t="s">
        <x:v>2103</x:v>
      </x:c>
      <x:c r="O250" t="s">
        <x:v>2104</x:v>
      </x:c>
      <x:c r="P250" t="s">
        <x:v>2105</x:v>
      </x:c>
      <x:c r="R250" s="9">
        <x:v>29247</x:v>
      </x:c>
      <x:c r="W250" s="26" t="n">
        <x:v>4.8666667</x:v>
      </x:c>
      <x:c r="X250" s="26" t="n">
        <x:v>-75.6166667</x:v>
      </x:c>
      <x:c r="AF250" t="s">
        <x:v>50</x:v>
      </x:c>
      <x:c r="AG250" t="s">
        <x:v>360</x:v>
      </x:c>
      <x:c r="AH250" t="s">
        <x:v>2106</x:v>
      </x:c>
      <x:c r="AI250" t="s">
        <x:v>2107</x:v>
      </x:c>
      <x:c r="AJ250">
        <x:v>266</x:v>
      </x:c>
    </x:row>
    <x:row r="251">
      <x:c r="A251" t="s">
        <x:v>1680</x:v>
      </x:c>
      <x:c r="B251" t="s">
        <x:v>1681</x:v>
      </x:c>
      <x:c r="C251" t="s">
        <x:v>2108</x:v>
      </x:c>
      <x:c r="D251" t="s">
        <x:v>2109</x:v>
      </x:c>
      <x:c r="E251" t="s">
        <x:v>2110</x:v>
      </x:c>
      <x:c r="F251">
        <x:v>3300</x:v>
      </x:c>
      <x:c r="G251">
        <x:v>3300</x:v>
      </x:c>
      <x:c r="H251">
        <x:v>3300</x:v>
      </x:c>
      <x:c r="P251" t="s">
        <x:v>80</x:v>
      </x:c>
      <x:c r="R251" s="9">
        <x:v>30438</x:v>
      </x:c>
      <x:c r="W251" s="26" t="n">
        <x:v>5.1286</x:v>
      </x:c>
      <x:c r="X251" s="26" t="n">
        <x:v>-76.04844</x:v>
      </x:c>
      <x:c r="Y251">
        <x:v>2194.4319999999998</x:v>
      </x:c>
      <x:c r="Z251">
        <x:v>3052</x:v>
      </x:c>
      <x:c r="AB251" t="s">
        <x:v>2111</x:v>
      </x:c>
      <x:c r="AF251" t="s">
        <x:v>50</x:v>
      </x:c>
      <x:c r="AG251" t="s">
        <x:v>360</x:v>
      </x:c>
      <x:c r="AH251" t="s">
        <x:v>367</x:v>
      </x:c>
      <x:c r="AI251" t="s">
        <x:v>2112</x:v>
      </x:c>
      <x:c r="AJ251">
        <x:v>268</x:v>
      </x:c>
    </x:row>
    <x:row r="252">
      <x:c r="A252" t="s">
        <x:v>1680</x:v>
      </x:c>
      <x:c r="B252" t="s">
        <x:v>1681</x:v>
      </x:c>
      <x:c r="C252" t="s">
        <x:v>2113</x:v>
      </x:c>
      <x:c r="D252" t="s">
        <x:v>2114</x:v>
      </x:c>
      <x:c r="E252" t="s">
        <x:v>2115</x:v>
      </x:c>
      <x:c r="F252">
        <x:v>2740</x:v>
      </x:c>
      <x:c r="G252">
        <x:v>2740</x:v>
      </x:c>
      <x:c r="H252">
        <x:v>2740</x:v>
      </x:c>
      <x:c r="I252" t="s">
        <x:v>2098</x:v>
      </x:c>
      <x:c r="J252" t="s">
        <x:v>2099</x:v>
      </x:c>
      <x:c r="K252" t="s">
        <x:v>2100</x:v>
      </x:c>
      <x:c r="L252" t="s">
        <x:v>2101</x:v>
      </x:c>
      <x:c r="M252" t="s">
        <x:v>2102</x:v>
      </x:c>
      <x:c r="N252" t="s">
        <x:v>2103</x:v>
      </x:c>
      <x:c r="O252" t="s">
        <x:v>2104</x:v>
      </x:c>
      <x:c r="P252" t="s">
        <x:v>2105</x:v>
      </x:c>
      <x:c r="R252" s="9">
        <x:v>31594</x:v>
      </x:c>
      <x:c r="W252" s="26" t="n">
        <x:v>4.8666667</x:v>
      </x:c>
      <x:c r="X252" s="26" t="n">
        <x:v>-75.6166667</x:v>
      </x:c>
      <x:c r="AF252" t="s">
        <x:v>50</x:v>
      </x:c>
      <x:c r="AG252" t="s">
        <x:v>360</x:v>
      </x:c>
      <x:c r="AH252" t="s">
        <x:v>2116</x:v>
      </x:c>
      <x:c r="AI252" t="s">
        <x:v>2117</x:v>
      </x:c>
      <x:c r="AJ252">
        <x:v>269</x:v>
      </x:c>
    </x:row>
    <x:row r="253">
      <x:c r="A253" t="s">
        <x:v>1680</x:v>
      </x:c>
      <x:c r="B253" t="s">
        <x:v>1681</x:v>
      </x:c>
      <x:c r="C253" t="s">
        <x:v>2118</x:v>
      </x:c>
      <x:c r="D253" t="s">
        <x:v>1837</x:v>
      </x:c>
      <x:c r="E253" t="s">
        <x:v>2119</x:v>
      </x:c>
      <x:c r="F253">
        <x:v>3648</x:v>
      </x:c>
      <x:c r="G253">
        <x:v>3648</x:v>
      </x:c>
      <x:c r="H253">
        <x:v>3648</x:v>
      </x:c>
      <x:c r="I253" t="s">
        <x:v>2120</x:v>
      </x:c>
      <x:c r="J253" t="s">
        <x:v>2121</x:v>
      </x:c>
      <x:c r="K253" t="s">
        <x:v>2122</x:v>
      </x:c>
      <x:c r="L253" t="s">
        <x:v>2123</x:v>
      </x:c>
      <x:c r="M253" t="s">
        <x:v>2124</x:v>
      </x:c>
      <x:c r="P253" t="s">
        <x:v>80</x:v>
      </x:c>
      <x:c r="R253" s="9">
        <x:v>40744</x:v>
      </x:c>
      <x:c r="T253" t="s">
        <x:v>119</x:v>
      </x:c>
      <x:c r="W253" s="26" t="n">
        <x:v>5.1208051</x:v>
      </x:c>
      <x:c r="X253" s="26" t="n">
        <x:v>-76.0594532</x:v>
      </x:c>
      <x:c r="AF253" t="s">
        <x:v>50</x:v>
      </x:c>
      <x:c r="AG253" t="s">
        <x:v>360</x:v>
      </x:c>
      <x:c r="AH253" t="s">
        <x:v>367</x:v>
      </x:c>
      <x:c r="AI253" t="s">
        <x:v>2125</x:v>
      </x:c>
      <x:c r="AJ253">
        <x:v>270</x:v>
      </x:c>
    </x:row>
    <x:row r="254">
      <x:c r="A254" t="s">
        <x:v>1680</x:v>
      </x:c>
      <x:c r="B254" t="s">
        <x:v>1681</x:v>
      </x:c>
      <x:c r="C254" t="s">
        <x:v>2126</x:v>
      </x:c>
      <x:c r="D254" t="s">
        <x:v>1820</x:v>
      </x:c>
      <x:c r="E254" t="s">
        <x:v>2127</x:v>
      </x:c>
      <x:c r="F254" t="s">
        <x:v>1768</x:v>
      </x:c>
      <x:c r="G254">
        <x:v>3000</x:v>
      </x:c>
      <x:c r="H254">
        <x:v>3500</x:v>
      </x:c>
      <x:c r="I254" t="s">
        <x:v>2120</x:v>
      </x:c>
      <x:c r="J254" t="s">
        <x:v>2121</x:v>
      </x:c>
      <x:c r="K254" t="s">
        <x:v>2122</x:v>
      </x:c>
      <x:c r="L254" t="s">
        <x:v>2123</x:v>
      </x:c>
      <x:c r="M254" t="s">
        <x:v>2124</x:v>
      </x:c>
      <x:c r="P254" t="s">
        <x:v>80</x:v>
      </x:c>
      <x:c r="R254" s="9">
        <x:v>40744</x:v>
      </x:c>
      <x:c r="T254" t="s">
        <x:v>119</x:v>
      </x:c>
      <x:c r="W254" s="26" t="n">
        <x:v>5.1208051</x:v>
      </x:c>
      <x:c r="X254" s="26" t="n">
        <x:v>-76.0594532</x:v>
      </x:c>
      <x:c r="AF254" t="s">
        <x:v>50</x:v>
      </x:c>
      <x:c r="AG254" t="s">
        <x:v>360</x:v>
      </x:c>
      <x:c r="AH254" t="s">
        <x:v>367</x:v>
      </x:c>
      <x:c r="AI254" t="s">
        <x:v>2128</x:v>
      </x:c>
      <x:c r="AJ254">
        <x:v>271</x:v>
      </x:c>
    </x:row>
    <x:row r="255">
      <x:c r="A255" t="s">
        <x:v>1680</x:v>
      </x:c>
      <x:c r="B255" t="s">
        <x:v>1681</x:v>
      </x:c>
      <x:c r="C255" t="s">
        <x:v>2129</x:v>
      </x:c>
      <x:c r="D255" t="s">
        <x:v>1529</x:v>
      </x:c>
      <x:c r="E255" t="s">
        <x:v>2130</x:v>
      </x:c>
      <x:c r="F255">
        <x:v>3648</x:v>
      </x:c>
      <x:c r="G255">
        <x:v>3648</x:v>
      </x:c>
      <x:c r="H255">
        <x:v>3648</x:v>
      </x:c>
      <x:c r="I255" t="s">
        <x:v>2120</x:v>
      </x:c>
      <x:c r="J255" t="s">
        <x:v>2121</x:v>
      </x:c>
      <x:c r="K255" t="s">
        <x:v>2131</x:v>
      </x:c>
      <x:c r="L255" t="s">
        <x:v>2132</x:v>
      </x:c>
      <x:c r="M255" t="s">
        <x:v>2133</x:v>
      </x:c>
      <x:c r="P255" t="s">
        <x:v>80</x:v>
      </x:c>
      <x:c r="R255" s="9">
        <x:v>40744</x:v>
      </x:c>
      <x:c r="T255" t="s">
        <x:v>119</x:v>
      </x:c>
      <x:c r="W255" s="26" t="n">
        <x:v>5.1208051</x:v>
      </x:c>
      <x:c r="X255" s="26" t="n">
        <x:v>-76.0594532</x:v>
      </x:c>
      <x:c r="AF255" t="s">
        <x:v>50</x:v>
      </x:c>
      <x:c r="AG255" t="s">
        <x:v>360</x:v>
      </x:c>
      <x:c r="AH255" t="s">
        <x:v>367</x:v>
      </x:c>
      <x:c r="AI255" t="s">
        <x:v>2134</x:v>
      </x:c>
      <x:c r="AJ255">
        <x:v>272</x:v>
      </x:c>
    </x:row>
    <x:row r="256">
      <x:c r="A256" t="s">
        <x:v>1680</x:v>
      </x:c>
      <x:c r="B256" t="s">
        <x:v>1681</x:v>
      </x:c>
      <x:c r="C256" t="s">
        <x:v>2135</x:v>
      </x:c>
      <x:c r="D256" t="s">
        <x:v>2136</x:v>
      </x:c>
      <x:c r="E256" t="s">
        <x:v>2137</x:v>
      </x:c>
      <x:c r="F256">
        <x:v>3460</x:v>
      </x:c>
      <x:c r="G256">
        <x:v>3460</x:v>
      </x:c>
      <x:c r="H256">
        <x:v>3460</x:v>
      </x:c>
      <x:c r="P256" t="s">
        <x:v>80</x:v>
      </x:c>
      <x:c r="R256" s="9">
        <x:v>24803</x:v>
      </x:c>
      <x:c r="T256" t="s">
        <x:v>111</x:v>
      </x:c>
      <x:c r="W256" s="26" t="n">
        <x:v>6.19988</x:v>
      </x:c>
      <x:c r="X256" s="26" t="n">
        <x:v>-72.8334</x:v>
      </x:c>
      <x:c r="Y256">
        <x:v>4689.9719999999998</x:v>
      </x:c>
      <x:c r="Z256">
        <x:v>2970</x:v>
      </x:c>
      <x:c r="AB256" t="s">
        <x:v>2138</x:v>
      </x:c>
      <x:c r="AF256" t="s">
        <x:v>50</x:v>
      </x:c>
      <x:c r="AG256" t="s">
        <x:v>224</x:v>
      </x:c>
      <x:c r="AH256" t="s">
        <x:v>2139</x:v>
      </x:c>
      <x:c r="AI256" t="s">
        <x:v>2140</x:v>
      </x:c>
      <x:c r="AJ256">
        <x:v>273</x:v>
      </x:c>
    </x:row>
    <x:row r="257">
      <x:c r="A257" t="s">
        <x:v>1680</x:v>
      </x:c>
      <x:c r="B257" t="s">
        <x:v>1681</x:v>
      </x:c>
      <x:c r="C257" t="s">
        <x:v>2141</x:v>
      </x:c>
      <x:c r="D257" t="s">
        <x:v>2142</x:v>
      </x:c>
      <x:c r="E257" t="s">
        <x:v>2143</x:v>
      </x:c>
      <x:c r="F257">
        <x:v>3700</x:v>
      </x:c>
      <x:c r="G257">
        <x:v>3700</x:v>
      </x:c>
      <x:c r="H257">
        <x:v>3700</x:v>
      </x:c>
      <x:c r="I257" t="s">
        <x:v>2144</x:v>
      </x:c>
      <x:c r="J257" t="s">
        <x:v>2145</x:v>
      </x:c>
      <x:c r="K257" t="s">
        <x:v>2146</x:v>
      </x:c>
      <x:c r="L257" t="s">
        <x:v>2147</x:v>
      </x:c>
      <x:c r="M257" t="s">
        <x:v>2148</x:v>
      </x:c>
      <x:c r="N257" t="s">
        <x:v>2149</x:v>
      </x:c>
      <x:c r="O257" t="s">
        <x:v>2150</x:v>
      </x:c>
      <x:c r="P257" t="s">
        <x:v>2151</x:v>
      </x:c>
      <x:c r="R257" s="9">
        <x:v>29260</x:v>
      </x:c>
      <x:c r="W257" s="26" t="n">
        <x:v>4.7189417</x:v>
      </x:c>
      <x:c r="X257" s="26" t="n">
        <x:v>-75.1007306</x:v>
      </x:c>
      <x:c r="AF257" t="s">
        <x:v>50</x:v>
      </x:c>
      <x:c r="AG257" t="s">
        <x:v>133</x:v>
      </x:c>
      <x:c r="AH257" t="s">
        <x:v>134</x:v>
      </x:c>
      <x:c r="AI257" t="s">
        <x:v>2152</x:v>
      </x:c>
      <x:c r="AJ257">
        <x:v>274</x:v>
      </x:c>
    </x:row>
    <x:row r="258">
      <x:c r="A258" t="s">
        <x:v>1680</x:v>
      </x:c>
      <x:c r="B258" t="s">
        <x:v>1681</x:v>
      </x:c>
      <x:c r="C258" t="s">
        <x:v>2153</x:v>
      </x:c>
      <x:c r="D258" t="s">
        <x:v>2154</x:v>
      </x:c>
      <x:c r="E258" t="s">
        <x:v>2155</x:v>
      </x:c>
      <x:c r="F258">
        <x:v>3500</x:v>
      </x:c>
      <x:c r="G258">
        <x:v>3500</x:v>
      </x:c>
      <x:c r="H258">
        <x:v>3500</x:v>
      </x:c>
      <x:c r="I258" t="s">
        <x:v>2144</x:v>
      </x:c>
      <x:c r="J258" t="s">
        <x:v>2145</x:v>
      </x:c>
      <x:c r="K258" t="s">
        <x:v>2146</x:v>
      </x:c>
      <x:c r="L258" t="s">
        <x:v>2147</x:v>
      </x:c>
      <x:c r="M258" t="s">
        <x:v>2148</x:v>
      </x:c>
      <x:c r="N258" t="s">
        <x:v>2149</x:v>
      </x:c>
      <x:c r="O258" t="s">
        <x:v>2150</x:v>
      </x:c>
      <x:c r="P258" t="s">
        <x:v>2151</x:v>
      </x:c>
      <x:c r="R258" s="9">
        <x:v>29263</x:v>
      </x:c>
      <x:c r="T258" t="s">
        <x:v>111</x:v>
      </x:c>
      <x:c r="W258" s="26" t="n">
        <x:v>4.7189417</x:v>
      </x:c>
      <x:c r="X258" s="26" t="n">
        <x:v>-75.1007306</x:v>
      </x:c>
      <x:c r="AF258" t="s">
        <x:v>50</x:v>
      </x:c>
      <x:c r="AG258" t="s">
        <x:v>133</x:v>
      </x:c>
      <x:c r="AH258" t="s">
        <x:v>2106</x:v>
      </x:c>
      <x:c r="AI258" t="s">
        <x:v>2156</x:v>
      </x:c>
      <x:c r="AJ258">
        <x:v>275</x:v>
      </x:c>
    </x:row>
    <x:row r="259">
      <x:c r="A259" t="s">
        <x:v>1680</x:v>
      </x:c>
      <x:c r="B259" t="s">
        <x:v>1681</x:v>
      </x:c>
      <x:c r="C259" t="s">
        <x:v>2157</x:v>
      </x:c>
      <x:c r="D259" t="s">
        <x:v>2158</x:v>
      </x:c>
      <x:c r="E259" t="s">
        <x:v>2159</x:v>
      </x:c>
      <x:c r="F259">
        <x:v>3100</x:v>
      </x:c>
      <x:c r="G259">
        <x:v>3100</x:v>
      </x:c>
      <x:c r="H259">
        <x:v>3100</x:v>
      </x:c>
      <x:c r="I259" t="s">
        <x:v>2144</x:v>
      </x:c>
      <x:c r="J259" t="s">
        <x:v>2145</x:v>
      </x:c>
      <x:c r="K259" t="s">
        <x:v>2146</x:v>
      </x:c>
      <x:c r="L259" t="s">
        <x:v>2147</x:v>
      </x:c>
      <x:c r="M259" t="s">
        <x:v>2148</x:v>
      </x:c>
      <x:c r="N259" t="s">
        <x:v>2149</x:v>
      </x:c>
      <x:c r="O259" t="s">
        <x:v>2150</x:v>
      </x:c>
      <x:c r="P259" t="s">
        <x:v>2151</x:v>
      </x:c>
      <x:c r="R259" s="9">
        <x:v>29266</x:v>
      </x:c>
      <x:c r="T259" t="s">
        <x:v>119</x:v>
      </x:c>
      <x:c r="W259" s="26" t="n">
        <x:v>4.7189417</x:v>
      </x:c>
      <x:c r="X259" s="26" t="n">
        <x:v>-75.1007306</x:v>
      </x:c>
      <x:c r="AF259" t="s">
        <x:v>50</x:v>
      </x:c>
      <x:c r="AG259" t="s">
        <x:v>133</x:v>
      </x:c>
      <x:c r="AH259" t="s">
        <x:v>1741</x:v>
      </x:c>
      <x:c r="AI259" t="s">
        <x:v>2160</x:v>
      </x:c>
      <x:c r="AJ259">
        <x:v>276</x:v>
      </x:c>
    </x:row>
    <x:row r="260">
      <x:c r="A260" t="s">
        <x:v>1680</x:v>
      </x:c>
      <x:c r="B260" t="s">
        <x:v>1681</x:v>
      </x:c>
      <x:c r="C260" t="s">
        <x:v>2161</x:v>
      </x:c>
      <x:c r="D260" t="s">
        <x:v>2162</x:v>
      </x:c>
      <x:c r="E260" t="s">
        <x:v>2163</x:v>
      </x:c>
      <x:c r="F260">
        <x:v>3510</x:v>
      </x:c>
      <x:c r="G260">
        <x:v>3510</x:v>
      </x:c>
      <x:c r="H260">
        <x:v>3510</x:v>
      </x:c>
      <x:c r="I260" t="s">
        <x:v>2164</x:v>
      </x:c>
      <x:c r="J260" t="s">
        <x:v>2165</x:v>
      </x:c>
      <x:c r="K260" t="s">
        <x:v>2166</x:v>
      </x:c>
      <x:c r="L260" t="s">
        <x:v>952</x:v>
      </x:c>
      <x:c r="M260" t="s">
        <x:v>2167</x:v>
      </x:c>
      <x:c r="N260" t="s">
        <x:v>2168</x:v>
      </x:c>
      <x:c r="O260" t="s">
        <x:v>955</x:v>
      </x:c>
      <x:c r="P260" t="s">
        <x:v>2169</x:v>
      </x:c>
      <x:c r="R260" s="9">
        <x:v>37724</x:v>
      </x:c>
      <x:c r="W260" s="26" t="n">
        <x:v>4.8697778</x:v>
      </x:c>
      <x:c r="X260" s="26" t="n">
        <x:v>-75.1773528</x:v>
      </x:c>
      <x:c r="AF260" t="s">
        <x:v>50</x:v>
      </x:c>
      <x:c r="AG260" t="s">
        <x:v>133</x:v>
      </x:c>
      <x:c r="AH260" t="s">
        <x:v>957</x:v>
      </x:c>
      <x:c r="AI260" t="s">
        <x:v>2170</x:v>
      </x:c>
      <x:c r="AJ260">
        <x:v>277</x:v>
      </x:c>
    </x:row>
    <x:row r="261">
      <x:c r="A261" t="s">
        <x:v>1680</x:v>
      </x:c>
      <x:c r="B261" t="s">
        <x:v>1681</x:v>
      </x:c>
      <x:c r="C261" t="s">
        <x:v>2171</x:v>
      </x:c>
      <x:c r="D261" t="s">
        <x:v>2172</x:v>
      </x:c>
      <x:c r="E261" t="s">
        <x:v>2173</x:v>
      </x:c>
      <x:c r="F261">
        <x:v>3140</x:v>
      </x:c>
      <x:c r="G261">
        <x:v>3140</x:v>
      </x:c>
      <x:c r="H261">
        <x:v>3140</x:v>
      </x:c>
      <x:c r="I261" t="s">
        <x:v>2174</x:v>
      </x:c>
      <x:c r="J261" t="s">
        <x:v>2175</x:v>
      </x:c>
      <x:c r="K261" t="s">
        <x:v>2176</x:v>
      </x:c>
      <x:c r="L261" t="s">
        <x:v>2177</x:v>
      </x:c>
      <x:c r="M261" t="s">
        <x:v>2178</x:v>
      </x:c>
      <x:c r="P261" t="s">
        <x:v>80</x:v>
      </x:c>
      <x:c r="R261" s="9">
        <x:v>37798</x:v>
      </x:c>
      <x:c r="W261" s="26" t="n">
        <x:v>4.90585</x:v>
      </x:c>
      <x:c r="X261" s="26" t="n">
        <x:v>-75.19701</x:v>
      </x:c>
      <x:c r="Y261">
        <x:v>819.86199999999997</x:v>
      </x:c>
      <x:c r="Z261">
        <x:v>3154</x:v>
      </x:c>
      <x:c r="AB261" t="s">
        <x:v>2179</x:v>
      </x:c>
      <x:c r="AF261" t="s">
        <x:v>50</x:v>
      </x:c>
      <x:c r="AG261" t="s">
        <x:v>133</x:v>
      </x:c>
      <x:c r="AH261" t="s">
        <x:v>957</x:v>
      </x:c>
      <x:c r="AI261" t="s">
        <x:v>2180</x:v>
      </x:c>
      <x:c r="AJ261">
        <x:v>278</x:v>
      </x:c>
    </x:row>
    <x:row r="262">
      <x:c r="A262" t="s">
        <x:v>1680</x:v>
      </x:c>
      <x:c r="B262" t="s">
        <x:v>1681</x:v>
      </x:c>
      <x:c r="C262" t="s">
        <x:v>2181</x:v>
      </x:c>
      <x:c r="D262" t="s">
        <x:v>1060</x:v>
      </x:c>
      <x:c r="E262" t="s">
        <x:v>2182</x:v>
      </x:c>
      <x:c r="F262">
        <x:v>3500</x:v>
      </x:c>
      <x:c r="G262">
        <x:v>3500</x:v>
      </x:c>
      <x:c r="H262">
        <x:v>3500</x:v>
      </x:c>
      <x:c r="P262" t="s">
        <x:v>80</x:v>
      </x:c>
      <x:c r="R262" s="9">
        <x:v>40017</x:v>
      </x:c>
      <x:c r="T262" t="s">
        <x:v>119</x:v>
      </x:c>
      <x:c r="W262" s="26" t="n">
        <x:v>4.58039</x:v>
      </x:c>
      <x:c r="X262" s="26" t="n">
        <x:v>-75.3754</x:v>
      </x:c>
      <x:c r="Y262">
        <x:v>5787.4660000000003</x:v>
      </x:c>
      <x:c r="Z262">
        <x:v>3196</x:v>
      </x:c>
      <x:c r="AB262" t="s">
        <x:v>2183</x:v>
      </x:c>
      <x:c r="AF262" t="s">
        <x:v>50</x:v>
      </x:c>
      <x:c r="AG262" t="s">
        <x:v>133</x:v>
      </x:c>
      <x:c r="AH262" t="s">
        <x:v>351</x:v>
      </x:c>
      <x:c r="AI262" t="s">
        <x:v>2184</x:v>
      </x:c>
      <x:c r="AJ262">
        <x:v>279</x:v>
      </x:c>
    </x:row>
    <x:row r="263">
      <x:c r="A263" t="s">
        <x:v>1680</x:v>
      </x:c>
      <x:c r="B263" t="s">
        <x:v>1681</x:v>
      </x:c>
      <x:c r="C263" t="s">
        <x:v>2185</x:v>
      </x:c>
      <x:c r="D263" t="s">
        <x:v>2186</x:v>
      </x:c>
      <x:c r="E263" t="s">
        <x:v>2187</x:v>
      </x:c>
      <x:c r="F263">
        <x:v>3696</x:v>
      </x:c>
      <x:c r="G263">
        <x:v>3696</x:v>
      </x:c>
      <x:c r="H263">
        <x:v>3696</x:v>
      </x:c>
      <x:c r="I263" t="s">
        <x:v>2188</x:v>
      </x:c>
      <x:c r="J263" t="s">
        <x:v>2189</x:v>
      </x:c>
      <x:c r="K263" t="s">
        <x:v>2190</x:v>
      </x:c>
      <x:c r="L263" t="s">
        <x:v>2191</x:v>
      </x:c>
      <x:c r="M263" t="s">
        <x:v>2192</x:v>
      </x:c>
      <x:c r="N263" t="s">
        <x:v>347</x:v>
      </x:c>
      <x:c r="O263" t="s">
        <x:v>348</x:v>
      </x:c>
      <x:c r="P263" t="s">
        <x:v>349</x:v>
      </x:c>
      <x:c r="R263" s="9">
        <x:v>40022</x:v>
      </x:c>
      <x:c r="T263" t="s">
        <x:v>119</x:v>
      </x:c>
      <x:c r="W263" s="26" t="n">
        <x:v>4.55835</x:v>
      </x:c>
      <x:c r="X263" s="26" t="n">
        <x:v>-75.32021</x:v>
      </x:c>
      <x:c r="Y263">
        <x:v>714.47500000000002</x:v>
      </x:c>
      <x:c r="Z263">
        <x:v>2033</x:v>
      </x:c>
      <x:c r="AB263" t="s">
        <x:v>350</x:v>
      </x:c>
      <x:c r="AF263" t="s">
        <x:v>50</x:v>
      </x:c>
      <x:c r="AG263" t="s">
        <x:v>133</x:v>
      </x:c>
      <x:c r="AH263" t="s">
        <x:v>351</x:v>
      </x:c>
      <x:c r="AI263" t="s">
        <x:v>2193</x:v>
      </x:c>
      <x:c r="AJ263">
        <x:v>280</x:v>
      </x:c>
    </x:row>
    <x:row r="264">
      <x:c r="A264" t="s">
        <x:v>1680</x:v>
      </x:c>
      <x:c r="B264" t="s">
        <x:v>1681</x:v>
      </x:c>
      <x:c r="C264" t="s">
        <x:v>2194</x:v>
      </x:c>
      <x:c r="D264" t="s">
        <x:v>2195</x:v>
      </x:c>
      <x:c r="E264" t="s">
        <x:v>2196</x:v>
      </x:c>
      <x:c r="F264">
        <x:v>3300</x:v>
      </x:c>
      <x:c r="G264">
        <x:v>3300</x:v>
      </x:c>
      <x:c r="H264">
        <x:v>3300</x:v>
      </x:c>
      <x:c r="I264" t="s">
        <x:v>2197</x:v>
      </x:c>
      <x:c r="J264" t="s">
        <x:v>2198</x:v>
      </x:c>
      <x:c r="K264" t="s">
        <x:v>2199</x:v>
      </x:c>
      <x:c r="L264" t="s">
        <x:v>2200</x:v>
      </x:c>
      <x:c r="M264" t="s">
        <x:v>2201</x:v>
      </x:c>
      <x:c r="N264" t="s">
        <x:v>2202</x:v>
      </x:c>
      <x:c r="O264" t="s">
        <x:v>2203</x:v>
      </x:c>
      <x:c r="P264" t="s">
        <x:v>2204</x:v>
      </x:c>
      <x:c r="R264" s="9">
        <x:v>14331</x:v>
      </x:c>
      <x:c r="W264" s="26" t="n">
        <x:v>4.4400389</x:v>
      </x:c>
      <x:c r="X264" s="26" t="n">
        <x:v>-75.4301028</x:v>
      </x:c>
      <x:c r="AF264" t="s">
        <x:v>50</x:v>
      </x:c>
      <x:c r="AG264" t="s">
        <x:v>2205</x:v>
      </x:c>
      <x:c r="AH264" t="s">
        <x:v>2206</x:v>
      </x:c>
      <x:c r="AJ264">
        <x:v>281</x:v>
      </x:c>
    </x:row>
    <x:row r="265">
      <x:c r="A265" t="s">
        <x:v>2207</x:v>
      </x:c>
      <x:c r="B265" t="s">
        <x:v>2208</x:v>
      </x:c>
      <x:c r="C265" t="s">
        <x:v>2209</x:v>
      </x:c>
      <x:c r="D265" t="s">
        <x:v>2210</x:v>
      </x:c>
      <x:c r="E265" t="s">
        <x:v>2211</x:v>
      </x:c>
      <x:c r="F265">
        <x:v>2000</x:v>
      </x:c>
      <x:c r="G265">
        <x:v>2000</x:v>
      </x:c>
      <x:c r="H265">
        <x:v>2000</x:v>
      </x:c>
      <x:c r="P265" t="s">
        <x:v>80</x:v>
      </x:c>
      <x:c r="R265" s="9">
        <x:v>11318</x:v>
      </x:c>
      <x:c r="T265" t="s">
        <x:v>236</x:v>
      </x:c>
      <x:c r="W265" s="26" t="n">
        <x:v>6.2414</x:v>
      </x:c>
      <x:c r="X265" s="26" t="n">
        <x:v>-75.53411</x:v>
      </x:c>
      <x:c r="Y265" s="5" t="s">
        <x:v>2212</x:v>
      </x:c>
      <x:c r="Z265">
        <x:v>1713</x:v>
      </x:c>
      <x:c r="AB265" t="s">
        <x:v>2213</x:v>
      </x:c>
      <x:c r="AF265" t="s">
        <x:v>50</x:v>
      </x:c>
      <x:c r="AG265" t="s">
        <x:v>402</x:v>
      </x:c>
      <x:c r="AH265" t="s">
        <x:v>855</x:v>
      </x:c>
      <x:c r="AI265" t="s">
        <x:v>2214</x:v>
      </x:c>
      <x:c r="AJ265">
        <x:v>282</x:v>
      </x:c>
    </x:row>
    <x:row r="266">
      <x:c r="A266" t="s">
        <x:v>2207</x:v>
      </x:c>
      <x:c r="B266" t="s">
        <x:v>2208</x:v>
      </x:c>
      <x:c r="C266" t="s">
        <x:v>2215</x:v>
      </x:c>
      <x:c r="D266" t="s">
        <x:v>2216</x:v>
      </x:c>
      <x:c r="E266" t="s">
        <x:v>2217</x:v>
      </x:c>
      <x:c r="F266" t="s">
        <x:v>2218</x:v>
      </x:c>
      <x:c r="G266" t="s">
        <x:v>2218</x:v>
      </x:c>
      <x:c r="H266" t="s">
        <x:v>2218</x:v>
      </x:c>
      <x:c r="P266" t="s">
        <x:v>80</x:v>
      </x:c>
      <x:c r="R266" s="9">
        <x:v>17428</x:v>
      </x:c>
      <x:c r="T266" t="s">
        <x:v>399</x:v>
      </x:c>
      <x:c r="W266" s="26" t="n">
        <x:v>6.29824</x:v>
      </x:c>
      <x:c r="X266" s="26" t="n">
        <x:v>-75.49924</x:v>
      </x:c>
      <x:c r="Y266">
        <x:v>7851.9380000000001</x:v>
      </x:c>
      <x:c r="Z266">
        <x:v>2435</x:v>
      </x:c>
      <x:c r="AB266" t="s">
        <x:v>2219</x:v>
      </x:c>
      <x:c r="AE266">
        <x:v>4</x:v>
      </x:c>
      <x:c r="AF266" t="s">
        <x:v>50</x:v>
      </x:c>
      <x:c r="AG266" t="s">
        <x:v>402</x:v>
      </x:c>
      <x:c r="AH266" t="s">
        <x:v>2220</x:v>
      </x:c>
      <x:c r="AJ266">
        <x:v>283</x:v>
      </x:c>
    </x:row>
    <x:row r="267">
      <x:c r="A267" t="s">
        <x:v>2207</x:v>
      </x:c>
      <x:c r="B267" t="s">
        <x:v>2208</x:v>
      </x:c>
      <x:c r="C267" t="s">
        <x:v>2221</x:v>
      </x:c>
      <x:c r="D267" t="s">
        <x:v>2222</x:v>
      </x:c>
      <x:c r="E267" t="s">
        <x:v>2223</x:v>
      </x:c>
      <x:c r="F267" t="s">
        <x:v>2224</x:v>
      </x:c>
      <x:c r="G267">
        <x:v>2000</x:v>
      </x:c>
      <x:c r="H267">
        <x:v>2200</x:v>
      </x:c>
      <x:c r="P267" t="s">
        <x:v>80</x:v>
      </x:c>
      <x:c r="R267" s="9">
        <x:v>17958</x:v>
      </x:c>
      <x:c r="T267" t="s">
        <x:v>399</x:v>
      </x:c>
      <x:c r="W267" s="26" t="n">
        <x:v>5.62978</x:v>
      </x:c>
      <x:c r="X267" s="26" t="n">
        <x:v>-75.16745</x:v>
      </x:c>
      <x:c r="Y267">
        <x:v>1924.579</x:v>
      </x:c>
      <x:c r="Z267">
        <x:v>1811</x:v>
      </x:c>
      <x:c r="AB267" t="s">
        <x:v>2222</x:v>
      </x:c>
      <x:c r="AF267" t="s">
        <x:v>50</x:v>
      </x:c>
      <x:c r="AG267" t="s">
        <x:v>402</x:v>
      </x:c>
      <x:c r="AH267" t="s">
        <x:v>127</x:v>
      </x:c>
      <x:c r="AI267" t="s">
        <x:v>2225</x:v>
      </x:c>
      <x:c r="AJ267">
        <x:v>285</x:v>
      </x:c>
    </x:row>
    <x:row r="268">
      <x:c r="A268" t="s">
        <x:v>2207</x:v>
      </x:c>
      <x:c r="B268" t="s">
        <x:v>2208</x:v>
      </x:c>
      <x:c r="C268" t="s">
        <x:v>2226</x:v>
      </x:c>
      <x:c r="D268" t="s">
        <x:v>2227</x:v>
      </x:c>
      <x:c r="E268" t="s">
        <x:v>2228</x:v>
      </x:c>
      <x:c r="F268">
        <x:v>1850</x:v>
      </x:c>
      <x:c r="G268">
        <x:v>1850</x:v>
      </x:c>
      <x:c r="H268">
        <x:v>1850</x:v>
      </x:c>
      <x:c r="P268" t="s">
        <x:v>80</x:v>
      </x:c>
      <x:c r="R268" s="9">
        <x:v>30623</x:v>
      </x:c>
      <x:c r="T268" t="s">
        <x:v>119</x:v>
      </x:c>
      <x:c r="W268" s="26" t="n">
        <x:v>6.31122</x:v>
      </x:c>
      <x:c r="X268" s="26" t="n">
        <x:v>-75.14609</x:v>
      </x:c>
      <x:c r="Y268">
        <x:v>2681.63</x:v>
      </x:c>
      <x:c r="Z268">
        <x:v>1854</x:v>
      </x:c>
      <x:c r="AB268" t="s">
        <x:v>2229</x:v>
      </x:c>
      <x:c r="AF268" t="s">
        <x:v>50</x:v>
      </x:c>
      <x:c r="AG268" t="s">
        <x:v>402</x:v>
      </x:c>
      <x:c r="AH268" t="s">
        <x:v>2230</x:v>
      </x:c>
      <x:c r="AI268" t="s">
        <x:v>2231</x:v>
      </x:c>
      <x:c r="AJ268">
        <x:v>286</x:v>
      </x:c>
    </x:row>
    <x:row r="269" s="2" customFormat="1">
      <x:c r="A269" t="s">
        <x:v>2207</x:v>
      </x:c>
      <x:c r="B269" t="s">
        <x:v>2208</x:v>
      </x:c>
      <x:c r="C269" t="s">
        <x:v>2232</x:v>
      </x:c>
      <x:c r="D269" t="s">
        <x:v>2233</x:v>
      </x:c>
      <x:c r="E269" t="s">
        <x:v>2234</x:v>
      </x:c>
      <x:c r="F269">
        <x:v>2290</x:v>
      </x:c>
      <x:c r="G269">
        <x:v>2290</x:v>
      </x:c>
      <x:c r="H269">
        <x:v>2290</x:v>
      </x:c>
      <x:c r="I269"/>
      <x:c r="J269"/>
      <x:c r="K269"/>
      <x:c r="L269"/>
      <x:c r="M269"/>
      <x:c r="N269"/>
      <x:c r="O269"/>
      <x:c r="P269" t="s">
        <x:v>80</x:v>
      </x:c>
      <x:c r="Q269"/>
      <x:c r="R269" s="9">
        <x:v>30723</x:v>
      </x:c>
      <x:c r="S269"/>
      <x:c r="T269" t="s">
        <x:v>399</x:v>
      </x:c>
      <x:c r="U269"/>
      <x:c r="V269"/>
      <x:c r="W269" s="26" t="n">
        <x:v>6.29604</x:v>
      </x:c>
      <x:c r="X269" s="26" t="n">
        <x:v>-75.49909</x:v>
      </x:c>
      <x:c r="Y269">
        <x:v>178.69900000000001</x:v>
      </x:c>
      <x:c r="Z269">
        <x:v>2435</x:v>
      </x:c>
      <x:c r="AA269"/>
      <x:c r="AB269" t="s">
        <x:v>2235</x:v>
      </x:c>
      <x:c r="AC269"/>
      <x:c r="AD269"/>
      <x:c r="AE269"/>
      <x:c r="AF269" t="s">
        <x:v>50</x:v>
      </x:c>
      <x:c r="AG269" t="s">
        <x:v>402</x:v>
      </x:c>
      <x:c r="AH269" t="s">
        <x:v>550</x:v>
      </x:c>
      <x:c r="AI269" t="s">
        <x:v>2236</x:v>
      </x:c>
      <x:c r="AJ269">
        <x:v>287</x:v>
      </x:c>
      <x:c r="AK269" s="17"/>
    </x:row>
    <x:row r="270">
      <x:c r="A270" t="s">
        <x:v>2207</x:v>
      </x:c>
      <x:c r="B270" t="s">
        <x:v>2208</x:v>
      </x:c>
      <x:c r="C270" t="s">
        <x:v>2237</x:v>
      </x:c>
      <x:c r="D270" t="s">
        <x:v>2238</x:v>
      </x:c>
      <x:c r="E270" t="s">
        <x:v>2239</x:v>
      </x:c>
      <x:c r="F270">
        <x:v>1950</x:v>
      </x:c>
      <x:c r="G270">
        <x:v>1950</x:v>
      </x:c>
      <x:c r="H270">
        <x:v>1950</x:v>
      </x:c>
      <x:c r="P270" t="s">
        <x:v>80</x:v>
      </x:c>
      <x:c r="R270" s="9">
        <x:v>30728</x:v>
      </x:c>
      <x:c r="W270" s="26" t="n">
        <x:v>6.0461</x:v>
      </x:c>
      <x:c r="X270" s="26" t="n">
        <x:v>-75.60367</x:v>
      </x:c>
      <x:c r="Y270">
        <x:v>2986.3069999999998</x:v>
      </x:c>
      <x:c r="Z270">
        <x:v>2049</x:v>
      </x:c>
      <x:c r="AB270" t="s">
        <x:v>2240</x:v>
      </x:c>
      <x:c r="AF270" t="s">
        <x:v>50</x:v>
      </x:c>
      <x:c r="AG270" t="s">
        <x:v>402</x:v>
      </x:c>
      <x:c r="AH270" t="s">
        <x:v>167</x:v>
      </x:c>
      <x:c r="AI270" t="s">
        <x:v>2241</x:v>
      </x:c>
      <x:c r="AJ270">
        <x:v>288</x:v>
      </x:c>
    </x:row>
    <x:row r="271">
      <x:c r="A271" t="s">
        <x:v>2207</x:v>
      </x:c>
      <x:c r="B271" t="s">
        <x:v>2208</x:v>
      </x:c>
      <x:c r="C271" t="s">
        <x:v>2242</x:v>
      </x:c>
      <x:c r="D271" t="s">
        <x:v>2243</x:v>
      </x:c>
      <x:c r="E271" t="s">
        <x:v>2244</x:v>
      </x:c>
      <x:c r="F271">
        <x:v>1950</x:v>
      </x:c>
      <x:c r="G271">
        <x:v>1950</x:v>
      </x:c>
      <x:c r="H271">
        <x:v>1950</x:v>
      </x:c>
      <x:c r="P271" t="s">
        <x:v>80</x:v>
      </x:c>
      <x:c r="R271" s="9">
        <x:v>30728</x:v>
      </x:c>
      <x:c r="T271" t="s">
        <x:v>236</x:v>
      </x:c>
      <x:c r="W271" s="26" t="n">
        <x:v>6.0461</x:v>
      </x:c>
      <x:c r="X271" s="26" t="n">
        <x:v>-75.60367</x:v>
      </x:c>
      <x:c r="Y271">
        <x:v>2986.3069999999998</x:v>
      </x:c>
      <x:c r="Z271">
        <x:v>2049</x:v>
      </x:c>
      <x:c r="AB271" t="s">
        <x:v>2240</x:v>
      </x:c>
      <x:c r="AF271" t="s">
        <x:v>50</x:v>
      </x:c>
      <x:c r="AG271" t="s">
        <x:v>402</x:v>
      </x:c>
      <x:c r="AH271" t="s">
        <x:v>167</x:v>
      </x:c>
      <x:c r="AI271" t="s">
        <x:v>2245</x:v>
      </x:c>
      <x:c r="AJ271">
        <x:v>289</x:v>
      </x:c>
    </x:row>
    <x:row r="272">
      <x:c r="A272" t="s">
        <x:v>2207</x:v>
      </x:c>
      <x:c r="B272" t="s">
        <x:v>2208</x:v>
      </x:c>
      <x:c r="C272" t="s">
        <x:v>2246</x:v>
      </x:c>
      <x:c r="D272" t="s">
        <x:v>2247</x:v>
      </x:c>
      <x:c r="E272" t="s">
        <x:v>2248</x:v>
      </x:c>
      <x:c r="F272">
        <x:v>1950</x:v>
      </x:c>
      <x:c r="G272">
        <x:v>1950</x:v>
      </x:c>
      <x:c r="H272">
        <x:v>1950</x:v>
      </x:c>
      <x:c r="P272" t="s">
        <x:v>80</x:v>
      </x:c>
      <x:c r="R272" s="9">
        <x:v>30877</x:v>
      </x:c>
      <x:c r="T272" t="s">
        <x:v>236</x:v>
      </x:c>
      <x:c r="W272" s="26" t="n">
        <x:v>6.0461</x:v>
      </x:c>
      <x:c r="X272" s="26" t="n">
        <x:v>-75.60367</x:v>
      </x:c>
      <x:c r="Y272">
        <x:v>2986.3069999999998</x:v>
      </x:c>
      <x:c r="Z272">
        <x:v>2049</x:v>
      </x:c>
      <x:c r="AB272" t="s">
        <x:v>2240</x:v>
      </x:c>
      <x:c r="AF272" t="s">
        <x:v>50</x:v>
      </x:c>
      <x:c r="AG272" t="s">
        <x:v>402</x:v>
      </x:c>
      <x:c r="AH272" t="s">
        <x:v>167</x:v>
      </x:c>
      <x:c r="AI272" t="s">
        <x:v>2249</x:v>
      </x:c>
      <x:c r="AJ272">
        <x:v>290</x:v>
      </x:c>
    </x:row>
    <x:row r="273">
      <x:c r="A273" t="s">
        <x:v>2207</x:v>
      </x:c>
      <x:c r="B273" t="s">
        <x:v>2208</x:v>
      </x:c>
      <x:c r="C273" t="s">
        <x:v>2250</x:v>
      </x:c>
      <x:c r="D273" t="s">
        <x:v>2251</x:v>
      </x:c>
      <x:c r="E273" t="s">
        <x:v>2252</x:v>
      </x:c>
      <x:c r="F273">
        <x:v>2240</x:v>
      </x:c>
      <x:c r="G273">
        <x:v>2240</x:v>
      </x:c>
      <x:c r="H273">
        <x:v>2240</x:v>
      </x:c>
      <x:c r="P273" t="s">
        <x:v>80</x:v>
      </x:c>
      <x:c r="R273" s="9">
        <x:v>31136</x:v>
      </x:c>
      <x:c r="T273" t="s">
        <x:v>119</x:v>
      </x:c>
      <x:c r="W273" s="26" t="n">
        <x:v>6.08811</x:v>
      </x:c>
      <x:c r="X273" s="26" t="n">
        <x:v>-75.59638</x:v>
      </x:c>
      <x:c r="Y273">
        <x:v>2748.451</x:v>
      </x:c>
      <x:c r="Z273">
        <x:v>2290</x:v>
      </x:c>
      <x:c r="AB273" t="s">
        <x:v>2253</x:v>
      </x:c>
      <x:c r="AF273" t="s">
        <x:v>50</x:v>
      </x:c>
      <x:c r="AG273" t="s">
        <x:v>402</x:v>
      </x:c>
      <x:c r="AH273" t="s">
        <x:v>167</x:v>
      </x:c>
      <x:c r="AI273" t="s">
        <x:v>2254</x:v>
      </x:c>
      <x:c r="AJ273">
        <x:v>291</x:v>
      </x:c>
    </x:row>
    <x:row r="274">
      <x:c r="A274" t="s">
        <x:v>2207</x:v>
      </x:c>
      <x:c r="B274" t="s">
        <x:v>2208</x:v>
      </x:c>
      <x:c r="C274" t="s">
        <x:v>2255</x:v>
      </x:c>
      <x:c r="D274" t="s">
        <x:v>2256</x:v>
      </x:c>
      <x:c r="E274" t="s">
        <x:v>2257</x:v>
      </x:c>
      <x:c r="F274">
        <x:v>2240</x:v>
      </x:c>
      <x:c r="G274">
        <x:v>2240</x:v>
      </x:c>
      <x:c r="H274">
        <x:v>2240</x:v>
      </x:c>
      <x:c r="P274" t="s">
        <x:v>80</x:v>
      </x:c>
      <x:c r="R274" s="9">
        <x:v>31136</x:v>
      </x:c>
      <x:c r="T274" t="s">
        <x:v>119</x:v>
      </x:c>
      <x:c r="W274" s="26" t="n">
        <x:v>6.08912</x:v>
      </x:c>
      <x:c r="X274" s="26" t="n">
        <x:v>-75.5913</x:v>
      </x:c>
      <x:c r="Y274">
        <x:v>1290.106</x:v>
      </x:c>
      <x:c r="Z274">
        <x:v>2654</x:v>
      </x:c>
      <x:c r="AB274" t="s">
        <x:v>2256</x:v>
      </x:c>
      <x:c r="AF274" t="s">
        <x:v>50</x:v>
      </x:c>
      <x:c r="AG274" t="s">
        <x:v>402</x:v>
      </x:c>
      <x:c r="AH274" t="s">
        <x:v>167</x:v>
      </x:c>
      <x:c r="AI274" t="s">
        <x:v>2258</x:v>
      </x:c>
      <x:c r="AJ274">
        <x:v>292</x:v>
      </x:c>
    </x:row>
    <x:row r="275">
      <x:c r="A275" t="s">
        <x:v>2207</x:v>
      </x:c>
      <x:c r="B275" t="s">
        <x:v>2208</x:v>
      </x:c>
      <x:c r="C275" t="s">
        <x:v>2259</x:v>
      </x:c>
      <x:c r="D275" t="s">
        <x:v>2260</x:v>
      </x:c>
      <x:c r="E275" t="s">
        <x:v>2261</x:v>
      </x:c>
      <x:c r="F275" t="s">
        <x:v>399</x:v>
      </x:c>
      <x:c r="G275" t="s">
        <x:v>399</x:v>
      </x:c>
      <x:c r="H275" t="s">
        <x:v>399</x:v>
      </x:c>
      <x:c r="I275" t="s">
        <x:v>399</x:v>
      </x:c>
      <x:c r="P275" t="s">
        <x:v>80</x:v>
      </x:c>
      <x:c r="R275" s="9">
        <x:v>31352</x:v>
      </x:c>
      <x:c r="T275" t="s">
        <x:v>236</x:v>
      </x:c>
      <x:c r="W275" s="26" t="n">
        <x:v>6.33376</x:v>
      </x:c>
      <x:c r="X275" s="26" t="n">
        <x:v>-75.64393</x:v>
      </x:c>
      <x:c r="Y275">
        <x:v>1957.38</x:v>
      </x:c>
      <x:c r="Z275">
        <x:v>3060</x:v>
      </x:c>
      <x:c r="AB275" t="s">
        <x:v>2262</x:v>
      </x:c>
      <x:c r="AF275" t="s">
        <x:v>50</x:v>
      </x:c>
      <x:c r="AG275" t="s">
        <x:v>402</x:v>
      </x:c>
      <x:c r="AH275" t="s">
        <x:v>2263</x:v>
      </x:c>
      <x:c r="AI275" t="s">
        <x:v>2264</x:v>
      </x:c>
      <x:c r="AJ275">
        <x:v>294</x:v>
      </x:c>
    </x:row>
    <x:row r="276">
      <x:c r="A276" t="s">
        <x:v>2207</x:v>
      </x:c>
      <x:c r="B276" t="s">
        <x:v>2208</x:v>
      </x:c>
      <x:c r="C276" t="s">
        <x:v>2265</x:v>
      </x:c>
      <x:c r="D276" t="s">
        <x:v>2266</x:v>
      </x:c>
      <x:c r="E276" t="s">
        <x:v>2267</x:v>
      </x:c>
      <x:c r="F276">
        <x:v>1986</x:v>
      </x:c>
      <x:c r="G276">
        <x:v>1986</x:v>
      </x:c>
      <x:c r="H276">
        <x:v>1986</x:v>
      </x:c>
      <x:c r="P276" t="s">
        <x:v>80</x:v>
      </x:c>
      <x:c r="R276" s="9">
        <x:v>31456</x:v>
      </x:c>
      <x:c r="T276" t="s">
        <x:v>119</x:v>
      </x:c>
      <x:c r="W276" s="26" t="n">
        <x:v>6.3119</x:v>
      </x:c>
      <x:c r="X276" s="26" t="n">
        <x:v>-75.14621</x:v>
      </x:c>
      <x:c r="Y276">
        <x:v>2603.7620000000002</x:v>
      </x:c>
      <x:c r="Z276">
        <x:v>1854</x:v>
      </x:c>
      <x:c r="AB276" t="s">
        <x:v>2268</x:v>
      </x:c>
      <x:c r="AF276" t="s">
        <x:v>50</x:v>
      </x:c>
      <x:c r="AG276" t="s">
        <x:v>402</x:v>
      </x:c>
      <x:c r="AH276" t="s">
        <x:v>2230</x:v>
      </x:c>
      <x:c r="AI276" t="s">
        <x:v>2269</x:v>
      </x:c>
      <x:c r="AJ276">
        <x:v>295</x:v>
      </x:c>
    </x:row>
    <x:row r="277">
      <x:c r="A277" t="s">
        <x:v>2207</x:v>
      </x:c>
      <x:c r="B277" t="s">
        <x:v>2208</x:v>
      </x:c>
      <x:c r="C277" t="s">
        <x:v>2270</x:v>
      </x:c>
      <x:c r="D277" t="s">
        <x:v>2271</x:v>
      </x:c>
      <x:c r="E277" t="s">
        <x:v>2272</x:v>
      </x:c>
      <x:c r="F277">
        <x:v>1850</x:v>
      </x:c>
      <x:c r="G277">
        <x:v>1850</x:v>
      </x:c>
      <x:c r="H277">
        <x:v>1850</x:v>
      </x:c>
      <x:c r="P277" t="s">
        <x:v>80</x:v>
      </x:c>
      <x:c r="R277" s="9">
        <x:v>31477</x:v>
      </x:c>
      <x:c r="T277" t="s">
        <x:v>236</x:v>
      </x:c>
      <x:c r="W277" s="26" t="n">
        <x:v>6.3119</x:v>
      </x:c>
      <x:c r="X277" s="26" t="n">
        <x:v>-75.14621</x:v>
      </x:c>
      <x:c r="Y277">
        <x:v>2603.7620000000002</x:v>
      </x:c>
      <x:c r="Z277">
        <x:v>1854</x:v>
      </x:c>
      <x:c r="AB277" t="s">
        <x:v>2268</x:v>
      </x:c>
      <x:c r="AF277" t="s">
        <x:v>50</x:v>
      </x:c>
      <x:c r="AG277" t="s">
        <x:v>402</x:v>
      </x:c>
      <x:c r="AH277" t="s">
        <x:v>2230</x:v>
      </x:c>
      <x:c r="AI277" t="s">
        <x:v>2269</x:v>
      </x:c>
      <x:c r="AJ277">
        <x:v>296</x:v>
      </x:c>
    </x:row>
    <x:row r="278">
      <x:c r="A278" t="s">
        <x:v>2207</x:v>
      </x:c>
      <x:c r="B278" t="s">
        <x:v>2208</x:v>
      </x:c>
      <x:c r="C278" t="s">
        <x:v>2273</x:v>
      </x:c>
      <x:c r="D278" t="s">
        <x:v>2274</x:v>
      </x:c>
      <x:c r="E278" t="s">
        <x:v>2275</x:v>
      </x:c>
      <x:c r="F278">
        <x:v>1850</x:v>
      </x:c>
      <x:c r="G278">
        <x:v>1850</x:v>
      </x:c>
      <x:c r="H278">
        <x:v>1850</x:v>
      </x:c>
      <x:c r="P278" t="s">
        <x:v>80</x:v>
      </x:c>
      <x:c r="R278" s="9">
        <x:v>31498</x:v>
      </x:c>
      <x:c r="T278" t="s">
        <x:v>236</x:v>
      </x:c>
      <x:c r="W278" s="26" t="n">
        <x:v>6.3119</x:v>
      </x:c>
      <x:c r="X278" s="26" t="n">
        <x:v>-75.14621</x:v>
      </x:c>
      <x:c r="Y278">
        <x:v>2603.7620000000002</x:v>
      </x:c>
      <x:c r="Z278">
        <x:v>1854</x:v>
      </x:c>
      <x:c r="AB278" t="s">
        <x:v>2268</x:v>
      </x:c>
      <x:c r="AF278" t="s">
        <x:v>50</x:v>
      </x:c>
      <x:c r="AG278" t="s">
        <x:v>402</x:v>
      </x:c>
      <x:c r="AH278" t="s">
        <x:v>2276</x:v>
      </x:c>
      <x:c r="AI278" t="s">
        <x:v>2277</x:v>
      </x:c>
      <x:c r="AJ278">
        <x:v>297</x:v>
      </x:c>
    </x:row>
    <x:row r="279">
      <x:c r="A279" t="s">
        <x:v>2207</x:v>
      </x:c>
      <x:c r="B279" t="s">
        <x:v>2208</x:v>
      </x:c>
      <x:c r="C279" t="s">
        <x:v>2278</x:v>
      </x:c>
      <x:c r="D279" t="s">
        <x:v>2279</x:v>
      </x:c>
      <x:c r="E279" t="s">
        <x:v>2280</x:v>
      </x:c>
      <x:c r="F279">
        <x:v>1880</x:v>
      </x:c>
      <x:c r="G279">
        <x:v>1880</x:v>
      </x:c>
      <x:c r="H279">
        <x:v>1880</x:v>
      </x:c>
      <x:c r="P279" t="s">
        <x:v>80</x:v>
      </x:c>
      <x:c r="R279" s="9">
        <x:v>31734</x:v>
      </x:c>
      <x:c r="T279" t="s">
        <x:v>119</x:v>
      </x:c>
      <x:c r="W279" s="26" t="n">
        <x:v>6.72857</x:v>
      </x:c>
      <x:c r="X279" s="26" t="n">
        <x:v>-76.38452</x:v>
      </x:c>
      <x:c r="Y279">
        <x:v>825.02499999999998</x:v>
      </x:c>
      <x:c r="Z279">
        <x:v>684</x:v>
      </x:c>
      <x:c r="AB279" t="s">
        <x:v>2281</x:v>
      </x:c>
      <x:c r="AF279" t="s">
        <x:v>50</x:v>
      </x:c>
      <x:c r="AG279" t="s">
        <x:v>402</x:v>
      </x:c>
      <x:c r="AH279" t="s">
        <x:v>1356</x:v>
      </x:c>
      <x:c r="AI279" t="s">
        <x:v>2282</x:v>
      </x:c>
      <x:c r="AJ279">
        <x:v>298</x:v>
      </x:c>
    </x:row>
    <x:row r="280">
      <x:c r="A280" t="s">
        <x:v>2207</x:v>
      </x:c>
      <x:c r="B280" t="s">
        <x:v>2208</x:v>
      </x:c>
      <x:c r="C280" t="s">
        <x:v>2283</x:v>
      </x:c>
      <x:c r="D280" t="s">
        <x:v>2284</x:v>
      </x:c>
      <x:c r="E280" t="s">
        <x:v>2285</x:v>
      </x:c>
      <x:c r="F280" t="s">
        <x:v>2286</x:v>
      </x:c>
      <x:c r="G280">
        <x:v>1600</x:v>
      </x:c>
      <x:c r="H280">
        <x:v>1700</x:v>
      </x:c>
      <x:c r="P280" t="s">
        <x:v>80</x:v>
      </x:c>
      <x:c r="R280" s="9">
        <x:v>31859</x:v>
      </x:c>
      <x:c r="T280" t="s">
        <x:v>119</x:v>
      </x:c>
      <x:c r="W280" s="26" t="n">
        <x:v>6.26153</x:v>
      </x:c>
      <x:c r="X280" s="26" t="n">
        <x:v>-75.52237</x:v>
      </x:c>
      <x:c r="Y280">
        <x:v>9894.6119999999992</x:v>
      </x:c>
      <x:c r="Z280">
        <x:v>2487</x:v>
      </x:c>
      <x:c r="AB280" t="s">
        <x:v>2287</x:v>
      </x:c>
      <x:c r="AF280" t="s">
        <x:v>50</x:v>
      </x:c>
      <x:c r="AG280" t="s">
        <x:v>402</x:v>
      </x:c>
      <x:c r="AH280" t="s">
        <x:v>2288</x:v>
      </x:c>
      <x:c r="AI280" t="s">
        <x:v>2289</x:v>
      </x:c>
      <x:c r="AJ280">
        <x:v>299</x:v>
      </x:c>
    </x:row>
    <x:row r="281">
      <x:c r="A281" t="s">
        <x:v>2207</x:v>
      </x:c>
      <x:c r="B281" t="s">
        <x:v>2208</x:v>
      </x:c>
      <x:c r="C281" t="s">
        <x:v>2290</x:v>
      </x:c>
      <x:c r="D281" t="s">
        <x:v>2291</x:v>
      </x:c>
      <x:c r="E281" t="s">
        <x:v>2292</x:v>
      </x:c>
      <x:c r="F281">
        <x:v>2569</x:v>
      </x:c>
      <x:c r="G281">
        <x:v>2569</x:v>
      </x:c>
      <x:c r="H281">
        <x:v>2569</x:v>
      </x:c>
      <x:c r="P281" t="s">
        <x:v>80</x:v>
      </x:c>
      <x:c r="R281" s="9">
        <x:v>31889</x:v>
      </x:c>
      <x:c r="T281" t="s">
        <x:v>236</x:v>
      </x:c>
      <x:c r="W281" s="26" t="n">
        <x:v>5.97599</x:v>
      </x:c>
      <x:c r="X281" s="26" t="n">
        <x:v>-75.32827</x:v>
      </x:c>
      <x:c r="Y281">
        <x:v>4042.4189999999999</x:v>
      </x:c>
      <x:c r="Z281">
        <x:v>2456</x:v>
      </x:c>
      <x:c r="AA281" t="s">
        <x:v>2293</x:v>
      </x:c>
      <x:c r="AB281" t="s">
        <x:v>2294</x:v>
      </x:c>
      <x:c r="AF281" t="s">
        <x:v>50</x:v>
      </x:c>
      <x:c r="AG281" t="s">
        <x:v>402</x:v>
      </x:c>
      <x:c r="AH281" t="s">
        <x:v>614</x:v>
      </x:c>
      <x:c r="AI281" t="s">
        <x:v>2295</x:v>
      </x:c>
      <x:c r="AJ281">
        <x:v>300</x:v>
      </x:c>
    </x:row>
    <x:row r="282">
      <x:c r="A282" t="s">
        <x:v>2207</x:v>
      </x:c>
      <x:c r="B282" t="s">
        <x:v>2208</x:v>
      </x:c>
      <x:c r="C282" t="s">
        <x:v>2296</x:v>
      </x:c>
      <x:c r="D282" t="s">
        <x:v>2297</x:v>
      </x:c>
      <x:c r="E282" t="s">
        <x:v>2298</x:v>
      </x:c>
      <x:c r="F282">
        <x:v>1850</x:v>
      </x:c>
      <x:c r="G282">
        <x:v>1850</x:v>
      </x:c>
      <x:c r="H282">
        <x:v>1850</x:v>
      </x:c>
      <x:c r="P282" t="s">
        <x:v>80</x:v>
      </x:c>
      <x:c r="R282" s="9">
        <x:v>31896</x:v>
      </x:c>
      <x:c r="T282" t="s">
        <x:v>111</x:v>
      </x:c>
      <x:c r="W282" s="26" t="n">
        <x:v>6.3119</x:v>
      </x:c>
      <x:c r="X282" s="26" t="n">
        <x:v>-75.14621</x:v>
      </x:c>
      <x:c r="Y282">
        <x:v>2603.7620000000002</x:v>
      </x:c>
      <x:c r="Z282">
        <x:v>1854</x:v>
      </x:c>
      <x:c r="AB282" t="s">
        <x:v>2268</x:v>
      </x:c>
      <x:c r="AF282" t="s">
        <x:v>50</x:v>
      </x:c>
      <x:c r="AG282" t="s">
        <x:v>402</x:v>
      </x:c>
      <x:c r="AH282" t="s">
        <x:v>2230</x:v>
      </x:c>
      <x:c r="AI282" t="s">
        <x:v>2299</x:v>
      </x:c>
      <x:c r="AJ282">
        <x:v>302</x:v>
      </x:c>
    </x:row>
    <x:row r="283">
      <x:c r="A283" t="s">
        <x:v>2207</x:v>
      </x:c>
      <x:c r="B283" t="s">
        <x:v>2208</x:v>
      </x:c>
      <x:c r="C283" t="s">
        <x:v>2296</x:v>
      </x:c>
      <x:c r="D283" t="s">
        <x:v>2300</x:v>
      </x:c>
      <x:c r="E283" t="s">
        <x:v>2301</x:v>
      </x:c>
      <x:c r="F283">
        <x:v>1850</x:v>
      </x:c>
      <x:c r="G283">
        <x:v>1850</x:v>
      </x:c>
      <x:c r="H283">
        <x:v>1850</x:v>
      </x:c>
      <x:c r="P283" t="s">
        <x:v>80</x:v>
      </x:c>
      <x:c r="R283" s="9">
        <x:v>31896</x:v>
      </x:c>
      <x:c r="T283" t="s">
        <x:v>111</x:v>
      </x:c>
      <x:c r="W283" s="26" t="n">
        <x:v>6.3119</x:v>
      </x:c>
      <x:c r="X283" s="26" t="n">
        <x:v>-75.14621</x:v>
      </x:c>
      <x:c r="Y283">
        <x:v>2603.7620000000002</x:v>
      </x:c>
      <x:c r="Z283">
        <x:v>1854</x:v>
      </x:c>
      <x:c r="AB283" t="s">
        <x:v>2268</x:v>
      </x:c>
      <x:c r="AF283" t="s">
        <x:v>50</x:v>
      </x:c>
      <x:c r="AG283" t="s">
        <x:v>402</x:v>
      </x:c>
      <x:c r="AH283" t="s">
        <x:v>2230</x:v>
      </x:c>
      <x:c r="AI283" t="s">
        <x:v>2302</x:v>
      </x:c>
      <x:c r="AJ283">
        <x:v>303</x:v>
      </x:c>
    </x:row>
    <x:row r="284">
      <x:c r="A284" t="s">
        <x:v>2207</x:v>
      </x:c>
      <x:c r="B284" t="s">
        <x:v>2208</x:v>
      </x:c>
      <x:c r="C284" t="s">
        <x:v>2303</x:v>
      </x:c>
      <x:c r="D284" t="s">
        <x:v>2304</x:v>
      </x:c>
      <x:c r="E284" t="s">
        <x:v>2305</x:v>
      </x:c>
      <x:c r="F284">
        <x:v>2680</x:v>
      </x:c>
      <x:c r="G284">
        <x:v>2680</x:v>
      </x:c>
      <x:c r="H284">
        <x:v>2680</x:v>
      </x:c>
      <x:c r="I284" t="s">
        <x:v>2306</x:v>
      </x:c>
      <x:c r="J284" t="s">
        <x:v>2306</x:v>
      </x:c>
      <x:c r="K284" t="s">
        <x:v>2307</x:v>
      </x:c>
      <x:c r="L284" t="s">
        <x:v>2307</x:v>
      </x:c>
      <x:c r="M284" t="s">
        <x:v>2308</x:v>
      </x:c>
      <x:c r="N284" t="s">
        <x:v>2309</x:v>
      </x:c>
      <x:c r="O284" t="s">
        <x:v>2310</x:v>
      </x:c>
      <x:c r="P284" t="s">
        <x:v>2311</x:v>
      </x:c>
      <x:c r="R284" s="9">
        <x:v>31965</x:v>
      </x:c>
      <x:c r="T284" t="s">
        <x:v>111</x:v>
      </x:c>
      <x:c r="W284" s="26" t="n">
        <x:v>5.6833333</x:v>
      </x:c>
      <x:c r="X284" s="26" t="n">
        <x:v>-75.2333333</x:v>
      </x:c>
      <x:c r="AF284" t="s">
        <x:v>50</x:v>
      </x:c>
      <x:c r="AG284" t="s">
        <x:v>402</x:v>
      </x:c>
      <x:c r="AH284" t="s">
        <x:v>2312</x:v>
      </x:c>
      <x:c r="AI284" t="s">
        <x:v>2313</x:v>
      </x:c>
      <x:c r="AJ284">
        <x:v>305</x:v>
      </x:c>
    </x:row>
    <x:row r="285">
      <x:c r="A285" t="s">
        <x:v>2207</x:v>
      </x:c>
      <x:c r="B285" t="s">
        <x:v>2208</x:v>
      </x:c>
      <x:c r="C285" t="s">
        <x:v>2314</x:v>
      </x:c>
      <x:c r="D285" t="s">
        <x:v>2315</x:v>
      </x:c>
      <x:c r="E285" t="s">
        <x:v>2316</x:v>
      </x:c>
      <x:c r="F285" t="s">
        <x:v>2317</x:v>
      </x:c>
      <x:c r="G285">
        <x:v>2700</x:v>
      </x:c>
      <x:c r="H285">
        <x:v>2790</x:v>
      </x:c>
      <x:c r="I285" t="s">
        <x:v>2318</x:v>
      </x:c>
      <x:c r="J285" t="s">
        <x:v>2319</x:v>
      </x:c>
      <x:c r="K285" t="s">
        <x:v>2320</x:v>
      </x:c>
      <x:c r="L285" t="s">
        <x:v>2321</x:v>
      </x:c>
      <x:c r="M285" t="s">
        <x:v>2322</x:v>
      </x:c>
      <x:c r="N285" t="s">
        <x:v>2323</x:v>
      </x:c>
      <x:c r="O285" t="s">
        <x:v>2324</x:v>
      </x:c>
      <x:c r="P285" t="s">
        <x:v>2325</x:v>
      </x:c>
      <x:c r="R285" s="9">
        <x:v>32445</x:v>
      </x:c>
      <x:c r="T285" t="s">
        <x:v>119</x:v>
      </x:c>
      <x:c r="W285" s="26" t="n">
        <x:v>5.5166667</x:v>
      </x:c>
      <x:c r="X285" s="26" t="n">
        <x:v>-75.8</x:v>
      </x:c>
      <x:c r="AF285" t="s">
        <x:v>50</x:v>
      </x:c>
      <x:c r="AG285" t="s">
        <x:v>402</x:v>
      </x:c>
      <x:c r="AH285" t="s">
        <x:v>627</x:v>
      </x:c>
      <x:c r="AI285" t="s">
        <x:v>2326</x:v>
      </x:c>
      <x:c r="AJ285">
        <x:v>309</x:v>
      </x:c>
    </x:row>
    <x:row r="286">
      <x:c r="A286" t="s">
        <x:v>2207</x:v>
      </x:c>
      <x:c r="B286" t="s">
        <x:v>2208</x:v>
      </x:c>
      <x:c r="C286" t="s">
        <x:v>2327</x:v>
      </x:c>
      <x:c r="D286" t="s">
        <x:v>2328</x:v>
      </x:c>
      <x:c r="E286" t="s">
        <x:v>2329</x:v>
      </x:c>
      <x:c r="F286">
        <x:v>2025</x:v>
      </x:c>
      <x:c r="G286">
        <x:v>2025</x:v>
      </x:c>
      <x:c r="H286">
        <x:v>2025</x:v>
      </x:c>
      <x:c r="I286" t="s">
        <x:v>2330</x:v>
      </x:c>
      <x:c r="J286" t="s">
        <x:v>2330</x:v>
      </x:c>
      <x:c r="K286" t="s">
        <x:v>2331</x:v>
      </x:c>
      <x:c r="L286" t="s">
        <x:v>2331</x:v>
      </x:c>
      <x:c r="M286" t="s">
        <x:v>2332</x:v>
      </x:c>
      <x:c r="N286" t="s">
        <x:v>2333</x:v>
      </x:c>
      <x:c r="O286" t="s">
        <x:v>625</x:v>
      </x:c>
      <x:c r="P286" t="s">
        <x:v>2334</x:v>
      </x:c>
      <x:c r="R286" s="9">
        <x:v>32538</x:v>
      </x:c>
      <x:c r="T286" t="s">
        <x:v>119</x:v>
      </x:c>
      <x:c r="W286" s="26" t="n">
        <x:v>5.6166667</x:v>
      </x:c>
      <x:c r="X286" s="26" t="n">
        <x:v>-75.8333333</x:v>
      </x:c>
      <x:c r="AF286" t="s">
        <x:v>50</x:v>
      </x:c>
      <x:c r="AG286" t="s">
        <x:v>402</x:v>
      </x:c>
      <x:c r="AH286" t="s">
        <x:v>627</x:v>
      </x:c>
      <x:c r="AI286" t="s">
        <x:v>2335</x:v>
      </x:c>
      <x:c r="AJ286">
        <x:v>311</x:v>
      </x:c>
    </x:row>
    <x:row r="287">
      <x:c r="A287" t="s">
        <x:v>2207</x:v>
      </x:c>
      <x:c r="B287" t="s">
        <x:v>2208</x:v>
      </x:c>
      <x:c r="C287" t="s">
        <x:v>2336</x:v>
      </x:c>
      <x:c r="D287" t="s">
        <x:v>2337</x:v>
      </x:c>
      <x:c r="E287" t="s">
        <x:v>2338</x:v>
      </x:c>
      <x:c r="F287" t="s">
        <x:v>2339</x:v>
      </x:c>
      <x:c r="G287">
        <x:v>2205</x:v>
      </x:c>
      <x:c r="H287">
        <x:v>2240</x:v>
      </x:c>
      <x:c r="I287" t="s">
        <x:v>2340</x:v>
      </x:c>
      <x:c r="J287" t="s">
        <x:v>2340</x:v>
      </x:c>
      <x:c r="K287" t="s">
        <x:v>2341</x:v>
      </x:c>
      <x:c r="L287" t="s">
        <x:v>2341</x:v>
      </x:c>
      <x:c r="M287" t="s">
        <x:v>2342</x:v>
      </x:c>
      <x:c r="N287" t="s">
        <x:v>2343</x:v>
      </x:c>
      <x:c r="O287" t="s">
        <x:v>422</x:v>
      </x:c>
      <x:c r="P287" t="s">
        <x:v>2344</x:v>
      </x:c>
      <x:c r="R287" s="9">
        <x:v>32543</x:v>
      </x:c>
      <x:c r="T287" t="s">
        <x:v>236</x:v>
      </x:c>
      <x:c r="W287" s="26" t="n">
        <x:v>6.5333333</x:v>
      </x:c>
      <x:c r="X287" s="26" t="n">
        <x:v>-75.5</x:v>
      </x:c>
      <x:c r="AF287" t="s">
        <x:v>50</x:v>
      </x:c>
      <x:c r="AG287" t="s">
        <x:v>402</x:v>
      </x:c>
      <x:c r="AH287" t="s">
        <x:v>2345</x:v>
      </x:c>
      <x:c r="AI287" t="s">
        <x:v>2346</x:v>
      </x:c>
      <x:c r="AJ287">
        <x:v>312</x:v>
      </x:c>
    </x:row>
    <x:row r="288">
      <x:c r="A288" t="s">
        <x:v>2207</x:v>
      </x:c>
      <x:c r="B288" t="s">
        <x:v>2208</x:v>
      </x:c>
      <x:c r="C288" t="s">
        <x:v>2347</x:v>
      </x:c>
      <x:c r="D288" t="s">
        <x:v>2348</x:v>
      </x:c>
      <x:c r="E288" t="s">
        <x:v>2349</x:v>
      </x:c>
      <x:c r="F288">
        <x:v>1680</x:v>
      </x:c>
      <x:c r="G288">
        <x:v>1680</x:v>
      </x:c>
      <x:c r="H288">
        <x:v>1680</x:v>
      </x:c>
      <x:c r="I288" t="s">
        <x:v>2350</x:v>
      </x:c>
      <x:c r="J288" t="s">
        <x:v>2350</x:v>
      </x:c>
      <x:c r="K288" t="s">
        <x:v>2351</x:v>
      </x:c>
      <x:c r="L288" t="s">
        <x:v>2351</x:v>
      </x:c>
      <x:c r="M288" t="s">
        <x:v>2352</x:v>
      </x:c>
      <x:c r="N288" t="s">
        <x:v>2353</x:v>
      </x:c>
      <x:c r="O288" t="s">
        <x:v>2354</x:v>
      </x:c>
      <x:c r="P288" t="s">
        <x:v>2355</x:v>
      </x:c>
      <x:c r="R288" s="9">
        <x:v>32757</x:v>
      </x:c>
      <x:c r="T288" t="s">
        <x:v>119</x:v>
      </x:c>
      <x:c r="W288" s="26" t="n">
        <x:v>7.02106</x:v>
      </x:c>
      <x:c r="X288" s="26" t="n">
        <x:v>-75.30811</x:v>
      </x:c>
      <x:c r="Y288">
        <x:v>3977.8</x:v>
      </x:c>
      <x:c r="Z288">
        <x:v>1681</x:v>
      </x:c>
      <x:c r="AB288" t="s">
        <x:v>2356</x:v>
      </x:c>
      <x:c r="AF288" t="s">
        <x:v>50</x:v>
      </x:c>
      <x:c r="AG288" t="s">
        <x:v>402</x:v>
      </x:c>
      <x:c r="AH288" t="s">
        <x:v>2357</x:v>
      </x:c>
      <x:c r="AI288" t="s">
        <x:v>2358</x:v>
      </x:c>
      <x:c r="AJ288">
        <x:v>314</x:v>
      </x:c>
    </x:row>
    <x:row r="289">
      <x:c r="A289" t="s">
        <x:v>2207</x:v>
      </x:c>
      <x:c r="B289" t="s">
        <x:v>2208</x:v>
      </x:c>
      <x:c r="C289" t="s">
        <x:v>2359</x:v>
      </x:c>
      <x:c r="D289" t="s">
        <x:v>2360</x:v>
      </x:c>
      <x:c r="E289" t="s">
        <x:v>2361</x:v>
      </x:c>
      <x:c r="F289">
        <x:v>1850</x:v>
      </x:c>
      <x:c r="G289">
        <x:v>1850</x:v>
      </x:c>
      <x:c r="H289">
        <x:v>1850</x:v>
      </x:c>
      <x:c r="I289" t="s">
        <x:v>2362</x:v>
      </x:c>
      <x:c r="J289" t="s">
        <x:v>2362</x:v>
      </x:c>
      <x:c r="K289" t="s">
        <x:v>2363</x:v>
      </x:c>
      <x:c r="L289" t="s">
        <x:v>2363</x:v>
      </x:c>
      <x:c r="M289" t="s">
        <x:v>2364</x:v>
      </x:c>
      <x:c r="N289" t="s">
        <x:v>532</x:v>
      </x:c>
      <x:c r="O289" t="s">
        <x:v>2365</x:v>
      </x:c>
      <x:c r="P289" t="s">
        <x:v>2366</x:v>
      </x:c>
      <x:c r="R289" s="9">
        <x:v>32819</x:v>
      </x:c>
      <x:c r="T289" t="s">
        <x:v>111</x:v>
      </x:c>
      <x:c r="W289" s="26" t="n">
        <x:v>6.31122</x:v>
      </x:c>
      <x:c r="X289" s="26" t="n">
        <x:v>-75.14609</x:v>
      </x:c>
      <x:c r="Y289">
        <x:v>2681.63</x:v>
      </x:c>
      <x:c r="Z289">
        <x:v>1854</x:v>
      </x:c>
      <x:c r="AB289" t="s">
        <x:v>2229</x:v>
      </x:c>
      <x:c r="AF289" t="s">
        <x:v>50</x:v>
      </x:c>
      <x:c r="AG289" t="s">
        <x:v>402</x:v>
      </x:c>
      <x:c r="AH289" t="s">
        <x:v>2230</x:v>
      </x:c>
      <x:c r="AI289" t="s">
        <x:v>2367</x:v>
      </x:c>
      <x:c r="AJ289">
        <x:v>315</x:v>
      </x:c>
    </x:row>
    <x:row r="290">
      <x:c r="A290" t="s">
        <x:v>2207</x:v>
      </x:c>
      <x:c r="B290" t="s">
        <x:v>2208</x:v>
      </x:c>
      <x:c r="C290" t="s">
        <x:v>2368</x:v>
      </x:c>
      <x:c r="D290" t="s">
        <x:v>2369</x:v>
      </x:c>
      <x:c r="E290" t="s">
        <x:v>2370</x:v>
      </x:c>
      <x:c r="F290">
        <x:v>1850</x:v>
      </x:c>
      <x:c r="G290">
        <x:v>1850</x:v>
      </x:c>
      <x:c r="H290">
        <x:v>1850</x:v>
      </x:c>
      <x:c r="I290" t="s">
        <x:v>2371</x:v>
      </x:c>
      <x:c r="J290" t="s">
        <x:v>2371</x:v>
      </x:c>
      <x:c r="K290" t="s">
        <x:v>2363</x:v>
      </x:c>
      <x:c r="L290" t="s">
        <x:v>2363</x:v>
      </x:c>
      <x:c r="M290" t="s">
        <x:v>2372</x:v>
      </x:c>
      <x:c r="N290" t="s">
        <x:v>532</x:v>
      </x:c>
      <x:c r="O290" t="s">
        <x:v>2365</x:v>
      </x:c>
      <x:c r="P290" t="s">
        <x:v>2366</x:v>
      </x:c>
      <x:c r="R290" s="9">
        <x:v>32833</x:v>
      </x:c>
      <x:c r="T290" t="s">
        <x:v>119</x:v>
      </x:c>
      <x:c r="W290" s="26" t="n">
        <x:v>6.31122</x:v>
      </x:c>
      <x:c r="X290" s="26" t="n">
        <x:v>-75.14609</x:v>
      </x:c>
      <x:c r="Y290">
        <x:v>2681.63</x:v>
      </x:c>
      <x:c r="Z290">
        <x:v>1854</x:v>
      </x:c>
      <x:c r="AB290" t="s">
        <x:v>2229</x:v>
      </x:c>
      <x:c r="AF290" t="s">
        <x:v>50</x:v>
      </x:c>
      <x:c r="AG290" t="s">
        <x:v>402</x:v>
      </x:c>
      <x:c r="AH290" t="s">
        <x:v>2230</x:v>
      </x:c>
      <x:c r="AI290" t="s">
        <x:v>2373</x:v>
      </x:c>
      <x:c r="AJ290">
        <x:v>316</x:v>
      </x:c>
    </x:row>
    <x:row r="291">
      <x:c r="A291" t="s">
        <x:v>2207</x:v>
      </x:c>
      <x:c r="B291" t="s">
        <x:v>2208</x:v>
      </x:c>
      <x:c r="C291" t="s">
        <x:v>2374</x:v>
      </x:c>
      <x:c r="D291" t="s">
        <x:v>2375</x:v>
      </x:c>
      <x:c r="E291" t="s">
        <x:v>2376</x:v>
      </x:c>
      <x:c r="F291">
        <x:v>1850</x:v>
      </x:c>
      <x:c r="G291">
        <x:v>1850</x:v>
      </x:c>
      <x:c r="H291">
        <x:v>1850</x:v>
      </x:c>
      <x:c r="I291" t="s">
        <x:v>2371</x:v>
      </x:c>
      <x:c r="J291" t="s">
        <x:v>2371</x:v>
      </x:c>
      <x:c r="K291" t="s">
        <x:v>2363</x:v>
      </x:c>
      <x:c r="L291" t="s">
        <x:v>2363</x:v>
      </x:c>
      <x:c r="M291" t="s">
        <x:v>2372</x:v>
      </x:c>
      <x:c r="N291" t="s">
        <x:v>532</x:v>
      </x:c>
      <x:c r="O291" t="s">
        <x:v>2365</x:v>
      </x:c>
      <x:c r="P291" t="s">
        <x:v>2366</x:v>
      </x:c>
      <x:c r="R291" s="9">
        <x:v>32833</x:v>
      </x:c>
      <x:c r="T291" t="s">
        <x:v>119</x:v>
      </x:c>
      <x:c r="W291" s="26" t="n">
        <x:v>6.31122</x:v>
      </x:c>
      <x:c r="X291" s="26" t="n">
        <x:v>-75.14609</x:v>
      </x:c>
      <x:c r="Y291">
        <x:v>2681.63</x:v>
      </x:c>
      <x:c r="Z291">
        <x:v>1854</x:v>
      </x:c>
      <x:c r="AB291" t="s">
        <x:v>2229</x:v>
      </x:c>
      <x:c r="AF291" t="s">
        <x:v>50</x:v>
      </x:c>
      <x:c r="AG291" t="s">
        <x:v>402</x:v>
      </x:c>
      <x:c r="AH291" t="s">
        <x:v>2230</x:v>
      </x:c>
      <x:c r="AI291" t="s">
        <x:v>2377</x:v>
      </x:c>
      <x:c r="AJ291">
        <x:v>317</x:v>
      </x:c>
    </x:row>
    <x:row r="292">
      <x:c r="A292" t="s">
        <x:v>2207</x:v>
      </x:c>
      <x:c r="B292" t="s">
        <x:v>2208</x:v>
      </x:c>
      <x:c r="C292" t="s">
        <x:v>2378</x:v>
      </x:c>
      <x:c r="D292" t="s">
        <x:v>2379</x:v>
      </x:c>
      <x:c r="E292" t="s">
        <x:v>2380</x:v>
      </x:c>
      <x:c r="F292">
        <x:v>1850</x:v>
      </x:c>
      <x:c r="G292">
        <x:v>1850</x:v>
      </x:c>
      <x:c r="H292">
        <x:v>1850</x:v>
      </x:c>
      <x:c r="I292" t="s">
        <x:v>2381</x:v>
      </x:c>
      <x:c r="J292" t="s">
        <x:v>2382</x:v>
      </x:c>
      <x:c r="K292" t="s">
        <x:v>2383</x:v>
      </x:c>
      <x:c r="L292" t="s">
        <x:v>2384</x:v>
      </x:c>
      <x:c r="M292" t="s">
        <x:v>2385</x:v>
      </x:c>
      <x:c r="N292" t="s">
        <x:v>532</x:v>
      </x:c>
      <x:c r="O292" t="s">
        <x:v>2365</x:v>
      </x:c>
      <x:c r="P292" t="s">
        <x:v>2366</x:v>
      </x:c>
      <x:c r="R292" s="9">
        <x:v>32910</x:v>
      </x:c>
      <x:c r="T292" t="s">
        <x:v>119</x:v>
      </x:c>
      <x:c r="W292" s="26" t="n">
        <x:v>6.31122</x:v>
      </x:c>
      <x:c r="X292" s="26" t="n">
        <x:v>-75.14609</x:v>
      </x:c>
      <x:c r="Y292">
        <x:v>2681.63</x:v>
      </x:c>
      <x:c r="Z292">
        <x:v>1854</x:v>
      </x:c>
      <x:c r="AB292" t="s">
        <x:v>2229</x:v>
      </x:c>
      <x:c r="AF292" t="s">
        <x:v>50</x:v>
      </x:c>
      <x:c r="AG292" t="s">
        <x:v>402</x:v>
      </x:c>
      <x:c r="AH292" t="s">
        <x:v>2230</x:v>
      </x:c>
      <x:c r="AI292" t="s">
        <x:v>2386</x:v>
      </x:c>
      <x:c r="AJ292">
        <x:v>318</x:v>
      </x:c>
    </x:row>
    <x:row r="293">
      <x:c r="A293" t="s">
        <x:v>2207</x:v>
      </x:c>
      <x:c r="B293" t="s">
        <x:v>2208</x:v>
      </x:c>
      <x:c r="C293" t="s">
        <x:v>2387</x:v>
      </x:c>
      <x:c r="D293" t="s">
        <x:v>2388</x:v>
      </x:c>
      <x:c r="E293" t="s">
        <x:v>2228</x:v>
      </x:c>
      <x:c r="F293">
        <x:v>1850</x:v>
      </x:c>
      <x:c r="G293">
        <x:v>1850</x:v>
      </x:c>
      <x:c r="H293">
        <x:v>1850</x:v>
      </x:c>
      <x:c r="I293" t="s">
        <x:v>2389</x:v>
      </x:c>
      <x:c r="J293" t="s">
        <x:v>2389</x:v>
      </x:c>
      <x:c r="K293" t="s">
        <x:v>2384</x:v>
      </x:c>
      <x:c r="L293" t="s">
        <x:v>2384</x:v>
      </x:c>
      <x:c r="M293" t="s">
        <x:v>2390</x:v>
      </x:c>
      <x:c r="N293" t="s">
        <x:v>532</x:v>
      </x:c>
      <x:c r="O293" t="s">
        <x:v>2365</x:v>
      </x:c>
      <x:c r="P293" t="s">
        <x:v>2366</x:v>
      </x:c>
      <x:c r="R293" s="9">
        <x:v>32910</x:v>
      </x:c>
      <x:c r="T293" t="s">
        <x:v>236</x:v>
      </x:c>
      <x:c r="W293" s="26" t="n">
        <x:v>6.31122</x:v>
      </x:c>
      <x:c r="X293" s="26" t="n">
        <x:v>-75.14609</x:v>
      </x:c>
      <x:c r="Y293">
        <x:v>2681.63</x:v>
      </x:c>
      <x:c r="Z293">
        <x:v>1854</x:v>
      </x:c>
      <x:c r="AB293" t="s">
        <x:v>2229</x:v>
      </x:c>
      <x:c r="AF293" t="s">
        <x:v>50</x:v>
      </x:c>
      <x:c r="AG293" t="s">
        <x:v>402</x:v>
      </x:c>
      <x:c r="AH293" t="s">
        <x:v>2230</x:v>
      </x:c>
      <x:c r="AI293" t="s">
        <x:v>2231</x:v>
      </x:c>
      <x:c r="AJ293">
        <x:v>319</x:v>
      </x:c>
    </x:row>
    <x:row r="294">
      <x:c r="A294" t="s">
        <x:v>2207</x:v>
      </x:c>
      <x:c r="B294" t="s">
        <x:v>2208</x:v>
      </x:c>
      <x:c r="C294" t="s">
        <x:v>2391</x:v>
      </x:c>
      <x:c r="D294" t="s">
        <x:v>2392</x:v>
      </x:c>
      <x:c r="E294" t="s">
        <x:v>2370</x:v>
      </x:c>
      <x:c r="F294">
        <x:v>1850</x:v>
      </x:c>
      <x:c r="G294">
        <x:v>1850</x:v>
      </x:c>
      <x:c r="H294">
        <x:v>1850</x:v>
      </x:c>
      <x:c r="I294" t="s">
        <x:v>2371</x:v>
      </x:c>
      <x:c r="J294" t="s">
        <x:v>2371</x:v>
      </x:c>
      <x:c r="K294" t="s">
        <x:v>2363</x:v>
      </x:c>
      <x:c r="L294" t="s">
        <x:v>2363</x:v>
      </x:c>
      <x:c r="M294" t="s">
        <x:v>2372</x:v>
      </x:c>
      <x:c r="N294" t="s">
        <x:v>532</x:v>
      </x:c>
      <x:c r="O294" t="s">
        <x:v>2365</x:v>
      </x:c>
      <x:c r="P294" t="s">
        <x:v>2366</x:v>
      </x:c>
      <x:c r="R294" s="9">
        <x:v>32924</x:v>
      </x:c>
      <x:c r="T294" t="s">
        <x:v>236</x:v>
      </x:c>
      <x:c r="W294" s="26" t="n">
        <x:v>6.31122</x:v>
      </x:c>
      <x:c r="X294" s="26" t="n">
        <x:v>-75.14609</x:v>
      </x:c>
      <x:c r="Y294">
        <x:v>2681.63</x:v>
      </x:c>
      <x:c r="Z294">
        <x:v>1854</x:v>
      </x:c>
      <x:c r="AB294" t="s">
        <x:v>2229</x:v>
      </x:c>
      <x:c r="AF294" t="s">
        <x:v>50</x:v>
      </x:c>
      <x:c r="AG294" t="s">
        <x:v>402</x:v>
      </x:c>
      <x:c r="AH294" t="s">
        <x:v>2230</x:v>
      </x:c>
      <x:c r="AI294" t="s">
        <x:v>2373</x:v>
      </x:c>
      <x:c r="AJ294">
        <x:v>320</x:v>
      </x:c>
    </x:row>
    <x:row r="295">
      <x:c r="A295" t="s">
        <x:v>2207</x:v>
      </x:c>
      <x:c r="B295" t="s">
        <x:v>2208</x:v>
      </x:c>
      <x:c r="C295" t="s">
        <x:v>2393</x:v>
      </x:c>
      <x:c r="D295" t="s">
        <x:v>2394</x:v>
      </x:c>
      <x:c r="E295" t="s">
        <x:v>2370</x:v>
      </x:c>
      <x:c r="F295">
        <x:v>1850</x:v>
      </x:c>
      <x:c r="G295">
        <x:v>1850</x:v>
      </x:c>
      <x:c r="H295">
        <x:v>1850</x:v>
      </x:c>
      <x:c r="I295" t="s">
        <x:v>2371</x:v>
      </x:c>
      <x:c r="J295" t="s">
        <x:v>2371</x:v>
      </x:c>
      <x:c r="K295" t="s">
        <x:v>2363</x:v>
      </x:c>
      <x:c r="L295" t="s">
        <x:v>2363</x:v>
      </x:c>
      <x:c r="M295" t="s">
        <x:v>2372</x:v>
      </x:c>
      <x:c r="N295" t="s">
        <x:v>532</x:v>
      </x:c>
      <x:c r="O295" t="s">
        <x:v>2365</x:v>
      </x:c>
      <x:c r="P295" t="s">
        <x:v>2366</x:v>
      </x:c>
      <x:c r="R295" s="9">
        <x:v>32952</x:v>
      </x:c>
      <x:c r="T295" t="s">
        <x:v>236</x:v>
      </x:c>
      <x:c r="W295" s="26" t="n">
        <x:v>6.31122</x:v>
      </x:c>
      <x:c r="X295" s="26" t="n">
        <x:v>-75.14609</x:v>
      </x:c>
      <x:c r="Y295">
        <x:v>2681.63</x:v>
      </x:c>
      <x:c r="Z295">
        <x:v>1854</x:v>
      </x:c>
      <x:c r="AB295" t="s">
        <x:v>2229</x:v>
      </x:c>
      <x:c r="AF295" t="s">
        <x:v>50</x:v>
      </x:c>
      <x:c r="AG295" t="s">
        <x:v>402</x:v>
      </x:c>
      <x:c r="AH295" t="s">
        <x:v>2230</x:v>
      </x:c>
      <x:c r="AI295" t="s">
        <x:v>2373</x:v>
      </x:c>
      <x:c r="AJ295">
        <x:v>321</x:v>
      </x:c>
    </x:row>
    <x:row r="296">
      <x:c r="A296" t="s">
        <x:v>2207</x:v>
      </x:c>
      <x:c r="B296" t="s">
        <x:v>2208</x:v>
      </x:c>
      <x:c r="C296" t="s">
        <x:v>2395</x:v>
      </x:c>
      <x:c r="D296" t="s">
        <x:v>2396</x:v>
      </x:c>
      <x:c r="E296" t="s">
        <x:v>2380</x:v>
      </x:c>
      <x:c r="F296">
        <x:v>1850</x:v>
      </x:c>
      <x:c r="G296">
        <x:v>1850</x:v>
      </x:c>
      <x:c r="H296">
        <x:v>1850</x:v>
      </x:c>
      <x:c r="I296" t="s">
        <x:v>2381</x:v>
      </x:c>
      <x:c r="J296" t="s">
        <x:v>2382</x:v>
      </x:c>
      <x:c r="K296" t="s">
        <x:v>2383</x:v>
      </x:c>
      <x:c r="L296" t="s">
        <x:v>2384</x:v>
      </x:c>
      <x:c r="M296" t="s">
        <x:v>2385</x:v>
      </x:c>
      <x:c r="N296" t="s">
        <x:v>532</x:v>
      </x:c>
      <x:c r="O296" t="s">
        <x:v>2365</x:v>
      </x:c>
      <x:c r="P296" t="s">
        <x:v>2366</x:v>
      </x:c>
      <x:c r="R296" s="9">
        <x:v>32980</x:v>
      </x:c>
      <x:c r="T296" t="s">
        <x:v>318</x:v>
      </x:c>
      <x:c r="W296" s="26" t="n">
        <x:v>6.31122</x:v>
      </x:c>
      <x:c r="X296" s="26" t="n">
        <x:v>-75.14609</x:v>
      </x:c>
      <x:c r="Y296">
        <x:v>2681.63</x:v>
      </x:c>
      <x:c r="Z296">
        <x:v>1854</x:v>
      </x:c>
      <x:c r="AB296" t="s">
        <x:v>2229</x:v>
      </x:c>
      <x:c r="AF296" t="s">
        <x:v>50</x:v>
      </x:c>
      <x:c r="AG296" t="s">
        <x:v>402</x:v>
      </x:c>
      <x:c r="AH296" t="s">
        <x:v>2230</x:v>
      </x:c>
      <x:c r="AI296" t="s">
        <x:v>2386</x:v>
      </x:c>
      <x:c r="AJ296">
        <x:v>322</x:v>
      </x:c>
    </x:row>
    <x:row r="297">
      <x:c r="A297" t="s">
        <x:v>2207</x:v>
      </x:c>
      <x:c r="B297" t="s">
        <x:v>2208</x:v>
      </x:c>
      <x:c r="C297" t="s">
        <x:v>2397</x:v>
      </x:c>
      <x:c r="D297" t="s">
        <x:v>2398</x:v>
      </x:c>
      <x:c r="E297" t="s">
        <x:v>2370</x:v>
      </x:c>
      <x:c r="F297">
        <x:v>1850</x:v>
      </x:c>
      <x:c r="G297">
        <x:v>1850</x:v>
      </x:c>
      <x:c r="H297">
        <x:v>1850</x:v>
      </x:c>
      <x:c r="I297" t="s">
        <x:v>2371</x:v>
      </x:c>
      <x:c r="J297" t="s">
        <x:v>2371</x:v>
      </x:c>
      <x:c r="K297" t="s">
        <x:v>2363</x:v>
      </x:c>
      <x:c r="L297" t="s">
        <x:v>2363</x:v>
      </x:c>
      <x:c r="M297" t="s">
        <x:v>2372</x:v>
      </x:c>
      <x:c r="N297" t="s">
        <x:v>532</x:v>
      </x:c>
      <x:c r="O297" t="s">
        <x:v>2365</x:v>
      </x:c>
      <x:c r="P297" t="s">
        <x:v>2366</x:v>
      </x:c>
      <x:c r="R297" s="9">
        <x:v>32987</x:v>
      </x:c>
      <x:c r="T297" t="s">
        <x:v>119</x:v>
      </x:c>
      <x:c r="W297" s="26" t="n">
        <x:v>6.31122</x:v>
      </x:c>
      <x:c r="X297" s="26" t="n">
        <x:v>-75.14609</x:v>
      </x:c>
      <x:c r="Y297">
        <x:v>2681.63</x:v>
      </x:c>
      <x:c r="Z297">
        <x:v>1854</x:v>
      </x:c>
      <x:c r="AB297" t="s">
        <x:v>2229</x:v>
      </x:c>
      <x:c r="AF297" t="s">
        <x:v>50</x:v>
      </x:c>
      <x:c r="AG297" t="s">
        <x:v>402</x:v>
      </x:c>
      <x:c r="AH297" t="s">
        <x:v>2230</x:v>
      </x:c>
      <x:c r="AI297" t="s">
        <x:v>2373</x:v>
      </x:c>
      <x:c r="AJ297">
        <x:v>323</x:v>
      </x:c>
    </x:row>
    <x:row r="298">
      <x:c r="A298" t="s">
        <x:v>2207</x:v>
      </x:c>
      <x:c r="B298" t="s">
        <x:v>2208</x:v>
      </x:c>
      <x:c r="C298" t="s">
        <x:v>748</x:v>
      </x:c>
      <x:c r="D298" t="s">
        <x:v>2399</x:v>
      </x:c>
      <x:c r="E298" t="s">
        <x:v>2400</x:v>
      </x:c>
      <x:c r="F298">
        <x:v>1150</x:v>
      </x:c>
      <x:c r="G298">
        <x:v>1150</x:v>
      </x:c>
      <x:c r="H298">
        <x:v>1150</x:v>
      </x:c>
      <x:c r="I298" t="s">
        <x:v>2401</x:v>
      </x:c>
      <x:c r="J298" t="s">
        <x:v>2402</x:v>
      </x:c>
      <x:c r="K298" t="s">
        <x:v>2403</x:v>
      </x:c>
      <x:c r="L298" t="s">
        <x:v>2403</x:v>
      </x:c>
      <x:c r="M298" t="s">
        <x:v>2404</x:v>
      </x:c>
      <x:c r="N298" t="s">
        <x:v>754</x:v>
      </x:c>
      <x:c r="O298" t="s">
        <x:v>755</x:v>
      </x:c>
      <x:c r="P298" t="s">
        <x:v>756</x:v>
      </x:c>
      <x:c r="R298" s="9">
        <x:v>33698</x:v>
      </x:c>
      <x:c r="T298" t="s">
        <x:v>119</x:v>
      </x:c>
      <x:c r="W298" s="26" t="n">
        <x:v>5.84579</x:v>
      </x:c>
      <x:c r="X298" s="26" t="n">
        <x:v>-74.97354</x:v>
      </x:c>
      <x:c r="Y298">
        <x:v>710.37199999999996</x:v>
      </x:c>
      <x:c r="Z298">
        <x:v>1134</x:v>
      </x:c>
      <x:c r="AA298" t="s">
        <x:v>2405</x:v>
      </x:c>
      <x:c r="AB298" t="s">
        <x:v>2406</x:v>
      </x:c>
      <x:c r="AF298" t="s">
        <x:v>50</x:v>
      </x:c>
      <x:c r="AG298" t="s">
        <x:v>402</x:v>
      </x:c>
      <x:c r="AH298" t="s">
        <x:v>449</x:v>
      </x:c>
      <x:c r="AI298" t="s">
        <x:v>2407</x:v>
      </x:c>
      <x:c r="AJ298">
        <x:v>324</x:v>
      </x:c>
    </x:row>
    <x:row r="299">
      <x:c r="A299" t="s">
        <x:v>2207</x:v>
      </x:c>
      <x:c r="B299" t="s">
        <x:v>2208</x:v>
      </x:c>
      <x:c r="C299" t="s">
        <x:v>2408</x:v>
      </x:c>
      <x:c r="D299" t="s">
        <x:v>2409</x:v>
      </x:c>
      <x:c r="E299" t="s">
        <x:v>2410</x:v>
      </x:c>
      <x:c r="F299">
        <x:v>2350</x:v>
      </x:c>
      <x:c r="G299">
        <x:v>2350</x:v>
      </x:c>
      <x:c r="H299">
        <x:v>2350</x:v>
      </x:c>
      <x:c r="I299" t="s">
        <x:v>2411</x:v>
      </x:c>
      <x:c r="J299" t="s">
        <x:v>2411</x:v>
      </x:c>
      <x:c r="K299" t="s">
        <x:v>2403</x:v>
      </x:c>
      <x:c r="L299" t="s">
        <x:v>2403</x:v>
      </x:c>
      <x:c r="M299" t="s">
        <x:v>2412</x:v>
      </x:c>
      <x:c r="N299" t="s">
        <x:v>754</x:v>
      </x:c>
      <x:c r="O299" t="s">
        <x:v>755</x:v>
      </x:c>
      <x:c r="P299" t="s">
        <x:v>756</x:v>
      </x:c>
      <x:c r="R299" s="9">
        <x:v>34657</x:v>
      </x:c>
      <x:c r="T299" t="s">
        <x:v>119</x:v>
      </x:c>
      <x:c r="W299" s="26" t="n">
        <x:v>6.3</x:v>
      </x:c>
      <x:c r="X299" s="26" t="n">
        <x:v>-75.4833333</x:v>
      </x:c>
      <x:c r="AF299" t="s">
        <x:v>50</x:v>
      </x:c>
      <x:c r="AG299" t="s">
        <x:v>402</x:v>
      </x:c>
      <x:c r="AH299" t="s">
        <x:v>2413</x:v>
      </x:c>
      <x:c r="AI299" t="s">
        <x:v>2414</x:v>
      </x:c>
      <x:c r="AJ299">
        <x:v>325</x:v>
      </x:c>
    </x:row>
    <x:row r="300">
      <x:c r="A300" t="s">
        <x:v>2207</x:v>
      </x:c>
      <x:c r="B300" t="s">
        <x:v>2208</x:v>
      </x:c>
      <x:c r="C300" t="s">
        <x:v>2408</x:v>
      </x:c>
      <x:c r="D300" t="s">
        <x:v>2415</x:v>
      </x:c>
      <x:c r="E300" t="s">
        <x:v>2416</x:v>
      </x:c>
      <x:c r="F300">
        <x:v>2350</x:v>
      </x:c>
      <x:c r="G300">
        <x:v>2350</x:v>
      </x:c>
      <x:c r="H300">
        <x:v>2350</x:v>
      </x:c>
      <x:c r="I300" t="s">
        <x:v>2402</x:v>
      </x:c>
      <x:c r="J300" t="s">
        <x:v>2402</x:v>
      </x:c>
      <x:c r="K300" t="s">
        <x:v>2417</x:v>
      </x:c>
      <x:c r="L300" t="s">
        <x:v>2417</x:v>
      </x:c>
      <x:c r="M300" t="s">
        <x:v>2418</x:v>
      </x:c>
      <x:c r="N300" t="s">
        <x:v>754</x:v>
      </x:c>
      <x:c r="O300" t="s">
        <x:v>755</x:v>
      </x:c>
      <x:c r="P300" t="s">
        <x:v>756</x:v>
      </x:c>
      <x:c r="R300" s="9">
        <x:v>34657</x:v>
      </x:c>
      <x:c r="T300" t="s">
        <x:v>119</x:v>
      </x:c>
      <x:c r="W300" s="26" t="n">
        <x:v>6.3</x:v>
      </x:c>
      <x:c r="X300" s="26" t="n">
        <x:v>-75.4833333</x:v>
      </x:c>
      <x:c r="AF300" t="s">
        <x:v>50</x:v>
      </x:c>
      <x:c r="AG300" t="s">
        <x:v>402</x:v>
      </x:c>
      <x:c r="AH300" t="s">
        <x:v>2419</x:v>
      </x:c>
      <x:c r="AI300" t="s">
        <x:v>2420</x:v>
      </x:c>
      <x:c r="AJ300">
        <x:v>326</x:v>
      </x:c>
    </x:row>
    <x:row r="301">
      <x:c r="A301" t="s">
        <x:v>2207</x:v>
      </x:c>
      <x:c r="B301" t="s">
        <x:v>2208</x:v>
      </x:c>
      <x:c r="C301" t="s">
        <x:v>2421</x:v>
      </x:c>
      <x:c r="D301" t="s">
        <x:v>2422</x:v>
      </x:c>
      <x:c r="E301" t="s">
        <x:v>2423</x:v>
      </x:c>
      <x:c r="F301">
        <x:v>2300</x:v>
      </x:c>
      <x:c r="G301">
        <x:v>2300</x:v>
      </x:c>
      <x:c r="H301">
        <x:v>2300</x:v>
      </x:c>
      <x:c r="I301" t="s">
        <x:v>2382</x:v>
      </x:c>
      <x:c r="J301" t="s">
        <x:v>2382</x:v>
      </x:c>
      <x:c r="K301" t="s">
        <x:v>2424</x:v>
      </x:c>
      <x:c r="L301" t="s">
        <x:v>2424</x:v>
      </x:c>
      <x:c r="M301" t="s">
        <x:v>2425</x:v>
      </x:c>
      <x:c r="N301" t="s">
        <x:v>532</x:v>
      </x:c>
      <x:c r="O301" t="s">
        <x:v>2426</x:v>
      </x:c>
      <x:c r="P301" t="s">
        <x:v>2427</x:v>
      </x:c>
      <x:c r="R301" s="9">
        <x:v>34905</x:v>
      </x:c>
      <x:c r="T301" t="s">
        <x:v>119</x:v>
      </x:c>
      <x:c r="W301" s="26" t="n">
        <x:v>6.25</x:v>
      </x:c>
      <x:c r="X301" s="26" t="n">
        <x:v>-75.5833333</x:v>
      </x:c>
      <x:c r="AF301" t="s">
        <x:v>50</x:v>
      </x:c>
      <x:c r="AG301" t="s">
        <x:v>402</x:v>
      </x:c>
      <x:c r="AH301" t="s">
        <x:v>855</x:v>
      </x:c>
      <x:c r="AI301" t="s">
        <x:v>2428</x:v>
      </x:c>
      <x:c r="AJ301">
        <x:v>327</x:v>
      </x:c>
    </x:row>
    <x:row r="302">
      <x:c r="A302" t="s">
        <x:v>2207</x:v>
      </x:c>
      <x:c r="B302" t="s">
        <x:v>2208</x:v>
      </x:c>
      <x:c r="C302" t="s">
        <x:v>2429</x:v>
      </x:c>
      <x:c r="D302" t="s">
        <x:v>2430</x:v>
      </x:c>
      <x:c r="E302" t="s">
        <x:v>2431</x:v>
      </x:c>
      <x:c r="F302" t="s">
        <x:v>2432</x:v>
      </x:c>
      <x:c r="G302">
        <x:v>1800</x:v>
      </x:c>
      <x:c r="H302">
        <x:v>2000</x:v>
      </x:c>
      <x:c r="I302" t="s">
        <x:v>2433</x:v>
      </x:c>
      <x:c r="J302" t="s">
        <x:v>2433</x:v>
      </x:c>
      <x:c r="K302" t="s">
        <x:v>2434</x:v>
      </x:c>
      <x:c r="L302" t="s">
        <x:v>2434</x:v>
      </x:c>
      <x:c r="M302" t="s">
        <x:v>2435</x:v>
      </x:c>
      <x:c r="N302" t="s">
        <x:v>2436</x:v>
      </x:c>
      <x:c r="O302" t="s">
        <x:v>2437</x:v>
      </x:c>
      <x:c r="P302" t="s">
        <x:v>2438</x:v>
      </x:c>
      <x:c r="R302" s="9">
        <x:v>35235</x:v>
      </x:c>
      <x:c r="T302" t="s">
        <x:v>111</x:v>
      </x:c>
      <x:c r="W302" s="26" t="n">
        <x:v>6.0833333</x:v>
      </x:c>
      <x:c r="X302" s="26" t="n">
        <x:v>-75.6333333</x:v>
      </x:c>
      <x:c r="AF302" t="s">
        <x:v>50</x:v>
      </x:c>
      <x:c r="AG302" t="s">
        <x:v>402</x:v>
      </x:c>
      <x:c r="AH302" t="s">
        <x:v>167</x:v>
      </x:c>
      <x:c r="AI302" t="s">
        <x:v>2439</x:v>
      </x:c>
      <x:c r="AJ302">
        <x:v>328</x:v>
      </x:c>
    </x:row>
    <x:row r="303">
      <x:c r="A303" t="s">
        <x:v>2207</x:v>
      </x:c>
      <x:c r="B303" t="s">
        <x:v>2208</x:v>
      </x:c>
      <x:c r="C303" t="s">
        <x:v>2440</x:v>
      </x:c>
      <x:c r="D303" t="s">
        <x:v>2441</x:v>
      </x:c>
      <x:c r="E303" t="s">
        <x:v>2442</x:v>
      </x:c>
      <x:c r="F303" t="s">
        <x:v>2443</x:v>
      </x:c>
      <x:c r="G303">
        <x:v>2000</x:v>
      </x:c>
      <x:c r="H303">
        <x:v>2150</x:v>
      </x:c>
      <x:c r="I303" t="s">
        <x:v>2444</x:v>
      </x:c>
      <x:c r="J303" t="s">
        <x:v>2444</x:v>
      </x:c>
      <x:c r="K303" t="s">
        <x:v>2445</x:v>
      </x:c>
      <x:c r="L303" t="s">
        <x:v>2445</x:v>
      </x:c>
      <x:c r="M303" t="s">
        <x:v>2446</x:v>
      </x:c>
      <x:c r="N303" t="s">
        <x:v>2447</x:v>
      </x:c>
      <x:c r="O303" t="s">
        <x:v>2448</x:v>
      </x:c>
      <x:c r="P303" t="s">
        <x:v>2449</x:v>
      </x:c>
      <x:c r="R303" s="9">
        <x:v>35264</x:v>
      </x:c>
      <x:c r="T303" t="s">
        <x:v>111</x:v>
      </x:c>
      <x:c r="W303" s="26" t="n">
        <x:v>6.1719444</x:v>
      </x:c>
      <x:c r="X303" s="26" t="n">
        <x:v>-75.5858333</x:v>
      </x:c>
      <x:c r="AF303" t="s">
        <x:v>50</x:v>
      </x:c>
      <x:c r="AG303" t="s">
        <x:v>402</x:v>
      </x:c>
      <x:c r="AH303" t="s">
        <x:v>2450</x:v>
      </x:c>
      <x:c r="AI303" t="s">
        <x:v>2451</x:v>
      </x:c>
      <x:c r="AJ303">
        <x:v>329</x:v>
      </x:c>
    </x:row>
    <x:row r="304">
      <x:c r="A304" t="s">
        <x:v>2207</x:v>
      </x:c>
      <x:c r="B304" t="s">
        <x:v>2208</x:v>
      </x:c>
      <x:c r="C304" t="s">
        <x:v>2452</x:v>
      </x:c>
      <x:c r="D304" t="s">
        <x:v>2453</x:v>
      </x:c>
      <x:c r="E304" t="s">
        <x:v>2454</x:v>
      </x:c>
      <x:c r="F304" t="s">
        <x:v>2455</x:v>
      </x:c>
      <x:c r="G304">
        <x:v>1900</x:v>
      </x:c>
      <x:c r="H304">
        <x:v>2200</x:v>
      </x:c>
      <x:c r="I304" t="s">
        <x:v>2456</x:v>
      </x:c>
      <x:c r="J304" t="s">
        <x:v>2456</x:v>
      </x:c>
      <x:c r="K304" t="s">
        <x:v>2457</x:v>
      </x:c>
      <x:c r="L304" t="s">
        <x:v>2457</x:v>
      </x:c>
      <x:c r="M304" t="s">
        <x:v>2458</x:v>
      </x:c>
      <x:c r="N304" t="s">
        <x:v>2436</x:v>
      </x:c>
      <x:c r="O304" t="s">
        <x:v>2437</x:v>
      </x:c>
      <x:c r="P304" t="s">
        <x:v>2438</x:v>
      </x:c>
      <x:c r="R304" s="9">
        <x:v>35582</x:v>
      </x:c>
      <x:c r="T304" t="s">
        <x:v>399</x:v>
      </x:c>
      <x:c r="W304" s="26" t="n">
        <x:v>6.0833333</x:v>
      </x:c>
      <x:c r="X304" s="26" t="n">
        <x:v>-75.6333333</x:v>
      </x:c>
      <x:c r="AF304" t="s">
        <x:v>50</x:v>
      </x:c>
      <x:c r="AG304" t="s">
        <x:v>402</x:v>
      </x:c>
      <x:c r="AH304" t="s">
        <x:v>167</x:v>
      </x:c>
      <x:c r="AI304" t="s">
        <x:v>2459</x:v>
      </x:c>
      <x:c r="AJ304">
        <x:v>330</x:v>
      </x:c>
    </x:row>
    <x:row r="305">
      <x:c r="A305" t="s">
        <x:v>2207</x:v>
      </x:c>
      <x:c r="B305" t="s">
        <x:v>2208</x:v>
      </x:c>
      <x:c r="C305" t="s">
        <x:v>2460</x:v>
      </x:c>
      <x:c r="D305" t="s">
        <x:v>2461</x:v>
      </x:c>
      <x:c r="E305" t="s">
        <x:v>2462</x:v>
      </x:c>
      <x:c r="F305">
        <x:v>2400</x:v>
      </x:c>
      <x:c r="G305">
        <x:v>2400</x:v>
      </x:c>
      <x:c r="H305">
        <x:v>2400</x:v>
      </x:c>
      <x:c r="I305" t="s">
        <x:v>2362</x:v>
      </x:c>
      <x:c r="J305" t="s">
        <x:v>2362</x:v>
      </x:c>
      <x:c r="K305" t="s">
        <x:v>2463</x:v>
      </x:c>
      <x:c r="L305" t="s">
        <x:v>2463</x:v>
      </x:c>
      <x:c r="M305" t="s">
        <x:v>2464</x:v>
      </x:c>
      <x:c r="N305" t="s">
        <x:v>532</x:v>
      </x:c>
      <x:c r="O305" t="s">
        <x:v>2426</x:v>
      </x:c>
      <x:c r="P305" t="s">
        <x:v>2427</x:v>
      </x:c>
      <x:c r="R305" s="9">
        <x:v>35855</x:v>
      </x:c>
      <x:c r="T305" t="s">
        <x:v>2465</x:v>
      </x:c>
      <x:c r="W305" s="26" t="n">
        <x:v>6.25</x:v>
      </x:c>
      <x:c r="X305" s="26" t="n">
        <x:v>-75.5833333</x:v>
      </x:c>
      <x:c r="AF305" t="s">
        <x:v>50</x:v>
      </x:c>
      <x:c r="AG305" t="s">
        <x:v>402</x:v>
      </x:c>
      <x:c r="AH305" t="s">
        <x:v>2466</x:v>
      </x:c>
      <x:c r="AI305" t="s">
        <x:v>2467</x:v>
      </x:c>
      <x:c r="AJ305">
        <x:v>331</x:v>
      </x:c>
    </x:row>
    <x:row r="306">
      <x:c r="A306" t="s">
        <x:v>2207</x:v>
      </x:c>
      <x:c r="B306" t="s">
        <x:v>2208</x:v>
      </x:c>
      <x:c r="C306" t="s">
        <x:v>2468</x:v>
      </x:c>
      <x:c r="D306" t="s">
        <x:v>2469</x:v>
      </x:c>
      <x:c r="E306" t="s">
        <x:v>2470</x:v>
      </x:c>
      <x:c r="F306">
        <x:v>2500</x:v>
      </x:c>
      <x:c r="G306">
        <x:v>2500</x:v>
      </x:c>
      <x:c r="H306">
        <x:v>2500</x:v>
      </x:c>
      <x:c r="I306" t="s">
        <x:v>2471</x:v>
      </x:c>
      <x:c r="J306" t="s">
        <x:v>2471</x:v>
      </x:c>
      <x:c r="K306" t="s">
        <x:v>2472</x:v>
      </x:c>
      <x:c r="L306" t="s">
        <x:v>2472</x:v>
      </x:c>
      <x:c r="M306" t="s">
        <x:v>2473</x:v>
      </x:c>
      <x:c r="N306" t="s">
        <x:v>2474</x:v>
      </x:c>
      <x:c r="O306" t="s">
        <x:v>2475</x:v>
      </x:c>
      <x:c r="P306" t="s">
        <x:v>2476</x:v>
      </x:c>
      <x:c r="R306" s="9">
        <x:v>36490</x:v>
      </x:c>
      <x:c r="T306" t="s">
        <x:v>111</x:v>
      </x:c>
      <x:c r="W306" s="26" t="n">
        <x:v>5.85</x:v>
      </x:c>
      <x:c r="X306" s="26" t="n">
        <x:v>-75.3666667</x:v>
      </x:c>
      <x:c r="AF306" t="s">
        <x:v>50</x:v>
      </x:c>
      <x:c r="AG306" t="s">
        <x:v>402</x:v>
      </x:c>
      <x:c r="AH306" t="s">
        <x:v>2477</x:v>
      </x:c>
      <x:c r="AI306" t="s">
        <x:v>2478</x:v>
      </x:c>
      <x:c r="AJ306">
        <x:v>332</x:v>
      </x:c>
    </x:row>
    <x:row r="307">
      <x:c r="A307" t="s">
        <x:v>2207</x:v>
      </x:c>
      <x:c r="B307" t="s">
        <x:v>2208</x:v>
      </x:c>
      <x:c r="C307" t="s">
        <x:v>2479</x:v>
      </x:c>
      <x:c r="D307" t="s">
        <x:v>2480</x:v>
      </x:c>
      <x:c r="E307" t="s">
        <x:v>2481</x:v>
      </x:c>
      <x:c r="F307">
        <x:v>2400</x:v>
      </x:c>
      <x:c r="G307">
        <x:v>2400</x:v>
      </x:c>
      <x:c r="H307">
        <x:v>2400</x:v>
      </x:c>
      <x:c r="I307" t="s">
        <x:v>2482</x:v>
      </x:c>
      <x:c r="J307" t="s">
        <x:v>2482</x:v>
      </x:c>
      <x:c r="K307" t="s">
        <x:v>2483</x:v>
      </x:c>
      <x:c r="L307" t="s">
        <x:v>2483</x:v>
      </x:c>
      <x:c r="M307" t="s">
        <x:v>2484</x:v>
      </x:c>
      <x:c r="N307" t="s">
        <x:v>2485</x:v>
      </x:c>
      <x:c r="O307" t="s">
        <x:v>2486</x:v>
      </x:c>
      <x:c r="P307" t="s">
        <x:v>2487</x:v>
      </x:c>
      <x:c r="R307" s="9">
        <x:v>36816</x:v>
      </x:c>
      <x:c r="T307" t="s">
        <x:v>119</x:v>
      </x:c>
      <x:c r="W307" s="26" t="n">
        <x:v>6.2616667</x:v>
      </x:c>
      <x:c r="X307" s="26" t="n">
        <x:v>-75.5091111</x:v>
      </x:c>
      <x:c r="AF307" t="s">
        <x:v>50</x:v>
      </x:c>
      <x:c r="AG307" t="s">
        <x:v>402</x:v>
      </x:c>
      <x:c r="AH307" t="s">
        <x:v>536</x:v>
      </x:c>
      <x:c r="AI307" t="s">
        <x:v>2488</x:v>
      </x:c>
      <x:c r="AJ307">
        <x:v>333</x:v>
      </x:c>
    </x:row>
    <x:row r="308">
      <x:c r="A308" t="s">
        <x:v>2207</x:v>
      </x:c>
      <x:c r="B308" t="s">
        <x:v>2208</x:v>
      </x:c>
      <x:c r="C308" t="s">
        <x:v>2489</x:v>
      </x:c>
      <x:c r="D308" t="s">
        <x:v>2490</x:v>
      </x:c>
      <x:c r="E308" t="s">
        <x:v>2491</x:v>
      </x:c>
      <x:c r="F308">
        <x:v>2400</x:v>
      </x:c>
      <x:c r="G308">
        <x:v>2400</x:v>
      </x:c>
      <x:c r="H308">
        <x:v>2400</x:v>
      </x:c>
      <x:c r="I308" t="s">
        <x:v>2492</x:v>
      </x:c>
      <x:c r="J308" t="s">
        <x:v>2492</x:v>
      </x:c>
      <x:c r="K308" t="s">
        <x:v>2493</x:v>
      </x:c>
      <x:c r="L308" t="s">
        <x:v>2493</x:v>
      </x:c>
      <x:c r="M308" t="s">
        <x:v>2494</x:v>
      </x:c>
      <x:c r="N308" t="s">
        <x:v>2485</x:v>
      </x:c>
      <x:c r="O308" t="s">
        <x:v>2486</x:v>
      </x:c>
      <x:c r="P308" t="s">
        <x:v>2487</x:v>
      </x:c>
      <x:c r="R308" s="9">
        <x:v>36816</x:v>
      </x:c>
      <x:c r="T308" t="s">
        <x:v>119</x:v>
      </x:c>
      <x:c r="W308" s="26" t="n">
        <x:v>6.2616667</x:v>
      </x:c>
      <x:c r="X308" s="26" t="n">
        <x:v>-75.5091111</x:v>
      </x:c>
      <x:c r="AF308" t="s">
        <x:v>50</x:v>
      </x:c>
      <x:c r="AG308" t="s">
        <x:v>402</x:v>
      </x:c>
      <x:c r="AH308" t="s">
        <x:v>855</x:v>
      </x:c>
      <x:c r="AI308" t="s">
        <x:v>2495</x:v>
      </x:c>
      <x:c r="AJ308">
        <x:v>334</x:v>
      </x:c>
    </x:row>
    <x:row r="309">
      <x:c r="A309" t="s">
        <x:v>2207</x:v>
      </x:c>
      <x:c r="B309" t="s">
        <x:v>2208</x:v>
      </x:c>
      <x:c r="C309" t="s">
        <x:v>2489</x:v>
      </x:c>
      <x:c r="D309" t="s">
        <x:v>2496</x:v>
      </x:c>
      <x:c r="E309" t="s">
        <x:v>2497</x:v>
      </x:c>
      <x:c r="F309">
        <x:v>2400</x:v>
      </x:c>
      <x:c r="G309">
        <x:v>2400</x:v>
      </x:c>
      <x:c r="H309">
        <x:v>2400</x:v>
      </x:c>
      <x:c r="I309" t="s">
        <x:v>2498</x:v>
      </x:c>
      <x:c r="J309" t="s">
        <x:v>2498</x:v>
      </x:c>
      <x:c r="K309" t="s">
        <x:v>2499</x:v>
      </x:c>
      <x:c r="L309" t="s">
        <x:v>2499</x:v>
      </x:c>
      <x:c r="M309" t="s">
        <x:v>2500</x:v>
      </x:c>
      <x:c r="N309" t="s">
        <x:v>2485</x:v>
      </x:c>
      <x:c r="O309" t="s">
        <x:v>2486</x:v>
      </x:c>
      <x:c r="P309" t="s">
        <x:v>2487</x:v>
      </x:c>
      <x:c r="R309" s="9">
        <x:v>36816</x:v>
      </x:c>
      <x:c r="T309" t="s">
        <x:v>119</x:v>
      </x:c>
      <x:c r="W309" s="26" t="n">
        <x:v>6.2616667</x:v>
      </x:c>
      <x:c r="X309" s="26" t="n">
        <x:v>-75.5091111</x:v>
      </x:c>
      <x:c r="AF309" t="s">
        <x:v>50</x:v>
      </x:c>
      <x:c r="AG309" t="s">
        <x:v>402</x:v>
      </x:c>
      <x:c r="AH309" t="s">
        <x:v>855</x:v>
      </x:c>
      <x:c r="AI309" t="s">
        <x:v>2501</x:v>
      </x:c>
      <x:c r="AJ309">
        <x:v>336</x:v>
      </x:c>
    </x:row>
    <x:row r="310">
      <x:c r="A310" t="s">
        <x:v>2207</x:v>
      </x:c>
      <x:c r="B310" t="s">
        <x:v>2208</x:v>
      </x:c>
      <x:c r="C310" t="s">
        <x:v>2502</x:v>
      </x:c>
      <x:c r="D310" t="s">
        <x:v>2503</x:v>
      </x:c>
      <x:c r="E310" t="s">
        <x:v>2504</x:v>
      </x:c>
      <x:c r="F310">
        <x:v>2545</x:v>
      </x:c>
      <x:c r="G310">
        <x:v>2545</x:v>
      </x:c>
      <x:c r="H310">
        <x:v>2545</x:v>
      </x:c>
      <x:c r="I310" t="s">
        <x:v>2505</x:v>
      </x:c>
      <x:c r="J310" t="s">
        <x:v>2505</x:v>
      </x:c>
      <x:c r="K310" t="s">
        <x:v>2506</x:v>
      </x:c>
      <x:c r="L310" t="s">
        <x:v>2506</x:v>
      </x:c>
      <x:c r="M310" t="s">
        <x:v>2507</x:v>
      </x:c>
      <x:c r="N310" t="s">
        <x:v>2508</x:v>
      </x:c>
      <x:c r="O310" t="s">
        <x:v>2509</x:v>
      </x:c>
      <x:c r="P310" t="s">
        <x:v>2510</x:v>
      </x:c>
      <x:c r="R310" s="9">
        <x:v>37396</x:v>
      </x:c>
      <x:c r="T310" t="s">
        <x:v>481</x:v>
      </x:c>
      <x:c r="W310" s="26" t="n">
        <x:v>6.5959167</x:v>
      </x:c>
      <x:c r="X310" s="26" t="n">
        <x:v>-75.6536111</x:v>
      </x:c>
      <x:c r="AF310" t="s">
        <x:v>50</x:v>
      </x:c>
      <x:c r="AG310" t="s">
        <x:v>402</x:v>
      </x:c>
      <x:c r="AH310" t="s">
        <x:v>1710</x:v>
      </x:c>
      <x:c r="AI310" t="s">
        <x:v>2511</x:v>
      </x:c>
      <x:c r="AJ310">
        <x:v>337</x:v>
      </x:c>
    </x:row>
    <x:row r="311">
      <x:c r="A311" t="s">
        <x:v>2207</x:v>
      </x:c>
      <x:c r="B311" t="s">
        <x:v>2208</x:v>
      </x:c>
      <x:c r="C311" t="s">
        <x:v>2512</x:v>
      </x:c>
      <x:c r="D311" t="s">
        <x:v>2513</x:v>
      </x:c>
      <x:c r="E311" t="s">
        <x:v>2514</x:v>
      </x:c>
      <x:c r="F311">
        <x:v>2555</x:v>
      </x:c>
      <x:c r="G311">
        <x:v>2555</x:v>
      </x:c>
      <x:c r="H311">
        <x:v>2555</x:v>
      </x:c>
      <x:c r="I311" t="s">
        <x:v>2505</x:v>
      </x:c>
      <x:c r="J311" t="s">
        <x:v>2505</x:v>
      </x:c>
      <x:c r="K311" t="s">
        <x:v>2515</x:v>
      </x:c>
      <x:c r="L311" t="s">
        <x:v>2515</x:v>
      </x:c>
      <x:c r="M311" t="s">
        <x:v>2516</x:v>
      </x:c>
      <x:c r="N311" t="s">
        <x:v>2508</x:v>
      </x:c>
      <x:c r="O311" t="s">
        <x:v>2509</x:v>
      </x:c>
      <x:c r="P311" t="s">
        <x:v>2510</x:v>
      </x:c>
      <x:c r="R311" s="9">
        <x:v>37427</x:v>
      </x:c>
      <x:c r="T311" t="s">
        <x:v>119</x:v>
      </x:c>
      <x:c r="W311" s="26" t="n">
        <x:v>6.5959167</x:v>
      </x:c>
      <x:c r="X311" s="26" t="n">
        <x:v>-75.6536111</x:v>
      </x:c>
      <x:c r="AF311" t="s">
        <x:v>50</x:v>
      </x:c>
      <x:c r="AG311" t="s">
        <x:v>402</x:v>
      </x:c>
      <x:c r="AH311" t="s">
        <x:v>1710</x:v>
      </x:c>
      <x:c r="AI311" t="s">
        <x:v>2517</x:v>
      </x:c>
      <x:c r="AJ311">
        <x:v>338</x:v>
      </x:c>
    </x:row>
    <x:row r="312">
      <x:c r="A312" t="s">
        <x:v>2207</x:v>
      </x:c>
      <x:c r="B312" t="s">
        <x:v>2208</x:v>
      </x:c>
      <x:c r="C312" t="s">
        <x:v>2512</x:v>
      </x:c>
      <x:c r="D312" t="s">
        <x:v>2518</x:v>
      </x:c>
      <x:c r="E312" t="s">
        <x:v>2519</x:v>
      </x:c>
      <x:c r="F312">
        <x:v>2555</x:v>
      </x:c>
      <x:c r="G312">
        <x:v>2555</x:v>
      </x:c>
      <x:c r="H312">
        <x:v>2555</x:v>
      </x:c>
      <x:c r="I312" t="s">
        <x:v>2520</x:v>
      </x:c>
      <x:c r="J312" t="s">
        <x:v>2520</x:v>
      </x:c>
      <x:c r="K312" t="s">
        <x:v>2521</x:v>
      </x:c>
      <x:c r="L312" t="s">
        <x:v>2521</x:v>
      </x:c>
      <x:c r="M312" t="s">
        <x:v>2522</x:v>
      </x:c>
      <x:c r="N312" t="s">
        <x:v>2508</x:v>
      </x:c>
      <x:c r="O312" t="s">
        <x:v>2509</x:v>
      </x:c>
      <x:c r="P312" t="s">
        <x:v>2510</x:v>
      </x:c>
      <x:c r="R312" s="9">
        <x:v>37427</x:v>
      </x:c>
      <x:c r="T312" t="s">
        <x:v>119</x:v>
      </x:c>
      <x:c r="W312" s="26" t="n">
        <x:v>6.5959167</x:v>
      </x:c>
      <x:c r="X312" s="26" t="n">
        <x:v>-75.6536111</x:v>
      </x:c>
      <x:c r="AF312" t="s">
        <x:v>50</x:v>
      </x:c>
      <x:c r="AG312" t="s">
        <x:v>402</x:v>
      </x:c>
      <x:c r="AH312" t="s">
        <x:v>1710</x:v>
      </x:c>
      <x:c r="AI312" t="s">
        <x:v>2523</x:v>
      </x:c>
      <x:c r="AJ312">
        <x:v>339</x:v>
      </x:c>
    </x:row>
    <x:row r="313">
      <x:c r="A313" t="s">
        <x:v>2207</x:v>
      </x:c>
      <x:c r="B313" t="s">
        <x:v>2208</x:v>
      </x:c>
      <x:c r="C313" t="s">
        <x:v>2524</x:v>
      </x:c>
      <x:c r="D313" t="s">
        <x:v>2525</x:v>
      </x:c>
      <x:c r="E313" t="s">
        <x:v>2526</x:v>
      </x:c>
      <x:c r="F313">
        <x:v>2980</x:v>
      </x:c>
      <x:c r="G313">
        <x:v>2980</x:v>
      </x:c>
      <x:c r="H313">
        <x:v>2980</x:v>
      </x:c>
      <x:c r="I313" t="s">
        <x:v>2527</x:v>
      </x:c>
      <x:c r="J313" t="s">
        <x:v>2527</x:v>
      </x:c>
      <x:c r="K313" t="s">
        <x:v>2528</x:v>
      </x:c>
      <x:c r="L313" t="s">
        <x:v>2528</x:v>
      </x:c>
      <x:c r="M313" t="s">
        <x:v>2529</x:v>
      </x:c>
      <x:c r="N313" t="s">
        <x:v>2530</x:v>
      </x:c>
      <x:c r="O313" t="s">
        <x:v>2531</x:v>
      </x:c>
      <x:c r="P313" t="s">
        <x:v>2532</x:v>
      </x:c>
      <x:c r="R313" s="9">
        <x:v>37462</x:v>
      </x:c>
      <x:c r="T313" t="s">
        <x:v>481</x:v>
      </x:c>
      <x:c r="W313" s="26" t="n">
        <x:v>6.78444</x:v>
      </x:c>
      <x:c r="X313" s="26" t="n">
        <x:v>-75.66938</x:v>
      </x:c>
      <x:c r="Y313">
        <x:v>4360.7430000000004</x:v>
      </x:c>
      <x:c r="Z313">
        <x:v>2730</x:v>
      </x:c>
      <x:c r="AB313" t="s">
        <x:v>2533</x:v>
      </x:c>
      <x:c r="AF313" t="s">
        <x:v>50</x:v>
      </x:c>
      <x:c r="AG313" t="s">
        <x:v>402</x:v>
      </x:c>
      <x:c r="AH313" t="s">
        <x:v>1728</x:v>
      </x:c>
      <x:c r="AI313" t="s">
        <x:v>2534</x:v>
      </x:c>
      <x:c r="AJ313">
        <x:v>340</x:v>
      </x:c>
    </x:row>
    <x:row r="314">
      <x:c r="A314" t="s">
        <x:v>2207</x:v>
      </x:c>
      <x:c r="B314" t="s">
        <x:v>2208</x:v>
      </x:c>
      <x:c r="C314" t="s">
        <x:v>2524</x:v>
      </x:c>
      <x:c r="D314" t="s">
        <x:v>2535</x:v>
      </x:c>
      <x:c r="E314" t="s">
        <x:v>2536</x:v>
      </x:c>
      <x:c r="F314">
        <x:v>2980</x:v>
      </x:c>
      <x:c r="G314">
        <x:v>2980</x:v>
      </x:c>
      <x:c r="H314">
        <x:v>2980</x:v>
      </x:c>
      <x:c r="I314" t="s">
        <x:v>2537</x:v>
      </x:c>
      <x:c r="J314" t="s">
        <x:v>2537</x:v>
      </x:c>
      <x:c r="K314" t="s">
        <x:v>2538</x:v>
      </x:c>
      <x:c r="L314" t="s">
        <x:v>2538</x:v>
      </x:c>
      <x:c r="M314" t="s">
        <x:v>2539</x:v>
      </x:c>
      <x:c r="N314" t="s">
        <x:v>2530</x:v>
      </x:c>
      <x:c r="O314" t="s">
        <x:v>2531</x:v>
      </x:c>
      <x:c r="P314" t="s">
        <x:v>2532</x:v>
      </x:c>
      <x:c r="R314" s="9">
        <x:v>37462</x:v>
      </x:c>
      <x:c r="T314" t="s">
        <x:v>119</x:v>
      </x:c>
      <x:c r="W314" s="26" t="n">
        <x:v>6.78444</x:v>
      </x:c>
      <x:c r="X314" s="26" t="n">
        <x:v>-75.66938</x:v>
      </x:c>
      <x:c r="Y314">
        <x:v>4360.7430000000004</x:v>
      </x:c>
      <x:c r="Z314">
        <x:v>2730</x:v>
      </x:c>
      <x:c r="AB314" t="s">
        <x:v>2533</x:v>
      </x:c>
      <x:c r="AF314" t="s">
        <x:v>50</x:v>
      </x:c>
      <x:c r="AG314" t="s">
        <x:v>402</x:v>
      </x:c>
      <x:c r="AH314" t="s">
        <x:v>1728</x:v>
      </x:c>
      <x:c r="AI314" t="s">
        <x:v>2540</x:v>
      </x:c>
      <x:c r="AJ314">
        <x:v>341</x:v>
      </x:c>
    </x:row>
    <x:row r="315">
      <x:c r="A315" t="s">
        <x:v>2207</x:v>
      </x:c>
      <x:c r="B315" t="s">
        <x:v>2208</x:v>
      </x:c>
      <x:c r="C315" t="s">
        <x:v>2541</x:v>
      </x:c>
      <x:c r="D315" t="s">
        <x:v>2542</x:v>
      </x:c>
      <x:c r="E315" t="s">
        <x:v>2536</x:v>
      </x:c>
      <x:c r="F315">
        <x:v>2980</x:v>
      </x:c>
      <x:c r="G315">
        <x:v>2980</x:v>
      </x:c>
      <x:c r="H315">
        <x:v>2980</x:v>
      </x:c>
      <x:c r="I315" t="s">
        <x:v>2527</x:v>
      </x:c>
      <x:c r="J315" t="s">
        <x:v>2527</x:v>
      </x:c>
      <x:c r="K315" t="s">
        <x:v>2543</x:v>
      </x:c>
      <x:c r="L315" t="s">
        <x:v>2543</x:v>
      </x:c>
      <x:c r="M315" t="s">
        <x:v>2544</x:v>
      </x:c>
      <x:c r="N315" t="s">
        <x:v>2530</x:v>
      </x:c>
      <x:c r="O315" t="s">
        <x:v>2531</x:v>
      </x:c>
      <x:c r="P315" t="s">
        <x:v>2532</x:v>
      </x:c>
      <x:c r="R315" s="9">
        <x:v>37462</x:v>
      </x:c>
      <x:c r="T315" t="s">
        <x:v>119</x:v>
      </x:c>
      <x:c r="W315" s="26" t="n">
        <x:v>6.78444</x:v>
      </x:c>
      <x:c r="X315" s="26" t="n">
        <x:v>-75.66938</x:v>
      </x:c>
      <x:c r="Y315">
        <x:v>4360.7430000000004</x:v>
      </x:c>
      <x:c r="Z315">
        <x:v>2730</x:v>
      </x:c>
      <x:c r="AB315" t="s">
        <x:v>2533</x:v>
      </x:c>
      <x:c r="AF315" t="s">
        <x:v>50</x:v>
      </x:c>
      <x:c r="AG315" t="s">
        <x:v>402</x:v>
      </x:c>
      <x:c r="AH315" t="s">
        <x:v>1728</x:v>
      </x:c>
      <x:c r="AI315" t="s">
        <x:v>2540</x:v>
      </x:c>
      <x:c r="AJ315">
        <x:v>342</x:v>
      </x:c>
    </x:row>
    <x:row r="316">
      <x:c r="A316" t="s">
        <x:v>2207</x:v>
      </x:c>
      <x:c r="B316" t="s">
        <x:v>2208</x:v>
      </x:c>
      <x:c r="C316" t="s">
        <x:v>2545</x:v>
      </x:c>
      <x:c r="D316" t="s">
        <x:v>2546</x:v>
      </x:c>
      <x:c r="E316" t="s">
        <x:v>2547</x:v>
      </x:c>
      <x:c r="F316">
        <x:v>1910</x:v>
      </x:c>
      <x:c r="G316">
        <x:v>1910</x:v>
      </x:c>
      <x:c r="H316">
        <x:v>1910</x:v>
      </x:c>
      <x:c r="I316" t="s">
        <x:v>2548</x:v>
      </x:c>
      <x:c r="J316" t="s">
        <x:v>2548</x:v>
      </x:c>
      <x:c r="K316" t="s">
        <x:v>2549</x:v>
      </x:c>
      <x:c r="L316" t="s">
        <x:v>2549</x:v>
      </x:c>
      <x:c r="M316" t="s">
        <x:v>2550</x:v>
      </x:c>
      <x:c r="N316" t="s">
        <x:v>2551</x:v>
      </x:c>
      <x:c r="O316" t="s">
        <x:v>2552</x:v>
      </x:c>
      <x:c r="P316" t="s">
        <x:v>2553</x:v>
      </x:c>
      <x:c r="R316" s="9">
        <x:v>37525</x:v>
      </x:c>
      <x:c r="T316" t="s">
        <x:v>119</x:v>
      </x:c>
      <x:c r="W316" s="26" t="n">
        <x:v>6.78175</x:v>
      </x:c>
      <x:c r="X316" s="26" t="n">
        <x:v>-75.7928333</x:v>
      </x:c>
      <x:c r="AF316" t="s">
        <x:v>50</x:v>
      </x:c>
      <x:c r="AG316" t="s">
        <x:v>402</x:v>
      </x:c>
      <x:c r="AH316" t="s">
        <x:v>902</x:v>
      </x:c>
      <x:c r="AI316" t="s">
        <x:v>2554</x:v>
      </x:c>
      <x:c r="AJ316">
        <x:v>343</x:v>
      </x:c>
    </x:row>
    <x:row r="317">
      <x:c r="A317" t="s">
        <x:v>2207</x:v>
      </x:c>
      <x:c r="B317" t="s">
        <x:v>2208</x:v>
      </x:c>
      <x:c r="C317" t="s">
        <x:v>2545</x:v>
      </x:c>
      <x:c r="D317" t="s">
        <x:v>2555</x:v>
      </x:c>
      <x:c r="E317" t="s">
        <x:v>2547</x:v>
      </x:c>
      <x:c r="F317">
        <x:v>1910</x:v>
      </x:c>
      <x:c r="G317">
        <x:v>1910</x:v>
      </x:c>
      <x:c r="H317">
        <x:v>1910</x:v>
      </x:c>
      <x:c r="I317" t="s">
        <x:v>2548</x:v>
      </x:c>
      <x:c r="J317" t="s">
        <x:v>2548</x:v>
      </x:c>
      <x:c r="K317" t="s">
        <x:v>2549</x:v>
      </x:c>
      <x:c r="L317" t="s">
        <x:v>2549</x:v>
      </x:c>
      <x:c r="M317" t="s">
        <x:v>2550</x:v>
      </x:c>
      <x:c r="N317" t="s">
        <x:v>2551</x:v>
      </x:c>
      <x:c r="O317" t="s">
        <x:v>2552</x:v>
      </x:c>
      <x:c r="P317" t="s">
        <x:v>2553</x:v>
      </x:c>
      <x:c r="R317" s="9">
        <x:v>37525</x:v>
      </x:c>
      <x:c r="T317" t="s">
        <x:v>119</x:v>
      </x:c>
      <x:c r="W317" s="26" t="n">
        <x:v>6.78175</x:v>
      </x:c>
      <x:c r="X317" s="26" t="n">
        <x:v>-75.7928333</x:v>
      </x:c>
      <x:c r="AF317" t="s">
        <x:v>50</x:v>
      </x:c>
      <x:c r="AG317" t="s">
        <x:v>402</x:v>
      </x:c>
      <x:c r="AH317" t="s">
        <x:v>902</x:v>
      </x:c>
      <x:c r="AI317" t="s">
        <x:v>2554</x:v>
      </x:c>
      <x:c r="AJ317">
        <x:v>344</x:v>
      </x:c>
    </x:row>
    <x:row r="318">
      <x:c r="A318" t="s">
        <x:v>2207</x:v>
      </x:c>
      <x:c r="B318" t="s">
        <x:v>2208</x:v>
      </x:c>
      <x:c r="C318" t="s">
        <x:v>2556</x:v>
      </x:c>
      <x:c r="D318" t="s">
        <x:v>2557</x:v>
      </x:c>
      <x:c r="E318" t="s">
        <x:v>2558</x:v>
      </x:c>
      <x:c r="F318">
        <x:v>2500</x:v>
      </x:c>
      <x:c r="G318">
        <x:v>2500</x:v>
      </x:c>
      <x:c r="H318">
        <x:v>2500</x:v>
      </x:c>
      <x:c r="I318" t="s">
        <x:v>894</x:v>
      </x:c>
      <x:c r="J318" t="s">
        <x:v>894</x:v>
      </x:c>
      <x:c r="K318" t="s">
        <x:v>896</x:v>
      </x:c>
      <x:c r="L318" t="s">
        <x:v>896</x:v>
      </x:c>
      <x:c r="M318" t="s">
        <x:v>897</x:v>
      </x:c>
      <x:c r="N318" t="s">
        <x:v>898</x:v>
      </x:c>
      <x:c r="O318" t="s">
        <x:v>899</x:v>
      </x:c>
      <x:c r="P318" t="s">
        <x:v>900</x:v>
      </x:c>
      <x:c r="R318" s="9">
        <x:v>37526</x:v>
      </x:c>
      <x:c r="T318" t="s">
        <x:v>119</x:v>
      </x:c>
      <x:c r="W318" s="26" t="n">
        <x:v>6.7727778</x:v>
      </x:c>
      <x:c r="X318" s="26" t="n">
        <x:v>-75.7920278</x:v>
      </x:c>
      <x:c r="AF318" t="s">
        <x:v>50</x:v>
      </x:c>
      <x:c r="AG318" t="s">
        <x:v>402</x:v>
      </x:c>
      <x:c r="AH318" t="s">
        <x:v>902</x:v>
      </x:c>
      <x:c r="AI318" t="s">
        <x:v>2559</x:v>
      </x:c>
      <x:c r="AJ318">
        <x:v>345</x:v>
      </x:c>
    </x:row>
    <x:row r="319">
      <x:c r="A319" t="s">
        <x:v>2207</x:v>
      </x:c>
      <x:c r="B319" t="s">
        <x:v>2208</x:v>
      </x:c>
      <x:c r="C319" t="s">
        <x:v>2560</x:v>
      </x:c>
      <x:c r="D319" t="s">
        <x:v>2561</x:v>
      </x:c>
      <x:c r="E319" t="s">
        <x:v>2562</x:v>
      </x:c>
      <x:c r="F319">
        <x:v>2500</x:v>
      </x:c>
      <x:c r="G319">
        <x:v>2500</x:v>
      </x:c>
      <x:c r="H319">
        <x:v>2500</x:v>
      </x:c>
      <x:c r="I319" t="s">
        <x:v>2563</x:v>
      </x:c>
      <x:c r="J319" t="s">
        <x:v>2563</x:v>
      </x:c>
      <x:c r="K319" t="s">
        <x:v>975</x:v>
      </x:c>
      <x:c r="L319" t="s">
        <x:v>975</x:v>
      </x:c>
      <x:c r="M319" t="s">
        <x:v>2564</x:v>
      </x:c>
      <x:c r="N319" t="s">
        <x:v>977</x:v>
      </x:c>
      <x:c r="O319" t="s">
        <x:v>978</x:v>
      </x:c>
      <x:c r="P319" t="s">
        <x:v>979</x:v>
      </x:c>
      <x:c r="R319" s="9">
        <x:v>37667</x:v>
      </x:c>
      <x:c r="T319" t="s">
        <x:v>119</x:v>
      </x:c>
      <x:c r="W319" s="26" t="n">
        <x:v>6.2133333</x:v>
      </x:c>
      <x:c r="X319" s="26" t="n">
        <x:v>-75.4922778</x:v>
      </x:c>
      <x:c r="AF319" t="s">
        <x:v>50</x:v>
      </x:c>
      <x:c r="AG319" t="s">
        <x:v>402</x:v>
      </x:c>
      <x:c r="AH319" t="s">
        <x:v>536</x:v>
      </x:c>
      <x:c r="AI319" t="s">
        <x:v>2565</x:v>
      </x:c>
      <x:c r="AJ319">
        <x:v>346</x:v>
      </x:c>
    </x:row>
    <x:row r="320">
      <x:c r="A320" t="s">
        <x:v>2207</x:v>
      </x:c>
      <x:c r="B320" t="s">
        <x:v>2208</x:v>
      </x:c>
      <x:c r="C320" t="s">
        <x:v>2566</x:v>
      </x:c>
      <x:c r="D320" t="s">
        <x:v>2567</x:v>
      </x:c>
      <x:c r="E320" t="s">
        <x:v>2568</x:v>
      </x:c>
      <x:c r="F320">
        <x:v>2009</x:v>
      </x:c>
      <x:c r="G320">
        <x:v>2009</x:v>
      </x:c>
      <x:c r="H320">
        <x:v>2009</x:v>
      </x:c>
      <x:c r="I320" t="s">
        <x:v>2569</x:v>
      </x:c>
      <x:c r="J320" t="s">
        <x:v>2569</x:v>
      </x:c>
      <x:c r="K320" t="s">
        <x:v>2570</x:v>
      </x:c>
      <x:c r="L320" t="s">
        <x:v>2570</x:v>
      </x:c>
      <x:c r="M320" t="s">
        <x:v>2571</x:v>
      </x:c>
      <x:c r="N320" t="s">
        <x:v>2572</x:v>
      </x:c>
      <x:c r="O320" t="s">
        <x:v>2573</x:v>
      </x:c>
      <x:c r="P320" t="s">
        <x:v>2574</x:v>
      </x:c>
      <x:c r="R320" s="9">
        <x:v>37796</x:v>
      </x:c>
      <x:c r="T320" t="s">
        <x:v>119</x:v>
      </x:c>
      <x:c r="W320" s="26" t="n">
        <x:v>5.93646</x:v>
      </x:c>
      <x:c r="X320" s="26" t="n">
        <x:v>-75.70248</x:v>
      </x:c>
      <x:c r="Y320">
        <x:v>719.63099999999997</x:v>
      </x:c>
      <x:c r="Z320">
        <x:v>2348</x:v>
      </x:c>
      <x:c r="AB320" t="s">
        <x:v>2575</x:v>
      </x:c>
      <x:c r="AF320" t="s">
        <x:v>50</x:v>
      </x:c>
      <x:c r="AG320" t="s">
        <x:v>402</x:v>
      </x:c>
      <x:c r="AH320" t="s">
        <x:v>1034</x:v>
      </x:c>
      <x:c r="AI320" t="s">
        <x:v>2576</x:v>
      </x:c>
      <x:c r="AJ320">
        <x:v>347</x:v>
      </x:c>
    </x:row>
    <x:row r="321">
      <x:c r="A321" t="s">
        <x:v>2207</x:v>
      </x:c>
      <x:c r="B321" t="s">
        <x:v>2208</x:v>
      </x:c>
      <x:c r="C321" t="s">
        <x:v>2577</x:v>
      </x:c>
      <x:c r="D321" t="s">
        <x:v>2578</x:v>
      </x:c>
      <x:c r="E321" t="s">
        <x:v>2579</x:v>
      </x:c>
      <x:c r="F321">
        <x:v>2500</x:v>
      </x:c>
      <x:c r="G321">
        <x:v>2500</x:v>
      </x:c>
      <x:c r="H321">
        <x:v>2500</x:v>
      </x:c>
      <x:c r="I321" t="s">
        <x:v>2580</x:v>
      </x:c>
      <x:c r="J321" t="s">
        <x:v>2580</x:v>
      </x:c>
      <x:c r="K321" t="s">
        <x:v>2581</x:v>
      </x:c>
      <x:c r="L321" t="s">
        <x:v>2581</x:v>
      </x:c>
      <x:c r="M321" t="s">
        <x:v>2582</x:v>
      </x:c>
      <x:c r="N321" t="s">
        <x:v>977</x:v>
      </x:c>
      <x:c r="O321" t="s">
        <x:v>978</x:v>
      </x:c>
      <x:c r="P321" t="s">
        <x:v>979</x:v>
      </x:c>
      <x:c r="R321" s="9">
        <x:v>37865</x:v>
      </x:c>
      <x:c r="T321" t="s">
        <x:v>119</x:v>
      </x:c>
      <x:c r="W321" s="26" t="n">
        <x:v>6.2133333</x:v>
      </x:c>
      <x:c r="X321" s="26" t="n">
        <x:v>-75.4922778</x:v>
      </x:c>
      <x:c r="AF321" t="s">
        <x:v>50</x:v>
      </x:c>
      <x:c r="AG321" t="s">
        <x:v>402</x:v>
      </x:c>
      <x:c r="AH321" t="s">
        <x:v>855</x:v>
      </x:c>
      <x:c r="AI321" t="s">
        <x:v>2583</x:v>
      </x:c>
      <x:c r="AJ321">
        <x:v>348</x:v>
      </x:c>
    </x:row>
    <x:row r="322" s="2" customFormat="1">
      <x:c r="A322" t="s">
        <x:v>2207</x:v>
      </x:c>
      <x:c r="B322" t="s">
        <x:v>2208</x:v>
      </x:c>
      <x:c r="C322" t="s">
        <x:v>2584</x:v>
      </x:c>
      <x:c r="D322" t="s">
        <x:v>2585</x:v>
      </x:c>
      <x:c r="E322" t="s">
        <x:v>2586</x:v>
      </x:c>
      <x:c r="F322">
        <x:v>1750</x:v>
      </x:c>
      <x:c r="G322">
        <x:v>1750</x:v>
      </x:c>
      <x:c r="H322">
        <x:v>1750</x:v>
      </x:c>
      <x:c r="I322" t="s">
        <x:v>2587</x:v>
      </x:c>
      <x:c r="J322" t="s">
        <x:v>2587</x:v>
      </x:c>
      <x:c r="K322" t="s">
        <x:v>2588</x:v>
      </x:c>
      <x:c r="L322" t="s">
        <x:v>2588</x:v>
      </x:c>
      <x:c r="M322" t="s">
        <x:v>2589</x:v>
      </x:c>
      <x:c r="N322" t="s">
        <x:v>2590</x:v>
      </x:c>
      <x:c r="O322" t="s">
        <x:v>2591</x:v>
      </x:c>
      <x:c r="P322" t="s">
        <x:v>2592</x:v>
      </x:c>
      <x:c r="Q322"/>
      <x:c r="R322" s="9">
        <x:v>37894</x:v>
      </x:c>
      <x:c r="S322"/>
      <x:c r="T322" t="s">
        <x:v>481</x:v>
      </x:c>
      <x:c r="U322"/>
      <x:c r="V322"/>
      <x:c r="W322" s="26" t="n">
        <x:v>6.9820556</x:v>
      </x:c>
      <x:c r="X322" s="26" t="n">
        <x:v>-75.1328889</x:v>
      </x:c>
      <x:c r="Y322"/>
      <x:c r="Z322"/>
      <x:c r="AA322"/>
      <x:c r="AB322"/>
      <x:c r="AC322"/>
      <x:c r="AD322"/>
      <x:c r="AE322"/>
      <x:c r="AF322" t="s">
        <x:v>50</x:v>
      </x:c>
      <x:c r="AG322" t="s">
        <x:v>402</x:v>
      </x:c>
      <x:c r="AH322" t="s">
        <x:v>1186</x:v>
      </x:c>
      <x:c r="AI322" t="s">
        <x:v>2593</x:v>
      </x:c>
      <x:c r="AJ322">
        <x:v>349</x:v>
      </x:c>
    </x:row>
    <x:row r="323">
      <x:c r="A323" t="s">
        <x:v>2207</x:v>
      </x:c>
      <x:c r="B323" t="s">
        <x:v>2208</x:v>
      </x:c>
      <x:c r="C323" t="s">
        <x:v>2584</x:v>
      </x:c>
      <x:c r="D323" t="s">
        <x:v>2594</x:v>
      </x:c>
      <x:c r="E323" t="s">
        <x:v>2595</x:v>
      </x:c>
      <x:c r="F323">
        <x:v>1750</x:v>
      </x:c>
      <x:c r="G323">
        <x:v>1750</x:v>
      </x:c>
      <x:c r="H323">
        <x:v>1750</x:v>
      </x:c>
      <x:c r="I323" t="s">
        <x:v>2587</x:v>
      </x:c>
      <x:c r="J323" t="s">
        <x:v>2587</x:v>
      </x:c>
      <x:c r="K323" t="s">
        <x:v>2588</x:v>
      </x:c>
      <x:c r="L323" t="s">
        <x:v>2588</x:v>
      </x:c>
      <x:c r="M323" t="s">
        <x:v>2589</x:v>
      </x:c>
      <x:c r="N323" t="s">
        <x:v>2590</x:v>
      </x:c>
      <x:c r="O323" t="s">
        <x:v>2591</x:v>
      </x:c>
      <x:c r="P323" t="s">
        <x:v>2592</x:v>
      </x:c>
      <x:c r="R323" s="9">
        <x:v>37894</x:v>
      </x:c>
      <x:c r="T323" t="s">
        <x:v>119</x:v>
      </x:c>
      <x:c r="W323" s="26" t="n">
        <x:v>6.9820556</x:v>
      </x:c>
      <x:c r="X323" s="26" t="n">
        <x:v>-75.1328889</x:v>
      </x:c>
      <x:c r="AF323" t="s">
        <x:v>50</x:v>
      </x:c>
      <x:c r="AG323" t="s">
        <x:v>402</x:v>
      </x:c>
      <x:c r="AH323" t="s">
        <x:v>1186</x:v>
      </x:c>
      <x:c r="AI323" t="s">
        <x:v>2596</x:v>
      </x:c>
      <x:c r="AJ323">
        <x:v>350</x:v>
      </x:c>
    </x:row>
    <x:row r="324">
      <x:c r="A324" t="s">
        <x:v>2207</x:v>
      </x:c>
      <x:c r="B324" t="s">
        <x:v>2208</x:v>
      </x:c>
      <x:c r="C324" t="s">
        <x:v>2597</x:v>
      </x:c>
      <x:c r="D324" t="s">
        <x:v>2598</x:v>
      </x:c>
      <x:c r="E324" t="s">
        <x:v>1024</x:v>
      </x:c>
      <x:c r="F324" t="s">
        <x:v>1025</x:v>
      </x:c>
      <x:c r="G324">
        <x:v>2150</x:v>
      </x:c>
      <x:c r="H324">
        <x:v>2250</x:v>
      </x:c>
      <x:c r="I324" t="s">
        <x:v>2599</x:v>
      </x:c>
      <x:c r="J324" t="s">
        <x:v>2599</x:v>
      </x:c>
      <x:c r="K324" t="s">
        <x:v>2600</x:v>
      </x:c>
      <x:c r="L324" t="s">
        <x:v>2600</x:v>
      </x:c>
      <x:c r="M324" t="s">
        <x:v>2601</x:v>
      </x:c>
      <x:c r="N324" t="s">
        <x:v>2602</x:v>
      </x:c>
      <x:c r="O324" t="s">
        <x:v>2603</x:v>
      </x:c>
      <x:c r="P324" t="s">
        <x:v>2604</x:v>
      </x:c>
      <x:c r="R324" s="9">
        <x:v>38342</x:v>
      </x:c>
      <x:c r="T324" t="s">
        <x:v>119</x:v>
      </x:c>
      <x:c r="W324" s="26" t="n">
        <x:v>5.9835556</x:v>
      </x:c>
      <x:c r="X324" s="26" t="n">
        <x:v>-75.6352222</x:v>
      </x:c>
      <x:c r="AF324" t="s">
        <x:v>50</x:v>
      </x:c>
      <x:c r="AG324" t="s">
        <x:v>402</x:v>
      </x:c>
      <x:c r="AH324" t="s">
        <x:v>1034</x:v>
      </x:c>
      <x:c r="AI324" t="s">
        <x:v>1035</x:v>
      </x:c>
      <x:c r="AJ324">
        <x:v>351</x:v>
      </x:c>
    </x:row>
    <x:row r="325" s="2" customFormat="1">
      <x:c r="A325" t="s">
        <x:v>2207</x:v>
      </x:c>
      <x:c r="B325" t="s">
        <x:v>2208</x:v>
      </x:c>
      <x:c r="C325" t="s">
        <x:v>2605</x:v>
      </x:c>
      <x:c r="D325" t="s">
        <x:v>2606</x:v>
      </x:c>
      <x:c r="E325" t="s">
        <x:v>2607</x:v>
      </x:c>
      <x:c r="F325" t="s">
        <x:v>2608</x:v>
      </x:c>
      <x:c r="G325">
        <x:v>2280</x:v>
      </x:c>
      <x:c r="H325">
        <x:v>2560</x:v>
      </x:c>
      <x:c r="I325" t="s">
        <x:v>2609</x:v>
      </x:c>
      <x:c r="J325" t="s">
        <x:v>2609</x:v>
      </x:c>
      <x:c r="K325" t="s">
        <x:v>2610</x:v>
      </x:c>
      <x:c r="L325" t="s">
        <x:v>2610</x:v>
      </x:c>
      <x:c r="M325" t="s">
        <x:v>2611</x:v>
      </x:c>
      <x:c r="N325" t="s">
        <x:v>2612</x:v>
      </x:c>
      <x:c r="O325" t="s">
        <x:v>2613</x:v>
      </x:c>
      <x:c r="P325" t="s">
        <x:v>2614</x:v>
      </x:c>
      <x:c r="Q325"/>
      <x:c r="R325" s="9">
        <x:v>38361</x:v>
      </x:c>
      <x:c r="S325"/>
      <x:c r="T325" t="s">
        <x:v>119</x:v>
      </x:c>
      <x:c r="U325"/>
      <x:c r="V325"/>
      <x:c r="W325" s="26" t="n">
        <x:v>5.487</x:v>
      </x:c>
      <x:c r="X325" s="26" t="n">
        <x:v>-75.8977778</x:v>
      </x:c>
      <x:c r="Y325"/>
      <x:c r="Z325"/>
      <x:c r="AA325"/>
      <x:c r="AB325"/>
      <x:c r="AC325"/>
      <x:c r="AD325"/>
      <x:c r="AE325"/>
      <x:c r="AF325" t="s">
        <x:v>50</x:v>
      </x:c>
      <x:c r="AG325" t="s">
        <x:v>402</x:v>
      </x:c>
      <x:c r="AH325" t="s">
        <x:v>2615</x:v>
      </x:c>
      <x:c r="AI325" t="s">
        <x:v>2616</x:v>
      </x:c>
      <x:c r="AJ325">
        <x:v>352</x:v>
      </x:c>
    </x:row>
    <x:row r="326" s="2" customFormat="1">
      <x:c r="A326" t="s">
        <x:v>2207</x:v>
      </x:c>
      <x:c r="B326" t="s">
        <x:v>2208</x:v>
      </x:c>
      <x:c r="C326" t="s">
        <x:v>2617</x:v>
      </x:c>
      <x:c r="D326" t="s">
        <x:v>2618</x:v>
      </x:c>
      <x:c r="E326" t="s">
        <x:v>2619</x:v>
      </x:c>
      <x:c r="F326">
        <x:v>1950</x:v>
      </x:c>
      <x:c r="G326">
        <x:v>1950</x:v>
      </x:c>
      <x:c r="H326">
        <x:v>1950</x:v>
      </x:c>
      <x:c r="I326" t="s">
        <x:v>2620</x:v>
      </x:c>
      <x:c r="J326" t="s">
        <x:v>2621</x:v>
      </x:c>
      <x:c r="K326" t="s">
        <x:v>2622</x:v>
      </x:c>
      <x:c r="L326" t="s">
        <x:v>2623</x:v>
      </x:c>
      <x:c r="M326" t="s">
        <x:v>2624</x:v>
      </x:c>
      <x:c r="N326" t="s">
        <x:v>2625</x:v>
      </x:c>
      <x:c r="O326" t="s">
        <x:v>2626</x:v>
      </x:c>
      <x:c r="P326" t="s">
        <x:v>2627</x:v>
      </x:c>
      <x:c r="Q326"/>
      <x:c r="R326" s="9">
        <x:v>38389</x:v>
      </x:c>
      <x:c r="S326"/>
      <x:c r="T326" t="s">
        <x:v>119</x:v>
      </x:c>
      <x:c r="U326"/>
      <x:c r="V326"/>
      <x:c r="W326" s="26" t="n">
        <x:v>6.1153</x:v>
      </x:c>
      <x:c r="X326" s="26" t="n">
        <x:v>-75.6983778</x:v>
      </x:c>
      <x:c r="Y326"/>
      <x:c r="Z326"/>
      <x:c r="AA326"/>
      <x:c r="AB326"/>
      <x:c r="AC326"/>
      <x:c r="AD326"/>
      <x:c r="AE326"/>
      <x:c r="AF326" t="s">
        <x:v>50</x:v>
      </x:c>
      <x:c r="AG326" t="s">
        <x:v>402</x:v>
      </x:c>
      <x:c r="AH326" t="s">
        <x:v>2628</x:v>
      </x:c>
      <x:c r="AI326" t="s">
        <x:v>2629</x:v>
      </x:c>
      <x:c r="AJ326">
        <x:v>353</x:v>
      </x:c>
    </x:row>
    <x:row r="327">
      <x:c r="A327" t="s">
        <x:v>2207</x:v>
      </x:c>
      <x:c r="B327" t="s">
        <x:v>2208</x:v>
      </x:c>
      <x:c r="C327" t="s">
        <x:v>2617</x:v>
      </x:c>
      <x:c r="D327" t="s">
        <x:v>2618</x:v>
      </x:c>
      <x:c r="E327" t="s">
        <x:v>2619</x:v>
      </x:c>
      <x:c r="F327">
        <x:v>1950</x:v>
      </x:c>
      <x:c r="G327">
        <x:v>1950</x:v>
      </x:c>
      <x:c r="H327">
        <x:v>1950</x:v>
      </x:c>
      <x:c r="I327" t="s">
        <x:v>2620</x:v>
      </x:c>
      <x:c r="J327" t="s">
        <x:v>2621</x:v>
      </x:c>
      <x:c r="K327" t="s">
        <x:v>2622</x:v>
      </x:c>
      <x:c r="L327" t="s">
        <x:v>2623</x:v>
      </x:c>
      <x:c r="M327" t="s">
        <x:v>2624</x:v>
      </x:c>
      <x:c r="N327" t="s">
        <x:v>2625</x:v>
      </x:c>
      <x:c r="O327" t="s">
        <x:v>2626</x:v>
      </x:c>
      <x:c r="P327" t="s">
        <x:v>2627</x:v>
      </x:c>
      <x:c r="R327" s="9">
        <x:v>38389</x:v>
      </x:c>
      <x:c r="T327" t="s">
        <x:v>119</x:v>
      </x:c>
      <x:c r="W327" s="26" t="n">
        <x:v>6.1153</x:v>
      </x:c>
      <x:c r="X327" s="26" t="n">
        <x:v>-75.6983778</x:v>
      </x:c>
      <x:c r="AF327" t="s">
        <x:v>50</x:v>
      </x:c>
      <x:c r="AG327" t="s">
        <x:v>402</x:v>
      </x:c>
      <x:c r="AH327" t="s">
        <x:v>2628</x:v>
      </x:c>
      <x:c r="AI327" t="s">
        <x:v>2629</x:v>
      </x:c>
      <x:c r="AJ327">
        <x:v>354</x:v>
      </x:c>
    </x:row>
    <x:row r="328">
      <x:c r="A328" t="s">
        <x:v>2207</x:v>
      </x:c>
      <x:c r="B328" t="s">
        <x:v>2208</x:v>
      </x:c>
      <x:c r="C328" t="s">
        <x:v>2630</x:v>
      </x:c>
      <x:c r="D328" t="s">
        <x:v>2631</x:v>
      </x:c>
      <x:c r="E328" t="s">
        <x:v>2632</x:v>
      </x:c>
      <x:c r="F328" t="s">
        <x:v>2633</x:v>
      </x:c>
      <x:c r="G328">
        <x:v>2100</x:v>
      </x:c>
      <x:c r="H328">
        <x:v>2200</x:v>
      </x:c>
      <x:c r="I328" t="s">
        <x:v>2634</x:v>
      </x:c>
      <x:c r="J328" t="s">
        <x:v>2634</x:v>
      </x:c>
      <x:c r="K328" t="s">
        <x:v>2635</x:v>
      </x:c>
      <x:c r="L328" t="s">
        <x:v>2635</x:v>
      </x:c>
      <x:c r="M328" t="s">
        <x:v>2636</x:v>
      </x:c>
      <x:c r="N328" t="s">
        <x:v>2637</x:v>
      </x:c>
      <x:c r="O328" t="s">
        <x:v>2638</x:v>
      </x:c>
      <x:c r="P328" t="s">
        <x:v>2639</x:v>
      </x:c>
      <x:c r="R328" s="9">
        <x:v>38653</x:v>
      </x:c>
      <x:c r="T328" t="s">
        <x:v>119</x:v>
      </x:c>
      <x:c r="W328" s="26" t="n">
        <x:v>6.1580556</x:v>
      </x:c>
      <x:c r="X328" s="26" t="n">
        <x:v>-75.7013889</x:v>
      </x:c>
      <x:c r="AF328" t="s">
        <x:v>50</x:v>
      </x:c>
      <x:c r="AG328" t="s">
        <x:v>402</x:v>
      </x:c>
      <x:c r="AH328" t="s">
        <x:v>2628</x:v>
      </x:c>
      <x:c r="AI328" t="s">
        <x:v>2640</x:v>
      </x:c>
      <x:c r="AJ328">
        <x:v>355</x:v>
      </x:c>
    </x:row>
    <x:row r="329">
      <x:c r="A329" t="s">
        <x:v>2207</x:v>
      </x:c>
      <x:c r="B329" t="s">
        <x:v>2208</x:v>
      </x:c>
      <x:c r="C329" t="s">
        <x:v>2641</x:v>
      </x:c>
      <x:c r="D329" t="s">
        <x:v>2642</x:v>
      </x:c>
      <x:c r="E329" t="s">
        <x:v>2643</x:v>
      </x:c>
      <x:c r="F329">
        <x:v>2430</x:v>
      </x:c>
      <x:c r="G329">
        <x:v>2430</x:v>
      </x:c>
      <x:c r="H329">
        <x:v>2430</x:v>
      </x:c>
      <x:c r="I329" t="s">
        <x:v>2644</x:v>
      </x:c>
      <x:c r="J329" t="s">
        <x:v>2644</x:v>
      </x:c>
      <x:c r="K329" t="s">
        <x:v>2645</x:v>
      </x:c>
      <x:c r="L329" t="s">
        <x:v>2645</x:v>
      </x:c>
      <x:c r="M329" t="s">
        <x:v>2646</x:v>
      </x:c>
      <x:c r="N329" t="s">
        <x:v>2647</x:v>
      </x:c>
      <x:c r="O329" t="s">
        <x:v>2648</x:v>
      </x:c>
      <x:c r="P329" t="s">
        <x:v>2649</x:v>
      </x:c>
      <x:c r="R329" s="9">
        <x:v>39029</x:v>
      </x:c>
      <x:c r="T329" t="s">
        <x:v>119</x:v>
      </x:c>
      <x:c r="W329" s="26" t="n">
        <x:v>6.2110278</x:v>
      </x:c>
      <x:c r="X329" s="26" t="n">
        <x:v>-75.6551389</x:v>
      </x:c>
      <x:c r="AF329" t="s">
        <x:v>50</x:v>
      </x:c>
      <x:c r="AG329" t="s">
        <x:v>402</x:v>
      </x:c>
      <x:c r="AH329" t="s">
        <x:v>855</x:v>
      </x:c>
      <x:c r="AI329" t="s">
        <x:v>2650</x:v>
      </x:c>
      <x:c r="AJ329">
        <x:v>356</x:v>
      </x:c>
    </x:row>
    <x:row r="330">
      <x:c r="A330" t="s">
        <x:v>2207</x:v>
      </x:c>
      <x:c r="B330" t="s">
        <x:v>2208</x:v>
      </x:c>
      <x:c r="C330" t="s">
        <x:v>2651</x:v>
      </x:c>
      <x:c r="D330" t="s">
        <x:v>1837</x:v>
      </x:c>
      <x:c r="E330" t="s">
        <x:v>2652</x:v>
      </x:c>
      <x:c r="F330" t="s">
        <x:v>2653</x:v>
      </x:c>
      <x:c r="G330">
        <x:v>800</x:v>
      </x:c>
      <x:c r="H330">
        <x:v>800</x:v>
      </x:c>
      <x:c r="I330" t="s">
        <x:v>1273</x:v>
      </x:c>
      <x:c r="J330" t="s">
        <x:v>1273</x:v>
      </x:c>
      <x:c r="K330" t="s">
        <x:v>1275</x:v>
      </x:c>
      <x:c r="L330" t="s">
        <x:v>1275</x:v>
      </x:c>
      <x:c r="M330" t="s">
        <x:v>1276</x:v>
      </x:c>
      <x:c r="N330" t="s">
        <x:v>1277</x:v>
      </x:c>
      <x:c r="O330" t="s">
        <x:v>1278</x:v>
      </x:c>
      <x:c r="P330" t="s">
        <x:v>1279</x:v>
      </x:c>
      <x:c r="R330" s="9">
        <x:v>39193</x:v>
      </x:c>
      <x:c r="T330" t="s">
        <x:v>318</x:v>
      </x:c>
      <x:c r="W330" s="26" t="n">
        <x:v>6.2927</x:v>
      </x:c>
      <x:c r="X330" s="26" t="n">
        <x:v>-75.50709</x:v>
      </x:c>
      <x:c r="Y330">
        <x:v>3749.79</x:v>
      </x:c>
      <x:c r="Z330">
        <x:v>2379</x:v>
      </x:c>
      <x:c r="AB330" t="s">
        <x:v>2654</x:v>
      </x:c>
      <x:c r="AF330" t="s">
        <x:v>50</x:v>
      </x:c>
      <x:c r="AG330" t="s">
        <x:v>402</x:v>
      </x:c>
      <x:c r="AH330" t="s">
        <x:v>536</x:v>
      </x:c>
      <x:c r="AI330" t="s">
        <x:v>2655</x:v>
      </x:c>
      <x:c r="AJ330">
        <x:v>357</x:v>
      </x:c>
    </x:row>
    <x:row r="331">
      <x:c r="A331" t="s">
        <x:v>2207</x:v>
      </x:c>
      <x:c r="B331" t="s">
        <x:v>2208</x:v>
      </x:c>
      <x:c r="C331" t="s">
        <x:v>2656</x:v>
      </x:c>
      <x:c r="D331" t="s">
        <x:v>2657</x:v>
      </x:c>
      <x:c r="E331" t="s">
        <x:v>2658</x:v>
      </x:c>
      <x:c r="F331" t="s">
        <x:v>2659</x:v>
      </x:c>
      <x:c r="G331">
        <x:v>900</x:v>
      </x:c>
      <x:c r="H331">
        <x:v>920</x:v>
      </x:c>
      <x:c r="I331" t="s">
        <x:v>2660</x:v>
      </x:c>
      <x:c r="J331" t="s">
        <x:v>2661</x:v>
      </x:c>
      <x:c r="K331" t="s">
        <x:v>2662</x:v>
      </x:c>
      <x:c r="L331" t="s">
        <x:v>2663</x:v>
      </x:c>
      <x:c r="M331" t="s">
        <x:v>2664</x:v>
      </x:c>
      <x:c r="N331" t="s">
        <x:v>2665</x:v>
      </x:c>
      <x:c r="O331" t="s">
        <x:v>2666</x:v>
      </x:c>
      <x:c r="P331" t="s">
        <x:v>2667</x:v>
      </x:c>
      <x:c r="R331" s="9">
        <x:v>40748</x:v>
      </x:c>
      <x:c r="T331" t="s">
        <x:v>119</x:v>
      </x:c>
      <x:c r="W331" s="26" t="n">
        <x:v>6.53815</x:v>
      </x:c>
      <x:c r="X331" s="26" t="n">
        <x:v>-76.3222</x:v>
      </x:c>
      <x:c r="Y331">
        <x:v>2588.0100000000002</x:v>
      </x:c>
      <x:c r="Z331">
        <x:v>861</x:v>
      </x:c>
      <x:c r="AB331" t="s">
        <x:v>1501</x:v>
      </x:c>
      <x:c r="AF331" t="s">
        <x:v>50</x:v>
      </x:c>
      <x:c r="AG331" t="s">
        <x:v>402</x:v>
      </x:c>
      <x:c r="AH331" t="s">
        <x:v>1356</x:v>
      </x:c>
      <x:c r="AI331" t="s">
        <x:v>2668</x:v>
      </x:c>
      <x:c r="AJ331">
        <x:v>358</x:v>
      </x:c>
    </x:row>
    <x:row r="332">
      <x:c r="A332" t="s">
        <x:v>2207</x:v>
      </x:c>
      <x:c r="B332" t="s">
        <x:v>2208</x:v>
      </x:c>
      <x:c r="C332" t="s">
        <x:v>2669</x:v>
      </x:c>
      <x:c r="D332" t="s">
        <x:v>2670</x:v>
      </x:c>
      <x:c r="E332" t="s">
        <x:v>2658</x:v>
      </x:c>
      <x:c r="F332" t="s">
        <x:v>2659</x:v>
      </x:c>
      <x:c r="G332">
        <x:v>900</x:v>
      </x:c>
      <x:c r="H332">
        <x:v>920</x:v>
      </x:c>
      <x:c r="I332" t="s">
        <x:v>2661</x:v>
      </x:c>
      <x:c r="J332" t="s">
        <x:v>2661</x:v>
      </x:c>
      <x:c r="K332" t="s">
        <x:v>2663</x:v>
      </x:c>
      <x:c r="L332" t="s">
        <x:v>2663</x:v>
      </x:c>
      <x:c r="M332" t="s">
        <x:v>2664</x:v>
      </x:c>
      <x:c r="N332" t="s">
        <x:v>2665</x:v>
      </x:c>
      <x:c r="O332" t="s">
        <x:v>2666</x:v>
      </x:c>
      <x:c r="P332" t="s">
        <x:v>2667</x:v>
      </x:c>
      <x:c r="R332" s="9">
        <x:v>40748</x:v>
      </x:c>
      <x:c r="T332" t="s">
        <x:v>119</x:v>
      </x:c>
      <x:c r="W332" s="26" t="n">
        <x:v>6.53815</x:v>
      </x:c>
      <x:c r="X332" s="26" t="n">
        <x:v>-76.3222</x:v>
      </x:c>
      <x:c r="Y332">
        <x:v>2588.0100000000002</x:v>
      </x:c>
      <x:c r="Z332">
        <x:v>861</x:v>
      </x:c>
      <x:c r="AB332" t="s">
        <x:v>1501</x:v>
      </x:c>
      <x:c r="AF332" t="s">
        <x:v>50</x:v>
      </x:c>
      <x:c r="AG332" t="s">
        <x:v>402</x:v>
      </x:c>
      <x:c r="AH332" t="s">
        <x:v>1356</x:v>
      </x:c>
      <x:c r="AI332" t="s">
        <x:v>2668</x:v>
      </x:c>
      <x:c r="AJ332">
        <x:v>359</x:v>
      </x:c>
    </x:row>
    <x:row r="333">
      <x:c r="A333" t="s">
        <x:v>2671</x:v>
      </x:c>
      <x:c r="B333" t="s">
        <x:v>2208</x:v>
      </x:c>
      <x:c r="C333" t="s">
        <x:v>2460</x:v>
      </x:c>
      <x:c r="D333" t="s">
        <x:v>2672</x:v>
      </x:c>
      <x:c r="E333" t="s">
        <x:v>2673</x:v>
      </x:c>
      <x:c r="F333">
        <x:v>2400</x:v>
      </x:c>
      <x:c r="G333">
        <x:v>2400</x:v>
      </x:c>
      <x:c r="H333">
        <x:v>2400</x:v>
      </x:c>
      <x:c r="I333" t="s">
        <x:v>2371</x:v>
      </x:c>
      <x:c r="J333" t="s">
        <x:v>2371</x:v>
      </x:c>
      <x:c r="K333" t="s">
        <x:v>2463</x:v>
      </x:c>
      <x:c r="L333" t="s">
        <x:v>2463</x:v>
      </x:c>
      <x:c r="M333" t="s">
        <x:v>2674</x:v>
      </x:c>
      <x:c r="N333" t="s">
        <x:v>532</x:v>
      </x:c>
      <x:c r="O333" t="s">
        <x:v>2426</x:v>
      </x:c>
      <x:c r="P333" t="s">
        <x:v>2427</x:v>
      </x:c>
      <x:c r="R333" s="9">
        <x:v>35855</x:v>
      </x:c>
      <x:c r="T333" t="s">
        <x:v>119</x:v>
      </x:c>
      <x:c r="W333" s="26" t="n">
        <x:v>6.25</x:v>
      </x:c>
      <x:c r="X333" s="26" t="n">
        <x:v>-75.5833333</x:v>
      </x:c>
      <x:c r="AF333" t="s">
        <x:v>50</x:v>
      </x:c>
      <x:c r="AG333" t="s">
        <x:v>402</x:v>
      </x:c>
      <x:c r="AH333" t="s">
        <x:v>855</x:v>
      </x:c>
      <x:c r="AI333" t="s">
        <x:v>2675</x:v>
      </x:c>
      <x:c r="AJ333">
        <x:v>360</x:v>
      </x:c>
    </x:row>
    <x:row r="334">
      <x:c r="A334" t="s">
        <x:v>2207</x:v>
      </x:c>
      <x:c r="B334" t="s">
        <x:v>2208</x:v>
      </x:c>
      <x:c r="C334" t="s">
        <x:v>2676</x:v>
      </x:c>
      <x:c r="D334" t="s">
        <x:v>2677</x:v>
      </x:c>
      <x:c r="E334" t="s">
        <x:v>2678</x:v>
      </x:c>
      <x:c r="F334">
        <x:v>2700</x:v>
      </x:c>
      <x:c r="G334">
        <x:v>2700</x:v>
      </x:c>
      <x:c r="H334">
        <x:v>2700</x:v>
      </x:c>
      <x:c r="P334" t="s">
        <x:v>80</x:v>
      </x:c>
      <x:c r="R334" s="9">
        <x:v>37051</x:v>
      </x:c>
      <x:c r="T334" t="s">
        <x:v>111</x:v>
      </x:c>
      <x:c r="W334" s="26" t="n">
        <x:v>5.7076</x:v>
      </x:c>
      <x:c r="X334" s="26" t="n">
        <x:v>-73.46126</x:v>
      </x:c>
      <x:c r="Y334">
        <x:v>1286.856</x:v>
      </x:c>
      <x:c r="Z334">
        <x:v>2969</x:v>
      </x:c>
      <x:c r="AB334" t="s">
        <x:v>2679</x:v>
      </x:c>
      <x:c r="AF334" t="s">
        <x:v>50</x:v>
      </x:c>
      <x:c r="AG334" t="s">
        <x:v>90</x:v>
      </x:c>
      <x:c r="AH334" t="s">
        <x:v>2680</x:v>
      </x:c>
      <x:c r="AI334" t="s">
        <x:v>2681</x:v>
      </x:c>
      <x:c r="AJ334">
        <x:v>361</x:v>
      </x:c>
    </x:row>
    <x:row r="335">
      <x:c r="A335" t="s">
        <x:v>2207</x:v>
      </x:c>
      <x:c r="B335" t="s">
        <x:v>2208</x:v>
      </x:c>
      <x:c r="C335" t="s">
        <x:v>2682</x:v>
      </x:c>
      <x:c r="D335" t="s">
        <x:v>2683</x:v>
      </x:c>
      <x:c r="E335" t="s">
        <x:v>2684</x:v>
      </x:c>
      <x:c r="F335">
        <x:v>2300</x:v>
      </x:c>
      <x:c r="G335">
        <x:v>2300</x:v>
      </x:c>
      <x:c r="H335">
        <x:v>2300</x:v>
      </x:c>
      <x:c r="P335" t="s">
        <x:v>80</x:v>
      </x:c>
      <x:c r="R335" s="9">
        <x:v>30142</x:v>
      </x:c>
      <x:c r="T335" t="s">
        <x:v>236</x:v>
      </x:c>
      <x:c r="W335" s="26" t="n">
        <x:v>5.37946</x:v>
      </x:c>
      <x:c r="X335" s="26" t="n">
        <x:v>-75.16631</x:v>
      </x:c>
      <x:c r="Y335">
        <x:v>36.174999999999997</x:v>
      </x:c>
      <x:c r="Z335">
        <x:v>2078</x:v>
      </x:c>
      <x:c r="AB335" t="s">
        <x:v>2685</x:v>
      </x:c>
      <x:c r="AF335" t="s">
        <x:v>50</x:v>
      </x:c>
      <x:c r="AG335" t="s">
        <x:v>167</x:v>
      </x:c>
      <x:c r="AH335" t="s">
        <x:v>1142</x:v>
      </x:c>
      <x:c r="AI335" t="s">
        <x:v>2686</x:v>
      </x:c>
      <x:c r="AJ335">
        <x:v>364</x:v>
      </x:c>
    </x:row>
    <x:row r="336">
      <x:c r="A336" t="s">
        <x:v>2207</x:v>
      </x:c>
      <x:c r="B336" t="s">
        <x:v>2208</x:v>
      </x:c>
      <x:c r="C336" t="s">
        <x:v>2687</x:v>
      </x:c>
      <x:c r="D336" t="s">
        <x:v>2688</x:v>
      </x:c>
      <x:c r="E336" t="s">
        <x:v>2689</x:v>
      </x:c>
      <x:c r="F336" t="s">
        <x:v>79</x:v>
      </x:c>
      <x:c r="G336" t="s">
        <x:v>79</x:v>
      </x:c>
      <x:c r="H336" t="s">
        <x:v>79</x:v>
      </x:c>
      <x:c r="I336" t="s">
        <x:v>2690</x:v>
      </x:c>
      <x:c r="J336" t="s">
        <x:v>2690</x:v>
      </x:c>
      <x:c r="K336" t="s">
        <x:v>2691</x:v>
      </x:c>
      <x:c r="L336" t="s">
        <x:v>2691</x:v>
      </x:c>
      <x:c r="M336" t="s">
        <x:v>2692</x:v>
      </x:c>
      <x:c r="N336" t="s">
        <x:v>2693</x:v>
      </x:c>
      <x:c r="O336" t="s">
        <x:v>2694</x:v>
      </x:c>
      <x:c r="P336" t="s">
        <x:v>2695</x:v>
      </x:c>
      <x:c r="R336" s="9">
        <x:v>34643</x:v>
      </x:c>
      <x:c r="T336" t="s">
        <x:v>111</x:v>
      </x:c>
      <x:c r="W336" s="26" t="n">
        <x:v>5.5188</x:v>
      </x:c>
      <x:c r="X336" s="26" t="n">
        <x:v>-75.04518</x:v>
      </x:c>
      <x:c r="Y336">
        <x:v>8261.2870000000003</x:v>
      </x:c>
      <x:c r="Z336">
        <x:v>1571</x:v>
      </x:c>
      <x:c r="AB336" t="s">
        <x:v>2696</x:v>
      </x:c>
      <x:c r="AF336" t="s">
        <x:v>50</x:v>
      </x:c>
      <x:c r="AG336" t="s">
        <x:v>167</x:v>
      </x:c>
      <x:c r="AH336" t="s">
        <x:v>1526</x:v>
      </x:c>
      <x:c r="AI336" t="s">
        <x:v>2697</x:v>
      </x:c>
      <x:c r="AJ336">
        <x:v>365</x:v>
      </x:c>
    </x:row>
    <x:row r="337">
      <x:c r="A337" t="s">
        <x:v>2207</x:v>
      </x:c>
      <x:c r="B337" t="s">
        <x:v>2208</x:v>
      </x:c>
      <x:c r="C337" t="s">
        <x:v>2698</x:v>
      </x:c>
      <x:c r="D337" t="s">
        <x:v>2699</x:v>
      </x:c>
      <x:c r="E337" t="s">
        <x:v>2689</x:v>
      </x:c>
      <x:c r="F337" t="s">
        <x:v>79</x:v>
      </x:c>
      <x:c r="G337" t="s">
        <x:v>79</x:v>
      </x:c>
      <x:c r="H337" t="s">
        <x:v>79</x:v>
      </x:c>
      <x:c r="I337" t="s">
        <x:v>2690</x:v>
      </x:c>
      <x:c r="J337" t="s">
        <x:v>2690</x:v>
      </x:c>
      <x:c r="K337" t="s">
        <x:v>2691</x:v>
      </x:c>
      <x:c r="L337" t="s">
        <x:v>2691</x:v>
      </x:c>
      <x:c r="M337" t="s">
        <x:v>2692</x:v>
      </x:c>
      <x:c r="N337" t="s">
        <x:v>2693</x:v>
      </x:c>
      <x:c r="O337" t="s">
        <x:v>2694</x:v>
      </x:c>
      <x:c r="P337" t="s">
        <x:v>2695</x:v>
      </x:c>
      <x:c r="R337" s="9">
        <x:v>34643</x:v>
      </x:c>
      <x:c r="T337" t="s">
        <x:v>111</x:v>
      </x:c>
      <x:c r="W337" s="26" t="n">
        <x:v>5.5188</x:v>
      </x:c>
      <x:c r="X337" s="26" t="n">
        <x:v>-75.04518</x:v>
      </x:c>
      <x:c r="Y337">
        <x:v>8261.2870000000003</x:v>
      </x:c>
      <x:c r="Z337">
        <x:v>1571</x:v>
      </x:c>
      <x:c r="AB337" t="s">
        <x:v>2696</x:v>
      </x:c>
      <x:c r="AF337" t="s">
        <x:v>50</x:v>
      </x:c>
      <x:c r="AG337" t="s">
        <x:v>167</x:v>
      </x:c>
      <x:c r="AH337" t="s">
        <x:v>1526</x:v>
      </x:c>
      <x:c r="AI337" t="s">
        <x:v>2697</x:v>
      </x:c>
      <x:c r="AJ337">
        <x:v>366</x:v>
      </x:c>
    </x:row>
    <x:row r="338">
      <x:c r="A338" t="s">
        <x:v>2207</x:v>
      </x:c>
      <x:c r="B338" t="s">
        <x:v>2208</x:v>
      </x:c>
      <x:c r="C338" t="s">
        <x:v>2700</x:v>
      </x:c>
      <x:c r="D338" t="s">
        <x:v>2701</x:v>
      </x:c>
      <x:c r="E338" t="s">
        <x:v>2702</x:v>
      </x:c>
      <x:c r="F338">
        <x:v>2150</x:v>
      </x:c>
      <x:c r="G338">
        <x:v>2150</x:v>
      </x:c>
      <x:c r="H338">
        <x:v>2150</x:v>
      </x:c>
      <x:c r="P338" t="s">
        <x:v>80</x:v>
      </x:c>
      <x:c r="R338" s="9">
        <x:v>37665</x:v>
      </x:c>
      <x:c r="T338" t="s">
        <x:v>119</x:v>
      </x:c>
      <x:c r="W338" s="26" t="n">
        <x:v>5.06287</x:v>
      </x:c>
      <x:c r="X338" s="26" t="n">
        <x:v>-75.48212</x:v>
      </x:c>
      <x:c r="Y338">
        <x:v>422.83600000000001</x:v>
      </x:c>
      <x:c r="Z338">
        <x:v>2122</x:v>
      </x:c>
      <x:c r="AB338" t="s">
        <x:v>2703</x:v>
      </x:c>
      <x:c r="AF338" t="s">
        <x:v>50</x:v>
      </x:c>
      <x:c r="AG338" t="s">
        <x:v>167</x:v>
      </x:c>
      <x:c r="AH338" t="s">
        <x:v>168</x:v>
      </x:c>
      <x:c r="AI338" t="s">
        <x:v>2704</x:v>
      </x:c>
      <x:c r="AJ338">
        <x:v>367</x:v>
      </x:c>
    </x:row>
    <x:row r="339">
      <x:c r="A339" t="s">
        <x:v>2207</x:v>
      </x:c>
      <x:c r="B339" t="s">
        <x:v>2208</x:v>
      </x:c>
      <x:c r="C339" t="s">
        <x:v>2705</x:v>
      </x:c>
      <x:c r="D339" t="s">
        <x:v>1060</x:v>
      </x:c>
      <x:c r="E339" t="s">
        <x:v>2706</x:v>
      </x:c>
      <x:c r="F339">
        <x:v>2680</x:v>
      </x:c>
      <x:c r="G339">
        <x:v>2680</x:v>
      </x:c>
      <x:c r="H339">
        <x:v>2680</x:v>
      </x:c>
      <x:c r="P339" t="s">
        <x:v>80</x:v>
      </x:c>
      <x:c r="R339" s="9">
        <x:v>38952</x:v>
      </x:c>
      <x:c r="T339" t="s">
        <x:v>119</x:v>
      </x:c>
      <x:c r="W339" s="26" t="n">
        <x:v>4.9517</x:v>
      </x:c>
      <x:c r="X339" s="26" t="n">
        <x:v>-75.43127</x:v>
      </x:c>
      <x:c r="Y339">
        <x:v>1776.4559999999999</x:v>
      </x:c>
      <x:c r="Z339">
        <x:v>2812</x:v>
      </x:c>
      <x:c r="AB339" t="s">
        <x:v>2707</x:v>
      </x:c>
      <x:c r="AF339" t="s">
        <x:v>50</x:v>
      </x:c>
      <x:c r="AG339" t="s">
        <x:v>167</x:v>
      </x:c>
      <x:c r="AH339" t="s">
        <x:v>993</x:v>
      </x:c>
      <x:c r="AI339" t="s">
        <x:v>2708</x:v>
      </x:c>
      <x:c r="AJ339">
        <x:v>368</x:v>
      </x:c>
    </x:row>
    <x:row r="340">
      <x:c r="A340" t="s">
        <x:v>2207</x:v>
      </x:c>
      <x:c r="B340" t="s">
        <x:v>2208</x:v>
      </x:c>
      <x:c r="C340" t="s">
        <x:v>2709</x:v>
      </x:c>
      <x:c r="D340" t="s">
        <x:v>1060</x:v>
      </x:c>
      <x:c r="E340" t="s">
        <x:v>2710</x:v>
      </x:c>
      <x:c r="F340">
        <x:v>1800</x:v>
      </x:c>
      <x:c r="G340">
        <x:v>1800</x:v>
      </x:c>
      <x:c r="H340">
        <x:v>1800</x:v>
      </x:c>
      <x:c r="P340" t="s">
        <x:v>80</x:v>
      </x:c>
      <x:c r="R340" s="9">
        <x:v>39112</x:v>
      </x:c>
      <x:c r="T340" t="s">
        <x:v>119</x:v>
      </x:c>
      <x:c r="W340" s="26" t="n">
        <x:v>5.4581</x:v>
      </x:c>
      <x:c r="X340" s="26" t="n">
        <x:v>-75.69852</x:v>
      </x:c>
      <x:c r="Y340">
        <x:v>1137.7260000000001</x:v>
      </x:c>
      <x:c r="Z340">
        <x:v>1459</x:v>
      </x:c>
      <x:c r="AB340" t="s">
        <x:v>2711</x:v>
      </x:c>
      <x:c r="AF340" t="s">
        <x:v>50</x:v>
      </x:c>
      <x:c r="AG340" t="s">
        <x:v>167</x:v>
      </x:c>
      <x:c r="AH340" t="s">
        <x:v>2712</x:v>
      </x:c>
      <x:c r="AI340" t="s">
        <x:v>2713</x:v>
      </x:c>
      <x:c r="AJ340">
        <x:v>369</x:v>
      </x:c>
    </x:row>
    <x:row r="341">
      <x:c r="A341" t="s">
        <x:v>2207</x:v>
      </x:c>
      <x:c r="B341" t="s">
        <x:v>2208</x:v>
      </x:c>
      <x:c r="C341" t="s">
        <x:v>2714</x:v>
      </x:c>
      <x:c r="D341" t="s">
        <x:v>1820</x:v>
      </x:c>
      <x:c r="E341" t="s">
        <x:v>2715</x:v>
      </x:c>
      <x:c r="F341">
        <x:v>1659</x:v>
      </x:c>
      <x:c r="G341">
        <x:v>1659</x:v>
      </x:c>
      <x:c r="H341">
        <x:v>1659</x:v>
      </x:c>
      <x:c r="P341" t="s">
        <x:v>80</x:v>
      </x:c>
      <x:c r="R341" s="9">
        <x:v>39278</x:v>
      </x:c>
      <x:c r="T341" t="s">
        <x:v>119</x:v>
      </x:c>
      <x:c r="W341" s="26" t="n">
        <x:v>5.12739</x:v>
      </x:c>
      <x:c r="X341" s="26" t="n">
        <x:v>-75.7784</x:v>
      </x:c>
      <x:c r="Y341">
        <x:v>4307.0860000000002</x:v>
      </x:c>
      <x:c r="Z341">
        <x:v>1647</x:v>
      </x:c>
      <x:c r="AB341" t="s">
        <x:v>1167</x:v>
      </x:c>
      <x:c r="AF341" t="s">
        <x:v>50</x:v>
      </x:c>
      <x:c r="AG341" t="s">
        <x:v>167</x:v>
      </x:c>
      <x:c r="AH341" t="s">
        <x:v>1168</x:v>
      </x:c>
      <x:c r="AI341" t="s">
        <x:v>1169</x:v>
      </x:c>
      <x:c r="AJ341">
        <x:v>370</x:v>
      </x:c>
    </x:row>
    <x:row r="342">
      <x:c r="A342" t="s">
        <x:v>2207</x:v>
      </x:c>
      <x:c r="B342" t="s">
        <x:v>2208</x:v>
      </x:c>
      <x:c r="C342" t="s">
        <x:v>2716</x:v>
      </x:c>
      <x:c r="D342" t="s">
        <x:v>1820</x:v>
      </x:c>
      <x:c r="E342" t="s">
        <x:v>2717</x:v>
      </x:c>
      <x:c r="F342">
        <x:v>2000</x:v>
      </x:c>
      <x:c r="G342">
        <x:v>2000</x:v>
      </x:c>
      <x:c r="H342">
        <x:v>2000</x:v>
      </x:c>
      <x:c r="P342" t="s">
        <x:v>80</x:v>
      </x:c>
      <x:c r="R342" s="9">
        <x:v>39555</x:v>
      </x:c>
      <x:c r="T342" t="s">
        <x:v>119</x:v>
      </x:c>
      <x:c r="W342" s="26" t="n">
        <x:v>5.4228</x:v>
      </x:c>
      <x:c r="X342" s="26" t="n">
        <x:v>-75.06335</x:v>
      </x:c>
      <x:c r="Y342">
        <x:v>1963.9839999999999</x:v>
      </x:c>
      <x:c r="Z342">
        <x:v>1652</x:v>
      </x:c>
      <x:c r="AA342" t="s">
        <x:v>2718</x:v>
      </x:c>
      <x:c r="AB342" t="s">
        <x:v>2719</x:v>
      </x:c>
      <x:c r="AF342" t="s">
        <x:v>50</x:v>
      </x:c>
      <x:c r="AG342" t="s">
        <x:v>167</x:v>
      </x:c>
      <x:c r="AH342" t="s">
        <x:v>1823</x:v>
      </x:c>
      <x:c r="AI342" t="s">
        <x:v>2720</x:v>
      </x:c>
      <x:c r="AJ342">
        <x:v>371</x:v>
      </x:c>
    </x:row>
    <x:row r="343">
      <x:c r="A343" t="s">
        <x:v>2207</x:v>
      </x:c>
      <x:c r="B343" t="s">
        <x:v>2208</x:v>
      </x:c>
      <x:c r="C343" t="s">
        <x:v>2721</x:v>
      </x:c>
      <x:c r="D343" t="s">
        <x:v>1529</x:v>
      </x:c>
      <x:c r="E343" t="s">
        <x:v>1106</x:v>
      </x:c>
      <x:c r="F343" t="s">
        <x:v>1107</x:v>
      </x:c>
      <x:c r="G343">
        <x:v>2526</x:v>
      </x:c>
      <x:c r="H343">
        <x:v>2526</x:v>
      </x:c>
      <x:c r="I343" t="s">
        <x:v>2722</x:v>
      </x:c>
      <x:c r="J343" t="s">
        <x:v>2722</x:v>
      </x:c>
      <x:c r="K343" t="s">
        <x:v>1109</x:v>
      </x:c>
      <x:c r="L343" t="s">
        <x:v>1109</x:v>
      </x:c>
      <x:c r="M343" t="s">
        <x:v>2723</x:v>
      </x:c>
      <x:c r="N343" t="s">
        <x:v>304</x:v>
      </x:c>
      <x:c r="O343" t="s">
        <x:v>305</x:v>
      </x:c>
      <x:c r="P343" t="s">
        <x:v>306</x:v>
      </x:c>
      <x:c r="R343" s="9">
        <x:v>40032</x:v>
      </x:c>
      <x:c r="W343" s="26" t="n">
        <x:v>4.9848806</x:v>
      </x:c>
      <x:c r="X343" s="26" t="n">
        <x:v>-75.4511389</x:v>
      </x:c>
      <x:c r="AF343" t="s">
        <x:v>50</x:v>
      </x:c>
      <x:c r="AG343" t="s">
        <x:v>167</x:v>
      </x:c>
      <x:c r="AH343" t="s">
        <x:v>168</x:v>
      </x:c>
      <x:c r="AI343" t="s">
        <x:v>1111</x:v>
      </x:c>
      <x:c r="AJ343">
        <x:v>372</x:v>
      </x:c>
    </x:row>
    <x:row r="344">
      <x:c r="A344" t="s">
        <x:v>2207</x:v>
      </x:c>
      <x:c r="B344" t="s">
        <x:v>2208</x:v>
      </x:c>
      <x:c r="C344" t="s">
        <x:v>2724</x:v>
      </x:c>
      <x:c r="D344" t="s">
        <x:v>1060</x:v>
      </x:c>
      <x:c r="E344" t="s">
        <x:v>2725</x:v>
      </x:c>
      <x:c r="F344">
        <x:v>2945</x:v>
      </x:c>
      <x:c r="G344">
        <x:v>2945</x:v>
      </x:c>
      <x:c r="H344">
        <x:v>2945</x:v>
      </x:c>
      <x:c r="I344" t="s">
        <x:v>2726</x:v>
      </x:c>
      <x:c r="J344" t="s">
        <x:v>2727</x:v>
      </x:c>
      <x:c r="K344" t="s">
        <x:v>2728</x:v>
      </x:c>
      <x:c r="L344" t="s">
        <x:v>2729</x:v>
      </x:c>
      <x:c r="M344" t="s">
        <x:v>2730</x:v>
      </x:c>
      <x:c r="N344" t="s">
        <x:v>2731</x:v>
      </x:c>
      <x:c r="O344" t="s">
        <x:v>2732</x:v>
      </x:c>
      <x:c r="P344" t="s">
        <x:v>2733</x:v>
      </x:c>
      <x:c r="R344" s="9">
        <x:v>40078</x:v>
      </x:c>
      <x:c r="T344" t="s">
        <x:v>111</x:v>
      </x:c>
      <x:c r="W344" s="26" t="n">
        <x:v>5.38329</x:v>
      </x:c>
      <x:c r="X344" s="26" t="n">
        <x:v>-75.35331</x:v>
      </x:c>
      <x:c r="Y344">
        <x:v>1469.046</x:v>
      </x:c>
      <x:c r="Z344">
        <x:v>2946</x:v>
      </x:c>
      <x:c r="AB344" t="s">
        <x:v>1822</x:v>
      </x:c>
      <x:c r="AF344" t="s">
        <x:v>50</x:v>
      </x:c>
      <x:c r="AG344" t="s">
        <x:v>167</x:v>
      </x:c>
      <x:c r="AH344" t="s">
        <x:v>1823</x:v>
      </x:c>
      <x:c r="AI344" t="s">
        <x:v>2734</x:v>
      </x:c>
      <x:c r="AJ344">
        <x:v>373</x:v>
      </x:c>
    </x:row>
    <x:row r="345">
      <x:c r="A345" t="s">
        <x:v>2207</x:v>
      </x:c>
      <x:c r="B345" t="s">
        <x:v>2208</x:v>
      </x:c>
      <x:c r="C345" t="s">
        <x:v>2735</x:v>
      </x:c>
      <x:c r="D345" t="s">
        <x:v>2736</x:v>
      </x:c>
      <x:c r="E345" t="s">
        <x:v>2737</x:v>
      </x:c>
      <x:c r="F345">
        <x:v>3070</x:v>
      </x:c>
      <x:c r="G345">
        <x:v>3070</x:v>
      </x:c>
      <x:c r="H345">
        <x:v>3070</x:v>
      </x:c>
      <x:c r="I345">
        <x:v>1188666</x:v>
      </x:c>
      <x:c r="J345" t="s">
        <x:v>2738</x:v>
      </x:c>
      <x:c r="K345">
        <x:v>1506143</x:v>
      </x:c>
      <x:c r="L345" t="s">
        <x:v>2739</x:v>
      </x:c>
      <x:c r="M345" t="s">
        <x:v>2740</x:v>
      </x:c>
      <x:c r="P345" t="s">
        <x:v>80</x:v>
      </x:c>
      <x:c r="R345" s="9">
        <x:v>40605</x:v>
      </x:c>
      <x:c r="T345" t="s">
        <x:v>119</x:v>
      </x:c>
      <x:c r="W345" s="26" t="n">
        <x:v>5.37045</x:v>
      </x:c>
      <x:c r="X345" s="26" t="n">
        <x:v>-75.38595</x:v>
      </x:c>
      <x:c r="Y345">
        <x:v>5096.4889999999996</x:v>
      </x:c>
      <x:c r="Z345">
        <x:v>2888</x:v>
      </x:c>
      <x:c r="AB345" t="s">
        <x:v>1844</x:v>
      </x:c>
      <x:c r="AF345" t="s">
        <x:v>50</x:v>
      </x:c>
      <x:c r="AG345" t="s">
        <x:v>167</x:v>
      </x:c>
      <x:c r="AH345" t="s">
        <x:v>1823</x:v>
      </x:c>
      <x:c r="AI345" t="s">
        <x:v>2741</x:v>
      </x:c>
      <x:c r="AJ345">
        <x:v>374</x:v>
      </x:c>
    </x:row>
    <x:row r="346">
      <x:c r="A346" t="s">
        <x:v>2207</x:v>
      </x:c>
      <x:c r="B346" t="s">
        <x:v>2208</x:v>
      </x:c>
      <x:c r="C346" t="s">
        <x:v>2742</x:v>
      </x:c>
      <x:c r="D346" t="s">
        <x:v>2743</x:v>
      </x:c>
      <x:c r="E346" t="s">
        <x:v>2744</x:v>
      </x:c>
      <x:c r="F346" t="s">
        <x:v>380</x:v>
      </x:c>
      <x:c r="G346">
        <x:v>2000</x:v>
      </x:c>
      <x:c r="H346">
        <x:v>2500</x:v>
      </x:c>
      <x:c r="P346" t="s">
        <x:v>80</x:v>
      </x:c>
      <x:c r="R346" s="9">
        <x:v>14442</x:v>
      </x:c>
      <x:c r="W346" s="26" t="n">
        <x:v>2.50998</x:v>
      </x:c>
      <x:c r="X346" s="26" t="n">
        <x:v>-76.9786</x:v>
      </x:c>
      <x:c r="Y346">
        <x:v>2112.348</x:v>
      </x:c>
      <x:c r="Z346">
        <x:v>2084</x:v>
      </x:c>
      <x:c r="AB346" t="s">
        <x:v>2745</x:v>
      </x:c>
      <x:c r="AF346" t="s">
        <x:v>50</x:v>
      </x:c>
      <x:c r="AG346" t="s">
        <x:v>283</x:v>
      </x:c>
      <x:c r="AH346" t="s">
        <x:v>2746</x:v>
      </x:c>
      <x:c r="AI346" t="s">
        <x:v>2747</x:v>
      </x:c>
      <x:c r="AJ346">
        <x:v>375</x:v>
      </x:c>
    </x:row>
    <x:row r="347">
      <x:c r="A347" t="s">
        <x:v>2207</x:v>
      </x:c>
      <x:c r="B347" t="s">
        <x:v>2208</x:v>
      </x:c>
      <x:c r="C347" t="s">
        <x:v>2748</x:v>
      </x:c>
      <x:c r="D347" t="s">
        <x:v>2749</x:v>
      </x:c>
      <x:c r="E347" t="s">
        <x:v>2750</x:v>
      </x:c>
      <x:c r="F347">
        <x:v>1750</x:v>
      </x:c>
      <x:c r="G347">
        <x:v>1750</x:v>
      </x:c>
      <x:c r="H347">
        <x:v>1750</x:v>
      </x:c>
      <x:c r="P347" t="s">
        <x:v>80</x:v>
      </x:c>
      <x:c r="R347" s="9">
        <x:v>18133</x:v>
      </x:c>
      <x:c r="W347" s="26" t="n">
        <x:v>2.43372</x:v>
      </x:c>
      <x:c r="X347" s="26" t="n">
        <x:v>-76.8005</x:v>
      </x:c>
      <x:c r="Y347">
        <x:v>332.62400000000002</x:v>
      </x:c>
      <x:c r="Z347">
        <x:v>1742</x:v>
      </x:c>
      <x:c r="AB347" t="s">
        <x:v>2751</x:v>
      </x:c>
      <x:c r="AF347" t="s">
        <x:v>50</x:v>
      </x:c>
      <x:c r="AG347" t="s">
        <x:v>283</x:v>
      </x:c>
      <x:c r="AH347" t="s">
        <x:v>2746</x:v>
      </x:c>
      <x:c r="AI347" t="s">
        <x:v>2752</x:v>
      </x:c>
      <x:c r="AJ347">
        <x:v>376</x:v>
      </x:c>
    </x:row>
    <x:row r="348">
      <x:c r="A348" t="s">
        <x:v>2207</x:v>
      </x:c>
      <x:c r="B348" t="s">
        <x:v>2208</x:v>
      </x:c>
      <x:c r="C348" t="s">
        <x:v>2753</x:v>
      </x:c>
      <x:c r="D348" t="s">
        <x:v>2754</x:v>
      </x:c>
      <x:c r="E348" t="s">
        <x:v>2755</x:v>
      </x:c>
      <x:c r="F348">
        <x:v>1500</x:v>
      </x:c>
      <x:c r="G348">
        <x:v>1500</x:v>
      </x:c>
      <x:c r="H348">
        <x:v>1500</x:v>
      </x:c>
      <x:c r="P348" t="s">
        <x:v>80</x:v>
      </x:c>
      <x:c r="R348" s="9">
        <x:v>24727</x:v>
      </x:c>
      <x:c r="T348" t="s">
        <x:v>119</x:v>
      </x:c>
      <x:c r="W348" s="26" t="n">
        <x:v>2.81911</x:v>
      </x:c>
      <x:c r="X348" s="26" t="n">
        <x:v>-76.50968</x:v>
      </x:c>
      <x:c r="Y348">
        <x:v>9030.36</x:v>
      </x:c>
      <x:c r="Z348">
        <x:v>1477</x:v>
      </x:c>
      <x:c r="AB348" t="s">
        <x:v>2756</x:v>
      </x:c>
      <x:c r="AF348" t="s">
        <x:v>50</x:v>
      </x:c>
      <x:c r="AG348" t="s">
        <x:v>283</x:v>
      </x:c>
      <x:c r="AH348" t="s">
        <x:v>2757</x:v>
      </x:c>
      <x:c r="AI348" t="s">
        <x:v>2758</x:v>
      </x:c>
      <x:c r="AJ348">
        <x:v>377</x:v>
      </x:c>
    </x:row>
    <x:row r="349">
      <x:c r="A349" t="s">
        <x:v>2207</x:v>
      </x:c>
      <x:c r="B349" t="s">
        <x:v>2208</x:v>
      </x:c>
      <x:c r="C349" t="s">
        <x:v>2759</x:v>
      </x:c>
      <x:c r="D349" t="s">
        <x:v>2760</x:v>
      </x:c>
      <x:c r="E349" t="s">
        <x:v>2761</x:v>
      </x:c>
      <x:c r="F349">
        <x:v>1100</x:v>
      </x:c>
      <x:c r="G349">
        <x:v>1100</x:v>
      </x:c>
      <x:c r="H349">
        <x:v>1100</x:v>
      </x:c>
      <x:c r="I349" t="s">
        <x:v>1545</x:v>
      </x:c>
      <x:c r="J349" t="s">
        <x:v>1545</x:v>
      </x:c>
      <x:c r="K349" t="s">
        <x:v>1547</x:v>
      </x:c>
      <x:c r="L349" t="s">
        <x:v>1547</x:v>
      </x:c>
      <x:c r="M349" t="s">
        <x:v>1548</x:v>
      </x:c>
      <x:c r="N349" t="s">
        <x:v>1549</x:v>
      </x:c>
      <x:c r="O349" t="s">
        <x:v>1550</x:v>
      </x:c>
      <x:c r="P349" t="s">
        <x:v>1551</x:v>
      </x:c>
      <x:c r="R349" s="9">
        <x:v>36011</x:v>
      </x:c>
      <x:c r="T349" t="s">
        <x:v>119</x:v>
      </x:c>
      <x:c r="W349" s="26" t="n">
        <x:v>1.2331444</x:v>
      </x:c>
      <x:c r="X349" s="26" t="n">
        <x:v>-76.5328444</x:v>
      </x:c>
      <x:c r="AF349" t="s">
        <x:v>50</x:v>
      </x:c>
      <x:c r="AG349" t="s">
        <x:v>283</x:v>
      </x:c>
      <x:c r="AH349" t="s">
        <x:v>1014</x:v>
      </x:c>
      <x:c r="AI349" t="s">
        <x:v>2762</x:v>
      </x:c>
      <x:c r="AJ349">
        <x:v>378</x:v>
      </x:c>
    </x:row>
    <x:row r="350">
      <x:c r="A350" t="s">
        <x:v>2207</x:v>
      </x:c>
      <x:c r="B350" t="s">
        <x:v>2208</x:v>
      </x:c>
      <x:c r="C350" t="s">
        <x:v>2763</x:v>
      </x:c>
      <x:c r="D350" t="s">
        <x:v>2764</x:v>
      </x:c>
      <x:c r="E350" t="s">
        <x:v>2761</x:v>
      </x:c>
      <x:c r="F350">
        <x:v>1100</x:v>
      </x:c>
      <x:c r="G350">
        <x:v>1100</x:v>
      </x:c>
      <x:c r="H350">
        <x:v>1100</x:v>
      </x:c>
      <x:c r="I350" t="s">
        <x:v>1545</x:v>
      </x:c>
      <x:c r="J350" t="s">
        <x:v>1545</x:v>
      </x:c>
      <x:c r="K350" t="s">
        <x:v>1547</x:v>
      </x:c>
      <x:c r="L350" t="s">
        <x:v>1547</x:v>
      </x:c>
      <x:c r="M350" t="s">
        <x:v>1548</x:v>
      </x:c>
      <x:c r="N350" t="s">
        <x:v>1549</x:v>
      </x:c>
      <x:c r="O350" t="s">
        <x:v>1550</x:v>
      </x:c>
      <x:c r="P350" t="s">
        <x:v>1551</x:v>
      </x:c>
      <x:c r="R350" s="9">
        <x:v>36011</x:v>
      </x:c>
      <x:c r="T350" t="s">
        <x:v>399</x:v>
      </x:c>
      <x:c r="W350" s="26" t="n">
        <x:v>1.2331444</x:v>
      </x:c>
      <x:c r="X350" s="26" t="n">
        <x:v>-76.5328444</x:v>
      </x:c>
      <x:c r="AF350" t="s">
        <x:v>50</x:v>
      </x:c>
      <x:c r="AG350" t="s">
        <x:v>283</x:v>
      </x:c>
      <x:c r="AH350" t="s">
        <x:v>1014</x:v>
      </x:c>
      <x:c r="AI350" t="s">
        <x:v>2762</x:v>
      </x:c>
      <x:c r="AJ350">
        <x:v>379</x:v>
      </x:c>
    </x:row>
    <x:row r="351">
      <x:c r="A351" t="s">
        <x:v>2207</x:v>
      </x:c>
      <x:c r="B351" t="s">
        <x:v>2208</x:v>
      </x:c>
      <x:c r="C351" t="s">
        <x:v>2765</x:v>
      </x:c>
      <x:c r="D351" t="s">
        <x:v>2766</x:v>
      </x:c>
      <x:c r="E351" t="s">
        <x:v>2761</x:v>
      </x:c>
      <x:c r="F351">
        <x:v>1100</x:v>
      </x:c>
      <x:c r="G351">
        <x:v>1100</x:v>
      </x:c>
      <x:c r="H351">
        <x:v>1100</x:v>
      </x:c>
      <x:c r="I351" t="s">
        <x:v>1545</x:v>
      </x:c>
      <x:c r="J351" t="s">
        <x:v>1545</x:v>
      </x:c>
      <x:c r="K351" t="s">
        <x:v>1547</x:v>
      </x:c>
      <x:c r="L351" t="s">
        <x:v>1547</x:v>
      </x:c>
      <x:c r="M351" t="s">
        <x:v>1548</x:v>
      </x:c>
      <x:c r="N351" t="s">
        <x:v>1549</x:v>
      </x:c>
      <x:c r="O351" t="s">
        <x:v>1550</x:v>
      </x:c>
      <x:c r="P351" t="s">
        <x:v>1551</x:v>
      </x:c>
      <x:c r="R351" s="9">
        <x:v>36014</x:v>
      </x:c>
      <x:c r="T351" t="s">
        <x:v>119</x:v>
      </x:c>
      <x:c r="W351" s="26" t="n">
        <x:v>1.2331444</x:v>
      </x:c>
      <x:c r="X351" s="26" t="n">
        <x:v>-76.5328444</x:v>
      </x:c>
      <x:c r="AF351" t="s">
        <x:v>50</x:v>
      </x:c>
      <x:c r="AG351" t="s">
        <x:v>283</x:v>
      </x:c>
      <x:c r="AH351" t="s">
        <x:v>1014</x:v>
      </x:c>
      <x:c r="AI351" t="s">
        <x:v>2762</x:v>
      </x:c>
      <x:c r="AJ351">
        <x:v>380</x:v>
      </x:c>
    </x:row>
    <x:row r="352">
      <x:c r="A352" t="s">
        <x:v>2207</x:v>
      </x:c>
      <x:c r="B352" t="s">
        <x:v>2208</x:v>
      </x:c>
      <x:c r="C352" t="s">
        <x:v>2767</x:v>
      </x:c>
      <x:c r="D352" t="s">
        <x:v>2768</x:v>
      </x:c>
      <x:c r="E352" t="s">
        <x:v>2769</x:v>
      </x:c>
      <x:c r="F352">
        <x:v>1621</x:v>
      </x:c>
      <x:c r="G352">
        <x:v>1621</x:v>
      </x:c>
      <x:c r="H352">
        <x:v>1621</x:v>
      </x:c>
      <x:c r="I352" t="s">
        <x:v>2770</x:v>
      </x:c>
      <x:c r="J352" t="s">
        <x:v>2770</x:v>
      </x:c>
      <x:c r="K352" t="s">
        <x:v>2771</x:v>
      </x:c>
      <x:c r="L352" t="s">
        <x:v>2771</x:v>
      </x:c>
      <x:c r="M352" t="s">
        <x:v>2772</x:v>
      </x:c>
      <x:c r="N352" t="s">
        <x:v>2773</x:v>
      </x:c>
      <x:c r="O352" t="s">
        <x:v>2774</x:v>
      </x:c>
      <x:c r="P352" t="s">
        <x:v>2775</x:v>
      </x:c>
      <x:c r="R352" s="9">
        <x:v>36606</x:v>
      </x:c>
      <x:c r="T352" t="s">
        <x:v>236</x:v>
      </x:c>
      <x:c r="W352" s="26" t="n">
        <x:v>2.51058</x:v>
      </x:c>
      <x:c r="X352" s="26" t="n">
        <x:v>-76.98421</x:v>
      </x:c>
      <x:c r="Y352">
        <x:v>1862.7349999999999</x:v>
      </x:c>
      <x:c r="Z352">
        <x:v>1783</x:v>
      </x:c>
      <x:c r="AB352" t="s">
        <x:v>282</x:v>
      </x:c>
      <x:c r="AF352" t="s">
        <x:v>50</x:v>
      </x:c>
      <x:c r="AG352" t="s">
        <x:v>283</x:v>
      </x:c>
      <x:c r="AH352" t="s">
        <x:v>284</x:v>
      </x:c>
      <x:c r="AI352" t="s">
        <x:v>2776</x:v>
      </x:c>
      <x:c r="AJ352">
        <x:v>381</x:v>
      </x:c>
    </x:row>
    <x:row r="353">
      <x:c r="A353" t="s">
        <x:v>2207</x:v>
      </x:c>
      <x:c r="B353" t="s">
        <x:v>2208</x:v>
      </x:c>
      <x:c r="C353" t="s">
        <x:v>2777</x:v>
      </x:c>
      <x:c r="D353" t="s">
        <x:v>2778</x:v>
      </x:c>
      <x:c r="E353" t="s">
        <x:v>2779</x:v>
      </x:c>
      <x:c r="F353">
        <x:v>1800</x:v>
      </x:c>
      <x:c r="G353">
        <x:v>1800</x:v>
      </x:c>
      <x:c r="H353">
        <x:v>1800</x:v>
      </x:c>
      <x:c r="I353" t="s">
        <x:v>2780</x:v>
      </x:c>
      <x:c r="J353" t="s">
        <x:v>2781</x:v>
      </x:c>
      <x:c r="K353" t="s">
        <x:v>770</x:v>
      </x:c>
      <x:c r="L353" t="s">
        <x:v>771</x:v>
      </x:c>
      <x:c r="M353" t="s">
        <x:v>2782</x:v>
      </x:c>
      <x:c r="N353" t="s">
        <x:v>2783</x:v>
      </x:c>
      <x:c r="O353" t="s">
        <x:v>774</x:v>
      </x:c>
      <x:c r="P353" t="s">
        <x:v>2784</x:v>
      </x:c>
      <x:c r="R353" s="9">
        <x:v>36643</x:v>
      </x:c>
      <x:c r="T353" t="s">
        <x:v>119</x:v>
      </x:c>
      <x:c r="W353" s="26" t="n">
        <x:v>2.4666667</x:v>
      </x:c>
      <x:c r="X353" s="26" t="n">
        <x:v>-76.6166667</x:v>
      </x:c>
      <x:c r="AF353" t="s">
        <x:v>50</x:v>
      </x:c>
      <x:c r="AG353" t="s">
        <x:v>283</x:v>
      </x:c>
      <x:c r="AH353" t="s">
        <x:v>703</x:v>
      </x:c>
      <x:c r="AI353" t="s">
        <x:v>2785</x:v>
      </x:c>
      <x:c r="AJ353">
        <x:v>382</x:v>
      </x:c>
    </x:row>
    <x:row r="354">
      <x:c r="A354" t="s">
        <x:v>2207</x:v>
      </x:c>
      <x:c r="B354" t="s">
        <x:v>2208</x:v>
      </x:c>
      <x:c r="C354" t="s">
        <x:v>2786</x:v>
      </x:c>
      <x:c r="D354" t="s">
        <x:v>2787</x:v>
      </x:c>
      <x:c r="E354" t="s">
        <x:v>2788</x:v>
      </x:c>
      <x:c r="F354">
        <x:v>2100</x:v>
      </x:c>
      <x:c r="G354">
        <x:v>2100</x:v>
      </x:c>
      <x:c r="H354">
        <x:v>2100</x:v>
      </x:c>
      <x:c r="I354" t="s">
        <x:v>2789</x:v>
      </x:c>
      <x:c r="J354" t="s">
        <x:v>2789</x:v>
      </x:c>
      <x:c r="K354" t="s">
        <x:v>2790</x:v>
      </x:c>
      <x:c r="L354" t="s">
        <x:v>2790</x:v>
      </x:c>
      <x:c r="M354" t="s">
        <x:v>2791</x:v>
      </x:c>
      <x:c r="N354" t="s">
        <x:v>2792</x:v>
      </x:c>
      <x:c r="O354" t="s">
        <x:v>2793</x:v>
      </x:c>
      <x:c r="P354" t="s">
        <x:v>2794</x:v>
      </x:c>
      <x:c r="R354" s="9">
        <x:v>36788</x:v>
      </x:c>
      <x:c r="T354" t="s">
        <x:v>236</x:v>
      </x:c>
      <x:c r="W354" s="26" t="n">
        <x:v>2.51058</x:v>
      </x:c>
      <x:c r="X354" s="26" t="n">
        <x:v>-76.98421</x:v>
      </x:c>
      <x:c r="Y354">
        <x:v>1862.7349999999999</x:v>
      </x:c>
      <x:c r="Z354">
        <x:v>1783</x:v>
      </x:c>
      <x:c r="AB354" t="s">
        <x:v>282</x:v>
      </x:c>
      <x:c r="AF354" t="s">
        <x:v>50</x:v>
      </x:c>
      <x:c r="AG354" t="s">
        <x:v>283</x:v>
      </x:c>
      <x:c r="AH354" t="s">
        <x:v>284</x:v>
      </x:c>
      <x:c r="AI354" t="s">
        <x:v>285</x:v>
      </x:c>
      <x:c r="AJ354">
        <x:v>383</x:v>
      </x:c>
    </x:row>
    <x:row r="355">
      <x:c r="A355" t="s">
        <x:v>2207</x:v>
      </x:c>
      <x:c r="B355" t="s">
        <x:v>2208</x:v>
      </x:c>
      <x:c r="C355" t="s">
        <x:v>2795</x:v>
      </x:c>
      <x:c r="D355" t="s">
        <x:v>2796</x:v>
      </x:c>
      <x:c r="E355" t="s">
        <x:v>281</x:v>
      </x:c>
      <x:c r="F355">
        <x:v>1711</x:v>
      </x:c>
      <x:c r="G355">
        <x:v>1711</x:v>
      </x:c>
      <x:c r="H355">
        <x:v>1711</x:v>
      </x:c>
      <x:c r="I355" t="s">
        <x:v>2797</x:v>
      </x:c>
      <x:c r="J355" t="s">
        <x:v>2797</x:v>
      </x:c>
      <x:c r="K355" t="s">
        <x:v>2798</x:v>
      </x:c>
      <x:c r="L355" t="s">
        <x:v>2798</x:v>
      </x:c>
      <x:c r="M355" t="s">
        <x:v>2799</x:v>
      </x:c>
      <x:c r="N355" t="s">
        <x:v>2800</x:v>
      </x:c>
      <x:c r="O355" t="s">
        <x:v>2801</x:v>
      </x:c>
      <x:c r="P355" t="s">
        <x:v>2802</x:v>
      </x:c>
      <x:c r="R355" s="9">
        <x:v>36854</x:v>
      </x:c>
      <x:c r="T355" t="s">
        <x:v>236</x:v>
      </x:c>
      <x:c r="W355" s="26" t="n">
        <x:v>2.51058</x:v>
      </x:c>
      <x:c r="X355" s="26" t="n">
        <x:v>-76.98421</x:v>
      </x:c>
      <x:c r="Y355">
        <x:v>1862.7349999999999</x:v>
      </x:c>
      <x:c r="Z355">
        <x:v>1783</x:v>
      </x:c>
      <x:c r="AB355" t="s">
        <x:v>282</x:v>
      </x:c>
      <x:c r="AF355" t="s">
        <x:v>50</x:v>
      </x:c>
      <x:c r="AG355" t="s">
        <x:v>283</x:v>
      </x:c>
      <x:c r="AH355" t="s">
        <x:v>284</x:v>
      </x:c>
      <x:c r="AI355" t="s">
        <x:v>285</x:v>
      </x:c>
      <x:c r="AJ355">
        <x:v>384</x:v>
      </x:c>
    </x:row>
    <x:row r="356">
      <x:c r="A356" t="s">
        <x:v>2207</x:v>
      </x:c>
      <x:c r="B356" t="s">
        <x:v>2208</x:v>
      </x:c>
      <x:c r="C356" t="s">
        <x:v>2803</x:v>
      </x:c>
      <x:c r="D356" t="s">
        <x:v>2804</x:v>
      </x:c>
      <x:c r="E356" t="s">
        <x:v>2805</x:v>
      </x:c>
      <x:c r="F356">
        <x:v>1686</x:v>
      </x:c>
      <x:c r="G356">
        <x:v>1686</x:v>
      </x:c>
      <x:c r="H356">
        <x:v>1686</x:v>
      </x:c>
      <x:c r="I356" t="s">
        <x:v>2806</x:v>
      </x:c>
      <x:c r="J356" t="s">
        <x:v>2806</x:v>
      </x:c>
      <x:c r="K356" t="s">
        <x:v>2807</x:v>
      </x:c>
      <x:c r="L356" t="s">
        <x:v>2807</x:v>
      </x:c>
      <x:c r="M356" t="s">
        <x:v>2808</x:v>
      </x:c>
      <x:c r="N356" t="s">
        <x:v>1043</x:v>
      </x:c>
      <x:c r="O356" t="s">
        <x:v>1044</x:v>
      </x:c>
      <x:c r="P356" t="s">
        <x:v>1045</x:v>
      </x:c>
      <x:c r="R356" s="9">
        <x:v>38478</x:v>
      </x:c>
      <x:c r="T356" t="s">
        <x:v>119</x:v>
      </x:c>
      <x:c r="W356" s="26" t="n">
        <x:v>1.5551944</x:v>
      </x:c>
      <x:c r="X356" s="26" t="n">
        <x:v>-76.3051667</x:v>
      </x:c>
      <x:c r="AF356" t="s">
        <x:v>50</x:v>
      </x:c>
      <x:c r="AG356" t="s">
        <x:v>283</x:v>
      </x:c>
      <x:c r="AH356" t="s">
        <x:v>1014</x:v>
      </x:c>
      <x:c r="AI356" t="s">
        <x:v>2809</x:v>
      </x:c>
      <x:c r="AJ356">
        <x:v>385</x:v>
      </x:c>
    </x:row>
    <x:row r="357">
      <x:c r="A357" t="s">
        <x:v>2207</x:v>
      </x:c>
      <x:c r="B357" t="s">
        <x:v>2208</x:v>
      </x:c>
      <x:c r="C357" t="s">
        <x:v>2810</x:v>
      </x:c>
      <x:c r="D357" t="s">
        <x:v>2811</x:v>
      </x:c>
      <x:c r="E357" t="s">
        <x:v>2769</x:v>
      </x:c>
      <x:c r="F357">
        <x:v>1600</x:v>
      </x:c>
      <x:c r="G357">
        <x:v>1600</x:v>
      </x:c>
      <x:c r="H357">
        <x:v>1600</x:v>
      </x:c>
      <x:c r="P357" t="s">
        <x:v>80</x:v>
      </x:c>
      <x:c r="R357" s="9">
        <x:v>38827</x:v>
      </x:c>
      <x:c r="T357" t="s">
        <x:v>119</x:v>
      </x:c>
      <x:c r="W357" s="26" t="n">
        <x:v>2.51058</x:v>
      </x:c>
      <x:c r="X357" s="26" t="n">
        <x:v>-76.98421</x:v>
      </x:c>
      <x:c r="Y357">
        <x:v>1862.7349999999999</x:v>
      </x:c>
      <x:c r="Z357">
        <x:v>1783</x:v>
      </x:c>
      <x:c r="AB357" t="s">
        <x:v>282</x:v>
      </x:c>
      <x:c r="AF357" t="s">
        <x:v>50</x:v>
      </x:c>
      <x:c r="AG357" t="s">
        <x:v>283</x:v>
      </x:c>
      <x:c r="AH357" t="s">
        <x:v>284</x:v>
      </x:c>
      <x:c r="AI357" t="s">
        <x:v>2776</x:v>
      </x:c>
      <x:c r="AJ357">
        <x:v>386</x:v>
      </x:c>
    </x:row>
    <x:row r="358">
      <x:c r="A358" t="s">
        <x:v>2207</x:v>
      </x:c>
      <x:c r="B358" t="s">
        <x:v>2208</x:v>
      </x:c>
      <x:c r="C358" t="s">
        <x:v>2812</x:v>
      </x:c>
      <x:c r="D358" t="s">
        <x:v>2813</x:v>
      </x:c>
      <x:c r="E358" t="s">
        <x:v>2814</x:v>
      </x:c>
      <x:c r="F358">
        <x:v>2200</x:v>
      </x:c>
      <x:c r="G358">
        <x:v>2200</x:v>
      </x:c>
      <x:c r="H358">
        <x:v>2200</x:v>
      </x:c>
      <x:c r="I358" t="s">
        <x:v>2815</x:v>
      </x:c>
      <x:c r="J358" t="s">
        <x:v>2816</x:v>
      </x:c>
      <x:c r="K358" t="s">
        <x:v>2817</x:v>
      </x:c>
      <x:c r="L358" t="s">
        <x:v>2818</x:v>
      </x:c>
      <x:c r="M358" t="s">
        <x:v>2819</x:v>
      </x:c>
      <x:c r="N358" t="s">
        <x:v>2820</x:v>
      </x:c>
      <x:c r="O358" t="s">
        <x:v>2821</x:v>
      </x:c>
      <x:c r="P358" t="s">
        <x:v>2822</x:v>
      </x:c>
      <x:c r="R358" s="9">
        <x:v>34286</x:v>
      </x:c>
      <x:c r="T358" t="s">
        <x:v>111</x:v>
      </x:c>
      <x:c r="W358" s="26" t="n">
        <x:v>10.38155</x:v>
      </x:c>
      <x:c r="X358" s="26" t="n">
        <x:v>-72.94482</x:v>
      </x:c>
      <x:c r="Y358">
        <x:v>2334.962</x:v>
      </x:c>
      <x:c r="Z358">
        <x:v>2370</x:v>
      </x:c>
      <x:c r="AB358" t="s">
        <x:v>2823</x:v>
      </x:c>
      <x:c r="AF358" t="s">
        <x:v>50</x:v>
      </x:c>
      <x:c r="AG358" t="s">
        <x:v>2824</x:v>
      </x:c>
      <x:c r="AH358" t="s">
        <x:v>2825</x:v>
      </x:c>
      <x:c r="AI358" t="s">
        <x:v>2826</x:v>
      </x:c>
      <x:c r="AJ358">
        <x:v>387</x:v>
      </x:c>
    </x:row>
    <x:row r="359">
      <x:c r="A359" t="s">
        <x:v>2207</x:v>
      </x:c>
      <x:c r="B359" t="s">
        <x:v>2208</x:v>
      </x:c>
      <x:c r="C359" t="s">
        <x:v>2827</x:v>
      </x:c>
      <x:c r="D359" t="s">
        <x:v>2828</x:v>
      </x:c>
      <x:c r="E359" t="s">
        <x:v>2829</x:v>
      </x:c>
      <x:c r="F359">
        <x:v>1300</x:v>
      </x:c>
      <x:c r="G359">
        <x:v>1300</x:v>
      </x:c>
      <x:c r="H359">
        <x:v>1300</x:v>
      </x:c>
      <x:c r="P359" t="s">
        <x:v>80</x:v>
      </x:c>
      <x:c r="R359" s="9">
        <x:v>28181</x:v>
      </x:c>
      <x:c r="T359" t="s">
        <x:v>119</x:v>
      </x:c>
      <x:c r="W359" s="26" t="n">
        <x:v>4.86026</x:v>
      </x:c>
      <x:c r="X359" s="26" t="n">
        <x:v>-76.27122</x:v>
      </x:c>
      <x:c r="Y359">
        <x:v>1324.4280000000001</x:v>
      </x:c>
      <x:c r="Z359">
        <x:v>1213</x:v>
      </x:c>
      <x:c r="AB359" t="s">
        <x:v>2830</x:v>
      </x:c>
      <x:c r="AF359" t="s">
        <x:v>50</x:v>
      </x:c>
      <x:c r="AG359" t="s">
        <x:v>1374</x:v>
      </x:c>
      <x:c r="AH359" t="s">
        <x:v>375</x:v>
      </x:c>
      <x:c r="AI359" t="s">
        <x:v>2831</x:v>
      </x:c>
      <x:c r="AJ359">
        <x:v>388</x:v>
      </x:c>
    </x:row>
    <x:row r="360">
      <x:c r="A360" t="s">
        <x:v>2207</x:v>
      </x:c>
      <x:c r="B360" t="s">
        <x:v>2208</x:v>
      </x:c>
      <x:c r="C360" t="s">
        <x:v>2832</x:v>
      </x:c>
      <x:c r="D360" t="s">
        <x:v>2833</x:v>
      </x:c>
      <x:c r="E360" t="s">
        <x:v>2834</x:v>
      </x:c>
      <x:c r="F360" t="s">
        <x:v>2835</x:v>
      </x:c>
      <x:c r="G360">
        <x:v>75</x:v>
      </x:c>
      <x:c r="H360">
        <x:v>100</x:v>
      </x:c>
      <x:c r="P360" t="s">
        <x:v>80</x:v>
      </x:c>
      <x:c r="R360" s="9">
        <x:v>25987</x:v>
      </x:c>
      <x:c r="T360" t="s">
        <x:v>119</x:v>
      </x:c>
      <x:c r="W360" s="26" t="n">
        <x:v>5.08588</x:v>
      </x:c>
      <x:c r="X360" s="26" t="n">
        <x:v>-76.71616</x:v>
      </x:c>
      <x:c r="Y360">
        <x:v>2304.4079999999999</x:v>
      </x:c>
      <x:c r="Z360">
        <x:v>74</x:v>
      </x:c>
      <x:c r="AB360" t="s">
        <x:v>2836</x:v>
      </x:c>
      <x:c r="AF360" t="s">
        <x:v>50</x:v>
      </x:c>
      <x:c r="AG360" t="s">
        <x:v>374</x:v>
      </x:c>
      <x:c r="AH360" t="s">
        <x:v>2837</x:v>
      </x:c>
      <x:c r="AI360" t="s">
        <x:v>2838</x:v>
      </x:c>
      <x:c r="AJ360">
        <x:v>389</x:v>
      </x:c>
    </x:row>
    <x:row r="361">
      <x:c r="A361" t="s">
        <x:v>2207</x:v>
      </x:c>
      <x:c r="B361" t="s">
        <x:v>2208</x:v>
      </x:c>
      <x:c r="C361" t="s">
        <x:v>2839</x:v>
      </x:c>
      <x:c r="D361" t="s">
        <x:v>2840</x:v>
      </x:c>
      <x:c r="E361" t="s">
        <x:v>2841</x:v>
      </x:c>
      <x:c r="F361" t="s">
        <x:v>962</x:v>
      </x:c>
      <x:c r="G361">
        <x:v>2300</x:v>
      </x:c>
      <x:c r="H361">
        <x:v>2400</x:v>
      </x:c>
      <x:c r="P361" t="s">
        <x:v>80</x:v>
      </x:c>
      <x:c r="R361" s="9">
        <x:v>28871</x:v>
      </x:c>
      <x:c r="T361" t="s">
        <x:v>2842</x:v>
      </x:c>
      <x:c r="W361" s="26" t="n">
        <x:v>5.87752</x:v>
      </x:c>
      <x:c r="X361" s="26" t="n">
        <x:v>-76.10609</x:v>
      </x:c>
      <x:c r="Y361">
        <x:v>32.270000000000003</x:v>
      </x:c>
      <x:c r="Z361">
        <x:v>2004</x:v>
      </x:c>
      <x:c r="AB361" t="s">
        <x:v>2843</x:v>
      </x:c>
      <x:c r="AF361" t="s">
        <x:v>50</x:v>
      </x:c>
      <x:c r="AG361" t="s">
        <x:v>374</x:v>
      </x:c>
      <x:c r="AH361" t="s">
        <x:v>2844</x:v>
      </x:c>
      <x:c r="AI361" t="s">
        <x:v>2845</x:v>
      </x:c>
      <x:c r="AJ361">
        <x:v>390</x:v>
      </x:c>
    </x:row>
    <x:row r="362" ht="16.200000762939453" customHeight="1">
      <x:c r="A362" t="s">
        <x:v>2207</x:v>
      </x:c>
      <x:c r="B362" t="s">
        <x:v>2208</x:v>
      </x:c>
      <x:c r="C362" t="s">
        <x:v>2846</x:v>
      </x:c>
      <x:c r="D362" t="s">
        <x:v>2847</x:v>
      </x:c>
      <x:c r="E362" t="s">
        <x:v>2848</x:v>
      </x:c>
      <x:c r="F362">
        <x:v>2000</x:v>
      </x:c>
      <x:c r="G362">
        <x:v>2000</x:v>
      </x:c>
      <x:c r="H362">
        <x:v>2000</x:v>
      </x:c>
      <x:c r="P362" t="s">
        <x:v>80</x:v>
      </x:c>
      <x:c r="R362" s="9">
        <x:v>16907</x:v>
      </x:c>
      <x:c r="T362" t="s">
        <x:v>119</x:v>
      </x:c>
      <x:c r="W362" s="26" t="n">
        <x:v>4.41479</x:v>
      </x:c>
      <x:c r="X362" s="26" t="n">
        <x:v>-74.32969</x:v>
      </x:c>
      <x:c r="Y362">
        <x:v>4441.96</x:v>
      </x:c>
      <x:c r="Z362">
        <x:v>2161</x:v>
      </x:c>
      <x:c r="AB362" t="s">
        <x:v>104</x:v>
      </x:c>
      <x:c r="AF362" t="s">
        <x:v>50</x:v>
      </x:c>
      <x:c r="AG362" t="s">
        <x:v>98</x:v>
      </x:c>
      <x:c r="AH362" t="s">
        <x:v>2849</x:v>
      </x:c>
      <x:c r="AJ362">
        <x:v>391</x:v>
      </x:c>
    </x:row>
    <x:row r="363">
      <x:c r="A363" t="s">
        <x:v>2207</x:v>
      </x:c>
      <x:c r="B363" t="s">
        <x:v>2208</x:v>
      </x:c>
      <x:c r="C363" t="s">
        <x:v>2850</x:v>
      </x:c>
      <x:c r="D363" t="s">
        <x:v>2851</x:v>
      </x:c>
      <x:c r="E363" t="s">
        <x:v>2852</x:v>
      </x:c>
      <x:c r="F363">
        <x:v>1750</x:v>
      </x:c>
      <x:c r="G363">
        <x:v>1750</x:v>
      </x:c>
      <x:c r="H363">
        <x:v>1750</x:v>
      </x:c>
      <x:c r="P363" t="s">
        <x:v>80</x:v>
      </x:c>
      <x:c r="R363" s="9">
        <x:v>16912</x:v>
      </x:c>
      <x:c r="W363" s="26" t="n">
        <x:v>4.38045</x:v>
      </x:c>
      <x:c r="X363" s="26" t="n">
        <x:v>-74.34658</x:v>
      </x:c>
      <x:c r="Y363">
        <x:v>6019.4620000000004</x:v>
      </x:c>
      <x:c r="Z363">
        <x:v>1779</x:v>
      </x:c>
      <x:c r="AB363" t="s">
        <x:v>2853</x:v>
      </x:c>
      <x:c r="AF363" t="s">
        <x:v>50</x:v>
      </x:c>
      <x:c r="AG363" t="s">
        <x:v>98</x:v>
      </x:c>
      <x:c r="AH363" t="s">
        <x:v>2854</x:v>
      </x:c>
      <x:c r="AI363" t="s">
        <x:v>2855</x:v>
      </x:c>
      <x:c r="AJ363">
        <x:v>392</x:v>
      </x:c>
    </x:row>
    <x:row r="364">
      <x:c r="A364" t="s">
        <x:v>2207</x:v>
      </x:c>
      <x:c r="B364" t="s">
        <x:v>2208</x:v>
      </x:c>
      <x:c r="C364" t="s">
        <x:v>2856</x:v>
      </x:c>
      <x:c r="D364" t="s">
        <x:v>2857</x:v>
      </x:c>
      <x:c r="E364" t="s">
        <x:v>2858</x:v>
      </x:c>
      <x:c r="F364">
        <x:v>2500</x:v>
      </x:c>
      <x:c r="G364">
        <x:v>2500</x:v>
      </x:c>
      <x:c r="H364">
        <x:v>2500</x:v>
      </x:c>
      <x:c r="P364" t="s">
        <x:v>80</x:v>
      </x:c>
      <x:c r="R364" s="9">
        <x:v>21667</x:v>
      </x:c>
      <x:c r="T364" t="s">
        <x:v>111</x:v>
      </x:c>
      <x:c r="W364" s="26" t="n">
        <x:v>4.57476</x:v>
      </x:c>
      <x:c r="X364" s="26" t="n">
        <x:v>-74.29338</x:v>
      </x:c>
      <x:c r="Y364">
        <x:v>796.76199999999994</x:v>
      </x:c>
      <x:c r="Z364">
        <x:v>2486</x:v>
      </x:c>
      <x:c r="AB364" t="s">
        <x:v>2859</x:v>
      </x:c>
      <x:c r="AF364" t="s">
        <x:v>50</x:v>
      </x:c>
      <x:c r="AG364" t="s">
        <x:v>98</x:v>
      </x:c>
      <x:c r="AH364" t="s">
        <x:v>2860</x:v>
      </x:c>
      <x:c r="AJ364">
        <x:v>393</x:v>
      </x:c>
    </x:row>
    <x:row r="365">
      <x:c r="A365" t="s">
        <x:v>2207</x:v>
      </x:c>
      <x:c r="B365" t="s">
        <x:v>2208</x:v>
      </x:c>
      <x:c r="C365" t="s">
        <x:v>2861</x:v>
      </x:c>
      <x:c r="D365" t="s">
        <x:v>2862</x:v>
      </x:c>
      <x:c r="E365" t="s">
        <x:v>2863</x:v>
      </x:c>
      <x:c r="F365">
        <x:v>2150</x:v>
      </x:c>
      <x:c r="G365">
        <x:v>2150</x:v>
      </x:c>
      <x:c r="H365">
        <x:v>2150</x:v>
      </x:c>
      <x:c r="P365" t="s">
        <x:v>80</x:v>
      </x:c>
      <x:c r="R365" s="9">
        <x:v>23603</x:v>
      </x:c>
      <x:c r="T365" t="s">
        <x:v>111</x:v>
      </x:c>
      <x:c r="W365" s="26" t="n">
        <x:v>4.58475</x:v>
      </x:c>
      <x:c r="X365" s="26" t="n">
        <x:v>-74.30317</x:v>
      </x:c>
      <x:c r="Y365">
        <x:v>3696.7170000000001</x:v>
      </x:c>
      <x:c r="Z365">
        <x:v>2180</x:v>
      </x:c>
      <x:c r="AB365" t="s">
        <x:v>2864</x:v>
      </x:c>
      <x:c r="AF365" t="s">
        <x:v>50</x:v>
      </x:c>
      <x:c r="AG365" t="s">
        <x:v>98</x:v>
      </x:c>
      <x:c r="AH365" t="s">
        <x:v>2865</x:v>
      </x:c>
      <x:c r="AI365" t="s">
        <x:v>2866</x:v>
      </x:c>
      <x:c r="AJ365">
        <x:v>394</x:v>
      </x:c>
    </x:row>
    <x:row r="366">
      <x:c r="A366" t="s">
        <x:v>2207</x:v>
      </x:c>
      <x:c r="B366" t="s">
        <x:v>2208</x:v>
      </x:c>
      <x:c r="C366" t="s">
        <x:v>2867</x:v>
      </x:c>
      <x:c r="D366" t="s">
        <x:v>2868</x:v>
      </x:c>
      <x:c r="E366" t="s">
        <x:v>2869</x:v>
      </x:c>
      <x:c r="F366">
        <x:v>2720</x:v>
      </x:c>
      <x:c r="G366">
        <x:v>2720</x:v>
      </x:c>
      <x:c r="H366">
        <x:v>2720</x:v>
      </x:c>
      <x:c r="P366" t="s">
        <x:v>80</x:v>
      </x:c>
      <x:c r="R366" s="9">
        <x:v>27051</x:v>
      </x:c>
      <x:c r="W366" s="26" t="n">
        <x:v>4.84652</x:v>
      </x:c>
      <x:c r="X366" s="26" t="n">
        <x:v>-73.79624</x:v>
      </x:c>
      <x:c r="Y366">
        <x:v>2272.5300000000002</x:v>
      </x:c>
      <x:c r="Z366">
        <x:v>3312</x:v>
      </x:c>
      <x:c r="AA366" t="s">
        <x:v>2870</x:v>
      </x:c>
      <x:c r="AB366" t="s">
        <x:v>2871</x:v>
      </x:c>
      <x:c r="AF366" t="s">
        <x:v>50</x:v>
      </x:c>
      <x:c r="AG366" t="s">
        <x:v>98</x:v>
      </x:c>
      <x:c r="AH366" t="s">
        <x:v>2872</x:v>
      </x:c>
      <x:c r="AJ366">
        <x:v>395</x:v>
      </x:c>
    </x:row>
    <x:row r="367">
      <x:c r="A367" t="s">
        <x:v>2207</x:v>
      </x:c>
      <x:c r="B367" t="s">
        <x:v>2208</x:v>
      </x:c>
      <x:c r="C367" t="s">
        <x:v>2873</x:v>
      </x:c>
      <x:c r="D367" t="s">
        <x:v>2874</x:v>
      </x:c>
      <x:c r="E367" t="s">
        <x:v>2875</x:v>
      </x:c>
      <x:c r="F367">
        <x:v>2400</x:v>
      </x:c>
      <x:c r="G367">
        <x:v>2400</x:v>
      </x:c>
      <x:c r="H367">
        <x:v>2400</x:v>
      </x:c>
      <x:c r="P367" t="s">
        <x:v>80</x:v>
      </x:c>
      <x:c r="R367" s="9">
        <x:v>27090</x:v>
      </x:c>
      <x:c r="W367" s="26" t="n">
        <x:v>4.44067</x:v>
      </x:c>
      <x:c r="X367" s="26" t="n">
        <x:v>-74.32067</x:v>
      </x:c>
      <x:c r="Y367">
        <x:v>380.59</x:v>
      </x:c>
      <x:c r="Z367">
        <x:v>2436</x:v>
      </x:c>
      <x:c r="AB367" t="s">
        <x:v>2876</x:v>
      </x:c>
      <x:c r="AF367" t="s">
        <x:v>50</x:v>
      </x:c>
      <x:c r="AG367" t="s">
        <x:v>98</x:v>
      </x:c>
      <x:c r="AH367" t="s">
        <x:v>2877</x:v>
      </x:c>
      <x:c r="AI367" t="s">
        <x:v>2878</x:v>
      </x:c>
      <x:c r="AJ367">
        <x:v>396</x:v>
      </x:c>
    </x:row>
    <x:row r="368">
      <x:c r="A368" t="s">
        <x:v>2207</x:v>
      </x:c>
      <x:c r="B368" t="s">
        <x:v>2208</x:v>
      </x:c>
      <x:c r="C368" t="s">
        <x:v>2879</x:v>
      </x:c>
      <x:c r="D368" t="s">
        <x:v>2880</x:v>
      </x:c>
      <x:c r="E368" t="s">
        <x:v>2881</x:v>
      </x:c>
      <x:c r="F368">
        <x:v>2000</x:v>
      </x:c>
      <x:c r="G368">
        <x:v>2000</x:v>
      </x:c>
      <x:c r="H368">
        <x:v>2000</x:v>
      </x:c>
      <x:c r="P368" t="s">
        <x:v>80</x:v>
      </x:c>
      <x:c r="R368" s="9">
        <x:v>32700</x:v>
      </x:c>
      <x:c r="T368" t="s">
        <x:v>65</x:v>
      </x:c>
      <x:c r="W368" s="26" t="n">
        <x:v>4.68312</x:v>
      </x:c>
      <x:c r="X368" s="26" t="n">
        <x:v>-74.38963</x:v>
      </x:c>
      <x:c r="Y368">
        <x:v>286.28899999999999</x:v>
      </x:c>
      <x:c r="Z368">
        <x:v>2029</x:v>
      </x:c>
      <x:c r="AB368" t="s">
        <x:v>381</x:v>
      </x:c>
      <x:c r="AF368" t="s">
        <x:v>50</x:v>
      </x:c>
      <x:c r="AG368" t="s">
        <x:v>98</x:v>
      </x:c>
      <x:c r="AH368" t="s">
        <x:v>2882</x:v>
      </x:c>
      <x:c r="AI368" t="s">
        <x:v>382</x:v>
      </x:c>
      <x:c r="AJ368">
        <x:v>397</x:v>
      </x:c>
    </x:row>
    <x:row r="369">
      <x:c r="A369" t="s">
        <x:v>2207</x:v>
      </x:c>
      <x:c r="B369" t="s">
        <x:v>2208</x:v>
      </x:c>
      <x:c r="C369" t="s">
        <x:v>2883</x:v>
      </x:c>
      <x:c r="D369" t="s">
        <x:v>2884</x:v>
      </x:c>
      <x:c r="E369" t="s">
        <x:v>2885</x:v>
      </x:c>
      <x:c r="F369">
        <x:v>2000</x:v>
      </x:c>
      <x:c r="G369">
        <x:v>2000</x:v>
      </x:c>
      <x:c r="H369">
        <x:v>2000</x:v>
      </x:c>
      <x:c r="P369" t="s">
        <x:v>80</x:v>
      </x:c>
      <x:c r="R369" s="9">
        <x:v>32856</x:v>
      </x:c>
      <x:c r="W369" s="26" t="n">
        <x:v>4.68312</x:v>
      </x:c>
      <x:c r="X369" s="26" t="n">
        <x:v>-74.38963</x:v>
      </x:c>
      <x:c r="Y369">
        <x:v>286.28899999999999</x:v>
      </x:c>
      <x:c r="Z369">
        <x:v>2029</x:v>
      </x:c>
      <x:c r="AB369" t="s">
        <x:v>381</x:v>
      </x:c>
      <x:c r="AF369" t="s">
        <x:v>50</x:v>
      </x:c>
      <x:c r="AG369" t="s">
        <x:v>98</x:v>
      </x:c>
      <x:c r="AH369" t="s">
        <x:v>2882</x:v>
      </x:c>
      <x:c r="AI369" t="s">
        <x:v>2886</x:v>
      </x:c>
      <x:c r="AJ369">
        <x:v>398</x:v>
      </x:c>
    </x:row>
    <x:row r="370">
      <x:c r="A370" t="s">
        <x:v>2207</x:v>
      </x:c>
      <x:c r="B370" t="s">
        <x:v>2208</x:v>
      </x:c>
      <x:c r="C370" t="s">
        <x:v>2887</x:v>
      </x:c>
      <x:c r="D370" t="s">
        <x:v>2888</x:v>
      </x:c>
      <x:c r="E370" t="s">
        <x:v>2889</x:v>
      </x:c>
      <x:c r="F370">
        <x:v>1900</x:v>
      </x:c>
      <x:c r="G370">
        <x:v>1900</x:v>
      </x:c>
      <x:c r="H370">
        <x:v>1900</x:v>
      </x:c>
      <x:c r="P370" t="s">
        <x:v>80</x:v>
      </x:c>
      <x:c r="R370" s="9">
        <x:v>36955</x:v>
      </x:c>
      <x:c r="T370" t="s">
        <x:v>65</x:v>
      </x:c>
      <x:c r="W370" s="26" t="n">
        <x:v>4.89964</x:v>
      </x:c>
      <x:c r="X370" s="26" t="n">
        <x:v>-74.42438</x:v>
      </x:c>
      <x:c r="Y370">
        <x:v>130.82400000000001</x:v>
      </x:c>
      <x:c r="Z370">
        <x:v>2069</x:v>
      </x:c>
      <x:c r="AB370" t="s">
        <x:v>214</x:v>
      </x:c>
      <x:c r="AF370" t="s">
        <x:v>50</x:v>
      </x:c>
      <x:c r="AG370" t="s">
        <x:v>98</x:v>
      </x:c>
      <x:c r="AH370" t="s">
        <x:v>215</x:v>
      </x:c>
      <x:c r="AI370" t="s">
        <x:v>2890</x:v>
      </x:c>
      <x:c r="AJ370">
        <x:v>399</x:v>
      </x:c>
    </x:row>
    <x:row r="371">
      <x:c r="A371" t="s">
        <x:v>2207</x:v>
      </x:c>
      <x:c r="B371" t="s">
        <x:v>2208</x:v>
      </x:c>
      <x:c r="C371" t="s">
        <x:v>2891</x:v>
      </x:c>
      <x:c r="D371" t="s">
        <x:v>2892</x:v>
      </x:c>
      <x:c r="E371" t="s">
        <x:v>2893</x:v>
      </x:c>
      <x:c r="F371">
        <x:v>2420</x:v>
      </x:c>
      <x:c r="G371">
        <x:v>2420</x:v>
      </x:c>
      <x:c r="H371">
        <x:v>2420</x:v>
      </x:c>
      <x:c r="P371" t="s">
        <x:v>80</x:v>
      </x:c>
      <x:c r="R371" s="9">
        <x:v>21424</x:v>
      </x:c>
      <x:c r="T371" t="s">
        <x:v>119</x:v>
      </x:c>
      <x:c r="W371" s="26" t="n">
        <x:v>1.87648</x:v>
      </x:c>
      <x:c r="X371" s="26" t="n">
        <x:v>-76.2594</x:v>
      </x:c>
      <x:c r="Y371">
        <x:v>1550.316</x:v>
      </x:c>
      <x:c r="Z371">
        <x:v>1667</x:v>
      </x:c>
      <x:c r="AA371" t="s">
        <x:v>2894</x:v>
      </x:c>
      <x:c r="AB371" t="s">
        <x:v>2895</x:v>
      </x:c>
      <x:c r="AF371" t="s">
        <x:v>50</x:v>
      </x:c>
      <x:c r="AG371" t="s">
        <x:v>51</x:v>
      </x:c>
      <x:c r="AH371" t="s">
        <x:v>1870</x:v>
      </x:c>
      <x:c r="AI371" t="s">
        <x:v>2896</x:v>
      </x:c>
      <x:c r="AJ371">
        <x:v>400</x:v>
      </x:c>
    </x:row>
    <x:row r="372">
      <x:c r="A372" t="s">
        <x:v>2207</x:v>
      </x:c>
      <x:c r="B372" t="s">
        <x:v>2208</x:v>
      </x:c>
      <x:c r="C372" t="s">
        <x:v>2897</x:v>
      </x:c>
      <x:c r="D372" t="s">
        <x:v>2898</x:v>
      </x:c>
      <x:c r="E372" t="s">
        <x:v>2899</x:v>
      </x:c>
      <x:c r="F372" t="s">
        <x:v>2900</x:v>
      </x:c>
      <x:c r="G372">
        <x:v>1200</x:v>
      </x:c>
      <x:c r="H372">
        <x:v>1300</x:v>
      </x:c>
      <x:c r="P372" t="s">
        <x:v>80</x:v>
      </x:c>
      <x:c r="R372" s="9">
        <x:v>27587</x:v>
      </x:c>
      <x:c r="T372" t="s">
        <x:v>399</x:v>
      </x:c>
      <x:c r="W372" s="26" t="n">
        <x:v>2.21928</x:v>
      </x:c>
      <x:c r="X372" s="26" t="n">
        <x:v>-76.11453</x:v>
      </x:c>
      <x:c r="Y372">
        <x:v>2876.982</x:v>
      </x:c>
      <x:c r="Z372">
        <x:v>2175</x:v>
      </x:c>
      <x:c r="AA372" t="s">
        <x:v>2901</x:v>
      </x:c>
      <x:c r="AB372" t="s">
        <x:v>2902</x:v>
      </x:c>
      <x:c r="AF372" t="s">
        <x:v>50</x:v>
      </x:c>
      <x:c r="AG372" t="s">
        <x:v>51</x:v>
      </x:c>
      <x:c r="AH372" t="s">
        <x:v>2903</x:v>
      </x:c>
      <x:c r="AI372" t="s">
        <x:v>2904</x:v>
      </x:c>
      <x:c r="AJ372">
        <x:v>401</x:v>
      </x:c>
    </x:row>
    <x:row r="373">
      <x:c r="A373" t="s">
        <x:v>2207</x:v>
      </x:c>
      <x:c r="B373" t="s">
        <x:v>2208</x:v>
      </x:c>
      <x:c r="C373" t="s">
        <x:v>2905</x:v>
      </x:c>
      <x:c r="D373" t="s">
        <x:v>2906</x:v>
      </x:c>
      <x:c r="E373" t="s">
        <x:v>2907</x:v>
      </x:c>
      <x:c r="F373">
        <x:v>1300</x:v>
      </x:c>
      <x:c r="G373">
        <x:v>1300</x:v>
      </x:c>
      <x:c r="H373">
        <x:v>1300</x:v>
      </x:c>
      <x:c r="P373" t="s">
        <x:v>80</x:v>
      </x:c>
      <x:c r="R373" s="9">
        <x:v>27595</x:v>
      </x:c>
      <x:c r="T373" t="s">
        <x:v>119</x:v>
      </x:c>
      <x:c r="W373" s="26" t="n">
        <x:v>2.21928</x:v>
      </x:c>
      <x:c r="X373" s="26" t="n">
        <x:v>-76.11453</x:v>
      </x:c>
      <x:c r="Y373">
        <x:v>2876.982</x:v>
      </x:c>
      <x:c r="Z373">
        <x:v>2175</x:v>
      </x:c>
      <x:c r="AA373" t="s">
        <x:v>2901</x:v>
      </x:c>
      <x:c r="AB373" t="s">
        <x:v>2902</x:v>
      </x:c>
      <x:c r="AF373" t="s">
        <x:v>50</x:v>
      </x:c>
      <x:c r="AG373" t="s">
        <x:v>51</x:v>
      </x:c>
      <x:c r="AH373" t="s">
        <x:v>2903</x:v>
      </x:c>
      <x:c r="AI373" t="s">
        <x:v>2908</x:v>
      </x:c>
      <x:c r="AJ373">
        <x:v>402</x:v>
      </x:c>
    </x:row>
    <x:row r="374">
      <x:c r="A374" t="s">
        <x:v>2207</x:v>
      </x:c>
      <x:c r="B374" t="s">
        <x:v>2208</x:v>
      </x:c>
      <x:c r="C374" t="s">
        <x:v>2909</x:v>
      </x:c>
      <x:c r="D374" t="s">
        <x:v>2910</x:v>
      </x:c>
      <x:c r="E374" t="s">
        <x:v>2911</x:v>
      </x:c>
      <x:c r="F374" t="s">
        <x:v>2900</x:v>
      </x:c>
      <x:c r="G374">
        <x:v>1200</x:v>
      </x:c>
      <x:c r="H374">
        <x:v>1300</x:v>
      </x:c>
      <x:c r="P374" t="s">
        <x:v>80</x:v>
      </x:c>
      <x:c r="R374" s="9">
        <x:v>27596</x:v>
      </x:c>
      <x:c r="T374" t="s">
        <x:v>111</x:v>
      </x:c>
      <x:c r="W374" s="26" t="n">
        <x:v>2.21928</x:v>
      </x:c>
      <x:c r="X374" s="26" t="n">
        <x:v>-76.11453</x:v>
      </x:c>
      <x:c r="Y374">
        <x:v>2876.982</x:v>
      </x:c>
      <x:c r="Z374">
        <x:v>2175</x:v>
      </x:c>
      <x:c r="AA374" t="s">
        <x:v>2901</x:v>
      </x:c>
      <x:c r="AB374" t="s">
        <x:v>2902</x:v>
      </x:c>
      <x:c r="AF374" t="s">
        <x:v>50</x:v>
      </x:c>
      <x:c r="AG374" t="s">
        <x:v>51</x:v>
      </x:c>
      <x:c r="AH374" t="s">
        <x:v>2903</x:v>
      </x:c>
      <x:c r="AI374" t="s">
        <x:v>2908</x:v>
      </x:c>
      <x:c r="AJ374">
        <x:v>403</x:v>
      </x:c>
    </x:row>
    <x:row r="375">
      <x:c r="A375" t="s">
        <x:v>2207</x:v>
      </x:c>
      <x:c r="B375" t="s">
        <x:v>2208</x:v>
      </x:c>
      <x:c r="C375" t="s">
        <x:v>2912</x:v>
      </x:c>
      <x:c r="D375" t="s">
        <x:v>2913</x:v>
      </x:c>
      <x:c r="E375" t="s">
        <x:v>2914</x:v>
      </x:c>
      <x:c r="F375">
        <x:v>2480</x:v>
      </x:c>
      <x:c r="G375">
        <x:v>2480</x:v>
      </x:c>
      <x:c r="H375">
        <x:v>2480</x:v>
      </x:c>
      <x:c r="P375" t="s">
        <x:v>80</x:v>
      </x:c>
      <x:c r="R375" s="9">
        <x:v>30069</x:v>
      </x:c>
      <x:c r="T375" t="s">
        <x:v>399</x:v>
      </x:c>
      <x:c r="W375" s="26" t="n">
        <x:v>2.21928</x:v>
      </x:c>
      <x:c r="X375" s="26" t="n">
        <x:v>-76.11453</x:v>
      </x:c>
      <x:c r="Y375">
        <x:v>2876.982</x:v>
      </x:c>
      <x:c r="Z375">
        <x:v>2175</x:v>
      </x:c>
      <x:c r="AA375" t="s">
        <x:v>2901</x:v>
      </x:c>
      <x:c r="AB375" t="s">
        <x:v>2902</x:v>
      </x:c>
      <x:c r="AF375" t="s">
        <x:v>50</x:v>
      </x:c>
      <x:c r="AG375" t="s">
        <x:v>51</x:v>
      </x:c>
      <x:c r="AH375" t="s">
        <x:v>2903</x:v>
      </x:c>
      <x:c r="AI375" t="s">
        <x:v>2915</x:v>
      </x:c>
      <x:c r="AJ375">
        <x:v>405</x:v>
      </x:c>
    </x:row>
    <x:row r="376">
      <x:c r="A376" t="s">
        <x:v>2207</x:v>
      </x:c>
      <x:c r="B376" t="s">
        <x:v>2208</x:v>
      </x:c>
      <x:c r="C376" t="s">
        <x:v>2916</x:v>
      </x:c>
      <x:c r="D376" t="s">
        <x:v>2917</x:v>
      </x:c>
      <x:c r="E376" t="s">
        <x:v>2918</x:v>
      </x:c>
      <x:c r="F376">
        <x:v>1300</x:v>
      </x:c>
      <x:c r="G376">
        <x:v>1300</x:v>
      </x:c>
      <x:c r="H376">
        <x:v>1300</x:v>
      </x:c>
      <x:c r="P376" t="s">
        <x:v>80</x:v>
      </x:c>
      <x:c r="R376" s="9">
        <x:v>30411</x:v>
      </x:c>
      <x:c r="T376" t="s">
        <x:v>111</x:v>
      </x:c>
      <x:c r="W376" s="26" t="n">
        <x:v>1.73467</x:v>
      </x:c>
      <x:c r="X376" s="26" t="n">
        <x:v>-76.00001</x:v>
      </x:c>
      <x:c r="Y376">
        <x:v>3798.6889999999999</x:v>
      </x:c>
      <x:c r="Z376">
        <x:v>1497</x:v>
      </x:c>
      <x:c r="AB376" t="s">
        <x:v>1329</x:v>
      </x:c>
      <x:c r="AF376" t="s">
        <x:v>50</x:v>
      </x:c>
      <x:c r="AG376" t="s">
        <x:v>51</x:v>
      </x:c>
      <x:c r="AH376" t="s">
        <x:v>1330</x:v>
      </x:c>
      <x:c r="AI376" t="s">
        <x:v>2919</x:v>
      </x:c>
      <x:c r="AJ376">
        <x:v>406</x:v>
      </x:c>
    </x:row>
    <x:row r="377">
      <x:c r="A377" t="s">
        <x:v>2207</x:v>
      </x:c>
      <x:c r="B377" t="s">
        <x:v>2208</x:v>
      </x:c>
      <x:c r="C377" t="s">
        <x:v>2920</x:v>
      </x:c>
      <x:c r="D377" t="s">
        <x:v>2921</x:v>
      </x:c>
      <x:c r="E377" t="s">
        <x:v>2922</x:v>
      </x:c>
      <x:c r="F377">
        <x:v>2400</x:v>
      </x:c>
      <x:c r="G377">
        <x:v>2400</x:v>
      </x:c>
      <x:c r="H377">
        <x:v>2400</x:v>
      </x:c>
      <x:c r="P377" t="s">
        <x:v>80</x:v>
      </x:c>
      <x:c r="R377" s="9">
        <x:v>30903</x:v>
      </x:c>
      <x:c r="T377" t="s">
        <x:v>2842</x:v>
      </x:c>
      <x:c r="W377" s="26" t="n">
        <x:v>2.60932</x:v>
      </x:c>
      <x:c r="X377" s="26" t="n">
        <x:v>-75.21208</x:v>
      </x:c>
      <x:c r="Y377">
        <x:v>819.17700000000002</x:v>
      </x:c>
      <x:c r="Z377">
        <x:v>1587</x:v>
      </x:c>
      <x:c r="AB377" t="s">
        <x:v>2923</x:v>
      </x:c>
      <x:c r="AF377" t="s">
        <x:v>50</x:v>
      </x:c>
      <x:c r="AG377" t="s">
        <x:v>51</x:v>
      </x:c>
      <x:c r="AH377" t="s">
        <x:v>2924</x:v>
      </x:c>
      <x:c r="AI377" t="s">
        <x:v>2925</x:v>
      </x:c>
      <x:c r="AJ377">
        <x:v>407</x:v>
      </x:c>
    </x:row>
    <x:row r="378">
      <x:c r="A378" t="s">
        <x:v>2207</x:v>
      </x:c>
      <x:c r="B378" t="s">
        <x:v>2208</x:v>
      </x:c>
      <x:c r="C378" t="s">
        <x:v>2926</x:v>
      </x:c>
      <x:c r="D378" t="s">
        <x:v>2927</x:v>
      </x:c>
      <x:c r="E378" t="s">
        <x:v>2928</x:v>
      </x:c>
      <x:c r="F378">
        <x:v>1800</x:v>
      </x:c>
      <x:c r="G378">
        <x:v>1800</x:v>
      </x:c>
      <x:c r="H378">
        <x:v>1800</x:v>
      </x:c>
      <x:c r="P378" t="s">
        <x:v>80</x:v>
      </x:c>
      <x:c r="R378" s="9">
        <x:v>33138</x:v>
      </x:c>
      <x:c r="T378" t="s">
        <x:v>399</x:v>
      </x:c>
      <x:c r="W378" s="26" t="n">
        <x:v>3.5899</x:v>
      </x:c>
      <x:c r="X378" s="26" t="n">
        <x:v>-74.70934</x:v>
      </x:c>
      <x:c r="Y378">
        <x:v>3321.6179999999999</x:v>
      </x:c>
      <x:c r="Z378">
        <x:v>1607</x:v>
      </x:c>
      <x:c r="AB378" t="s">
        <x:v>692</x:v>
      </x:c>
      <x:c r="AF378" t="s">
        <x:v>50</x:v>
      </x:c>
      <x:c r="AG378" t="s">
        <x:v>51</x:v>
      </x:c>
      <x:c r="AH378" t="s">
        <x:v>50</x:v>
      </x:c>
      <x:c r="AI378" t="s">
        <x:v>2929</x:v>
      </x:c>
      <x:c r="AJ378">
        <x:v>408</x:v>
      </x:c>
    </x:row>
    <x:row r="379">
      <x:c r="A379" t="s">
        <x:v>2207</x:v>
      </x:c>
      <x:c r="B379" t="s">
        <x:v>2208</x:v>
      </x:c>
      <x:c r="C379" t="s">
        <x:v>2930</x:v>
      </x:c>
      <x:c r="D379" t="s">
        <x:v>2931</x:v>
      </x:c>
      <x:c r="E379" t="s">
        <x:v>2932</x:v>
      </x:c>
      <x:c r="F379">
        <x:v>2330</x:v>
      </x:c>
      <x:c r="G379">
        <x:v>2330</x:v>
      </x:c>
      <x:c r="H379">
        <x:v>2330</x:v>
      </x:c>
      <x:c r="P379" t="s">
        <x:v>80</x:v>
      </x:c>
      <x:c r="R379" s="9">
        <x:v>37177</x:v>
      </x:c>
      <x:c r="T379" t="s">
        <x:v>399</x:v>
      </x:c>
      <x:c r="W379" s="26" t="n">
        <x:v>2.6252</x:v>
      </x:c>
      <x:c r="X379" s="26" t="n">
        <x:v>-75.23544</x:v>
      </x:c>
      <x:c r="Y379">
        <x:v>2996.4639999999999</x:v>
      </x:c>
      <x:c r="Z379">
        <x:v>2225</x:v>
      </x:c>
      <x:c r="AA379" t="s">
        <x:v>2933</x:v>
      </x:c>
      <x:c r="AB379" t="s">
        <x:v>2934</x:v>
      </x:c>
      <x:c r="AF379" t="s">
        <x:v>50</x:v>
      </x:c>
      <x:c r="AG379" t="s">
        <x:v>51</x:v>
      </x:c>
      <x:c r="AH379" t="s">
        <x:v>2935</x:v>
      </x:c>
      <x:c r="AI379" t="s">
        <x:v>2936</x:v>
      </x:c>
      <x:c r="AJ379">
        <x:v>409</x:v>
      </x:c>
    </x:row>
    <x:row r="380">
      <x:c r="A380" t="s">
        <x:v>2207</x:v>
      </x:c>
      <x:c r="B380" t="s">
        <x:v>2208</x:v>
      </x:c>
      <x:c r="C380" t="s">
        <x:v>2937</x:v>
      </x:c>
      <x:c r="D380" t="s">
        <x:v>2938</x:v>
      </x:c>
      <x:c r="E380" t="s">
        <x:v>2939</x:v>
      </x:c>
      <x:c r="F380">
        <x:v>2280</x:v>
      </x:c>
      <x:c r="G380">
        <x:v>2280</x:v>
      </x:c>
      <x:c r="H380">
        <x:v>2280</x:v>
      </x:c>
      <x:c r="P380" t="s">
        <x:v>80</x:v>
      </x:c>
      <x:c r="R380" s="9">
        <x:v>37179</x:v>
      </x:c>
      <x:c r="T380" t="s">
        <x:v>399</x:v>
      </x:c>
      <x:c r="W380" s="26" t="n">
        <x:v>2.6252</x:v>
      </x:c>
      <x:c r="X380" s="26" t="n">
        <x:v>-75.23544</x:v>
      </x:c>
      <x:c r="Y380">
        <x:v>2996.4639999999999</x:v>
      </x:c>
      <x:c r="Z380">
        <x:v>2225</x:v>
      </x:c>
      <x:c r="AA380" t="s">
        <x:v>2933</x:v>
      </x:c>
      <x:c r="AB380" t="s">
        <x:v>2934</x:v>
      </x:c>
      <x:c r="AF380" t="s">
        <x:v>50</x:v>
      </x:c>
      <x:c r="AG380" t="s">
        <x:v>51</x:v>
      </x:c>
      <x:c r="AH380" t="s">
        <x:v>2935</x:v>
      </x:c>
      <x:c r="AI380" t="s">
        <x:v>2940</x:v>
      </x:c>
      <x:c r="AJ380">
        <x:v>411</x:v>
      </x:c>
    </x:row>
    <x:row r="381">
      <x:c r="A381" t="s">
        <x:v>2207</x:v>
      </x:c>
      <x:c r="B381" t="s">
        <x:v>2208</x:v>
      </x:c>
      <x:c r="C381" t="s">
        <x:v>2941</x:v>
      </x:c>
      <x:c r="D381" t="s">
        <x:v>2942</x:v>
      </x:c>
      <x:c r="E381" t="s">
        <x:v>2943</x:v>
      </x:c>
      <x:c r="F381">
        <x:v>1800</x:v>
      </x:c>
      <x:c r="G381">
        <x:v>1800</x:v>
      </x:c>
      <x:c r="H381">
        <x:v>1800</x:v>
      </x:c>
      <x:c r="P381" t="s">
        <x:v>80</x:v>
      </x:c>
      <x:c r="R381" s="9">
        <x:v>38565</x:v>
      </x:c>
      <x:c r="T381" t="s">
        <x:v>111</x:v>
      </x:c>
      <x:c r="W381" s="26" t="n">
        <x:v>1.88558</x:v>
      </x:c>
      <x:c r="X381" s="26" t="n">
        <x:v>-76.2943</x:v>
      </x:c>
      <x:c r="Y381">
        <x:v>1454.4280000000001</x:v>
      </x:c>
      <x:c r="Z381">
        <x:v>1745</x:v>
      </x:c>
      <x:c r="AB381" t="s">
        <x:v>2944</x:v>
      </x:c>
      <x:c r="AF381" t="s">
        <x:v>50</x:v>
      </x:c>
      <x:c r="AG381" t="s">
        <x:v>51</x:v>
      </x:c>
      <x:c r="AH381" t="s">
        <x:v>296</x:v>
      </x:c>
      <x:c r="AI381" t="s">
        <x:v>2945</x:v>
      </x:c>
      <x:c r="AJ381">
        <x:v>412</x:v>
      </x:c>
    </x:row>
    <x:row r="382">
      <x:c r="A382" t="s">
        <x:v>2207</x:v>
      </x:c>
      <x:c r="B382" t="s">
        <x:v>2208</x:v>
      </x:c>
      <x:c r="C382" t="s">
        <x:v>2946</x:v>
      </x:c>
      <x:c r="D382" t="s">
        <x:v>2947</x:v>
      </x:c>
      <x:c r="E382" t="s">
        <x:v>2948</x:v>
      </x:c>
      <x:c r="F382">
        <x:v>2050</x:v>
      </x:c>
      <x:c r="G382">
        <x:v>2050</x:v>
      </x:c>
      <x:c r="H382">
        <x:v>2050</x:v>
      </x:c>
      <x:c r="P382" t="s">
        <x:v>80</x:v>
      </x:c>
      <x:c r="R382" s="9">
        <x:v>38980</x:v>
      </x:c>
      <x:c r="T382" t="s">
        <x:v>111</x:v>
      </x:c>
      <x:c r="W382" s="26" t="n">
        <x:v>2.54735</x:v>
      </x:c>
      <x:c r="X382" s="26" t="n">
        <x:v>-75.78877</x:v>
      </x:c>
      <x:c r="Y382">
        <x:v>2226.9279999999999</x:v>
      </x:c>
      <x:c r="Z382">
        <x:v>1817</x:v>
      </x:c>
      <x:c r="AA382" t="s">
        <x:v>2949</x:v>
      </x:c>
      <x:c r="AB382" t="s">
        <x:v>2950</x:v>
      </x:c>
      <x:c r="AF382" t="s">
        <x:v>50</x:v>
      </x:c>
      <x:c r="AG382" t="s">
        <x:v>51</x:v>
      </x:c>
      <x:c r="AH382" t="s">
        <x:v>2951</x:v>
      </x:c>
      <x:c r="AI382" t="s">
        <x:v>2952</x:v>
      </x:c>
      <x:c r="AJ382">
        <x:v>413</x:v>
      </x:c>
    </x:row>
    <x:row r="383">
      <x:c r="A383" t="s">
        <x:v>2207</x:v>
      </x:c>
      <x:c r="B383" t="s">
        <x:v>2208</x:v>
      </x:c>
      <x:c r="C383" t="s">
        <x:v>2953</x:v>
      </x:c>
      <x:c r="D383" t="s">
        <x:v>1060</x:v>
      </x:c>
      <x:c r="E383" t="s">
        <x:v>2954</x:v>
      </x:c>
      <x:c r="F383" t="s">
        <x:v>2955</x:v>
      </x:c>
      <x:c r="G383">
        <x:v>1925</x:v>
      </x:c>
      <x:c r="H383">
        <x:v>1925</x:v>
      </x:c>
      <x:c r="I383" t="s">
        <x:v>2956</x:v>
      </x:c>
      <x:c r="J383" t="s">
        <x:v>2956</x:v>
      </x:c>
      <x:c r="K383" t="s">
        <x:v>326</x:v>
      </x:c>
      <x:c r="L383" t="s">
        <x:v>326</x:v>
      </x:c>
      <x:c r="M383" t="s">
        <x:v>2957</x:v>
      </x:c>
      <x:c r="N383" t="s">
        <x:v>2958</x:v>
      </x:c>
      <x:c r="O383" t="s">
        <x:v>329</x:v>
      </x:c>
      <x:c r="P383" t="s">
        <x:v>2959</x:v>
      </x:c>
      <x:c r="R383" s="9">
        <x:v>40022</x:v>
      </x:c>
      <x:c r="T383" t="s">
        <x:v>119</x:v>
      </x:c>
      <x:c r="W383" s="26" t="n">
        <x:v>1.7689806</x:v>
      </x:c>
      <x:c r="X383" s="26" t="n">
        <x:v>-76.0187333</x:v>
      </x:c>
      <x:c r="AF383" t="s">
        <x:v>50</x:v>
      </x:c>
      <x:c r="AG383" t="s">
        <x:v>51</x:v>
      </x:c>
      <x:c r="AH383" t="s">
        <x:v>140</x:v>
      </x:c>
      <x:c r="AI383" t="s">
        <x:v>2960</x:v>
      </x:c>
      <x:c r="AJ383">
        <x:v>414</x:v>
      </x:c>
    </x:row>
    <x:row r="384">
      <x:c r="A384" t="s">
        <x:v>2207</x:v>
      </x:c>
      <x:c r="B384" t="s">
        <x:v>2208</x:v>
      </x:c>
      <x:c r="C384" t="s">
        <x:v>2961</x:v>
      </x:c>
      <x:c r="E384" t="s">
        <x:v>2962</x:v>
      </x:c>
      <x:c r="F384" t="s">
        <x:v>2955</x:v>
      </x:c>
      <x:c r="G384">
        <x:v>1925</x:v>
      </x:c>
      <x:c r="H384">
        <x:v>1925</x:v>
      </x:c>
      <x:c r="I384" t="s">
        <x:v>2956</x:v>
      </x:c>
      <x:c r="J384" t="s">
        <x:v>2956</x:v>
      </x:c>
      <x:c r="K384" t="s">
        <x:v>326</x:v>
      </x:c>
      <x:c r="L384" t="s">
        <x:v>326</x:v>
      </x:c>
      <x:c r="M384" t="s">
        <x:v>2957</x:v>
      </x:c>
      <x:c r="N384" t="s">
        <x:v>2958</x:v>
      </x:c>
      <x:c r="O384" t="s">
        <x:v>329</x:v>
      </x:c>
      <x:c r="P384" t="s">
        <x:v>2959</x:v>
      </x:c>
      <x:c r="R384" s="9">
        <x:v>40022</x:v>
      </x:c>
      <x:c r="T384" t="s">
        <x:v>119</x:v>
      </x:c>
      <x:c r="W384" s="26" t="n">
        <x:v>1.7689806</x:v>
      </x:c>
      <x:c r="X384" s="26" t="n">
        <x:v>-76.0187333</x:v>
      </x:c>
      <x:c r="AF384" t="s">
        <x:v>50</x:v>
      </x:c>
      <x:c r="AG384" t="s">
        <x:v>51</x:v>
      </x:c>
      <x:c r="AH384" t="s">
        <x:v>140</x:v>
      </x:c>
      <x:c r="AI384" t="s">
        <x:v>2963</x:v>
      </x:c>
      <x:c r="AJ384">
        <x:v>415</x:v>
      </x:c>
    </x:row>
    <x:row r="385">
      <x:c r="A385" t="s">
        <x:v>2207</x:v>
      </x:c>
      <x:c r="B385" t="s">
        <x:v>2208</x:v>
      </x:c>
      <x:c r="C385" t="s">
        <x:v>2964</x:v>
      </x:c>
      <x:c r="D385" t="s">
        <x:v>1060</x:v>
      </x:c>
      <x:c r="E385" t="s">
        <x:v>2962</x:v>
      </x:c>
      <x:c r="F385" t="s">
        <x:v>2955</x:v>
      </x:c>
      <x:c r="G385">
        <x:v>1925</x:v>
      </x:c>
      <x:c r="H385">
        <x:v>1925</x:v>
      </x:c>
      <x:c r="I385" t="s">
        <x:v>2956</x:v>
      </x:c>
      <x:c r="J385" t="s">
        <x:v>2956</x:v>
      </x:c>
      <x:c r="K385" t="s">
        <x:v>326</x:v>
      </x:c>
      <x:c r="L385" t="s">
        <x:v>326</x:v>
      </x:c>
      <x:c r="M385" t="s">
        <x:v>2957</x:v>
      </x:c>
      <x:c r="N385" t="s">
        <x:v>2958</x:v>
      </x:c>
      <x:c r="O385" t="s">
        <x:v>329</x:v>
      </x:c>
      <x:c r="P385" t="s">
        <x:v>2959</x:v>
      </x:c>
      <x:c r="R385" s="9">
        <x:v>40022</x:v>
      </x:c>
      <x:c r="T385" t="s">
        <x:v>119</x:v>
      </x:c>
      <x:c r="W385" s="26" t="n">
        <x:v>1.7689806</x:v>
      </x:c>
      <x:c r="X385" s="26" t="n">
        <x:v>-76.0187333</x:v>
      </x:c>
      <x:c r="AF385" t="s">
        <x:v>50</x:v>
      </x:c>
      <x:c r="AG385" t="s">
        <x:v>51</x:v>
      </x:c>
      <x:c r="AH385" t="s">
        <x:v>140</x:v>
      </x:c>
      <x:c r="AI385" t="s">
        <x:v>2963</x:v>
      </x:c>
      <x:c r="AJ385">
        <x:v>416</x:v>
      </x:c>
    </x:row>
    <x:row r="386">
      <x:c r="A386" t="s">
        <x:v>2207</x:v>
      </x:c>
      <x:c r="B386" t="s">
        <x:v>2208</x:v>
      </x:c>
      <x:c r="C386" t="s">
        <x:v>2965</x:v>
      </x:c>
      <x:c r="D386" t="s">
        <x:v>1060</x:v>
      </x:c>
      <x:c r="E386" t="s">
        <x:v>2966</x:v>
      </x:c>
      <x:c r="F386" t="s">
        <x:v>2967</x:v>
      </x:c>
      <x:c r="G386">
        <x:v>2147</x:v>
      </x:c>
      <x:c r="H386">
        <x:v>2150</x:v>
      </x:c>
      <x:c r="I386" t="s">
        <x:v>2968</x:v>
      </x:c>
      <x:c r="J386" t="s">
        <x:v>2968</x:v>
      </x:c>
      <x:c r="K386" t="s">
        <x:v>2969</x:v>
      </x:c>
      <x:c r="L386" t="s">
        <x:v>2970</x:v>
      </x:c>
      <x:c r="M386" t="s">
        <x:v>2971</x:v>
      </x:c>
      <x:c r="N386" t="s">
        <x:v>2972</x:v>
      </x:c>
      <x:c r="O386" t="s">
        <x:v>2973</x:v>
      </x:c>
      <x:c r="P386" t="s">
        <x:v>2974</x:v>
      </x:c>
      <x:c r="R386" s="9">
        <x:v>40022</x:v>
      </x:c>
      <x:c r="T386" t="s">
        <x:v>119</x:v>
      </x:c>
      <x:c r="W386" s="26" t="n">
        <x:v>1.9833333</x:v>
      </x:c>
      <x:c r="X386" s="26" t="n">
        <x:v>-76.2833333</x:v>
      </x:c>
      <x:c r="AF386" t="s">
        <x:v>50</x:v>
      </x:c>
      <x:c r="AG386" t="s">
        <x:v>51</x:v>
      </x:c>
      <x:c r="AH386" t="s">
        <x:v>296</x:v>
      </x:c>
      <x:c r="AI386" t="s">
        <x:v>2975</x:v>
      </x:c>
      <x:c r="AJ386">
        <x:v>417</x:v>
      </x:c>
    </x:row>
    <x:row r="387">
      <x:c r="A387" t="s">
        <x:v>2207</x:v>
      </x:c>
      <x:c r="B387" t="s">
        <x:v>2208</x:v>
      </x:c>
      <x:c r="C387" t="s">
        <x:v>2976</x:v>
      </x:c>
      <x:c r="D387" t="s">
        <x:v>2977</x:v>
      </x:c>
      <x:c r="E387" t="s">
        <x:v>2978</x:v>
      </x:c>
      <x:c r="F387" t="s">
        <x:v>2979</x:v>
      </x:c>
      <x:c r="G387" t="s">
        <x:v>2979</x:v>
      </x:c>
      <x:c r="H387" t="s">
        <x:v>2979</x:v>
      </x:c>
      <x:c r="P387" t="s">
        <x:v>80</x:v>
      </x:c>
      <x:c r="R387" s="9">
        <x:v>17018</x:v>
      </x:c>
      <x:c r="W387" s="26" t="n">
        <x:v>11.10282</x:v>
      </x:c>
      <x:c r="X387" s="26" t="n">
        <x:v>-74.07327</x:v>
      </x:c>
      <x:c r="Y387">
        <x:v>1808.5170000000001</x:v>
      </x:c>
      <x:c r="Z387">
        <x:v>2020</x:v>
      </x:c>
      <x:c r="AB387" t="s">
        <x:v>2980</x:v>
      </x:c>
      <x:c r="AF387" t="s">
        <x:v>50</x:v>
      </x:c>
      <x:c r="AG387" t="s">
        <x:v>1296</x:v>
      </x:c>
      <x:c r="AH387" t="s">
        <x:v>2981</x:v>
      </x:c>
      <x:c r="AI387" t="s">
        <x:v>2982</x:v>
      </x:c>
      <x:c r="AJ387">
        <x:v>418</x:v>
      </x:c>
    </x:row>
    <x:row r="388">
      <x:c r="A388" t="s">
        <x:v>2207</x:v>
      </x:c>
      <x:c r="B388" t="s">
        <x:v>2208</x:v>
      </x:c>
      <x:c r="C388" t="s">
        <x:v>2983</x:v>
      </x:c>
      <x:c r="D388" t="s">
        <x:v>2984</x:v>
      </x:c>
      <x:c r="E388" t="s">
        <x:v>2985</x:v>
      </x:c>
      <x:c r="F388" t="s">
        <x:v>110</x:v>
      </x:c>
      <x:c r="G388">
        <x:v>2000</x:v>
      </x:c>
      <x:c r="H388">
        <x:v>2300</x:v>
      </x:c>
      <x:c r="P388" t="s">
        <x:v>80</x:v>
      </x:c>
      <x:c r="R388" s="9">
        <x:v>21642</x:v>
      </x:c>
      <x:c r="T388" t="s">
        <x:v>119</x:v>
      </x:c>
      <x:c r="W388" s="26" t="n">
        <x:v>11.09336</x:v>
      </x:c>
      <x:c r="X388" s="26" t="n">
        <x:v>-74.03356</x:v>
      </x:c>
      <x:c r="Y388">
        <x:v>3122.7669999999998</x:v>
      </x:c>
      <x:c r="Z388">
        <x:v>2109</x:v>
      </x:c>
      <x:c r="AB388" t="s">
        <x:v>2986</x:v>
      </x:c>
      <x:c r="AF388" t="s">
        <x:v>50</x:v>
      </x:c>
      <x:c r="AG388" t="s">
        <x:v>1296</x:v>
      </x:c>
      <x:c r="AH388" t="s">
        <x:v>2981</x:v>
      </x:c>
      <x:c r="AI388" t="s">
        <x:v>2987</x:v>
      </x:c>
      <x:c r="AJ388">
        <x:v>419</x:v>
      </x:c>
    </x:row>
    <x:row r="389">
      <x:c r="A389" t="s">
        <x:v>2207</x:v>
      </x:c>
      <x:c r="B389" t="s">
        <x:v>2208</x:v>
      </x:c>
      <x:c r="C389" t="s">
        <x:v>2988</x:v>
      </x:c>
      <x:c r="D389" t="s">
        <x:v>2989</x:v>
      </x:c>
      <x:c r="E389" t="s">
        <x:v>2990</x:v>
      </x:c>
      <x:c r="F389" t="s">
        <x:v>2991</x:v>
      </x:c>
      <x:c r="G389">
        <x:v>2600</x:v>
      </x:c>
      <x:c r="H389">
        <x:v>2800</x:v>
      </x:c>
      <x:c r="P389" t="s">
        <x:v>80</x:v>
      </x:c>
      <x:c r="R389" s="9">
        <x:v>21659</x:v>
      </x:c>
      <x:c r="T389" t="s">
        <x:v>111</x:v>
      </x:c>
      <x:c r="W389" s="26" t="n">
        <x:v>11.10282</x:v>
      </x:c>
      <x:c r="X389" s="26" t="n">
        <x:v>-74.07327</x:v>
      </x:c>
      <x:c r="Y389">
        <x:v>1808.5170000000001</x:v>
      </x:c>
      <x:c r="Z389">
        <x:v>2020</x:v>
      </x:c>
      <x:c r="AB389" t="s">
        <x:v>2980</x:v>
      </x:c>
      <x:c r="AF389" t="s">
        <x:v>50</x:v>
      </x:c>
      <x:c r="AG389" t="s">
        <x:v>1296</x:v>
      </x:c>
      <x:c r="AH389" t="s">
        <x:v>2981</x:v>
      </x:c>
      <x:c r="AI389" t="s">
        <x:v>2992</x:v>
      </x:c>
      <x:c r="AJ389">
        <x:v>420</x:v>
      </x:c>
    </x:row>
    <x:row r="390">
      <x:c r="A390" t="s">
        <x:v>2207</x:v>
      </x:c>
      <x:c r="B390" t="s">
        <x:v>2208</x:v>
      </x:c>
      <x:c r="C390" t="s">
        <x:v>2993</x:v>
      </x:c>
      <x:c r="D390" t="s">
        <x:v>2994</x:v>
      </x:c>
      <x:c r="E390" t="s">
        <x:v>2995</x:v>
      </x:c>
      <x:c r="F390" t="s">
        <x:v>2996</x:v>
      </x:c>
      <x:c r="G390">
        <x:v>1400</x:v>
      </x:c>
      <x:c r="H390">
        <x:v>2600</x:v>
      </x:c>
      <x:c r="P390" t="s">
        <x:v>80</x:v>
      </x:c>
      <x:c r="R390" s="9">
        <x:v>21660</x:v>
      </x:c>
      <x:c r="T390" t="s">
        <x:v>119</x:v>
      </x:c>
      <x:c r="W390" s="26" t="n">
        <x:v>11.10282</x:v>
      </x:c>
      <x:c r="X390" s="26" t="n">
        <x:v>-74.07327</x:v>
      </x:c>
      <x:c r="Y390">
        <x:v>1808.5170000000001</x:v>
      </x:c>
      <x:c r="Z390">
        <x:v>2020</x:v>
      </x:c>
      <x:c r="AB390" t="s">
        <x:v>2980</x:v>
      </x:c>
      <x:c r="AF390" t="s">
        <x:v>50</x:v>
      </x:c>
      <x:c r="AG390" t="s">
        <x:v>1296</x:v>
      </x:c>
      <x:c r="AH390" t="s">
        <x:v>2981</x:v>
      </x:c>
      <x:c r="AI390" t="s">
        <x:v>2997</x:v>
      </x:c>
      <x:c r="AJ390">
        <x:v>421</x:v>
      </x:c>
    </x:row>
    <x:row r="391">
      <x:c r="A391" t="s">
        <x:v>2207</x:v>
      </x:c>
      <x:c r="B391" t="s">
        <x:v>2208</x:v>
      </x:c>
      <x:c r="C391" t="s">
        <x:v>2998</x:v>
      </x:c>
      <x:c r="D391" t="s">
        <x:v>2999</x:v>
      </x:c>
      <x:c r="E391" t="s">
        <x:v>3000</x:v>
      </x:c>
      <x:c r="F391" t="s">
        <x:v>2286</x:v>
      </x:c>
      <x:c r="G391">
        <x:v>1600</x:v>
      </x:c>
      <x:c r="H391">
        <x:v>1700</x:v>
      </x:c>
      <x:c r="I391" t="s">
        <x:v>3001</x:v>
      </x:c>
      <x:c r="J391" t="s">
        <x:v>3002</x:v>
      </x:c>
      <x:c r="K391" t="s">
        <x:v>3003</x:v>
      </x:c>
      <x:c r="L391" t="s">
        <x:v>3004</x:v>
      </x:c>
      <x:c r="M391" t="s">
        <x:v>3005</x:v>
      </x:c>
      <x:c r="N391" t="s">
        <x:v>3006</x:v>
      </x:c>
      <x:c r="O391" t="s">
        <x:v>3007</x:v>
      </x:c>
      <x:c r="P391" t="s">
        <x:v>3008</x:v>
      </x:c>
      <x:c r="R391" s="9">
        <x:v>26576</x:v>
      </x:c>
      <x:c r="T391" t="s">
        <x:v>119</x:v>
      </x:c>
      <x:c r="W391" s="26" t="n">
        <x:v>10.9333333</x:v>
      </x:c>
      <x:c r="X391" s="26" t="n">
        <x:v>-73.9666667</x:v>
      </x:c>
      <x:c r="AF391" t="s">
        <x:v>50</x:v>
      </x:c>
      <x:c r="AG391" t="s">
        <x:v>1296</x:v>
      </x:c>
      <x:c r="AH391" t="s">
        <x:v>1297</x:v>
      </x:c>
      <x:c r="AI391" t="s">
        <x:v>3009</x:v>
      </x:c>
      <x:c r="AJ391">
        <x:v>422</x:v>
      </x:c>
    </x:row>
    <x:row r="392">
      <x:c r="A392" t="s">
        <x:v>2207</x:v>
      </x:c>
      <x:c r="B392" t="s">
        <x:v>2208</x:v>
      </x:c>
      <x:c r="C392" t="s">
        <x:v>3010</x:v>
      </x:c>
      <x:c r="D392" t="s">
        <x:v>3011</x:v>
      </x:c>
      <x:c r="E392" t="s">
        <x:v>3012</x:v>
      </x:c>
      <x:c r="F392">
        <x:v>1800</x:v>
      </x:c>
      <x:c r="G392">
        <x:v>1800</x:v>
      </x:c>
      <x:c r="H392">
        <x:v>1800</x:v>
      </x:c>
      <x:c r="P392" t="s">
        <x:v>80</x:v>
      </x:c>
      <x:c r="R392" s="9">
        <x:v>28328</x:v>
      </x:c>
      <x:c r="T392" t="s">
        <x:v>119</x:v>
      </x:c>
      <x:c r="W392" s="26" t="n">
        <x:v>10.9166</x:v>
      </x:c>
      <x:c r="X392" s="26" t="n">
        <x:v>-73.83329</x:v>
      </x:c>
      <x:c r="Y392">
        <x:v>938.23099999999999</x:v>
      </x:c>
      <x:c r="Z392">
        <x:v>2318</x:v>
      </x:c>
      <x:c r="AB392" t="s">
        <x:v>3013</x:v>
      </x:c>
      <x:c r="AF392" t="s">
        <x:v>50</x:v>
      </x:c>
      <x:c r="AG392" t="s">
        <x:v>1296</x:v>
      </x:c>
      <x:c r="AH392" t="s">
        <x:v>1297</x:v>
      </x:c>
      <x:c r="AI392" t="s">
        <x:v>3014</x:v>
      </x:c>
      <x:c r="AJ392">
        <x:v>423</x:v>
      </x:c>
    </x:row>
    <x:row r="393">
      <x:c r="A393" t="s">
        <x:v>2207</x:v>
      </x:c>
      <x:c r="B393" t="s">
        <x:v>2208</x:v>
      </x:c>
      <x:c r="C393" t="s">
        <x:v>3015</x:v>
      </x:c>
      <x:c r="D393" t="s">
        <x:v>3016</x:v>
      </x:c>
      <x:c r="E393" t="s">
        <x:v>3017</x:v>
      </x:c>
      <x:c r="F393" t="s">
        <x:v>3018</x:v>
      </x:c>
      <x:c r="G393">
        <x:v>1300</x:v>
      </x:c>
      <x:c r="H393">
        <x:v>1900</x:v>
      </x:c>
      <x:c r="P393" t="s">
        <x:v>80</x:v>
      </x:c>
      <x:c r="R393" s="9">
        <x:v>18634</x:v>
      </x:c>
      <x:c r="T393" t="s">
        <x:v>119</x:v>
      </x:c>
      <x:c r="W393" s="26" t="n">
        <x:v>2.9627</x:v>
      </x:c>
      <x:c r="X393" s="26" t="n">
        <x:v>-73.88673</x:v>
      </x:c>
      <x:c r="Y393">
        <x:v>4935.0150000000003</x:v>
      </x:c>
      <x:c r="Z393">
        <x:v>1289</x:v>
      </x:c>
      <x:c r="AB393" t="s">
        <x:v>3019</x:v>
      </x:c>
      <x:c r="AF393" t="s">
        <x:v>50</x:v>
      </x:c>
      <x:c r="AG393" t="s">
        <x:v>1336</x:v>
      </x:c>
      <x:c r="AH393" t="s">
        <x:v>3020</x:v>
      </x:c>
      <x:c r="AI393" t="s">
        <x:v>3021</x:v>
      </x:c>
      <x:c r="AJ393">
        <x:v>424</x:v>
      </x:c>
    </x:row>
    <x:row r="394">
      <x:c r="A394" t="s">
        <x:v>2207</x:v>
      </x:c>
      <x:c r="B394" t="s">
        <x:v>2208</x:v>
      </x:c>
      <x:c r="C394" t="s">
        <x:v>3022</x:v>
      </x:c>
      <x:c r="D394" t="s">
        <x:v>3023</x:v>
      </x:c>
      <x:c r="E394" t="s">
        <x:v>3024</x:v>
      </x:c>
      <x:c r="F394">
        <x:v>1700</x:v>
      </x:c>
      <x:c r="G394">
        <x:v>1700</x:v>
      </x:c>
      <x:c r="H394">
        <x:v>1700</x:v>
      </x:c>
      <x:c r="P394" t="s">
        <x:v>80</x:v>
      </x:c>
      <x:c r="R394" s="9">
        <x:v>29804</x:v>
      </x:c>
      <x:c r="T394" t="s">
        <x:v>119</x:v>
      </x:c>
      <x:c r="W394" s="26" t="n">
        <x:v>4.00502</x:v>
      </x:c>
      <x:c r="X394" s="26" t="n">
        <x:v>-73.77921</x:v>
      </x:c>
      <x:c r="Y394">
        <x:v>189.58</x:v>
      </x:c>
      <x:c r="Z394">
        <x:v>561</x:v>
      </x:c>
      <x:c r="AB394" t="s">
        <x:v>3025</x:v>
      </x:c>
      <x:c r="AF394" t="s">
        <x:v>50</x:v>
      </x:c>
      <x:c r="AG394" t="s">
        <x:v>1336</x:v>
      </x:c>
      <x:c r="AH394" t="s">
        <x:v>3026</x:v>
      </x:c>
      <x:c r="AI394" t="s">
        <x:v>3027</x:v>
      </x:c>
      <x:c r="AJ394">
        <x:v>425</x:v>
      </x:c>
    </x:row>
    <x:row r="395">
      <x:c r="A395" t="s">
        <x:v>2207</x:v>
      </x:c>
      <x:c r="B395" t="s">
        <x:v>2208</x:v>
      </x:c>
      <x:c r="C395" t="s">
        <x:v>3028</x:v>
      </x:c>
      <x:c r="D395" t="s">
        <x:v>3029</x:v>
      </x:c>
      <x:c r="E395" t="s">
        <x:v>3024</x:v>
      </x:c>
      <x:c r="P395" t="s">
        <x:v>80</x:v>
      </x:c>
      <x:c r="R395" s="9">
        <x:v>29806</x:v>
      </x:c>
      <x:c r="W395" s="26" t="n">
        <x:v>4.00502</x:v>
      </x:c>
      <x:c r="X395" s="26" t="n">
        <x:v>-73.77921</x:v>
      </x:c>
      <x:c r="Y395">
        <x:v>189.58</x:v>
      </x:c>
      <x:c r="Z395">
        <x:v>561</x:v>
      </x:c>
      <x:c r="AB395" t="s">
        <x:v>3025</x:v>
      </x:c>
      <x:c r="AF395" t="s">
        <x:v>50</x:v>
      </x:c>
      <x:c r="AG395" t="s">
        <x:v>1336</x:v>
      </x:c>
      <x:c r="AH395" t="s">
        <x:v>3026</x:v>
      </x:c>
      <x:c r="AI395" t="s">
        <x:v>3027</x:v>
      </x:c>
      <x:c r="AJ395">
        <x:v>426</x:v>
      </x:c>
    </x:row>
    <x:row r="396">
      <x:c r="A396" t="s">
        <x:v>2207</x:v>
      </x:c>
      <x:c r="B396" t="s">
        <x:v>2208</x:v>
      </x:c>
      <x:c r="C396" t="s">
        <x:v>3030</x:v>
      </x:c>
      <x:c r="D396" t="s">
        <x:v>3031</x:v>
      </x:c>
      <x:c r="E396" t="s">
        <x:v>3032</x:v>
      </x:c>
      <x:c r="F396">
        <x:v>2960</x:v>
      </x:c>
      <x:c r="G396">
        <x:v>2960</x:v>
      </x:c>
      <x:c r="H396">
        <x:v>2960</x:v>
      </x:c>
      <x:c r="P396" t="s">
        <x:v>80</x:v>
      </x:c>
      <x:c r="R396" s="9">
        <x:v>30278</x:v>
      </x:c>
      <x:c r="T396" t="s">
        <x:v>111</x:v>
      </x:c>
      <x:c r="W396" s="26" t="n">
        <x:v>0.83831</x:v>
      </x:c>
      <x:c r="X396" s="26" t="n">
        <x:v>-77.61692</x:v>
      </x:c>
      <x:c r="Y396">
        <x:v>2955.806</x:v>
      </x:c>
      <x:c r="Z396">
        <x:v>2876</x:v>
      </x:c>
      <x:c r="AB396" t="s">
        <x:v>1439</x:v>
      </x:c>
      <x:c r="AF396" t="s">
        <x:v>50</x:v>
      </x:c>
      <x:c r="AG396" t="s">
        <x:v>127</x:v>
      </x:c>
      <x:c r="AH396" t="s">
        <x:v>1440</x:v>
      </x:c>
      <x:c r="AI396" t="s">
        <x:v>3033</x:v>
      </x:c>
      <x:c r="AJ396">
        <x:v>427</x:v>
      </x:c>
    </x:row>
    <x:row r="397">
      <x:c r="A397" t="s">
        <x:v>2207</x:v>
      </x:c>
      <x:c r="B397" t="s">
        <x:v>2208</x:v>
      </x:c>
      <x:c r="C397" t="s">
        <x:v>3034</x:v>
      </x:c>
      <x:c r="D397" t="s">
        <x:v>3035</x:v>
      </x:c>
      <x:c r="E397" t="s">
        <x:v>3036</x:v>
      </x:c>
      <x:c r="F397">
        <x:v>2530</x:v>
      </x:c>
      <x:c r="G397">
        <x:v>2530</x:v>
      </x:c>
      <x:c r="H397">
        <x:v>2530</x:v>
      </x:c>
      <x:c r="P397" t="s">
        <x:v>80</x:v>
      </x:c>
      <x:c r="R397" s="9">
        <x:v>22940</x:v>
      </x:c>
      <x:c r="W397" s="26" t="n">
        <x:v>1.21378</x:v>
      </x:c>
      <x:c r="X397" s="26" t="n">
        <x:v>-76.90825</x:v>
      </x:c>
      <x:c r="Y397">
        <x:v>1729.18</x:v>
      </x:c>
      <x:c r="Z397">
        <x:v>2347</x:v>
      </x:c>
      <x:c r="AB397" t="s">
        <x:v>3037</x:v>
      </x:c>
      <x:c r="AF397" t="s">
        <x:v>50</x:v>
      </x:c>
      <x:c r="AG397" t="s">
        <x:v>67</x:v>
      </x:c>
      <x:c r="AH397" t="s">
        <x:v>3038</x:v>
      </x:c>
      <x:c r="AI397" t="s">
        <x:v>3039</x:v>
      </x:c>
      <x:c r="AJ397">
        <x:v>428</x:v>
      </x:c>
    </x:row>
    <x:row r="398">
      <x:c r="A398" t="s">
        <x:v>2207</x:v>
      </x:c>
      <x:c r="B398" t="s">
        <x:v>2208</x:v>
      </x:c>
      <x:c r="C398" t="s">
        <x:v>3040</x:v>
      </x:c>
      <x:c r="D398" t="s">
        <x:v>3041</x:v>
      </x:c>
      <x:c r="E398" t="s">
        <x:v>3042</x:v>
      </x:c>
      <x:c r="F398">
        <x:v>3000</x:v>
      </x:c>
      <x:c r="G398">
        <x:v>3000</x:v>
      </x:c>
      <x:c r="H398">
        <x:v>3000</x:v>
      </x:c>
      <x:c r="P398" t="s">
        <x:v>80</x:v>
      </x:c>
      <x:c r="R398" s="9">
        <x:v>26551</x:v>
      </x:c>
      <x:c r="T398" t="s">
        <x:v>119</x:v>
      </x:c>
      <x:c r="W398" s="26" t="n">
        <x:v>1.11576</x:v>
      </x:c>
      <x:c r="X398" s="26" t="n">
        <x:v>-76.9701</x:v>
      </x:c>
      <x:c r="Y398">
        <x:v>4855.8119999999999</x:v>
      </x:c>
      <x:c r="Z398">
        <x:v>3187</x:v>
      </x:c>
      <x:c r="AB398" t="s">
        <x:v>3043</x:v>
      </x:c>
      <x:c r="AF398" t="s">
        <x:v>50</x:v>
      </x:c>
      <x:c r="AG398" t="s">
        <x:v>67</x:v>
      </x:c>
      <x:c r="AH398" t="s">
        <x:v>3044</x:v>
      </x:c>
      <x:c r="AI398" t="s">
        <x:v>3045</x:v>
      </x:c>
      <x:c r="AJ398">
        <x:v>429</x:v>
      </x:c>
    </x:row>
    <x:row r="399">
      <x:c r="A399" t="s">
        <x:v>2207</x:v>
      </x:c>
      <x:c r="B399" t="s">
        <x:v>2208</x:v>
      </x:c>
      <x:c r="C399" t="s">
        <x:v>3046</x:v>
      </x:c>
      <x:c r="D399" t="s">
        <x:v>3047</x:v>
      </x:c>
      <x:c r="E399" t="s">
        <x:v>3048</x:v>
      </x:c>
      <x:c r="F399">
        <x:v>2270</x:v>
      </x:c>
      <x:c r="G399">
        <x:v>2270</x:v>
      </x:c>
      <x:c r="H399">
        <x:v>2270</x:v>
      </x:c>
      <x:c r="P399" t="s">
        <x:v>80</x:v>
      </x:c>
      <x:c r="R399" s="9">
        <x:v>31293</x:v>
      </x:c>
      <x:c r="T399" t="s">
        <x:v>111</x:v>
      </x:c>
      <x:c r="W399" s="26" t="n">
        <x:v>4.68718</x:v>
      </x:c>
      <x:c r="X399" s="26" t="n">
        <x:v>-75.61751</x:v>
      </x:c>
      <x:c r="Y399">
        <x:v>4102.8419999999996</x:v>
      </x:c>
      <x:c r="Z399">
        <x:v>1968</x:v>
      </x:c>
      <x:c r="AA399" t="s">
        <x:v>3049</x:v>
      </x:c>
      <x:c r="AB399" t="s">
        <x:v>3050</x:v>
      </x:c>
      <x:c r="AF399" t="s">
        <x:v>50</x:v>
      </x:c>
      <x:c r="AG399" t="s">
        <x:v>182</x:v>
      </x:c>
      <x:c r="AH399" t="s">
        <x:v>320</x:v>
      </x:c>
      <x:c r="AI399" t="s">
        <x:v>3051</x:v>
      </x:c>
      <x:c r="AJ399">
        <x:v>430</x:v>
      </x:c>
    </x:row>
    <x:row r="400">
      <x:c r="A400" t="s">
        <x:v>2207</x:v>
      </x:c>
      <x:c r="B400" t="s">
        <x:v>2208</x:v>
      </x:c>
      <x:c r="C400" t="s">
        <x:v>3052</x:v>
      </x:c>
      <x:c r="D400" t="s">
        <x:v>3053</x:v>
      </x:c>
      <x:c r="E400" t="s">
        <x:v>3054</x:v>
      </x:c>
      <x:c r="F400">
        <x:v>2270</x:v>
      </x:c>
      <x:c r="G400">
        <x:v>2270</x:v>
      </x:c>
      <x:c r="H400">
        <x:v>2270</x:v>
      </x:c>
      <x:c r="P400" t="s">
        <x:v>80</x:v>
      </x:c>
      <x:c r="R400" s="9">
        <x:v>31293</x:v>
      </x:c>
      <x:c r="T400" t="s">
        <x:v>399</x:v>
      </x:c>
      <x:c r="W400" s="26" t="n">
        <x:v>4.68718</x:v>
      </x:c>
      <x:c r="X400" s="26" t="n">
        <x:v>-75.61751</x:v>
      </x:c>
      <x:c r="Y400">
        <x:v>4102.8419999999996</x:v>
      </x:c>
      <x:c r="Z400">
        <x:v>1968</x:v>
      </x:c>
      <x:c r="AA400" t="s">
        <x:v>3049</x:v>
      </x:c>
      <x:c r="AB400" t="s">
        <x:v>3050</x:v>
      </x:c>
      <x:c r="AF400" t="s">
        <x:v>50</x:v>
      </x:c>
      <x:c r="AG400" t="s">
        <x:v>182</x:v>
      </x:c>
      <x:c r="AH400" t="s">
        <x:v>320</x:v>
      </x:c>
      <x:c r="AI400" t="s">
        <x:v>3055</x:v>
      </x:c>
      <x:c r="AJ400">
        <x:v>431</x:v>
      </x:c>
    </x:row>
    <x:row r="401">
      <x:c r="A401" t="s">
        <x:v>2207</x:v>
      </x:c>
      <x:c r="B401" t="s">
        <x:v>2208</x:v>
      </x:c>
      <x:c r="C401" t="s">
        <x:v>3056</x:v>
      </x:c>
      <x:c r="D401" t="s">
        <x:v>3057</x:v>
      </x:c>
      <x:c r="E401" t="s">
        <x:v>3058</x:v>
      </x:c>
      <x:c r="F401">
        <x:v>2300</x:v>
      </x:c>
      <x:c r="G401">
        <x:v>2300</x:v>
      </x:c>
      <x:c r="H401">
        <x:v>2300</x:v>
      </x:c>
      <x:c r="P401" t="s">
        <x:v>80</x:v>
      </x:c>
      <x:c r="R401" s="9">
        <x:v>31525</x:v>
      </x:c>
      <x:c r="T401" t="s">
        <x:v>399</x:v>
      </x:c>
      <x:c r="W401" s="26" t="n">
        <x:v>4.31714</x:v>
      </x:c>
      <x:c r="X401" s="26" t="n">
        <x:v>-75.72606</x:v>
      </x:c>
      <x:c r="Y401">
        <x:v>317.66300000000001</x:v>
      </x:c>
      <x:c r="Z401">
        <x:v>1798</x:v>
      </x:c>
      <x:c r="AB401" t="s">
        <x:v>3059</x:v>
      </x:c>
      <x:c r="AF401" t="s">
        <x:v>50</x:v>
      </x:c>
      <x:c r="AG401" t="s">
        <x:v>182</x:v>
      </x:c>
      <x:c r="AH401" t="s">
        <x:v>3060</x:v>
      </x:c>
      <x:c r="AI401" t="s">
        <x:v>3061</x:v>
      </x:c>
      <x:c r="AJ401">
        <x:v>432</x:v>
      </x:c>
    </x:row>
    <x:row r="402">
      <x:c r="A402" t="s">
        <x:v>2207</x:v>
      </x:c>
      <x:c r="B402" t="s">
        <x:v>2208</x:v>
      </x:c>
      <x:c r="C402" t="s">
        <x:v>3062</x:v>
      </x:c>
      <x:c r="D402" t="s">
        <x:v>3063</x:v>
      </x:c>
      <x:c r="E402" t="s">
        <x:v>3064</x:v>
      </x:c>
      <x:c r="F402" t="s">
        <x:v>3065</x:v>
      </x:c>
      <x:c r="G402">
        <x:v>2400</x:v>
      </x:c>
      <x:c r="H402">
        <x:v>2700</x:v>
      </x:c>
      <x:c r="P402" t="s">
        <x:v>80</x:v>
      </x:c>
      <x:c r="R402" s="9">
        <x:v>32992</x:v>
      </x:c>
      <x:c r="T402" t="s">
        <x:v>236</x:v>
      </x:c>
      <x:c r="W402" s="26" t="n">
        <x:v>4.22672</x:v>
      </x:c>
      <x:c r="X402" s="26" t="n">
        <x:v>-75.70312</x:v>
      </x:c>
      <x:c r="Y402">
        <x:v>1766.614</x:v>
      </x:c>
      <x:c r="Z402">
        <x:v>2549</x:v>
      </x:c>
      <x:c r="AB402" t="s">
        <x:v>3066</x:v>
      </x:c>
      <x:c r="AF402" t="s">
        <x:v>50</x:v>
      </x:c>
      <x:c r="AG402" t="s">
        <x:v>182</x:v>
      </x:c>
      <x:c r="AH402" t="s">
        <x:v>3067</x:v>
      </x:c>
      <x:c r="AI402" t="s">
        <x:v>3068</x:v>
      </x:c>
      <x:c r="AJ402">
        <x:v>433</x:v>
      </x:c>
    </x:row>
    <x:row r="403">
      <x:c r="A403" t="s">
        <x:v>2207</x:v>
      </x:c>
      <x:c r="B403" t="s">
        <x:v>2208</x:v>
      </x:c>
      <x:c r="C403" t="s">
        <x:v>3069</x:v>
      </x:c>
      <x:c r="D403" t="s">
        <x:v>3070</x:v>
      </x:c>
      <x:c r="E403" t="s">
        <x:v>3071</x:v>
      </x:c>
      <x:c r="F403">
        <x:v>2680</x:v>
      </x:c>
      <x:c r="G403">
        <x:v>2680</x:v>
      </x:c>
      <x:c r="H403">
        <x:v>2680</x:v>
      </x:c>
      <x:c r="P403" t="s">
        <x:v>80</x:v>
      </x:c>
      <x:c r="R403" s="9">
        <x:v>33370</x:v>
      </x:c>
      <x:c r="T403" t="s">
        <x:v>236</x:v>
      </x:c>
      <x:c r="W403" s="26" t="n">
        <x:v>4.62529</x:v>
      </x:c>
      <x:c r="X403" s="26" t="n">
        <x:v>-75.45309</x:v>
      </x:c>
      <x:c r="Y403">
        <x:v>1710.309</x:v>
      </x:c>
      <x:c r="Z403">
        <x:v>2842</x:v>
      </x:c>
      <x:c r="AB403" t="s">
        <x:v>3072</x:v>
      </x:c>
      <x:c r="AF403" t="s">
        <x:v>50</x:v>
      </x:c>
      <x:c r="AG403" t="s">
        <x:v>182</x:v>
      </x:c>
      <x:c r="AH403" t="s">
        <x:v>803</x:v>
      </x:c>
      <x:c r="AI403" t="s">
        <x:v>3073</x:v>
      </x:c>
      <x:c r="AJ403">
        <x:v>434</x:v>
      </x:c>
    </x:row>
    <x:row r="404">
      <x:c r="A404" t="s">
        <x:v>2207</x:v>
      </x:c>
      <x:c r="B404" t="s">
        <x:v>2208</x:v>
      </x:c>
      <x:c r="C404" t="s">
        <x:v>3069</x:v>
      </x:c>
      <x:c r="D404" t="s">
        <x:v>3074</x:v>
      </x:c>
      <x:c r="E404" t="s">
        <x:v>3071</x:v>
      </x:c>
      <x:c r="F404">
        <x:v>2680</x:v>
      </x:c>
      <x:c r="G404">
        <x:v>2680</x:v>
      </x:c>
      <x:c r="H404">
        <x:v>2680</x:v>
      </x:c>
      <x:c r="P404" t="s">
        <x:v>80</x:v>
      </x:c>
      <x:c r="R404" s="9">
        <x:v>33370</x:v>
      </x:c>
      <x:c r="T404" t="s">
        <x:v>236</x:v>
      </x:c>
      <x:c r="W404" s="26" t="n">
        <x:v>4.62529</x:v>
      </x:c>
      <x:c r="X404" s="26" t="n">
        <x:v>-75.45309</x:v>
      </x:c>
      <x:c r="Y404">
        <x:v>1710.309</x:v>
      </x:c>
      <x:c r="Z404">
        <x:v>2842</x:v>
      </x:c>
      <x:c r="AB404" t="s">
        <x:v>3072</x:v>
      </x:c>
      <x:c r="AF404" t="s">
        <x:v>50</x:v>
      </x:c>
      <x:c r="AG404" t="s">
        <x:v>182</x:v>
      </x:c>
      <x:c r="AH404" t="s">
        <x:v>803</x:v>
      </x:c>
      <x:c r="AI404" t="s">
        <x:v>3073</x:v>
      </x:c>
      <x:c r="AJ404">
        <x:v>435</x:v>
      </x:c>
    </x:row>
    <x:row r="405">
      <x:c r="A405" t="s">
        <x:v>2207</x:v>
      </x:c>
      <x:c r="B405" t="s">
        <x:v>2208</x:v>
      </x:c>
      <x:c r="C405" t="s">
        <x:v>3075</x:v>
      </x:c>
      <x:c r="D405" t="s">
        <x:v>3076</x:v>
      </x:c>
      <x:c r="E405" t="s">
        <x:v>3077</x:v>
      </x:c>
      <x:c r="F405">
        <x:v>2900</x:v>
      </x:c>
      <x:c r="G405">
        <x:v>2900</x:v>
      </x:c>
      <x:c r="H405">
        <x:v>2900</x:v>
      </x:c>
      <x:c r="P405" t="s">
        <x:v>80</x:v>
      </x:c>
      <x:c r="R405" s="9">
        <x:v>34232</x:v>
      </x:c>
      <x:c r="T405" t="s">
        <x:v>236</x:v>
      </x:c>
      <x:c r="W405" s="26" t="n">
        <x:v>4.4564</x:v>
      </x:c>
      <x:c r="X405" s="26" t="n">
        <x:v>-75.61963</x:v>
      </x:c>
      <x:c r="Y405">
        <x:v>2546.3380000000002</x:v>
      </x:c>
      <x:c r="Z405">
        <x:v>2693</x:v>
      </x:c>
      <x:c r="AB405" t="s">
        <x:v>3078</x:v>
      </x:c>
      <x:c r="AF405" t="s">
        <x:v>50</x:v>
      </x:c>
      <x:c r="AG405" t="s">
        <x:v>182</x:v>
      </x:c>
      <x:c r="AH405" t="s">
        <x:v>3079</x:v>
      </x:c>
      <x:c r="AI405" t="s">
        <x:v>3080</x:v>
      </x:c>
      <x:c r="AJ405">
        <x:v>436</x:v>
      </x:c>
    </x:row>
    <x:row r="406">
      <x:c r="A406" t="s">
        <x:v>2207</x:v>
      </x:c>
      <x:c r="B406" t="s">
        <x:v>2208</x:v>
      </x:c>
      <x:c r="C406" t="s">
        <x:v>3081</x:v>
      </x:c>
      <x:c r="D406" t="s">
        <x:v>3082</x:v>
      </x:c>
      <x:c r="E406" t="s">
        <x:v>3083</x:v>
      </x:c>
      <x:c r="F406" t="s">
        <x:v>3084</x:v>
      </x:c>
      <x:c r="G406">
        <x:v>2500</x:v>
      </x:c>
      <x:c r="H406">
        <x:v>2780</x:v>
      </x:c>
      <x:c r="P406" t="s">
        <x:v>80</x:v>
      </x:c>
      <x:c r="R406" s="9">
        <x:v>34838</x:v>
      </x:c>
      <x:c r="T406" t="s">
        <x:v>236</x:v>
      </x:c>
      <x:c r="W406" s="26" t="n">
        <x:v>4.10998</x:v>
      </x:c>
      <x:c r="X406" s="26" t="n">
        <x:v>-75.80861</x:v>
      </x:c>
      <x:c r="Y406">
        <x:v>641.95100000000002</x:v>
      </x:c>
      <x:c r="Z406">
        <x:v>2501</x:v>
      </x:c>
      <x:c r="AB406" t="s">
        <x:v>3085</x:v>
      </x:c>
      <x:c r="AF406" t="s">
        <x:v>50</x:v>
      </x:c>
      <x:c r="AG406" t="s">
        <x:v>182</x:v>
      </x:c>
      <x:c r="AH406" t="s">
        <x:v>3067</x:v>
      </x:c>
      <x:c r="AI406" t="s">
        <x:v>3086</x:v>
      </x:c>
      <x:c r="AJ406">
        <x:v>437</x:v>
      </x:c>
    </x:row>
    <x:row r="407" s="2" customFormat="1">
      <x:c r="A407" t="s">
        <x:v>2207</x:v>
      </x:c>
      <x:c r="B407" t="s">
        <x:v>2208</x:v>
      </x:c>
      <x:c r="C407" t="s">
        <x:v>3087</x:v>
      </x:c>
      <x:c r="D407" t="s">
        <x:v>1820</x:v>
      </x:c>
      <x:c r="E407" t="s">
        <x:v>3088</x:v>
      </x:c>
      <x:c r="F407" t="s">
        <x:v>2073</x:v>
      </x:c>
      <x:c r="G407">
        <x:v>2430</x:v>
      </x:c>
      <x:c r="H407">
        <x:v>3200</x:v>
      </x:c>
      <x:c r="I407" t="s">
        <x:v>2074</x:v>
      </x:c>
      <x:c r="J407" t="s">
        <x:v>2075</x:v>
      </x:c>
      <x:c r="K407" t="s">
        <x:v>2076</x:v>
      </x:c>
      <x:c r="L407" t="s">
        <x:v>2077</x:v>
      </x:c>
      <x:c r="M407" t="s">
        <x:v>2078</x:v>
      </x:c>
      <x:c r="N407" t="s">
        <x:v>2079</x:v>
      </x:c>
      <x:c r="O407" t="s">
        <x:v>2080</x:v>
      </x:c>
      <x:c r="P407" t="s">
        <x:v>2081</x:v>
      </x:c>
      <x:c r="Q407"/>
      <x:c r="R407" s="9">
        <x:v>40017</x:v>
      </x:c>
      <x:c r="S407"/>
      <x:c r="T407" t="s">
        <x:v>318</x:v>
      </x:c>
      <x:c r="U407"/>
      <x:c r="V407"/>
      <x:c r="W407" s="26" t="n">
        <x:v>4.6415</x:v>
      </x:c>
      <x:c r="X407" s="26" t="n">
        <x:v>-75.4867778</x:v>
      </x:c>
      <x:c r="Y407"/>
      <x:c r="Z407"/>
      <x:c r="AA407"/>
      <x:c r="AB407"/>
      <x:c r="AC407"/>
      <x:c r="AD407"/>
      <x:c r="AE407"/>
      <x:c r="AF407" t="s">
        <x:v>50</x:v>
      </x:c>
      <x:c r="AG407" t="s">
        <x:v>182</x:v>
      </x:c>
      <x:c r="AH407" t="s">
        <x:v>803</x:v>
      </x:c>
      <x:c r="AI407" t="s">
        <x:v>3089</x:v>
      </x:c>
      <x:c r="AJ407">
        <x:v>438</x:v>
      </x:c>
    </x:row>
    <x:row r="408">
      <x:c r="A408" t="s">
        <x:v>2207</x:v>
      </x:c>
      <x:c r="B408" t="s">
        <x:v>2208</x:v>
      </x:c>
      <x:c r="C408" t="s">
        <x:v>3090</x:v>
      </x:c>
      <x:c r="D408" t="s">
        <x:v>1820</x:v>
      </x:c>
      <x:c r="E408" t="s">
        <x:v>3091</x:v>
      </x:c>
      <x:c r="F408" t="s">
        <x:v>3092</x:v>
      </x:c>
      <x:c r="G408">
        <x:v>1950</x:v>
      </x:c>
      <x:c r="H408">
        <x:v>1950</x:v>
      </x:c>
      <x:c r="I408" t="s">
        <x:v>1667</x:v>
      </x:c>
      <x:c r="J408" t="s">
        <x:v>1667</x:v>
      </x:c>
      <x:c r="K408" t="s">
        <x:v>3093</x:v>
      </x:c>
      <x:c r="L408" t="s">
        <x:v>3093</x:v>
      </x:c>
      <x:c r="M408" t="s">
        <x:v>3094</x:v>
      </x:c>
      <x:c r="N408" t="s">
        <x:v>315</x:v>
      </x:c>
      <x:c r="O408" t="s">
        <x:v>3095</x:v>
      </x:c>
      <x:c r="P408" t="s">
        <x:v>3096</x:v>
      </x:c>
      <x:c r="R408" s="9">
        <x:v>40014</x:v>
      </x:c>
      <x:c r="T408" t="s">
        <x:v>119</x:v>
      </x:c>
      <x:c r="W408" s="26" t="n">
        <x:v>4.68573</x:v>
      </x:c>
      <x:c r="X408" s="26" t="n">
        <x:v>-75.57803</x:v>
      </x:c>
      <x:c r="Y408">
        <x:v>5540.5119999999997</x:v>
      </x:c>
      <x:c r="Z408">
        <x:v>2087</x:v>
      </x:c>
      <x:c r="AB408" t="s">
        <x:v>1153</x:v>
      </x:c>
      <x:c r="AF408" t="s">
        <x:v>50</x:v>
      </x:c>
      <x:c r="AG408" t="s">
        <x:v>1671</x:v>
      </x:c>
      <x:c r="AH408" t="s">
        <x:v>803</x:v>
      </x:c>
      <x:c r="AI408" t="s">
        <x:v>3097</x:v>
      </x:c>
      <x:c r="AJ408">
        <x:v>440</x:v>
      </x:c>
    </x:row>
    <x:row r="409" s="2" customFormat="1">
      <x:c r="A409" t="s">
        <x:v>2207</x:v>
      </x:c>
      <x:c r="B409" t="s">
        <x:v>2208</x:v>
      </x:c>
      <x:c r="C409" t="s">
        <x:v>3098</x:v>
      </x:c>
      <x:c r="D409" t="s">
        <x:v>1820</x:v>
      </x:c>
      <x:c r="E409" t="s">
        <x:v>3099</x:v>
      </x:c>
      <x:c r="F409" t="s">
        <x:v>2073</x:v>
      </x:c>
      <x:c r="G409">
        <x:v>2430</x:v>
      </x:c>
      <x:c r="H409">
        <x:v>3200</x:v>
      </x:c>
      <x:c r="I409" t="s">
        <x:v>3100</x:v>
      </x:c>
      <x:c r="J409" t="s">
        <x:v>3100</x:v>
      </x:c>
      <x:c r="K409" t="s">
        <x:v>3101</x:v>
      </x:c>
      <x:c r="L409" t="s">
        <x:v>3101</x:v>
      </x:c>
      <x:c r="M409" t="s">
        <x:v>3102</x:v>
      </x:c>
      <x:c r="N409" t="s">
        <x:v>2079</x:v>
      </x:c>
      <x:c r="O409" t="s">
        <x:v>2080</x:v>
      </x:c>
      <x:c r="P409" t="s">
        <x:v>2081</x:v>
      </x:c>
      <x:c r="Q409"/>
      <x:c r="R409" s="9">
        <x:v>40017</x:v>
      </x:c>
      <x:c r="S409"/>
      <x:c r="T409" t="s">
        <x:v>318</x:v>
      </x:c>
      <x:c r="U409"/>
      <x:c r="V409"/>
      <x:c r="W409" s="26" t="n">
        <x:v>4.6415</x:v>
      </x:c>
      <x:c r="X409" s="26" t="n">
        <x:v>-75.4867778</x:v>
      </x:c>
      <x:c r="Y409"/>
      <x:c r="Z409"/>
      <x:c r="AA409"/>
      <x:c r="AB409"/>
      <x:c r="AC409"/>
      <x:c r="AD409"/>
      <x:c r="AE409"/>
      <x:c r="AF409" t="s">
        <x:v>50</x:v>
      </x:c>
      <x:c r="AG409" t="s">
        <x:v>1671</x:v>
      </x:c>
      <x:c r="AH409" t="s">
        <x:v>803</x:v>
      </x:c>
      <x:c r="AI409" t="s">
        <x:v>3103</x:v>
      </x:c>
      <x:c r="AJ409">
        <x:v>441</x:v>
      </x:c>
    </x:row>
    <x:row r="410">
      <x:c r="A410" t="s">
        <x:v>2207</x:v>
      </x:c>
      <x:c r="B410" t="s">
        <x:v>2208</x:v>
      </x:c>
      <x:c r="C410" t="s">
        <x:v>3104</x:v>
      </x:c>
      <x:c r="D410" t="s">
        <x:v>3105</x:v>
      </x:c>
      <x:c r="E410" t="s">
        <x:v>3106</x:v>
      </x:c>
      <x:c r="F410">
        <x:v>2740</x:v>
      </x:c>
      <x:c r="G410">
        <x:v>2740</x:v>
      </x:c>
      <x:c r="H410">
        <x:v>2740</x:v>
      </x:c>
      <x:c r="P410" t="s">
        <x:v>80</x:v>
      </x:c>
      <x:c r="R410" s="9">
        <x:v>30348</x:v>
      </x:c>
      <x:c r="W410" s="26" t="n">
        <x:v>5.1286</x:v>
      </x:c>
      <x:c r="X410" s="26" t="n">
        <x:v>-76.04844</x:v>
      </x:c>
      <x:c r="Y410">
        <x:v>2194.4319999999998</x:v>
      </x:c>
      <x:c r="Z410">
        <x:v>3052</x:v>
      </x:c>
      <x:c r="AB410" t="s">
        <x:v>2111</x:v>
      </x:c>
      <x:c r="AF410" t="s">
        <x:v>50</x:v>
      </x:c>
      <x:c r="AG410" t="s">
        <x:v>360</x:v>
      </x:c>
      <x:c r="AH410" t="s">
        <x:v>367</x:v>
      </x:c>
      <x:c r="AI410" t="s">
        <x:v>3107</x:v>
      </x:c>
      <x:c r="AJ410">
        <x:v>442</x:v>
      </x:c>
    </x:row>
    <x:row r="411">
      <x:c r="A411" t="s">
        <x:v>2207</x:v>
      </x:c>
      <x:c r="B411" t="s">
        <x:v>2208</x:v>
      </x:c>
      <x:c r="C411" t="s">
        <x:v>3108</x:v>
      </x:c>
      <x:c r="D411" t="s">
        <x:v>3109</x:v>
      </x:c>
      <x:c r="E411" t="s">
        <x:v>3110</x:v>
      </x:c>
      <x:c r="F411">
        <x:v>2285</x:v>
      </x:c>
      <x:c r="G411">
        <x:v>2285</x:v>
      </x:c>
      <x:c r="H411">
        <x:v>2285</x:v>
      </x:c>
      <x:c r="P411" t="s">
        <x:v>80</x:v>
      </x:c>
      <x:c r="R411" s="9">
        <x:v>30644</x:v>
      </x:c>
      <x:c r="T411" t="s">
        <x:v>119</x:v>
      </x:c>
      <x:c r="W411" s="26" t="n">
        <x:v>5.15043</x:v>
      </x:c>
      <x:c r="X411" s="26" t="n">
        <x:v>-76.02159</x:v>
      </x:c>
      <x:c r="Y411">
        <x:v>1968.616</x:v>
      </x:c>
      <x:c r="Z411">
        <x:v>2254</x:v>
      </x:c>
      <x:c r="AB411" t="s">
        <x:v>3111</x:v>
      </x:c>
      <x:c r="AF411" t="s">
        <x:v>50</x:v>
      </x:c>
      <x:c r="AG411" t="s">
        <x:v>360</x:v>
      </x:c>
      <x:c r="AH411" t="s">
        <x:v>3112</x:v>
      </x:c>
      <x:c r="AI411" t="s">
        <x:v>3113</x:v>
      </x:c>
      <x:c r="AJ411">
        <x:v>443</x:v>
      </x:c>
    </x:row>
    <x:row r="412">
      <x:c r="A412" t="s">
        <x:v>2207</x:v>
      </x:c>
      <x:c r="B412" t="s">
        <x:v>2208</x:v>
      </x:c>
      <x:c r="C412" t="s">
        <x:v>3114</x:v>
      </x:c>
      <x:c r="D412" t="s">
        <x:v>3115</x:v>
      </x:c>
      <x:c r="E412" t="s">
        <x:v>3116</x:v>
      </x:c>
      <x:c r="F412">
        <x:v>2450</x:v>
      </x:c>
      <x:c r="G412">
        <x:v>2450</x:v>
      </x:c>
      <x:c r="H412">
        <x:v>2450</x:v>
      </x:c>
      <x:c r="P412" t="s">
        <x:v>80</x:v>
      </x:c>
      <x:c r="R412" s="9">
        <x:v>32790</x:v>
      </x:c>
      <x:c r="T412" t="s">
        <x:v>3117</x:v>
      </x:c>
      <x:c r="W412" s="26" t="n">
        <x:v>4.70767</x:v>
      </x:c>
      <x:c r="X412" s="26" t="n">
        <x:v>-75.49291</x:v>
      </x:c>
      <x:c r="Y412">
        <x:v>3245.4160000000002</x:v>
      </x:c>
      <x:c r="Z412">
        <x:v>2543</x:v>
      </x:c>
      <x:c r="AB412" t="s">
        <x:v>3118</x:v>
      </x:c>
      <x:c r="AF412" t="s">
        <x:v>50</x:v>
      </x:c>
      <x:c r="AG412" t="s">
        <x:v>360</x:v>
      </x:c>
      <x:c r="AH412" t="s">
        <x:v>361</x:v>
      </x:c>
      <x:c r="AI412" t="s">
        <x:v>3119</x:v>
      </x:c>
      <x:c r="AJ412">
        <x:v>444</x:v>
      </x:c>
    </x:row>
    <x:row r="413">
      <x:c r="A413" t="s">
        <x:v>2207</x:v>
      </x:c>
      <x:c r="B413" t="s">
        <x:v>2208</x:v>
      </x:c>
      <x:c r="C413" t="s">
        <x:v>3120</x:v>
      </x:c>
      <x:c r="D413" t="s">
        <x:v>3121</x:v>
      </x:c>
      <x:c r="E413" t="s">
        <x:v>3122</x:v>
      </x:c>
      <x:c r="F413">
        <x:v>2400</x:v>
      </x:c>
      <x:c r="G413">
        <x:v>2400</x:v>
      </x:c>
      <x:c r="H413">
        <x:v>2400</x:v>
      </x:c>
      <x:c r="P413" t="s">
        <x:v>80</x:v>
      </x:c>
      <x:c r="R413" s="9">
        <x:v>32844</x:v>
      </x:c>
      <x:c r="T413" t="s">
        <x:v>119</x:v>
      </x:c>
      <x:c r="W413" s="26" t="n">
        <x:v>4.70767</x:v>
      </x:c>
      <x:c r="X413" s="26" t="n">
        <x:v>-75.49291</x:v>
      </x:c>
      <x:c r="Y413">
        <x:v>3245.4160000000002</x:v>
      </x:c>
      <x:c r="Z413">
        <x:v>2543</x:v>
      </x:c>
      <x:c r="AB413" t="s">
        <x:v>3118</x:v>
      </x:c>
      <x:c r="AF413" t="s">
        <x:v>50</x:v>
      </x:c>
      <x:c r="AG413" t="s">
        <x:v>360</x:v>
      </x:c>
      <x:c r="AH413" t="s">
        <x:v>361</x:v>
      </x:c>
      <x:c r="AI413" t="s">
        <x:v>3123</x:v>
      </x:c>
      <x:c r="AJ413">
        <x:v>445</x:v>
      </x:c>
    </x:row>
    <x:row r="414">
      <x:c r="A414" t="s">
        <x:v>2207</x:v>
      </x:c>
      <x:c r="B414" t="s">
        <x:v>2208</x:v>
      </x:c>
      <x:c r="C414" t="s">
        <x:v>3124</x:v>
      </x:c>
      <x:c r="D414" t="s">
        <x:v>3125</x:v>
      </x:c>
      <x:c r="E414" t="s">
        <x:v>3126</x:v>
      </x:c>
      <x:c r="F414">
        <x:v>2000</x:v>
      </x:c>
      <x:c r="G414">
        <x:v>2000</x:v>
      </x:c>
      <x:c r="H414">
        <x:v>2000</x:v>
      </x:c>
      <x:c r="P414" t="s">
        <x:v>80</x:v>
      </x:c>
      <x:c r="R414" s="9">
        <x:v>38315</x:v>
      </x:c>
      <x:c r="T414" t="s">
        <x:v>111</x:v>
      </x:c>
      <x:c r="W414" s="26" t="n">
        <x:v>4.72879</x:v>
      </x:c>
      <x:c r="X414" s="26" t="n">
        <x:v>-75.5779</x:v>
      </x:c>
      <x:c r="Y414">
        <x:v>611.64800000000002</x:v>
      </x:c>
      <x:c r="Z414">
        <x:v>1864</x:v>
      </x:c>
      <x:c r="AB414" t="s">
        <x:v>359</x:v>
      </x:c>
      <x:c r="AF414" t="s">
        <x:v>50</x:v>
      </x:c>
      <x:c r="AG414" t="s">
        <x:v>360</x:v>
      </x:c>
      <x:c r="AH414" t="s">
        <x:v>361</x:v>
      </x:c>
      <x:c r="AI414" t="s">
        <x:v>3127</x:v>
      </x:c>
      <x:c r="AJ414">
        <x:v>446</x:v>
      </x:c>
    </x:row>
    <x:row r="415">
      <x:c r="A415" t="s">
        <x:v>2207</x:v>
      </x:c>
      <x:c r="B415" t="s">
        <x:v>2208</x:v>
      </x:c>
      <x:c r="C415" t="s">
        <x:v>3128</x:v>
      </x:c>
      <x:c r="D415" t="s">
        <x:v>3129</x:v>
      </x:c>
      <x:c r="E415" t="s">
        <x:v>3130</x:v>
      </x:c>
      <x:c r="F415">
        <x:v>2600</x:v>
      </x:c>
      <x:c r="G415">
        <x:v>2600</x:v>
      </x:c>
      <x:c r="H415">
        <x:v>2600</x:v>
      </x:c>
      <x:c r="P415" t="s">
        <x:v>80</x:v>
      </x:c>
      <x:c r="R415" s="9">
        <x:v>38738</x:v>
      </x:c>
      <x:c r="T415" t="s">
        <x:v>119</x:v>
      </x:c>
      <x:c r="W415" s="26" t="n">
        <x:v>4.70767</x:v>
      </x:c>
      <x:c r="X415" s="26" t="n">
        <x:v>-75.49291</x:v>
      </x:c>
      <x:c r="Y415">
        <x:v>3245.4160000000002</x:v>
      </x:c>
      <x:c r="Z415">
        <x:v>2543</x:v>
      </x:c>
      <x:c r="AB415" t="s">
        <x:v>3118</x:v>
      </x:c>
      <x:c r="AF415" t="s">
        <x:v>50</x:v>
      </x:c>
      <x:c r="AG415" t="s">
        <x:v>360</x:v>
      </x:c>
      <x:c r="AH415" t="s">
        <x:v>361</x:v>
      </x:c>
      <x:c r="AI415" t="s">
        <x:v>3131</x:v>
      </x:c>
      <x:c r="AJ415">
        <x:v>447</x:v>
      </x:c>
    </x:row>
    <x:row r="416">
      <x:c r="A416" t="s">
        <x:v>2207</x:v>
      </x:c>
      <x:c r="B416" t="s">
        <x:v>2208</x:v>
      </x:c>
      <x:c r="C416" t="s">
        <x:v>3132</x:v>
      </x:c>
      <x:c r="D416" t="s">
        <x:v>1529</x:v>
      </x:c>
      <x:c r="E416" t="s">
        <x:v>3133</x:v>
      </x:c>
      <x:c r="F416" t="s">
        <x:v>3134</x:v>
      </x:c>
      <x:c r="G416">
        <x:v>1897</x:v>
      </x:c>
      <x:c r="H416">
        <x:v>1897</x:v>
      </x:c>
      <x:c r="I416" t="s">
        <x:v>3135</x:v>
      </x:c>
      <x:c r="J416" t="s">
        <x:v>3135</x:v>
      </x:c>
      <x:c r="K416" t="s">
        <x:v>3136</x:v>
      </x:c>
      <x:c r="L416" t="s">
        <x:v>3136</x:v>
      </x:c>
      <x:c r="M416" t="s">
        <x:v>3137</x:v>
      </x:c>
      <x:c r="P416" t="s">
        <x:v>80</x:v>
      </x:c>
      <x:c r="R416" s="9">
        <x:v>40006</x:v>
      </x:c>
      <x:c r="T416" t="s">
        <x:v>3138</x:v>
      </x:c>
      <x:c r="W416" s="26" t="n">
        <x:v>4.72879</x:v>
      </x:c>
      <x:c r="X416" s="26" t="n">
        <x:v>-75.5779</x:v>
      </x:c>
      <x:c r="Y416">
        <x:v>611.64800000000002</x:v>
      </x:c>
      <x:c r="Z416">
        <x:v>1864</x:v>
      </x:c>
      <x:c r="AB416" t="s">
        <x:v>359</x:v>
      </x:c>
      <x:c r="AF416" t="s">
        <x:v>50</x:v>
      </x:c>
      <x:c r="AG416" t="s">
        <x:v>360</x:v>
      </x:c>
      <x:c r="AH416" t="s">
        <x:v>361</x:v>
      </x:c>
      <x:c r="AI416" t="s">
        <x:v>3139</x:v>
      </x:c>
      <x:c r="AJ416">
        <x:v>448</x:v>
      </x:c>
    </x:row>
    <x:row r="417">
      <x:c r="A417" t="s">
        <x:v>2207</x:v>
      </x:c>
      <x:c r="B417" t="s">
        <x:v>2208</x:v>
      </x:c>
      <x:c r="C417" t="s">
        <x:v>3140</x:v>
      </x:c>
      <x:c r="D417" t="s">
        <x:v>299</x:v>
      </x:c>
      <x:c r="E417" t="s">
        <x:v>3141</x:v>
      </x:c>
      <x:c r="F417" t="s">
        <x:v>3142</x:v>
      </x:c>
      <x:c r="G417">
        <x:v>2106</x:v>
      </x:c>
      <x:c r="H417">
        <x:v>2106</x:v>
      </x:c>
      <x:c r="I417" t="s">
        <x:v>3143</x:v>
      </x:c>
      <x:c r="J417" t="s">
        <x:v>3143</x:v>
      </x:c>
      <x:c r="K417" t="s">
        <x:v>3144</x:v>
      </x:c>
      <x:c r="L417" t="s">
        <x:v>3144</x:v>
      </x:c>
      <x:c r="M417" t="s">
        <x:v>3145</x:v>
      </x:c>
      <x:c r="P417" t="s">
        <x:v>80</x:v>
      </x:c>
      <x:c r="R417" s="9">
        <x:v>40009</x:v>
      </x:c>
      <x:c r="T417" t="s">
        <x:v>119</x:v>
      </x:c>
      <x:c r="W417" s="26" t="n">
        <x:v>4.81915</x:v>
      </x:c>
      <x:c r="X417" s="26" t="n">
        <x:v>-75.54521667</x:v>
      </x:c>
      <x:c r="AF417" t="s">
        <x:v>50</x:v>
      </x:c>
      <x:c r="AG417" t="s">
        <x:v>360</x:v>
      </x:c>
      <x:c r="AH417" t="s">
        <x:v>2116</x:v>
      </x:c>
      <x:c r="AI417" t="s">
        <x:v>3146</x:v>
      </x:c>
      <x:c r="AJ417">
        <x:v>449</x:v>
      </x:c>
    </x:row>
    <x:row r="418">
      <x:c r="A418" t="s">
        <x:v>2207</x:v>
      </x:c>
      <x:c r="B418" t="s">
        <x:v>2208</x:v>
      </x:c>
      <x:c r="C418" t="s">
        <x:v>3147</x:v>
      </x:c>
      <x:c r="D418" t="s">
        <x:v>1060</x:v>
      </x:c>
      <x:c r="E418" t="s">
        <x:v>3148</x:v>
      </x:c>
      <x:c r="F418" t="s">
        <x:v>3149</x:v>
      </x:c>
      <x:c r="G418">
        <x:v>2122</x:v>
      </x:c>
      <x:c r="H418">
        <x:v>2612</x:v>
      </x:c>
      <x:c r="I418" t="s">
        <x:v>3150</x:v>
      </x:c>
      <x:c r="J418" t="s">
        <x:v>3150</x:v>
      </x:c>
      <x:c r="K418" t="s">
        <x:v>3151</x:v>
      </x:c>
      <x:c r="L418" t="s">
        <x:v>3151</x:v>
      </x:c>
      <x:c r="M418" t="s">
        <x:v>3152</x:v>
      </x:c>
      <x:c r="P418" t="s">
        <x:v>80</x:v>
      </x:c>
      <x:c r="R418" s="9">
        <x:v>40009</x:v>
      </x:c>
      <x:c r="T418" t="s">
        <x:v>119</x:v>
      </x:c>
      <x:c r="W418" s="26" t="n">
        <x:v>4.813416667</x:v>
      </x:c>
      <x:c r="X418" s="26" t="n">
        <x:v>-75.53271667</x:v>
      </x:c>
      <x:c r="AF418" t="s">
        <x:v>50</x:v>
      </x:c>
      <x:c r="AG418" t="s">
        <x:v>360</x:v>
      </x:c>
      <x:c r="AH418" t="s">
        <x:v>2116</x:v>
      </x:c>
      <x:c r="AI418" t="s">
        <x:v>3153</x:v>
      </x:c>
      <x:c r="AJ418">
        <x:v>450</x:v>
      </x:c>
    </x:row>
    <x:row r="419" s="3" customFormat="1">
      <x:c r="A419" t="s">
        <x:v>2207</x:v>
      </x:c>
      <x:c r="B419" t="s">
        <x:v>2208</x:v>
      </x:c>
      <x:c r="C419" t="s">
        <x:v>3154</x:v>
      </x:c>
      <x:c r="D419" t="s">
        <x:v>1529</x:v>
      </x:c>
      <x:c r="E419" t="s">
        <x:v>3155</x:v>
      </x:c>
      <x:c r="F419">
        <x:v>2612</x:v>
      </x:c>
      <x:c r="G419">
        <x:v>2612</x:v>
      </x:c>
      <x:c r="H419">
        <x:v>2612</x:v>
      </x:c>
      <x:c r="I419" t="s">
        <x:v>3156</x:v>
      </x:c>
      <x:c r="J419" t="s">
        <x:v>3150</x:v>
      </x:c>
      <x:c r="K419" t="s">
        <x:v>3157</x:v>
      </x:c>
      <x:c r="L419" t="s">
        <x:v>3151</x:v>
      </x:c>
      <x:c r="M419" t="s">
        <x:v>3152</x:v>
      </x:c>
      <x:c r="N419"/>
      <x:c r="O419"/>
      <x:c r="P419" t="s">
        <x:v>80</x:v>
      </x:c>
      <x:c r="Q419"/>
      <x:c r="R419" s="9">
        <x:v>40010</x:v>
      </x:c>
      <x:c r="S419"/>
      <x:c r="T419" t="s">
        <x:v>119</x:v>
      </x:c>
      <x:c r="U419"/>
      <x:c r="V419"/>
      <x:c r="W419" s="26" t="n">
        <x:v>4.813416667</x:v>
      </x:c>
      <x:c r="X419" s="26" t="n">
        <x:v>-75.53271667</x:v>
      </x:c>
      <x:c r="Y419"/>
      <x:c r="Z419"/>
      <x:c r="AA419"/>
      <x:c r="AB419"/>
      <x:c r="AC419"/>
      <x:c r="AD419"/>
      <x:c r="AE419"/>
      <x:c r="AF419" t="s">
        <x:v>50</x:v>
      </x:c>
      <x:c r="AG419" t="s">
        <x:v>360</x:v>
      </x:c>
      <x:c r="AH419" t="s">
        <x:v>2116</x:v>
      </x:c>
      <x:c r="AI419" t="s">
        <x:v>3158</x:v>
      </x:c>
      <x:c r="AJ419">
        <x:v>451</x:v>
      </x:c>
    </x:row>
    <x:row r="420">
      <x:c r="A420" t="s">
        <x:v>2207</x:v>
      </x:c>
      <x:c r="B420" t="s">
        <x:v>2208</x:v>
      </x:c>
      <x:c r="C420" t="s">
        <x:v>3159</x:v>
      </x:c>
      <x:c r="D420" t="s">
        <x:v>3160</x:v>
      </x:c>
      <x:c r="E420" t="s">
        <x:v>3161</x:v>
      </x:c>
      <x:c r="F420">
        <x:v>2824</x:v>
      </x:c>
      <x:c r="G420">
        <x:v>2824</x:v>
      </x:c>
      <x:c r="H420">
        <x:v>2824</x:v>
      </x:c>
      <x:c r="I420" t="s">
        <x:v>3162</x:v>
      </x:c>
      <x:c r="J420" t="s">
        <x:v>3162</x:v>
      </x:c>
      <x:c r="K420" t="s">
        <x:v>3163</x:v>
      </x:c>
      <x:c r="L420" t="s">
        <x:v>3163</x:v>
      </x:c>
      <x:c r="M420" t="s">
        <x:v>3164</x:v>
      </x:c>
      <x:c r="P420" t="s">
        <x:v>80</x:v>
      </x:c>
      <x:c r="R420" s="9">
        <x:v>40744</x:v>
      </x:c>
      <x:c r="T420" t="s">
        <x:v>119</x:v>
      </x:c>
      <x:c r="W420" s="26" t="n">
        <x:v>5.1244244</x:v>
      </x:c>
      <x:c r="X420" s="26" t="n">
        <x:v>-76.0416654</x:v>
      </x:c>
      <x:c r="AF420" t="s">
        <x:v>50</x:v>
      </x:c>
      <x:c r="AG420" t="s">
        <x:v>360</x:v>
      </x:c>
      <x:c r="AH420" t="s">
        <x:v>367</x:v>
      </x:c>
      <x:c r="AI420" t="s">
        <x:v>3165</x:v>
      </x:c>
      <x:c r="AJ420">
        <x:v>452</x:v>
      </x:c>
    </x:row>
    <x:row r="421">
      <x:c r="A421" t="s">
        <x:v>2207</x:v>
      </x:c>
      <x:c r="B421" t="s">
        <x:v>2208</x:v>
      </x:c>
      <x:c r="C421" t="s">
        <x:v>3166</x:v>
      </x:c>
      <x:c r="D421" t="s">
        <x:v>1837</x:v>
      </x:c>
      <x:c r="E421" t="s">
        <x:v>3167</x:v>
      </x:c>
      <x:c r="F421">
        <x:v>1783</x:v>
      </x:c>
      <x:c r="G421">
        <x:v>1783</x:v>
      </x:c>
      <x:c r="H421">
        <x:v>1783</x:v>
      </x:c>
      <x:c r="I421" t="s">
        <x:v>3168</x:v>
      </x:c>
      <x:c r="J421" t="s">
        <x:v>3169</x:v>
      </x:c>
      <x:c r="K421" t="s">
        <x:v>3170</x:v>
      </x:c>
      <x:c r="L421" t="s">
        <x:v>3171</x:v>
      </x:c>
      <x:c r="M421" t="s">
        <x:v>3172</x:v>
      </x:c>
      <x:c r="N421" t="s">
        <x:v>3173</x:v>
      </x:c>
      <x:c r="O421" t="s">
        <x:v>3174</x:v>
      </x:c>
      <x:c r="P421" t="s">
        <x:v>3175</x:v>
      </x:c>
      <x:c r="R421" s="9">
        <x:v>41019</x:v>
      </x:c>
      <x:c r="T421" t="s">
        <x:v>119</x:v>
      </x:c>
      <x:c r="W421" s="26" t="n">
        <x:v>4.72879</x:v>
      </x:c>
      <x:c r="X421" s="26" t="n">
        <x:v>-75.5779</x:v>
      </x:c>
      <x:c r="Y421">
        <x:v>611.64800000000002</x:v>
      </x:c>
      <x:c r="Z421">
        <x:v>1864</x:v>
      </x:c>
      <x:c r="AB421" t="s">
        <x:v>359</x:v>
      </x:c>
      <x:c r="AF421" t="s">
        <x:v>50</x:v>
      </x:c>
      <x:c r="AG421" t="s">
        <x:v>360</x:v>
      </x:c>
      <x:c r="AH421" t="s">
        <x:v>361</x:v>
      </x:c>
      <x:c r="AI421" t="s">
        <x:v>3176</x:v>
      </x:c>
      <x:c r="AJ421">
        <x:v>453</x:v>
      </x:c>
    </x:row>
    <x:row r="422">
      <x:c r="A422" t="s">
        <x:v>2207</x:v>
      </x:c>
      <x:c r="B422" t="s">
        <x:v>2208</x:v>
      </x:c>
      <x:c r="C422" t="s">
        <x:v>3177</x:v>
      </x:c>
      <x:c r="D422" t="s">
        <x:v>1529</x:v>
      </x:c>
      <x:c r="E422" t="s">
        <x:v>3126</x:v>
      </x:c>
      <x:c r="F422">
        <x:v>1783</x:v>
      </x:c>
      <x:c r="G422">
        <x:v>1783</x:v>
      </x:c>
      <x:c r="H422">
        <x:v>1783</x:v>
      </x:c>
      <x:c r="I422" t="s">
        <x:v>3168</x:v>
      </x:c>
      <x:c r="J422" t="s">
        <x:v>3169</x:v>
      </x:c>
      <x:c r="K422" t="s">
        <x:v>3170</x:v>
      </x:c>
      <x:c r="L422" t="s">
        <x:v>3171</x:v>
      </x:c>
      <x:c r="M422" t="s">
        <x:v>3172</x:v>
      </x:c>
      <x:c r="N422" t="s">
        <x:v>3173</x:v>
      </x:c>
      <x:c r="O422" t="s">
        <x:v>3174</x:v>
      </x:c>
      <x:c r="P422" t="s">
        <x:v>3175</x:v>
      </x:c>
      <x:c r="R422" s="9">
        <x:v>41019</x:v>
      </x:c>
      <x:c r="T422" t="s">
        <x:v>119</x:v>
      </x:c>
      <x:c r="W422" s="26" t="n">
        <x:v>4.72879</x:v>
      </x:c>
      <x:c r="X422" s="26" t="n">
        <x:v>-75.5779</x:v>
      </x:c>
      <x:c r="Y422">
        <x:v>611.64800000000002</x:v>
      </x:c>
      <x:c r="Z422">
        <x:v>1864</x:v>
      </x:c>
      <x:c r="AB422" t="s">
        <x:v>359</x:v>
      </x:c>
      <x:c r="AF422" t="s">
        <x:v>50</x:v>
      </x:c>
      <x:c r="AG422" t="s">
        <x:v>360</x:v>
      </x:c>
      <x:c r="AH422" t="s">
        <x:v>361</x:v>
      </x:c>
      <x:c r="AI422" t="s">
        <x:v>3127</x:v>
      </x:c>
      <x:c r="AJ422">
        <x:v>454</x:v>
      </x:c>
    </x:row>
    <x:row r="423">
      <x:c r="A423" t="s">
        <x:v>2207</x:v>
      </x:c>
      <x:c r="B423" t="s">
        <x:v>2208</x:v>
      </x:c>
      <x:c r="C423" t="s">
        <x:v>3178</x:v>
      </x:c>
      <x:c r="D423" t="s">
        <x:v>1529</x:v>
      </x:c>
      <x:c r="E423" t="s">
        <x:v>3179</x:v>
      </x:c>
      <x:c r="F423" t="s">
        <x:v>3180</x:v>
      </x:c>
      <x:c r="G423">
        <x:v>3500</x:v>
      </x:c>
      <x:c r="H423">
        <x:v>3000</x:v>
      </x:c>
      <x:c r="I423" t="s">
        <x:v>2121</x:v>
      </x:c>
      <x:c r="J423" t="s">
        <x:v>2121</x:v>
      </x:c>
      <x:c r="K423" t="s">
        <x:v>2123</x:v>
      </x:c>
      <x:c r="L423" t="s">
        <x:v>2123</x:v>
      </x:c>
      <x:c r="M423" t="s">
        <x:v>2124</x:v>
      </x:c>
      <x:c r="P423" t="s">
        <x:v>80</x:v>
      </x:c>
      <x:c r="R423" s="9">
        <x:v>40558</x:v>
      </x:c>
      <x:c r="T423" t="s">
        <x:v>119</x:v>
      </x:c>
      <x:c r="W423" s="26" t="n">
        <x:v>5.1208051</x:v>
      </x:c>
      <x:c r="X423" s="26" t="n">
        <x:v>-76.0594532</x:v>
      </x:c>
      <x:c r="AF423" t="s">
        <x:v>50</x:v>
      </x:c>
      <x:c r="AG423" t="s">
        <x:v>360</x:v>
      </x:c>
      <x:c r="AH423" t="s">
        <x:v>367</x:v>
      </x:c>
      <x:c r="AI423" t="s">
        <x:v>3181</x:v>
      </x:c>
      <x:c r="AJ423">
        <x:v>455</x:v>
      </x:c>
    </x:row>
    <x:row r="424">
      <x:c r="A424" t="s">
        <x:v>2207</x:v>
      </x:c>
      <x:c r="B424" t="s">
        <x:v>2208</x:v>
      </x:c>
      <x:c r="C424" t="s">
        <x:v>3182</x:v>
      </x:c>
      <x:c r="D424" t="s">
        <x:v>1060</x:v>
      </x:c>
      <x:c r="E424" t="s">
        <x:v>3183</x:v>
      </x:c>
      <x:c r="F424" t="s">
        <x:v>3184</x:v>
      </x:c>
      <x:c r="G424">
        <x:v>3000</x:v>
      </x:c>
      <x:c r="H424">
        <x:v>2560</x:v>
      </x:c>
      <x:c r="I424" t="s">
        <x:v>3185</x:v>
      </x:c>
      <x:c r="J424" t="s">
        <x:v>3185</x:v>
      </x:c>
      <x:c r="K424" t="s">
        <x:v>3186</x:v>
      </x:c>
      <x:c r="L424" t="s">
        <x:v>3186</x:v>
      </x:c>
      <x:c r="M424" t="s">
        <x:v>3187</x:v>
      </x:c>
      <x:c r="P424" t="s">
        <x:v>80</x:v>
      </x:c>
      <x:c r="R424" s="9">
        <x:v>40558</x:v>
      </x:c>
      <x:c r="T424" t="s">
        <x:v>119</x:v>
      </x:c>
      <x:c r="W424" s="26" t="n">
        <x:v>5.1225913</x:v>
      </x:c>
      <x:c r="X424" s="26" t="n">
        <x:v>-76.0459684</x:v>
      </x:c>
      <x:c r="AF424" t="s">
        <x:v>50</x:v>
      </x:c>
      <x:c r="AG424" t="s">
        <x:v>360</x:v>
      </x:c>
      <x:c r="AH424" t="s">
        <x:v>367</x:v>
      </x:c>
      <x:c r="AI424" t="s">
        <x:v>3188</x:v>
      </x:c>
      <x:c r="AJ424">
        <x:v>456</x:v>
      </x:c>
    </x:row>
    <x:row r="425">
      <x:c r="A425" t="s">
        <x:v>2207</x:v>
      </x:c>
      <x:c r="B425" t="s">
        <x:v>2208</x:v>
      </x:c>
      <x:c r="C425" t="s">
        <x:v>3189</x:v>
      </x:c>
      <x:c r="D425" t="s">
        <x:v>3190</x:v>
      </x:c>
      <x:c r="E425" t="s">
        <x:v>3191</x:v>
      </x:c>
      <x:c r="F425">
        <x:v>200</x:v>
      </x:c>
      <x:c r="G425">
        <x:v>200</x:v>
      </x:c>
      <x:c r="H425">
        <x:v>200</x:v>
      </x:c>
      <x:c r="P425" t="s">
        <x:v>80</x:v>
      </x:c>
      <x:c r="R425" s="9">
        <x:v>13355</x:v>
      </x:c>
      <x:c r="T425" t="s">
        <x:v>119</x:v>
      </x:c>
      <x:c r="W425" s="26" t="n">
        <x:v>6.31987</x:v>
      </x:c>
      <x:c r="X425" s="26" t="n">
        <x:v>-73.88549</x:v>
      </x:c>
      <x:c r="Y425">
        <x:v>1707.425</x:v>
      </x:c>
      <x:c r="Z425">
        <x:v>807</x:v>
      </x:c>
      <x:c r="AB425" t="s">
        <x:v>3192</x:v>
      </x:c>
      <x:c r="AF425" t="s">
        <x:v>50</x:v>
      </x:c>
      <x:c r="AG425" t="s">
        <x:v>224</x:v>
      </x:c>
      <x:c r="AH425" t="s">
        <x:v>3193</x:v>
      </x:c>
      <x:c r="AJ425">
        <x:v>457</x:v>
      </x:c>
    </x:row>
    <x:row r="426">
      <x:c r="A426" t="s">
        <x:v>2207</x:v>
      </x:c>
      <x:c r="B426" t="s">
        <x:v>2208</x:v>
      </x:c>
      <x:c r="C426" t="s">
        <x:v>3194</x:v>
      </x:c>
      <x:c r="D426" t="s">
        <x:v>3195</x:v>
      </x:c>
      <x:c r="E426" t="s">
        <x:v>3196</x:v>
      </x:c>
      <x:c r="F426">
        <x:v>1800</x:v>
      </x:c>
      <x:c r="G426">
        <x:v>1800</x:v>
      </x:c>
      <x:c r="H426">
        <x:v>1800</x:v>
      </x:c>
      <x:c r="P426" t="s">
        <x:v>80</x:v>
      </x:c>
      <x:c r="R426" s="9">
        <x:v>31538</x:v>
      </x:c>
      <x:c r="W426" s="26" t="n">
        <x:v>6.10629</x:v>
      </x:c>
      <x:c r="X426" s="26" t="n">
        <x:v>-73.19712</x:v>
      </x:c>
      <x:c r="Y426">
        <x:v>8542.4390000000003</x:v>
      </x:c>
      <x:c r="Z426">
        <x:v>1743</x:v>
      </x:c>
      <x:c r="AB426" t="s">
        <x:v>3197</x:v>
      </x:c>
      <x:c r="AF426" t="s">
        <x:v>50</x:v>
      </x:c>
      <x:c r="AG426" t="s">
        <x:v>224</x:v>
      </x:c>
      <x:c r="AH426" t="s">
        <x:v>3198</x:v>
      </x:c>
      <x:c r="AJ426">
        <x:v>458</x:v>
      </x:c>
    </x:row>
    <x:row r="427">
      <x:c r="A427" t="s">
        <x:v>2207</x:v>
      </x:c>
      <x:c r="B427" t="s">
        <x:v>2208</x:v>
      </x:c>
      <x:c r="C427" t="s">
        <x:v>3199</x:v>
      </x:c>
      <x:c r="D427" t="s">
        <x:v>3200</x:v>
      </x:c>
      <x:c r="E427" t="s">
        <x:v>3201</x:v>
      </x:c>
      <x:c r="F427">
        <x:v>2750</x:v>
      </x:c>
      <x:c r="G427">
        <x:v>2750</x:v>
      </x:c>
      <x:c r="H427">
        <x:v>2750</x:v>
      </x:c>
      <x:c r="P427" t="s">
        <x:v>80</x:v>
      </x:c>
      <x:c r="R427" s="9">
        <x:v>31862</x:v>
      </x:c>
      <x:c r="T427" t="s">
        <x:v>119</x:v>
      </x:c>
      <x:c r="W427" s="26" t="n">
        <x:v>7.27828</x:v>
      </x:c>
      <x:c r="X427" s="26" t="n">
        <x:v>-72.96731</x:v>
      </x:c>
      <x:c r="Y427">
        <x:v>1828.106</x:v>
      </x:c>
      <x:c r="Z427">
        <x:v>1992</x:v>
      </x:c>
      <x:c r="AB427" t="s">
        <x:v>3202</x:v>
      </x:c>
      <x:c r="AF427" t="s">
        <x:v>50</x:v>
      </x:c>
      <x:c r="AG427" t="s">
        <x:v>224</x:v>
      </x:c>
      <x:c r="AH427" t="s">
        <x:v>3203</x:v>
      </x:c>
      <x:c r="AI427" t="s">
        <x:v>3204</x:v>
      </x:c>
      <x:c r="AJ427">
        <x:v>459</x:v>
      </x:c>
    </x:row>
    <x:row r="428">
      <x:c r="A428" t="s">
        <x:v>2207</x:v>
      </x:c>
      <x:c r="B428" t="s">
        <x:v>2208</x:v>
      </x:c>
      <x:c r="C428" t="s">
        <x:v>3205</x:v>
      </x:c>
      <x:c r="D428" t="s">
        <x:v>3206</x:v>
      </x:c>
      <x:c r="E428" t="s">
        <x:v>3207</x:v>
      </x:c>
      <x:c r="F428" t="s">
        <x:v>3208</x:v>
      </x:c>
      <x:c r="G428">
        <x:v>2400</x:v>
      </x:c>
      <x:c r="H428">
        <x:v>2550</x:v>
      </x:c>
      <x:c r="I428" t="s">
        <x:v>3209</x:v>
      </x:c>
      <x:c r="J428" t="s">
        <x:v>3210</x:v>
      </x:c>
      <x:c r="K428" t="s">
        <x:v>3211</x:v>
      </x:c>
      <x:c r="L428" t="s">
        <x:v>3212</x:v>
      </x:c>
      <x:c r="M428" t="s">
        <x:v>3213</x:v>
      </x:c>
      <x:c r="N428" t="s">
        <x:v>3214</x:v>
      </x:c>
      <x:c r="O428" t="s">
        <x:v>3215</x:v>
      </x:c>
      <x:c r="P428" t="s">
        <x:v>3216</x:v>
      </x:c>
      <x:c r="R428" s="9">
        <x:v>35747</x:v>
      </x:c>
      <x:c r="T428" t="s">
        <x:v>119</x:v>
      </x:c>
      <x:c r="W428" s="26" t="n">
        <x:v>6.0166667</x:v>
      </x:c>
      <x:c r="X428" s="26" t="n">
        <x:v>-73.15</x:v>
      </x:c>
      <x:c r="AF428" t="s">
        <x:v>50</x:v>
      </x:c>
      <x:c r="AG428" t="s">
        <x:v>224</x:v>
      </x:c>
      <x:c r="AH428" t="s">
        <x:v>3217</x:v>
      </x:c>
      <x:c r="AI428" t="s">
        <x:v>3218</x:v>
      </x:c>
      <x:c r="AJ428">
        <x:v>460</x:v>
      </x:c>
    </x:row>
    <x:row r="429">
      <x:c r="A429" t="s">
        <x:v>2207</x:v>
      </x:c>
      <x:c r="B429" t="s">
        <x:v>2208</x:v>
      </x:c>
      <x:c r="C429" t="s">
        <x:v>3219</x:v>
      </x:c>
      <x:c r="D429" t="s">
        <x:v>3220</x:v>
      </x:c>
      <x:c r="E429" t="s">
        <x:v>3221</x:v>
      </x:c>
      <x:c r="F429">
        <x:v>2700</x:v>
      </x:c>
      <x:c r="G429">
        <x:v>2700</x:v>
      </x:c>
      <x:c r="H429">
        <x:v>2700</x:v>
      </x:c>
      <x:c r="P429" t="s">
        <x:v>80</x:v>
      </x:c>
      <x:c r="R429" s="9">
        <x:v>29433</x:v>
      </x:c>
      <x:c r="T429" t="s">
        <x:v>119</x:v>
      </x:c>
      <x:c r="W429" s="26" t="n">
        <x:v>4.71544</x:v>
      </x:c>
      <x:c r="X429" s="26" t="n">
        <x:v>-75.1369</x:v>
      </x:c>
      <x:c r="Y429">
        <x:v>1450.5989999999999</x:v>
      </x:c>
      <x:c r="Z429">
        <x:v>2827</x:v>
      </x:c>
      <x:c r="AB429" t="s">
        <x:v>3222</x:v>
      </x:c>
      <x:c r="AF429" t="s">
        <x:v>50</x:v>
      </x:c>
      <x:c r="AG429" t="s">
        <x:v>133</x:v>
      </x:c>
      <x:c r="AH429" t="s">
        <x:v>134</x:v>
      </x:c>
      <x:c r="AI429" t="s">
        <x:v>3223</x:v>
      </x:c>
      <x:c r="AJ429">
        <x:v>461</x:v>
      </x:c>
    </x:row>
    <x:row r="430">
      <x:c r="A430" t="s">
        <x:v>2207</x:v>
      </x:c>
      <x:c r="B430" t="s">
        <x:v>2208</x:v>
      </x:c>
      <x:c r="C430" t="s">
        <x:v>3224</x:v>
      </x:c>
      <x:c r="D430" t="s">
        <x:v>3225</x:v>
      </x:c>
      <x:c r="E430" t="s">
        <x:v>3226</x:v>
      </x:c>
      <x:c r="F430">
        <x:v>2540</x:v>
      </x:c>
      <x:c r="G430">
        <x:v>2540</x:v>
      </x:c>
      <x:c r="H430">
        <x:v>2540</x:v>
      </x:c>
      <x:c r="P430" t="s">
        <x:v>80</x:v>
      </x:c>
      <x:c r="R430" s="9">
        <x:v>29434</x:v>
      </x:c>
      <x:c r="T430" t="s">
        <x:v>399</x:v>
      </x:c>
      <x:c r="W430" s="26" t="n">
        <x:v>4.71771</x:v>
      </x:c>
      <x:c r="X430" s="26" t="n">
        <x:v>-75.10414</x:v>
      </x:c>
      <x:c r="Y430">
        <x:v>2997.92</x:v>
      </x:c>
      <x:c r="Z430">
        <x:v>2367</x:v>
      </x:c>
      <x:c r="AB430" t="s">
        <x:v>3227</x:v>
      </x:c>
      <x:c r="AF430" t="s">
        <x:v>50</x:v>
      </x:c>
      <x:c r="AG430" t="s">
        <x:v>133</x:v>
      </x:c>
      <x:c r="AH430" t="s">
        <x:v>134</x:v>
      </x:c>
      <x:c r="AI430" t="s">
        <x:v>3228</x:v>
      </x:c>
      <x:c r="AJ430">
        <x:v>462</x:v>
      </x:c>
    </x:row>
    <x:row r="431">
      <x:c r="A431" t="s">
        <x:v>2207</x:v>
      </x:c>
      <x:c r="B431" t="s">
        <x:v>2208</x:v>
      </x:c>
      <x:c r="C431" t="s">
        <x:v>3229</x:v>
      </x:c>
      <x:c r="D431" t="s">
        <x:v>3230</x:v>
      </x:c>
      <x:c r="E431" t="s">
        <x:v>3231</x:v>
      </x:c>
      <x:c r="F431">
        <x:v>2340</x:v>
      </x:c>
      <x:c r="G431">
        <x:v>2340</x:v>
      </x:c>
      <x:c r="H431">
        <x:v>2340</x:v>
      </x:c>
      <x:c r="P431" t="s">
        <x:v>80</x:v>
      </x:c>
      <x:c r="R431" s="9">
        <x:v>29435</x:v>
      </x:c>
      <x:c r="T431" t="s">
        <x:v>119</x:v>
      </x:c>
      <x:c r="W431" s="26" t="n">
        <x:v>4.71771</x:v>
      </x:c>
      <x:c r="X431" s="26" t="n">
        <x:v>-75.10414</x:v>
      </x:c>
      <x:c r="Y431">
        <x:v>2997.92</x:v>
      </x:c>
      <x:c r="Z431">
        <x:v>2367</x:v>
      </x:c>
      <x:c r="AB431" t="s">
        <x:v>3227</x:v>
      </x:c>
      <x:c r="AF431" t="s">
        <x:v>50</x:v>
      </x:c>
      <x:c r="AG431" t="s">
        <x:v>133</x:v>
      </x:c>
      <x:c r="AH431" t="s">
        <x:v>134</x:v>
      </x:c>
      <x:c r="AI431" t="s">
        <x:v>3232</x:v>
      </x:c>
      <x:c r="AJ431">
        <x:v>463</x:v>
      </x:c>
    </x:row>
    <x:row r="432">
      <x:c r="A432" t="s">
        <x:v>2207</x:v>
      </x:c>
      <x:c r="B432" t="s">
        <x:v>2208</x:v>
      </x:c>
      <x:c r="C432" t="s">
        <x:v>3233</x:v>
      </x:c>
      <x:c r="D432" t="s">
        <x:v>3234</x:v>
      </x:c>
      <x:c r="E432" t="s">
        <x:v>3235</x:v>
      </x:c>
      <x:c r="F432">
        <x:v>2220</x:v>
      </x:c>
      <x:c r="G432">
        <x:v>2220</x:v>
      </x:c>
      <x:c r="H432">
        <x:v>2220</x:v>
      </x:c>
      <x:c r="P432" t="s">
        <x:v>80</x:v>
      </x:c>
      <x:c r="R432" s="9">
        <x:v>37707</x:v>
      </x:c>
      <x:c r="T432" t="s">
        <x:v>399</x:v>
      </x:c>
      <x:c r="W432" s="26" t="n">
        <x:v>4.89285</x:v>
      </x:c>
      <x:c r="X432" s="26" t="n">
        <x:v>-75.1272</x:v>
      </x:c>
      <x:c r="Y432">
        <x:v>1458.605</x:v>
      </x:c>
      <x:c r="Z432">
        <x:v>2245</x:v>
      </x:c>
      <x:c r="AB432" t="s">
        <x:v>3236</x:v>
      </x:c>
      <x:c r="AF432" t="s">
        <x:v>50</x:v>
      </x:c>
      <x:c r="AG432" t="s">
        <x:v>133</x:v>
      </x:c>
      <x:c r="AH432" t="s">
        <x:v>957</x:v>
      </x:c>
      <x:c r="AI432" t="s">
        <x:v>3237</x:v>
      </x:c>
      <x:c r="AJ432">
        <x:v>464</x:v>
      </x:c>
    </x:row>
    <x:row r="433">
      <x:c r="A433" t="s">
        <x:v>2207</x:v>
      </x:c>
      <x:c r="B433" t="s">
        <x:v>2208</x:v>
      </x:c>
      <x:c r="C433" t="s">
        <x:v>3238</x:v>
      </x:c>
      <x:c r="D433" t="s">
        <x:v>1060</x:v>
      </x:c>
      <x:c r="E433" t="s">
        <x:v>3239</x:v>
      </x:c>
      <x:c r="F433">
        <x:v>3696</x:v>
      </x:c>
      <x:c r="G433">
        <x:v>3696</x:v>
      </x:c>
      <x:c r="H433">
        <x:v>3696</x:v>
      </x:c>
      <x:c r="I433" t="s">
        <x:v>3240</x:v>
      </x:c>
      <x:c r="J433" t="s">
        <x:v>3241</x:v>
      </x:c>
      <x:c r="K433" t="s">
        <x:v>3242</x:v>
      </x:c>
      <x:c r="L433" t="s">
        <x:v>345</x:v>
      </x:c>
      <x:c r="M433" t="s">
        <x:v>3243</x:v>
      </x:c>
      <x:c r="N433" t="s">
        <x:v>347</x:v>
      </x:c>
      <x:c r="O433" t="s">
        <x:v>348</x:v>
      </x:c>
      <x:c r="P433" t="s">
        <x:v>349</x:v>
      </x:c>
      <x:c r="R433" s="9">
        <x:v>40022</x:v>
      </x:c>
      <x:c r="T433" t="s">
        <x:v>119</x:v>
      </x:c>
      <x:c r="W433" s="26" t="n">
        <x:v>4.55835</x:v>
      </x:c>
      <x:c r="X433" s="26" t="n">
        <x:v>-75.32021</x:v>
      </x:c>
      <x:c r="Y433">
        <x:v>714.47500000000002</x:v>
      </x:c>
      <x:c r="Z433">
        <x:v>2033</x:v>
      </x:c>
      <x:c r="AB433" t="s">
        <x:v>350</x:v>
      </x:c>
      <x:c r="AF433" t="s">
        <x:v>50</x:v>
      </x:c>
      <x:c r="AG433" t="s">
        <x:v>133</x:v>
      </x:c>
      <x:c r="AH433" t="s">
        <x:v>351</x:v>
      </x:c>
      <x:c r="AI433" t="s">
        <x:v>3244</x:v>
      </x:c>
      <x:c r="AJ433">
        <x:v>465</x:v>
      </x:c>
    </x:row>
    <x:row r="434">
      <x:c r="A434" t="s">
        <x:v>2207</x:v>
      </x:c>
      <x:c r="B434" t="s">
        <x:v>2208</x:v>
      </x:c>
      <x:c r="C434" t="s">
        <x:v>3245</x:v>
      </x:c>
      <x:c r="D434" t="s">
        <x:v>1060</x:v>
      </x:c>
      <x:c r="E434" t="s">
        <x:v>3239</x:v>
      </x:c>
      <x:c r="F434">
        <x:v>3696</x:v>
      </x:c>
      <x:c r="G434">
        <x:v>3696</x:v>
      </x:c>
      <x:c r="H434">
        <x:v>3696</x:v>
      </x:c>
      <x:c r="I434" t="s">
        <x:v>3240</x:v>
      </x:c>
      <x:c r="J434" t="s">
        <x:v>3241</x:v>
      </x:c>
      <x:c r="K434" t="s">
        <x:v>3242</x:v>
      </x:c>
      <x:c r="L434" t="s">
        <x:v>345</x:v>
      </x:c>
      <x:c r="M434" t="s">
        <x:v>3243</x:v>
      </x:c>
      <x:c r="N434" t="s">
        <x:v>347</x:v>
      </x:c>
      <x:c r="O434" t="s">
        <x:v>348</x:v>
      </x:c>
      <x:c r="P434" t="s">
        <x:v>349</x:v>
      </x:c>
      <x:c r="R434" s="9">
        <x:v>40022</x:v>
      </x:c>
      <x:c r="T434" t="s">
        <x:v>119</x:v>
      </x:c>
      <x:c r="W434" s="26" t="n">
        <x:v>4.55835</x:v>
      </x:c>
      <x:c r="X434" s="26" t="n">
        <x:v>-75.32021</x:v>
      </x:c>
      <x:c r="Y434">
        <x:v>714.47500000000002</x:v>
      </x:c>
      <x:c r="Z434">
        <x:v>2033</x:v>
      </x:c>
      <x:c r="AB434" t="s">
        <x:v>350</x:v>
      </x:c>
      <x:c r="AF434" t="s">
        <x:v>50</x:v>
      </x:c>
      <x:c r="AG434" t="s">
        <x:v>133</x:v>
      </x:c>
      <x:c r="AH434" t="s">
        <x:v>351</x:v>
      </x:c>
      <x:c r="AI434" t="s">
        <x:v>3244</x:v>
      </x:c>
      <x:c r="AJ434">
        <x:v>466</x:v>
      </x:c>
    </x:row>
    <x:row r="435">
      <x:c r="A435" t="s">
        <x:v>2207</x:v>
      </x:c>
      <x:c r="B435" t="s">
        <x:v>2208</x:v>
      </x:c>
      <x:c r="C435" t="s">
        <x:v>3246</x:v>
      </x:c>
      <x:c r="D435" t="s">
        <x:v>3247</x:v>
      </x:c>
      <x:c r="E435" t="s">
        <x:v>3248</x:v>
      </x:c>
      <x:c r="F435" t="s">
        <x:v>3249</x:v>
      </x:c>
      <x:c r="G435">
        <x:v>1700</x:v>
      </x:c>
      <x:c r="H435">
        <x:v>1850</x:v>
      </x:c>
      <x:c r="P435" t="s">
        <x:v>80</x:v>
      </x:c>
      <x:c r="R435" s="9">
        <x:v>14303</x:v>
      </x:c>
      <x:c r="T435" t="s">
        <x:v>111</x:v>
      </x:c>
      <x:c r="W435" s="26" t="n">
        <x:v>3.43452</x:v>
      </x:c>
      <x:c r="X435" s="26" t="n">
        <x:v>-76.60242</x:v>
      </x:c>
      <x:c r="Y435">
        <x:v>812.649</x:v>
      </x:c>
      <x:c r="Z435">
        <x:v>1640</x:v>
      </x:c>
      <x:c r="AB435" t="s">
        <x:v>3250</x:v>
      </x:c>
      <x:c r="AF435" t="s">
        <x:v>50</x:v>
      </x:c>
      <x:c r="AG435" t="s">
        <x:v>3251</x:v>
      </x:c>
      <x:c r="AH435" t="s">
        <x:v>3252</x:v>
      </x:c>
      <x:c r="AI435" t="s">
        <x:v>3253</x:v>
      </x:c>
      <x:c r="AJ435">
        <x:v>467</x:v>
      </x:c>
    </x:row>
    <x:row r="436">
      <x:c r="A436" t="s">
        <x:v>2207</x:v>
      </x:c>
      <x:c r="B436" t="s">
        <x:v>2208</x:v>
      </x:c>
      <x:c r="C436" t="s">
        <x:v>3254</x:v>
      </x:c>
      <x:c r="D436" t="s">
        <x:v>3255</x:v>
      </x:c>
      <x:c r="E436" t="s">
        <x:v>3256</x:v>
      </x:c>
      <x:c r="F436">
        <x:v>580</x:v>
      </x:c>
      <x:c r="G436">
        <x:v>580</x:v>
      </x:c>
      <x:c r="H436">
        <x:v>580</x:v>
      </x:c>
      <x:c r="I436" t="s">
        <x:v>3257</x:v>
      </x:c>
      <x:c r="J436" t="s">
        <x:v>3257</x:v>
      </x:c>
      <x:c r="K436" t="s">
        <x:v>3258</x:v>
      </x:c>
      <x:c r="L436" t="s">
        <x:v>3258</x:v>
      </x:c>
      <x:c r="M436" t="s">
        <x:v>3259</x:v>
      </x:c>
      <x:c r="N436" t="s">
        <x:v>3260</x:v>
      </x:c>
      <x:c r="O436" t="s">
        <x:v>3261</x:v>
      </x:c>
      <x:c r="P436" t="s">
        <x:v>3262</x:v>
      </x:c>
      <x:c r="R436" s="9">
        <x:v>30719</x:v>
      </x:c>
      <x:c r="T436" t="s">
        <x:v>111</x:v>
      </x:c>
      <x:c r="W436" s="26" t="n">
        <x:v>3.5</x:v>
      </x:c>
      <x:c r="X436" s="26" t="n">
        <x:v>-76.8666667</x:v>
      </x:c>
      <x:c r="AF436" t="s">
        <x:v>50</x:v>
      </x:c>
      <x:c r="AG436" t="s">
        <x:v>3251</x:v>
      </x:c>
      <x:c r="AH436" t="s">
        <x:v>3263</x:v>
      </x:c>
      <x:c r="AI436" t="s">
        <x:v>3264</x:v>
      </x:c>
      <x:c r="AJ436">
        <x:v>468</x:v>
      </x:c>
    </x:row>
    <x:row r="437">
      <x:c r="A437" t="s">
        <x:v>2207</x:v>
      </x:c>
      <x:c r="B437" t="s">
        <x:v>2208</x:v>
      </x:c>
      <x:c r="C437" t="s">
        <x:v>3265</x:v>
      </x:c>
      <x:c r="D437" t="s">
        <x:v>3266</x:v>
      </x:c>
      <x:c r="E437" t="s">
        <x:v>3267</x:v>
      </x:c>
      <x:c r="F437">
        <x:v>2000</x:v>
      </x:c>
      <x:c r="G437">
        <x:v>2000</x:v>
      </x:c>
      <x:c r="H437">
        <x:v>2000</x:v>
      </x:c>
      <x:c r="P437" t="s">
        <x:v>80</x:v>
      </x:c>
      <x:c r="R437" s="9">
        <x:v>14032</x:v>
      </x:c>
      <x:c r="T437" t="s">
        <x:v>119</x:v>
      </x:c>
      <x:c r="W437" s="26" t="n">
        <x:v>3.46144</x:v>
      </x:c>
      <x:c r="X437" s="26" t="n">
        <x:v>-76.63748</x:v>
      </x:c>
      <x:c r="Y437">
        <x:v>4256.1009999999997</x:v>
      </x:c>
      <x:c r="Z437">
        <x:v>1800</x:v>
      </x:c>
      <x:c r="AB437" t="s">
        <x:v>3268</x:v>
      </x:c>
      <x:c r="AF437" t="s">
        <x:v>50</x:v>
      </x:c>
      <x:c r="AG437" t="s">
        <x:v>83</x:v>
      </x:c>
      <x:c r="AH437" t="s">
        <x:v>3269</x:v>
      </x:c>
      <x:c r="AI437" t="s">
        <x:v>3270</x:v>
      </x:c>
      <x:c r="AJ437">
        <x:v>469</x:v>
      </x:c>
    </x:row>
    <x:row r="438">
      <x:c r="A438" t="s">
        <x:v>2207</x:v>
      </x:c>
      <x:c r="B438" t="s">
        <x:v>2208</x:v>
      </x:c>
      <x:c r="C438" t="s">
        <x:v>3271</x:v>
      </x:c>
      <x:c r="D438" t="s">
        <x:v>3272</x:v>
      </x:c>
      <x:c r="E438" t="s">
        <x:v>3273</x:v>
      </x:c>
      <x:c r="P438" t="s">
        <x:v>80</x:v>
      </x:c>
      <x:c r="R438" s="9">
        <x:v>27935</x:v>
      </x:c>
      <x:c r="T438" t="s">
        <x:v>65</x:v>
      </x:c>
      <x:c r="W438" s="26" t="n">
        <x:v>3.74114</x:v>
      </x:c>
      <x:c r="X438" s="26" t="n">
        <x:v>-76.96741</x:v>
      </x:c>
      <x:c r="Y438">
        <x:v>678.31</x:v>
      </x:c>
      <x:c r="Z438">
        <x:v>31</x:v>
      </x:c>
      <x:c r="AB438" t="s">
        <x:v>3274</x:v>
      </x:c>
      <x:c r="AF438" t="s">
        <x:v>50</x:v>
      </x:c>
      <x:c r="AG438" t="s">
        <x:v>83</x:v>
      </x:c>
      <x:c r="AH438" t="s">
        <x:v>3275</x:v>
      </x:c>
      <x:c r="AI438" t="s">
        <x:v>3276</x:v>
      </x:c>
      <x:c r="AJ438">
        <x:v>470</x:v>
      </x:c>
    </x:row>
    <x:row r="439">
      <x:c r="A439" t="s">
        <x:v>2207</x:v>
      </x:c>
      <x:c r="B439" t="s">
        <x:v>2208</x:v>
      </x:c>
      <x:c r="C439" t="s">
        <x:v>3277</x:v>
      </x:c>
      <x:c r="D439" t="s">
        <x:v>3278</x:v>
      </x:c>
      <x:c r="E439" t="s">
        <x:v>3279</x:v>
      </x:c>
      <x:c r="F439">
        <x:v>1800</x:v>
      </x:c>
      <x:c r="G439">
        <x:v>1800</x:v>
      </x:c>
      <x:c r="H439">
        <x:v>1800</x:v>
      </x:c>
      <x:c r="P439" t="s">
        <x:v>80</x:v>
      </x:c>
      <x:c r="R439" s="9">
        <x:v>28615</x:v>
      </x:c>
      <x:c r="T439" t="s">
        <x:v>119</x:v>
      </x:c>
      <x:c r="W439" s="26" t="n">
        <x:v>3.4358</x:v>
      </x:c>
      <x:c r="X439" s="26" t="n">
        <x:v>-76.64097</x:v>
      </x:c>
      <x:c r="Y439">
        <x:v>1528.002</x:v>
      </x:c>
      <x:c r="Z439">
        <x:v>1859</x:v>
      </x:c>
      <x:c r="AB439" t="s">
        <x:v>3280</x:v>
      </x:c>
      <x:c r="AF439" t="s">
        <x:v>50</x:v>
      </x:c>
      <x:c r="AG439" t="s">
        <x:v>83</x:v>
      </x:c>
      <x:c r="AH439" t="s">
        <x:v>3281</x:v>
      </x:c>
      <x:c r="AI439" t="s">
        <x:v>3282</x:v>
      </x:c>
      <x:c r="AJ439">
        <x:v>471</x:v>
      </x:c>
    </x:row>
    <x:row r="440">
      <x:c r="A440" t="s">
        <x:v>2207</x:v>
      </x:c>
      <x:c r="B440" t="s">
        <x:v>2208</x:v>
      </x:c>
      <x:c r="C440" t="s">
        <x:v>3283</x:v>
      </x:c>
      <x:c r="D440" t="s">
        <x:v>3284</x:v>
      </x:c>
      <x:c r="E440" t="s">
        <x:v>3285</x:v>
      </x:c>
      <x:c r="F440">
        <x:v>2800</x:v>
      </x:c>
      <x:c r="G440">
        <x:v>2800</x:v>
      </x:c>
      <x:c r="H440">
        <x:v>2800</x:v>
      </x:c>
      <x:c r="P440" t="s">
        <x:v>80</x:v>
      </x:c>
      <x:c r="R440" s="9">
        <x:v>33057</x:v>
      </x:c>
      <x:c r="T440" t="s">
        <x:v>119</x:v>
      </x:c>
      <x:c r="W440" s="26" t="n">
        <x:v>3.50579</x:v>
      </x:c>
      <x:c r="X440" s="26" t="n">
        <x:v>-76.10426</x:v>
      </x:c>
      <x:c r="Y440">
        <x:v>507.92</x:v>
      </x:c>
      <x:c r="Z440">
        <x:v>2847</x:v>
      </x:c>
      <x:c r="AB440" t="s">
        <x:v>3286</x:v>
      </x:c>
      <x:c r="AF440" t="s">
        <x:v>50</x:v>
      </x:c>
      <x:c r="AG440" t="s">
        <x:v>83</x:v>
      </x:c>
      <x:c r="AH440" t="s">
        <x:v>3287</x:v>
      </x:c>
      <x:c r="AI440" t="s">
        <x:v>3288</x:v>
      </x:c>
      <x:c r="AJ440">
        <x:v>472</x:v>
      </x:c>
    </x:row>
    <x:row r="441">
      <x:c r="A441" t="s">
        <x:v>2207</x:v>
      </x:c>
      <x:c r="B441" t="s">
        <x:v>2208</x:v>
      </x:c>
      <x:c r="C441" t="s">
        <x:v>3289</x:v>
      </x:c>
      <x:c r="D441" t="s">
        <x:v>1060</x:v>
      </x:c>
      <x:c r="E441" t="s">
        <x:v>3290</x:v>
      </x:c>
      <x:c r="F441">
        <x:v>2000</x:v>
      </x:c>
      <x:c r="G441">
        <x:v>2000</x:v>
      </x:c>
      <x:c r="H441">
        <x:v>2000</x:v>
      </x:c>
      <x:c r="P441" t="s">
        <x:v>80</x:v>
      </x:c>
      <x:c r="R441" s="9">
        <x:v>39815</x:v>
      </x:c>
      <x:c r="T441" t="s">
        <x:v>3138</x:v>
      </x:c>
      <x:c r="W441" s="26" t="n">
        <x:v>3.34415</x:v>
      </x:c>
      <x:c r="X441" s="26" t="n">
        <x:v>-76.69581</x:v>
      </x:c>
      <x:c r="Y441">
        <x:v>916.18299999999999</x:v>
      </x:c>
      <x:c r="Z441">
        <x:v>3944</x:v>
      </x:c>
      <x:c r="AB441" t="s">
        <x:v>3291</x:v>
      </x:c>
      <x:c r="AF441" t="s">
        <x:v>50</x:v>
      </x:c>
      <x:c r="AG441" t="s">
        <x:v>83</x:v>
      </x:c>
      <x:c r="AH441" t="s">
        <x:v>3292</x:v>
      </x:c>
      <x:c r="AI441" t="s">
        <x:v>3293</x:v>
      </x:c>
      <x:c r="AJ441">
        <x:v>473</x:v>
      </x:c>
    </x:row>
    <x:row r="442">
      <x:c r="A442" t="s">
        <x:v>2207</x:v>
      </x:c>
      <x:c r="B442" t="s">
        <x:v>2208</x:v>
      </x:c>
      <x:c r="C442" t="s">
        <x:v>3294</x:v>
      </x:c>
      <x:c r="D442" t="s">
        <x:v>1529</x:v>
      </x:c>
      <x:c r="E442" t="s">
        <x:v>3295</x:v>
      </x:c>
      <x:c r="F442" t="s">
        <x:v>1913</x:v>
      </x:c>
      <x:c r="G442">
        <x:v>2500</x:v>
      </x:c>
      <x:c r="H442">
        <x:v>3000</x:v>
      </x:c>
      <x:c r="P442" t="s">
        <x:v>80</x:v>
      </x:c>
      <x:c r="R442" s="9">
        <x:v>39815</x:v>
      </x:c>
      <x:c r="T442" t="s">
        <x:v>119</x:v>
      </x:c>
      <x:c r="W442" s="26" t="n">
        <x:v>3.34415</x:v>
      </x:c>
      <x:c r="X442" s="26" t="n">
        <x:v>-76.69581</x:v>
      </x:c>
      <x:c r="Y442">
        <x:v>916.18299999999999</x:v>
      </x:c>
      <x:c r="Z442">
        <x:v>3944</x:v>
      </x:c>
      <x:c r="AB442" t="s">
        <x:v>3291</x:v>
      </x:c>
      <x:c r="AF442" t="s">
        <x:v>50</x:v>
      </x:c>
      <x:c r="AG442" t="s">
        <x:v>83</x:v>
      </x:c>
      <x:c r="AH442" t="s">
        <x:v>3296</x:v>
      </x:c>
      <x:c r="AI442" t="s">
        <x:v>3297</x:v>
      </x:c>
      <x:c r="AJ442">
        <x:v>474</x:v>
      </x:c>
    </x:row>
    <x:row r="443">
      <x:c r="A443" t="s">
        <x:v>3298</x:v>
      </x:c>
      <x:c r="B443" t="s">
        <x:v>3299</x:v>
      </x:c>
      <x:c r="C443" t="s">
        <x:v>3300</x:v>
      </x:c>
      <x:c r="D443" t="s">
        <x:v>3301</x:v>
      </x:c>
      <x:c r="E443" t="s">
        <x:v>3302</x:v>
      </x:c>
      <x:c r="F443">
        <x:v>2680</x:v>
      </x:c>
      <x:c r="G443">
        <x:v>2680</x:v>
      </x:c>
      <x:c r="H443">
        <x:v>2680</x:v>
      </x:c>
      <x:c r="I443" t="s">
        <x:v>3303</x:v>
      </x:c>
      <x:c r="J443" t="s">
        <x:v>3303</x:v>
      </x:c>
      <x:c r="K443" t="s">
        <x:v>3304</x:v>
      </x:c>
      <x:c r="L443" t="s">
        <x:v>3304</x:v>
      </x:c>
      <x:c r="M443" t="s">
        <x:v>3305</x:v>
      </x:c>
      <x:c r="N443" t="s">
        <x:v>2309</x:v>
      </x:c>
      <x:c r="O443" t="s">
        <x:v>2310</x:v>
      </x:c>
      <x:c r="P443" t="s">
        <x:v>2311</x:v>
      </x:c>
      <x:c r="R443" s="9">
        <x:v>31965</x:v>
      </x:c>
      <x:c r="T443" t="s">
        <x:v>1863</x:v>
      </x:c>
      <x:c r="W443" s="26" t="n">
        <x:v>5.6833333</x:v>
      </x:c>
      <x:c r="X443" s="26" t="n">
        <x:v>-75.2333333</x:v>
      </x:c>
      <x:c r="AF443" t="s">
        <x:v>50</x:v>
      </x:c>
      <x:c r="AG443" t="s">
        <x:v>402</x:v>
      </x:c>
      <x:c r="AH443" t="s">
        <x:v>3306</x:v>
      </x:c>
      <x:c r="AI443" t="s">
        <x:v>3307</x:v>
      </x:c>
      <x:c r="AJ443">
        <x:v>475</x:v>
      </x:c>
    </x:row>
    <x:row r="444">
      <x:c r="A444" t="s">
        <x:v>3298</x:v>
      </x:c>
      <x:c r="B444" t="s">
        <x:v>3299</x:v>
      </x:c>
      <x:c r="C444" t="s">
        <x:v>3308</x:v>
      </x:c>
      <x:c r="D444" t="s">
        <x:v>3309</x:v>
      </x:c>
      <x:c r="E444" t="s">
        <x:v>3310</x:v>
      </x:c>
      <x:c r="F444">
        <x:v>1815</x:v>
      </x:c>
      <x:c r="G444">
        <x:v>1815</x:v>
      </x:c>
      <x:c r="H444">
        <x:v>1815</x:v>
      </x:c>
      <x:c r="I444" t="s">
        <x:v>3311</x:v>
      </x:c>
      <x:c r="J444" t="s">
        <x:v>3311</x:v>
      </x:c>
      <x:c r="K444" t="s">
        <x:v>3312</x:v>
      </x:c>
      <x:c r="L444" t="s">
        <x:v>3312</x:v>
      </x:c>
      <x:c r="M444" t="s">
        <x:v>3313</x:v>
      </x:c>
      <x:c r="N444" t="s">
        <x:v>3314</x:v>
      </x:c>
      <x:c r="O444" t="s">
        <x:v>3315</x:v>
      </x:c>
      <x:c r="P444" t="s">
        <x:v>3316</x:v>
      </x:c>
      <x:c r="R444" s="9">
        <x:v>37891</x:v>
      </x:c>
      <x:c r="T444" t="s">
        <x:v>1863</x:v>
      </x:c>
      <x:c r="W444" s="26" t="n">
        <x:v>6.9876667</x:v>
      </x:c>
      <x:c r="X444" s="26" t="n">
        <x:v>-75.1432222</x:v>
      </x:c>
      <x:c r="AF444" t="s">
        <x:v>50</x:v>
      </x:c>
      <x:c r="AG444" t="s">
        <x:v>402</x:v>
      </x:c>
      <x:c r="AH444" t="s">
        <x:v>1186</x:v>
      </x:c>
      <x:c r="AI444" t="s">
        <x:v>3317</x:v>
      </x:c>
      <x:c r="AJ444">
        <x:v>476</x:v>
      </x:c>
    </x:row>
    <x:row r="445" s="2" customFormat="1">
      <x:c r="A445" t="s">
        <x:v>3318</x:v>
      </x:c>
      <x:c r="B445" t="s">
        <x:v>3299</x:v>
      </x:c>
      <x:c r="C445" t="s">
        <x:v>3319</x:v>
      </x:c>
      <x:c r="D445" t="s">
        <x:v>3320</x:v>
      </x:c>
      <x:c r="E445" t="s">
        <x:v>3321</x:v>
      </x:c>
      <x:c r="F445">
        <x:v>2486</x:v>
      </x:c>
      <x:c r="G445">
        <x:v>2486</x:v>
      </x:c>
      <x:c r="H445">
        <x:v>2486</x:v>
      </x:c>
      <x:c r="I445" t="s">
        <x:v>3322</x:v>
      </x:c>
      <x:c r="J445" t="s">
        <x:v>3323</x:v>
      </x:c>
      <x:c r="K445" t="s">
        <x:v>3324</x:v>
      </x:c>
      <x:c r="L445" t="s">
        <x:v>3325</x:v>
      </x:c>
      <x:c r="M445" t="s">
        <x:v>3326</x:v>
      </x:c>
      <x:c r="N445" t="s">
        <x:v>3327</x:v>
      </x:c>
      <x:c r="O445" t="s">
        <x:v>3328</x:v>
      </x:c>
      <x:c r="P445" t="s">
        <x:v>3329</x:v>
      </x:c>
      <x:c r="Q445"/>
      <x:c r="R445" s="9">
        <x:v>13850</x:v>
      </x:c>
      <x:c r="S445"/>
      <x:c r="T445"/>
      <x:c r="U445"/>
      <x:c r="V445"/>
      <x:c r="W445" s="26" t="n">
        <x:v>6.4627778</x:v>
      </x:c>
      <x:c r="X445" s="26" t="n">
        <x:v>-75.5563889</x:v>
      </x:c>
      <x:c r="Y445"/>
      <x:c r="Z445"/>
      <x:c r="AA445"/>
      <x:c r="AB445"/>
      <x:c r="AC445"/>
      <x:c r="AD445"/>
      <x:c r="AE445"/>
      <x:c r="AF445" t="s">
        <x:v>50</x:v>
      </x:c>
      <x:c r="AG445" t="s">
        <x:v>402</x:v>
      </x:c>
      <x:c r="AH445" t="s">
        <x:v>3330</x:v>
      </x:c>
      <x:c r="AI445"/>
      <x:c r="AJ445">
        <x:v>477</x:v>
      </x:c>
    </x:row>
    <x:row r="446">
      <x:c r="A446" t="s">
        <x:v>3318</x:v>
      </x:c>
      <x:c r="B446" t="s">
        <x:v>3299</x:v>
      </x:c>
      <x:c r="C446" t="s">
        <x:v>3331</x:v>
      </x:c>
      <x:c r="D446" t="s">
        <x:v>3332</x:v>
      </x:c>
      <x:c r="E446" t="s">
        <x:v>3333</x:v>
      </x:c>
      <x:c r="F446">
        <x:v>1850</x:v>
      </x:c>
      <x:c r="G446">
        <x:v>1850</x:v>
      </x:c>
      <x:c r="H446">
        <x:v>1850</x:v>
      </x:c>
      <x:c r="I446" t="s">
        <x:v>2381</x:v>
      </x:c>
      <x:c r="J446" t="s">
        <x:v>2382</x:v>
      </x:c>
      <x:c r="K446" t="s">
        <x:v>2383</x:v>
      </x:c>
      <x:c r="L446" t="s">
        <x:v>2384</x:v>
      </x:c>
      <x:c r="M446" t="s">
        <x:v>2385</x:v>
      </x:c>
      <x:c r="N446" t="s">
        <x:v>532</x:v>
      </x:c>
      <x:c r="O446" t="s">
        <x:v>2365</x:v>
      </x:c>
      <x:c r="P446" t="s">
        <x:v>2366</x:v>
      </x:c>
      <x:c r="R446" s="9">
        <x:v>25542</x:v>
      </x:c>
      <x:c r="W446" s="26" t="n">
        <x:v>6.31122</x:v>
      </x:c>
      <x:c r="X446" s="26" t="n">
        <x:v>-75.14609</x:v>
      </x:c>
      <x:c r="Y446">
        <x:v>2681.63</x:v>
      </x:c>
      <x:c r="Z446">
        <x:v>1854</x:v>
      </x:c>
      <x:c r="AB446" t="s">
        <x:v>2229</x:v>
      </x:c>
      <x:c r="AF446" t="s">
        <x:v>50</x:v>
      </x:c>
      <x:c r="AG446" t="s">
        <x:v>402</x:v>
      </x:c>
      <x:c r="AH446" t="s">
        <x:v>2230</x:v>
      </x:c>
      <x:c r="AI446" t="s">
        <x:v>3334</x:v>
      </x:c>
      <x:c r="AJ446">
        <x:v>478</x:v>
      </x:c>
    </x:row>
    <x:row r="447">
      <x:c r="A447" t="s">
        <x:v>3318</x:v>
      </x:c>
      <x:c r="B447" t="s">
        <x:v>3299</x:v>
      </x:c>
      <x:c r="C447" t="s">
        <x:v>3335</x:v>
      </x:c>
      <x:c r="D447" t="s">
        <x:v>3336</x:v>
      </x:c>
      <x:c r="E447" t="s">
        <x:v>3337</x:v>
      </x:c>
      <x:c r="F447">
        <x:v>2160</x:v>
      </x:c>
      <x:c r="G447">
        <x:v>2160</x:v>
      </x:c>
      <x:c r="H447">
        <x:v>2160</x:v>
      </x:c>
      <x:c r="I447" t="s">
        <x:v>3338</x:v>
      </x:c>
      <x:c r="J447" t="s">
        <x:v>3339</x:v>
      </x:c>
      <x:c r="K447" t="s">
        <x:v>3340</x:v>
      </x:c>
      <x:c r="L447" t="s">
        <x:v>3341</x:v>
      </x:c>
      <x:c r="M447" t="s">
        <x:v>3342</x:v>
      </x:c>
      <x:c r="N447" t="s">
        <x:v>3343</x:v>
      </x:c>
      <x:c r="O447" t="s">
        <x:v>3344</x:v>
      </x:c>
      <x:c r="P447" t="s">
        <x:v>3345</x:v>
      </x:c>
      <x:c r="R447" s="9">
        <x:v>27944</x:v>
      </x:c>
      <x:c r="T447" t="s">
        <x:v>119</x:v>
      </x:c>
      <x:c r="W447" s="26" t="n">
        <x:v>6.147</x:v>
      </x:c>
      <x:c r="X447" s="26" t="n">
        <x:v>-75.188</x:v>
      </x:c>
      <x:c r="AF447" t="s">
        <x:v>50</x:v>
      </x:c>
      <x:c r="AG447" t="s">
        <x:v>402</x:v>
      </x:c>
      <x:c r="AH447" t="s">
        <x:v>3346</x:v>
      </x:c>
      <x:c r="AJ447">
        <x:v>479</x:v>
      </x:c>
    </x:row>
    <x:row r="448">
      <x:c r="A448" t="s">
        <x:v>3318</x:v>
      </x:c>
      <x:c r="B448" t="s">
        <x:v>3299</x:v>
      </x:c>
      <x:c r="C448" t="s">
        <x:v>3335</x:v>
      </x:c>
      <x:c r="D448" t="s">
        <x:v>3347</x:v>
      </x:c>
      <x:c r="E448" t="s">
        <x:v>3337</x:v>
      </x:c>
      <x:c r="F448">
        <x:v>2160</x:v>
      </x:c>
      <x:c r="G448">
        <x:v>2160</x:v>
      </x:c>
      <x:c r="H448">
        <x:v>2160</x:v>
      </x:c>
      <x:c r="I448" t="s">
        <x:v>3338</x:v>
      </x:c>
      <x:c r="J448" t="s">
        <x:v>3339</x:v>
      </x:c>
      <x:c r="K448" t="s">
        <x:v>3340</x:v>
      </x:c>
      <x:c r="L448" t="s">
        <x:v>3341</x:v>
      </x:c>
      <x:c r="M448" t="s">
        <x:v>3342</x:v>
      </x:c>
      <x:c r="N448" t="s">
        <x:v>3343</x:v>
      </x:c>
      <x:c r="O448" t="s">
        <x:v>3344</x:v>
      </x:c>
      <x:c r="P448" t="s">
        <x:v>3345</x:v>
      </x:c>
      <x:c r="R448" s="9">
        <x:v>27944</x:v>
      </x:c>
      <x:c r="W448" s="26" t="n">
        <x:v>6.147</x:v>
      </x:c>
      <x:c r="X448" s="26" t="n">
        <x:v>-75.188</x:v>
      </x:c>
      <x:c r="AF448" t="s">
        <x:v>50</x:v>
      </x:c>
      <x:c r="AG448" t="s">
        <x:v>402</x:v>
      </x:c>
      <x:c r="AH448" t="s">
        <x:v>3346</x:v>
      </x:c>
      <x:c r="AJ448">
        <x:v>480</x:v>
      </x:c>
    </x:row>
    <x:row r="449">
      <x:c r="A449" t="s">
        <x:v>3318</x:v>
      </x:c>
      <x:c r="B449" t="s">
        <x:v>3299</x:v>
      </x:c>
      <x:c r="C449" t="s">
        <x:v>3348</x:v>
      </x:c>
      <x:c r="D449" t="s">
        <x:v>3349</x:v>
      </x:c>
      <x:c r="E449" t="s">
        <x:v>3350</x:v>
      </x:c>
      <x:c r="P449" t="s">
        <x:v>80</x:v>
      </x:c>
      <x:c r="R449" s="9">
        <x:v>28035</x:v>
      </x:c>
      <x:c r="W449" s="26" t="n">
        <x:v>5.42103</x:v>
      </x:c>
      <x:c r="X449" s="26" t="n">
        <x:v>-73.54418</x:v>
      </x:c>
      <x:c r="Y449">
        <x:v>653.03899999999999</x:v>
      </x:c>
      <x:c r="Z449">
        <x:v>3284</x:v>
      </x:c>
      <x:c r="AB449" t="s">
        <x:v>3351</x:v>
      </x:c>
      <x:c r="AF449" t="s">
        <x:v>50</x:v>
      </x:c>
      <x:c r="AG449" t="s">
        <x:v>90</x:v>
      </x:c>
      <x:c r="AH449" t="s">
        <x:v>3352</x:v>
      </x:c>
      <x:c r="AI449" t="s">
        <x:v>3353</x:v>
      </x:c>
      <x:c r="AJ449">
        <x:v>481</x:v>
      </x:c>
    </x:row>
    <x:row r="450">
      <x:c r="A450" t="s">
        <x:v>3318</x:v>
      </x:c>
      <x:c r="B450" t="s">
        <x:v>3299</x:v>
      </x:c>
      <x:c r="C450" t="s">
        <x:v>3354</x:v>
      </x:c>
      <x:c r="D450" t="s">
        <x:v>3355</x:v>
      </x:c>
      <x:c r="E450" t="s">
        <x:v>3356</x:v>
      </x:c>
      <x:c r="F450">
        <x:v>2250</x:v>
      </x:c>
      <x:c r="G450">
        <x:v>2250</x:v>
      </x:c>
      <x:c r="H450">
        <x:v>2250</x:v>
      </x:c>
      <x:c r="I450" t="s">
        <x:v>3357</x:v>
      </x:c>
      <x:c r="J450" t="s">
        <x:v>3358</x:v>
      </x:c>
      <x:c r="K450" t="s">
        <x:v>3359</x:v>
      </x:c>
      <x:c r="L450" t="s">
        <x:v>476</x:v>
      </x:c>
      <x:c r="M450" t="s">
        <x:v>3360</x:v>
      </x:c>
      <x:c r="N450" t="s">
        <x:v>478</x:v>
      </x:c>
      <x:c r="O450" t="s">
        <x:v>479</x:v>
      </x:c>
      <x:c r="P450" t="s">
        <x:v>480</x:v>
      </x:c>
      <x:c r="R450" s="9">
        <x:v>28307</x:v>
      </x:c>
      <x:c r="W450" s="26" t="n">
        <x:v>6.17624</x:v>
      </x:c>
      <x:c r="X450" s="26" t="n">
        <x:v>-75.45785</x:v>
      </x:c>
      <x:c r="Y450">
        <x:v>474.19</x:v>
      </x:c>
      <x:c r="AA450" t="s">
        <x:v>467</x:v>
      </x:c>
      <x:c r="AB450" t="s">
        <x:v>468</x:v>
      </x:c>
      <x:c r="AF450" t="s">
        <x:v>50</x:v>
      </x:c>
      <x:c r="AG450" t="s">
        <x:v>402</x:v>
      </x:c>
      <x:c r="AH450" t="s">
        <x:v>3361</x:v>
      </x:c>
      <x:c r="AI450" t="s">
        <x:v>3362</x:v>
      </x:c>
      <x:c r="AJ450">
        <x:v>482</x:v>
      </x:c>
    </x:row>
    <x:row r="451">
      <x:c r="A451" t="s">
        <x:v>3318</x:v>
      </x:c>
      <x:c r="B451" t="s">
        <x:v>3299</x:v>
      </x:c>
      <x:c r="C451" t="s">
        <x:v>3363</x:v>
      </x:c>
      <x:c r="D451" t="s">
        <x:v>3364</x:v>
      </x:c>
      <x:c r="E451" t="s">
        <x:v>3356</x:v>
      </x:c>
      <x:c r="F451">
        <x:v>2250</x:v>
      </x:c>
      <x:c r="G451">
        <x:v>2250</x:v>
      </x:c>
      <x:c r="H451">
        <x:v>2250</x:v>
      </x:c>
      <x:c r="I451" t="s">
        <x:v>3357</x:v>
      </x:c>
      <x:c r="J451" t="s">
        <x:v>3358</x:v>
      </x:c>
      <x:c r="K451" t="s">
        <x:v>3359</x:v>
      </x:c>
      <x:c r="L451" t="s">
        <x:v>476</x:v>
      </x:c>
      <x:c r="M451" t="s">
        <x:v>3360</x:v>
      </x:c>
      <x:c r="N451" t="s">
        <x:v>478</x:v>
      </x:c>
      <x:c r="O451" t="s">
        <x:v>479</x:v>
      </x:c>
      <x:c r="P451" t="s">
        <x:v>480</x:v>
      </x:c>
      <x:c r="R451" s="9">
        <x:v>28307</x:v>
      </x:c>
      <x:c r="W451" s="26" t="n">
        <x:v>6.17624</x:v>
      </x:c>
      <x:c r="X451" s="26" t="n">
        <x:v>-75.45785</x:v>
      </x:c>
      <x:c r="Y451">
        <x:v>474.19</x:v>
      </x:c>
      <x:c r="AA451" t="s">
        <x:v>467</x:v>
      </x:c>
      <x:c r="AB451" t="s">
        <x:v>468</x:v>
      </x:c>
      <x:c r="AF451" t="s">
        <x:v>50</x:v>
      </x:c>
      <x:c r="AG451" t="s">
        <x:v>402</x:v>
      </x:c>
      <x:c r="AH451" t="s">
        <x:v>3361</x:v>
      </x:c>
      <x:c r="AI451" t="s">
        <x:v>3362</x:v>
      </x:c>
      <x:c r="AJ451">
        <x:v>483</x:v>
      </x:c>
    </x:row>
    <x:row r="452">
      <x:c r="A452" t="s">
        <x:v>3318</x:v>
      </x:c>
      <x:c r="B452" t="s">
        <x:v>3299</x:v>
      </x:c>
      <x:c r="C452" t="s">
        <x:v>3365</x:v>
      </x:c>
      <x:c r="D452" t="s">
        <x:v>3366</x:v>
      </x:c>
      <x:c r="E452" t="s">
        <x:v>3367</x:v>
      </x:c>
      <x:c r="F452">
        <x:v>2300</x:v>
      </x:c>
      <x:c r="G452">
        <x:v>2300</x:v>
      </x:c>
      <x:c r="H452">
        <x:v>2300</x:v>
      </x:c>
      <x:c r="P452" t="s">
        <x:v>80</x:v>
      </x:c>
      <x:c r="R452" s="9">
        <x:v>29792</x:v>
      </x:c>
      <x:c r="W452" s="26" t="n">
        <x:v>4.11722</x:v>
      </x:c>
      <x:c r="X452" s="26" t="n">
        <x:v>-74.44062</x:v>
      </x:c>
      <x:c r="Y452">
        <x:v>973.67399999999998</x:v>
      </x:c>
      <x:c r="Z452">
        <x:v>2157</x:v>
      </x:c>
      <x:c r="AB452" t="s">
        <x:v>3368</x:v>
      </x:c>
      <x:c r="AF452" t="s">
        <x:v>50</x:v>
      </x:c>
      <x:c r="AG452" t="s">
        <x:v>98</x:v>
      </x:c>
      <x:c r="AH452" t="s">
        <x:v>2050</x:v>
      </x:c>
      <x:c r="AI452" t="s">
        <x:v>3369</x:v>
      </x:c>
      <x:c r="AJ452">
        <x:v>485</x:v>
      </x:c>
    </x:row>
    <x:row r="453">
      <x:c r="A453" t="s">
        <x:v>3318</x:v>
      </x:c>
      <x:c r="B453" t="s">
        <x:v>3299</x:v>
      </x:c>
      <x:c r="C453" t="s">
        <x:v>3370</x:v>
      </x:c>
      <x:c r="D453" t="s">
        <x:v>3371</x:v>
      </x:c>
      <x:c r="E453" t="s">
        <x:v>3372</x:v>
      </x:c>
      <x:c r="F453">
        <x:v>1890</x:v>
      </x:c>
      <x:c r="G453">
        <x:v>1890</x:v>
      </x:c>
      <x:c r="H453">
        <x:v>1890</x:v>
      </x:c>
      <x:c r="I453" t="s">
        <x:v>3373</x:v>
      </x:c>
      <x:c r="J453" t="s">
        <x:v>3374</x:v>
      </x:c>
      <x:c r="K453" t="s">
        <x:v>3375</x:v>
      </x:c>
      <x:c r="L453" t="s">
        <x:v>3376</x:v>
      </x:c>
      <x:c r="M453" t="s">
        <x:v>3377</x:v>
      </x:c>
      <x:c r="N453" t="s">
        <x:v>3378</x:v>
      </x:c>
      <x:c r="O453" t="s">
        <x:v>3379</x:v>
      </x:c>
      <x:c r="P453" t="s">
        <x:v>3380</x:v>
      </x:c>
      <x:c r="R453" s="9">
        <x:v>30225</x:v>
      </x:c>
      <x:c r="W453" s="26" t="n">
        <x:v>6.31122</x:v>
      </x:c>
      <x:c r="X453" s="26" t="n">
        <x:v>-75.14609</x:v>
      </x:c>
      <x:c r="Y453">
        <x:v>2681.63</x:v>
      </x:c>
      <x:c r="Z453">
        <x:v>1854</x:v>
      </x:c>
      <x:c r="AB453" t="s">
        <x:v>2229</x:v>
      </x:c>
      <x:c r="AF453" t="s">
        <x:v>50</x:v>
      </x:c>
      <x:c r="AG453" t="s">
        <x:v>402</x:v>
      </x:c>
      <x:c r="AH453" t="s">
        <x:v>2230</x:v>
      </x:c>
      <x:c r="AI453" t="s">
        <x:v>3381</x:v>
      </x:c>
      <x:c r="AJ453">
        <x:v>486</x:v>
      </x:c>
    </x:row>
    <x:row r="454">
      <x:c r="A454" t="s">
        <x:v>3318</x:v>
      </x:c>
      <x:c r="B454" t="s">
        <x:v>3299</x:v>
      </x:c>
      <x:c r="C454" t="s">
        <x:v>3382</x:v>
      </x:c>
      <x:c r="D454" t="s">
        <x:v>3383</x:v>
      </x:c>
      <x:c r="E454" t="s">
        <x:v>3384</x:v>
      </x:c>
      <x:c r="F454">
        <x:v>1850</x:v>
      </x:c>
      <x:c r="G454">
        <x:v>1850</x:v>
      </x:c>
      <x:c r="H454">
        <x:v>1850</x:v>
      </x:c>
      <x:c r="I454" t="s">
        <x:v>3385</x:v>
      </x:c>
      <x:c r="J454" t="s">
        <x:v>3386</x:v>
      </x:c>
      <x:c r="K454" t="s">
        <x:v>3387</x:v>
      </x:c>
      <x:c r="L454" t="s">
        <x:v>3388</x:v>
      </x:c>
      <x:c r="M454" t="s">
        <x:v>3389</x:v>
      </x:c>
      <x:c r="N454" t="s">
        <x:v>3390</x:v>
      </x:c>
      <x:c r="O454" t="s">
        <x:v>3391</x:v>
      </x:c>
      <x:c r="P454" t="s">
        <x:v>3392</x:v>
      </x:c>
      <x:c r="R454" s="9">
        <x:v>31120</x:v>
      </x:c>
      <x:c r="W454" s="26" t="n">
        <x:v>6.31122</x:v>
      </x:c>
      <x:c r="X454" s="26" t="n">
        <x:v>-75.14609</x:v>
      </x:c>
      <x:c r="Y454">
        <x:v>2681.63</x:v>
      </x:c>
      <x:c r="Z454">
        <x:v>1854</x:v>
      </x:c>
      <x:c r="AB454" t="s">
        <x:v>2229</x:v>
      </x:c>
      <x:c r="AF454" t="s">
        <x:v>50</x:v>
      </x:c>
      <x:c r="AG454" t="s">
        <x:v>402</x:v>
      </x:c>
      <x:c r="AH454" t="s">
        <x:v>2276</x:v>
      </x:c>
      <x:c r="AI454" t="s">
        <x:v>3393</x:v>
      </x:c>
      <x:c r="AJ454">
        <x:v>487</x:v>
      </x:c>
    </x:row>
    <x:row r="455">
      <x:c r="A455" t="s">
        <x:v>3318</x:v>
      </x:c>
      <x:c r="B455" t="s">
        <x:v>3299</x:v>
      </x:c>
      <x:c r="C455" t="s">
        <x:v>3394</x:v>
      </x:c>
      <x:c r="D455" t="s">
        <x:v>3395</x:v>
      </x:c>
      <x:c r="E455" t="s">
        <x:v>3396</x:v>
      </x:c>
      <x:c r="F455">
        <x:v>1850</x:v>
      </x:c>
      <x:c r="G455">
        <x:v>1850</x:v>
      </x:c>
      <x:c r="H455">
        <x:v>1850</x:v>
      </x:c>
      <x:c r="I455" t="s">
        <x:v>2381</x:v>
      </x:c>
      <x:c r="J455" t="s">
        <x:v>2382</x:v>
      </x:c>
      <x:c r="K455" t="s">
        <x:v>2383</x:v>
      </x:c>
      <x:c r="L455" t="s">
        <x:v>2384</x:v>
      </x:c>
      <x:c r="M455" t="s">
        <x:v>2385</x:v>
      </x:c>
      <x:c r="N455" t="s">
        <x:v>532</x:v>
      </x:c>
      <x:c r="O455" t="s">
        <x:v>2365</x:v>
      </x:c>
      <x:c r="P455" t="s">
        <x:v>2366</x:v>
      </x:c>
      <x:c r="R455" s="9">
        <x:v>31491</x:v>
      </x:c>
      <x:c r="W455" s="26" t="n">
        <x:v>6.31122</x:v>
      </x:c>
      <x:c r="X455" s="26" t="n">
        <x:v>-75.14609</x:v>
      </x:c>
      <x:c r="Y455">
        <x:v>2681.63</x:v>
      </x:c>
      <x:c r="Z455">
        <x:v>1854</x:v>
      </x:c>
      <x:c r="AB455" t="s">
        <x:v>2229</x:v>
      </x:c>
      <x:c r="AF455" t="s">
        <x:v>50</x:v>
      </x:c>
      <x:c r="AG455" t="s">
        <x:v>402</x:v>
      </x:c>
      <x:c r="AH455" t="s">
        <x:v>2230</x:v>
      </x:c>
      <x:c r="AI455" t="s">
        <x:v>3397</x:v>
      </x:c>
      <x:c r="AJ455">
        <x:v>488</x:v>
      </x:c>
    </x:row>
    <x:row r="456">
      <x:c r="A456" t="s">
        <x:v>3318</x:v>
      </x:c>
      <x:c r="B456" t="s">
        <x:v>3299</x:v>
      </x:c>
      <x:c r="C456" t="s">
        <x:v>3398</x:v>
      </x:c>
      <x:c r="D456" t="s">
        <x:v>3399</x:v>
      </x:c>
      <x:c r="E456" t="s">
        <x:v>3400</x:v>
      </x:c>
      <x:c r="F456">
        <x:v>2600</x:v>
      </x:c>
      <x:c r="G456">
        <x:v>2600</x:v>
      </x:c>
      <x:c r="H456">
        <x:v>2600</x:v>
      </x:c>
      <x:c r="P456" t="s">
        <x:v>80</x:v>
      </x:c>
      <x:c r="R456" s="9">
        <x:v>31868</x:v>
      </x:c>
      <x:c r="W456" s="26" t="n">
        <x:v>7.43993</x:v>
      </x:c>
      <x:c r="X456" s="26" t="n">
        <x:v>-72.45095</x:v>
      </x:c>
      <x:c r="Y456">
        <x:v>840.05700000000002</x:v>
      </x:c>
      <x:c r="Z456">
        <x:v>2492</x:v>
      </x:c>
      <x:c r="AB456" t="s">
        <x:v>3401</x:v>
      </x:c>
      <x:c r="AF456" t="s">
        <x:v>50</x:v>
      </x:c>
      <x:c r="AG456" t="s">
        <x:v>1306</x:v>
      </x:c>
      <x:c r="AH456" t="s">
        <x:v>3402</x:v>
      </x:c>
      <x:c r="AI456" t="s">
        <x:v>3403</x:v>
      </x:c>
      <x:c r="AJ456">
        <x:v>489</x:v>
      </x:c>
    </x:row>
    <x:row r="457">
      <x:c r="A457" t="s">
        <x:v>3318</x:v>
      </x:c>
      <x:c r="B457" t="s">
        <x:v>3299</x:v>
      </x:c>
      <x:c r="C457" t="s">
        <x:v>3404</x:v>
      </x:c>
      <x:c r="D457" t="s">
        <x:v>3405</x:v>
      </x:c>
      <x:c r="E457" t="s">
        <x:v>3406</x:v>
      </x:c>
      <x:c r="F457" t="s">
        <x:v>2286</x:v>
      </x:c>
      <x:c r="G457">
        <x:v>1600</x:v>
      </x:c>
      <x:c r="H457">
        <x:v>1700</x:v>
      </x:c>
      <x:c r="I457" t="s">
        <x:v>2381</x:v>
      </x:c>
      <x:c r="J457" t="s">
        <x:v>2382</x:v>
      </x:c>
      <x:c r="K457" t="s">
        <x:v>2089</x:v>
      </x:c>
      <x:c r="L457" t="s">
        <x:v>2090</x:v>
      </x:c>
      <x:c r="M457" t="s">
        <x:v>3407</x:v>
      </x:c>
      <x:c r="P457" t="s">
        <x:v>80</x:v>
      </x:c>
      <x:c r="R457" s="9">
        <x:v>31920</x:v>
      </x:c>
      <x:c r="W457" s="26" t="n">
        <x:v>6.26153</x:v>
      </x:c>
      <x:c r="X457" s="26" t="n">
        <x:v>-75.52237</x:v>
      </x:c>
      <x:c r="Y457">
        <x:v>9894.6119999999992</x:v>
      </x:c>
      <x:c r="Z457">
        <x:v>2487</x:v>
      </x:c>
      <x:c r="AB457" t="s">
        <x:v>2287</x:v>
      </x:c>
      <x:c r="AF457" t="s">
        <x:v>50</x:v>
      </x:c>
      <x:c r="AG457" t="s">
        <x:v>402</x:v>
      </x:c>
      <x:c r="AH457" t="s">
        <x:v>2288</x:v>
      </x:c>
      <x:c r="AI457" t="s">
        <x:v>3408</x:v>
      </x:c>
      <x:c r="AJ457">
        <x:v>490</x:v>
      </x:c>
    </x:row>
    <x:row r="458">
      <x:c r="A458" t="s">
        <x:v>3318</x:v>
      </x:c>
      <x:c r="B458" t="s">
        <x:v>3299</x:v>
      </x:c>
      <x:c r="C458" t="s">
        <x:v>3409</x:v>
      </x:c>
      <x:c r="D458" t="s">
        <x:v>3410</x:v>
      </x:c>
      <x:c r="E458" t="s">
        <x:v>3411</x:v>
      </x:c>
      <x:c r="F458" t="s">
        <x:v>605</x:v>
      </x:c>
      <x:c r="G458">
        <x:v>2340</x:v>
      </x:c>
      <x:c r="H458">
        <x:v>2430</x:v>
      </x:c>
      <x:c r="I458" t="s">
        <x:v>3412</x:v>
      </x:c>
      <x:c r="J458" t="s">
        <x:v>3413</x:v>
      </x:c>
      <x:c r="K458" t="s">
        <x:v>3414</x:v>
      </x:c>
      <x:c r="L458" t="s">
        <x:v>3415</x:v>
      </x:c>
      <x:c r="M458" t="s">
        <x:v>3416</x:v>
      </x:c>
      <x:c r="N458" t="s">
        <x:v>610</x:v>
      </x:c>
      <x:c r="O458" t="s">
        <x:v>611</x:v>
      </x:c>
      <x:c r="P458" t="s">
        <x:v>612</x:v>
      </x:c>
      <x:c r="R458" s="9">
        <x:v>31963</x:v>
      </x:c>
      <x:c r="W458" s="26" t="n">
        <x:v>5.92288</x:v>
      </x:c>
      <x:c r="X458" s="26" t="n">
        <x:v>-75.30358</x:v>
      </x:c>
      <x:c r="Y458">
        <x:v>2835.0059999999999</x:v>
      </x:c>
      <x:c r="Z458">
        <x:v>2431</x:v>
      </x:c>
      <x:c r="AB458" t="s">
        <x:v>613</x:v>
      </x:c>
      <x:c r="AF458" t="s">
        <x:v>50</x:v>
      </x:c>
      <x:c r="AG458" t="s">
        <x:v>3417</x:v>
      </x:c>
      <x:c r="AH458" t="s">
        <x:v>614</x:v>
      </x:c>
      <x:c r="AI458" t="s">
        <x:v>3418</x:v>
      </x:c>
      <x:c r="AJ458">
        <x:v>491</x:v>
      </x:c>
    </x:row>
    <x:row r="459">
      <x:c r="A459" t="s">
        <x:v>3318</x:v>
      </x:c>
      <x:c r="B459" t="s">
        <x:v>3299</x:v>
      </x:c>
      <x:c r="C459" t="s">
        <x:v>3409</x:v>
      </x:c>
      <x:c r="D459" t="s">
        <x:v>3419</x:v>
      </x:c>
      <x:c r="E459" t="s">
        <x:v>3411</x:v>
      </x:c>
      <x:c r="F459" t="s">
        <x:v>605</x:v>
      </x:c>
      <x:c r="G459">
        <x:v>2340</x:v>
      </x:c>
      <x:c r="H459">
        <x:v>2430</x:v>
      </x:c>
      <x:c r="I459" t="s">
        <x:v>3412</x:v>
      </x:c>
      <x:c r="J459" t="s">
        <x:v>3413</x:v>
      </x:c>
      <x:c r="K459" t="s">
        <x:v>3414</x:v>
      </x:c>
      <x:c r="L459" t="s">
        <x:v>3415</x:v>
      </x:c>
      <x:c r="M459" t="s">
        <x:v>3416</x:v>
      </x:c>
      <x:c r="N459" t="s">
        <x:v>610</x:v>
      </x:c>
      <x:c r="O459" t="s">
        <x:v>611</x:v>
      </x:c>
      <x:c r="P459" t="s">
        <x:v>612</x:v>
      </x:c>
      <x:c r="R459" s="9">
        <x:v>31963</x:v>
      </x:c>
      <x:c r="W459" s="26" t="n">
        <x:v>5.92288</x:v>
      </x:c>
      <x:c r="X459" s="26" t="n">
        <x:v>-75.30358</x:v>
      </x:c>
      <x:c r="Y459">
        <x:v>2835.0059999999999</x:v>
      </x:c>
      <x:c r="Z459">
        <x:v>2431</x:v>
      </x:c>
      <x:c r="AB459" t="s">
        <x:v>613</x:v>
      </x:c>
      <x:c r="AF459" t="s">
        <x:v>50</x:v>
      </x:c>
      <x:c r="AG459" t="s">
        <x:v>3417</x:v>
      </x:c>
      <x:c r="AH459" t="s">
        <x:v>614</x:v>
      </x:c>
      <x:c r="AI459" t="s">
        <x:v>3418</x:v>
      </x:c>
      <x:c r="AJ459">
        <x:v>492</x:v>
      </x:c>
    </x:row>
    <x:row r="460">
      <x:c r="A460" t="s">
        <x:v>3318</x:v>
      </x:c>
      <x:c r="B460" t="s">
        <x:v>3299</x:v>
      </x:c>
      <x:c r="C460" t="s">
        <x:v>3409</x:v>
      </x:c>
      <x:c r="D460" t="s">
        <x:v>3420</x:v>
      </x:c>
      <x:c r="E460" t="s">
        <x:v>3411</x:v>
      </x:c>
      <x:c r="F460" t="s">
        <x:v>605</x:v>
      </x:c>
      <x:c r="G460">
        <x:v>2340</x:v>
      </x:c>
      <x:c r="H460">
        <x:v>2430</x:v>
      </x:c>
      <x:c r="I460" t="s">
        <x:v>3412</x:v>
      </x:c>
      <x:c r="J460" t="s">
        <x:v>3413</x:v>
      </x:c>
      <x:c r="K460" t="s">
        <x:v>3414</x:v>
      </x:c>
      <x:c r="L460" t="s">
        <x:v>3415</x:v>
      </x:c>
      <x:c r="M460" t="s">
        <x:v>3416</x:v>
      </x:c>
      <x:c r="N460" t="s">
        <x:v>610</x:v>
      </x:c>
      <x:c r="O460" t="s">
        <x:v>611</x:v>
      </x:c>
      <x:c r="P460" t="s">
        <x:v>612</x:v>
      </x:c>
      <x:c r="R460" s="9">
        <x:v>31963</x:v>
      </x:c>
      <x:c r="W460" s="26" t="n">
        <x:v>5.92288</x:v>
      </x:c>
      <x:c r="X460" s="26" t="n">
        <x:v>-75.30358</x:v>
      </x:c>
      <x:c r="Y460">
        <x:v>2835.0059999999999</x:v>
      </x:c>
      <x:c r="Z460">
        <x:v>2431</x:v>
      </x:c>
      <x:c r="AB460" t="s">
        <x:v>613</x:v>
      </x:c>
      <x:c r="AF460" t="s">
        <x:v>50</x:v>
      </x:c>
      <x:c r="AG460" t="s">
        <x:v>3417</x:v>
      </x:c>
      <x:c r="AH460" t="s">
        <x:v>614</x:v>
      </x:c>
      <x:c r="AI460" t="s">
        <x:v>3418</x:v>
      </x:c>
      <x:c r="AJ460">
        <x:v>493</x:v>
      </x:c>
    </x:row>
    <x:row r="461">
      <x:c r="A461" t="s">
        <x:v>3318</x:v>
      </x:c>
      <x:c r="B461" t="s">
        <x:v>3299</x:v>
      </x:c>
      <x:c r="C461" t="s">
        <x:v>3421</x:v>
      </x:c>
      <x:c r="D461" t="s">
        <x:v>3422</x:v>
      </x:c>
      <x:c r="E461" t="s">
        <x:v>3423</x:v>
      </x:c>
      <x:c r="F461">
        <x:v>1550</x:v>
      </x:c>
      <x:c r="G461">
        <x:v>1550</x:v>
      </x:c>
      <x:c r="H461">
        <x:v>1550</x:v>
      </x:c>
      <x:c r="I461" t="s">
        <x:v>3424</x:v>
      </x:c>
      <x:c r="J461" t="s">
        <x:v>3425</x:v>
      </x:c>
      <x:c r="K461" t="s">
        <x:v>3426</x:v>
      </x:c>
      <x:c r="L461" t="s">
        <x:v>3427</x:v>
      </x:c>
      <x:c r="M461" t="s">
        <x:v>3428</x:v>
      </x:c>
      <x:c r="N461" t="s">
        <x:v>3429</x:v>
      </x:c>
      <x:c r="O461" t="s">
        <x:v>3430</x:v>
      </x:c>
      <x:c r="P461" t="s">
        <x:v>3431</x:v>
      </x:c>
      <x:c r="R461" s="9">
        <x:v>32010</x:v>
      </x:c>
      <x:c r="W461" s="26" t="n">
        <x:v>5.2277056</x:v>
      </x:c>
      <x:c r="X461" s="26" t="n">
        <x:v>-76.030475</x:v>
      </x:c>
      <x:c r="AF461" t="s">
        <x:v>50</x:v>
      </x:c>
      <x:c r="AG461" t="s">
        <x:v>360</x:v>
      </x:c>
      <x:c r="AH461" t="s">
        <x:v>3432</x:v>
      </x:c>
      <x:c r="AI461" t="s">
        <x:v>3433</x:v>
      </x:c>
      <x:c r="AJ461">
        <x:v>494</x:v>
      </x:c>
    </x:row>
    <x:row r="462">
      <x:c r="A462" t="s">
        <x:v>3318</x:v>
      </x:c>
      <x:c r="B462" t="s">
        <x:v>3299</x:v>
      </x:c>
      <x:c r="C462" t="s">
        <x:v>3434</x:v>
      </x:c>
      <x:c r="D462" t="s">
        <x:v>3435</x:v>
      </x:c>
      <x:c r="E462" t="s">
        <x:v>3436</x:v>
      </x:c>
      <x:c r="F462" t="s">
        <x:v>3437</x:v>
      </x:c>
      <x:c r="G462">
        <x:v>1480</x:v>
      </x:c>
      <x:c r="H462">
        <x:v>1560</x:v>
      </x:c>
      <x:c r="I462" t="s">
        <x:v>3438</x:v>
      </x:c>
      <x:c r="J462" t="s">
        <x:v>3439</x:v>
      </x:c>
      <x:c r="K462" t="s">
        <x:v>3440</x:v>
      </x:c>
      <x:c r="L462" t="s">
        <x:v>3441</x:v>
      </x:c>
      <x:c r="M462" t="s">
        <x:v>3442</x:v>
      </x:c>
      <x:c r="N462" t="s">
        <x:v>3443</x:v>
      </x:c>
      <x:c r="O462" t="s">
        <x:v>3444</x:v>
      </x:c>
      <x:c r="P462" t="s">
        <x:v>3445</x:v>
      </x:c>
      <x:c r="R462" s="9">
        <x:v>32187</x:v>
      </x:c>
      <x:c r="W462" s="26" t="n">
        <x:v>6.9166667</x:v>
      </x:c>
      <x:c r="X462" s="26" t="n">
        <x:v>-75.0833333</x:v>
      </x:c>
      <x:c r="AF462" t="s">
        <x:v>50</x:v>
      </x:c>
      <x:c r="AG462" t="s">
        <x:v>402</x:v>
      </x:c>
      <x:c r="AH462" t="s">
        <x:v>3446</x:v>
      </x:c>
      <x:c r="AI462" t="s">
        <x:v>3447</x:v>
      </x:c>
      <x:c r="AJ462">
        <x:v>495</x:v>
      </x:c>
    </x:row>
    <x:row r="463">
      <x:c r="A463" t="s">
        <x:v>3318</x:v>
      </x:c>
      <x:c r="B463" t="s">
        <x:v>3299</x:v>
      </x:c>
      <x:c r="C463" t="s">
        <x:v>3448</x:v>
      </x:c>
      <x:c r="D463" t="s">
        <x:v>3449</x:v>
      </x:c>
      <x:c r="E463" t="s">
        <x:v>3450</x:v>
      </x:c>
      <x:c r="F463">
        <x:v>1590</x:v>
      </x:c>
      <x:c r="G463">
        <x:v>1590</x:v>
      </x:c>
      <x:c r="H463">
        <x:v>1590</x:v>
      </x:c>
      <x:c r="I463" t="s">
        <x:v>3451</x:v>
      </x:c>
      <x:c r="J463" t="s">
        <x:v>3452</x:v>
      </x:c>
      <x:c r="K463" t="s">
        <x:v>3453</x:v>
      </x:c>
      <x:c r="L463" t="s">
        <x:v>3454</x:v>
      </x:c>
      <x:c r="M463" t="s">
        <x:v>3455</x:v>
      </x:c>
      <x:c r="N463" t="s">
        <x:v>3456</x:v>
      </x:c>
      <x:c r="O463" t="s">
        <x:v>3457</x:v>
      </x:c>
      <x:c r="P463" t="s">
        <x:v>3458</x:v>
      </x:c>
      <x:c r="R463" s="9">
        <x:v>32416</x:v>
      </x:c>
      <x:c r="W463" s="26" t="n">
        <x:v>6.9097222</x:v>
      </x:c>
      <x:c r="X463" s="26" t="n">
        <x:v>-75.1345</x:v>
      </x:c>
      <x:c r="AF463" t="s">
        <x:v>50</x:v>
      </x:c>
      <x:c r="AG463" t="s">
        <x:v>402</x:v>
      </x:c>
      <x:c r="AH463" t="s">
        <x:v>3446</x:v>
      </x:c>
      <x:c r="AI463" t="s">
        <x:v>3459</x:v>
      </x:c>
      <x:c r="AJ463">
        <x:v>496</x:v>
      </x:c>
    </x:row>
    <x:row r="464">
      <x:c r="A464" t="s">
        <x:v>3318</x:v>
      </x:c>
      <x:c r="B464" t="s">
        <x:v>3299</x:v>
      </x:c>
      <x:c r="C464" t="s">
        <x:v>3460</x:v>
      </x:c>
      <x:c r="D464" t="s">
        <x:v>3461</x:v>
      </x:c>
      <x:c r="E464" t="s">
        <x:v>3462</x:v>
      </x:c>
      <x:c r="F464">
        <x:v>1400</x:v>
      </x:c>
      <x:c r="G464">
        <x:v>1400</x:v>
      </x:c>
      <x:c r="H464">
        <x:v>1400</x:v>
      </x:c>
      <x:c r="I464" t="s">
        <x:v>3463</x:v>
      </x:c>
      <x:c r="J464" t="s">
        <x:v>3464</x:v>
      </x:c>
      <x:c r="K464" t="s">
        <x:v>3465</x:v>
      </x:c>
      <x:c r="L464" t="s">
        <x:v>3466</x:v>
      </x:c>
      <x:c r="M464" t="s">
        <x:v>3467</x:v>
      </x:c>
      <x:c r="N464" t="s">
        <x:v>624</x:v>
      </x:c>
      <x:c r="O464" t="s">
        <x:v>625</x:v>
      </x:c>
      <x:c r="P464" t="s">
        <x:v>626</x:v>
      </x:c>
      <x:c r="R464" s="9">
        <x:v>32451</x:v>
      </x:c>
      <x:c r="T464" t="s">
        <x:v>119</x:v>
      </x:c>
      <x:c r="W464" s="26" t="n">
        <x:v>6.74418</x:v>
      </x:c>
      <x:c r="X464" s="26" t="n">
        <x:v>-76.36816</x:v>
      </x:c>
      <x:c r="Y464">
        <x:v>3673.5120000000002</x:v>
      </x:c>
      <x:c r="Z464">
        <x:v>784</x:v>
      </x:c>
      <x:c r="AB464" t="s">
        <x:v>1355</x:v>
      </x:c>
      <x:c r="AF464" t="s">
        <x:v>50</x:v>
      </x:c>
      <x:c r="AG464" t="s">
        <x:v>402</x:v>
      </x:c>
      <x:c r="AH464" t="s">
        <x:v>1356</x:v>
      </x:c>
      <x:c r="AI464" t="s">
        <x:v>3468</x:v>
      </x:c>
      <x:c r="AJ464">
        <x:v>497</x:v>
      </x:c>
    </x:row>
    <x:row r="465">
      <x:c r="A465" t="s">
        <x:v>3318</x:v>
      </x:c>
      <x:c r="B465" t="s">
        <x:v>3299</x:v>
      </x:c>
      <x:c r="C465" t="s">
        <x:v>3469</x:v>
      </x:c>
      <x:c r="D465" t="s">
        <x:v>3470</x:v>
      </x:c>
      <x:c r="E465" t="s">
        <x:v>3333</x:v>
      </x:c>
      <x:c r="F465">
        <x:v>1850</x:v>
      </x:c>
      <x:c r="G465">
        <x:v>1850</x:v>
      </x:c>
      <x:c r="H465">
        <x:v>1850</x:v>
      </x:c>
      <x:c r="I465" t="s">
        <x:v>2381</x:v>
      </x:c>
      <x:c r="J465" t="s">
        <x:v>2382</x:v>
      </x:c>
      <x:c r="K465" t="s">
        <x:v>2383</x:v>
      </x:c>
      <x:c r="L465" t="s">
        <x:v>2384</x:v>
      </x:c>
      <x:c r="M465" t="s">
        <x:v>2385</x:v>
      </x:c>
      <x:c r="N465" t="s">
        <x:v>532</x:v>
      </x:c>
      <x:c r="O465" t="s">
        <x:v>2365</x:v>
      </x:c>
      <x:c r="P465" t="s">
        <x:v>2366</x:v>
      </x:c>
      <x:c r="R465" s="9">
        <x:v>32819</x:v>
      </x:c>
      <x:c r="W465" s="26" t="n">
        <x:v>6.31122</x:v>
      </x:c>
      <x:c r="X465" s="26" t="n">
        <x:v>-75.14609</x:v>
      </x:c>
      <x:c r="Y465">
        <x:v>2681.63</x:v>
      </x:c>
      <x:c r="Z465">
        <x:v>1854</x:v>
      </x:c>
      <x:c r="AB465" t="s">
        <x:v>2229</x:v>
      </x:c>
      <x:c r="AF465" t="s">
        <x:v>50</x:v>
      </x:c>
      <x:c r="AG465" t="s">
        <x:v>402</x:v>
      </x:c>
      <x:c r="AH465" t="s">
        <x:v>2230</x:v>
      </x:c>
      <x:c r="AI465" t="s">
        <x:v>3334</x:v>
      </x:c>
      <x:c r="AJ465">
        <x:v>498</x:v>
      </x:c>
    </x:row>
    <x:row r="466">
      <x:c r="A466" t="s">
        <x:v>3318</x:v>
      </x:c>
      <x:c r="B466" t="s">
        <x:v>3299</x:v>
      </x:c>
      <x:c r="C466" t="s">
        <x:v>3471</x:v>
      </x:c>
      <x:c r="D466" t="s">
        <x:v>3472</x:v>
      </x:c>
      <x:c r="E466" t="s">
        <x:v>3473</x:v>
      </x:c>
      <x:c r="F466">
        <x:v>1850</x:v>
      </x:c>
      <x:c r="G466">
        <x:v>1850</x:v>
      </x:c>
      <x:c r="H466">
        <x:v>1850</x:v>
      </x:c>
      <x:c r="I466" t="s">
        <x:v>2381</x:v>
      </x:c>
      <x:c r="J466" t="s">
        <x:v>2382</x:v>
      </x:c>
      <x:c r="K466" t="s">
        <x:v>2383</x:v>
      </x:c>
      <x:c r="L466" t="s">
        <x:v>2384</x:v>
      </x:c>
      <x:c r="M466" t="s">
        <x:v>2385</x:v>
      </x:c>
      <x:c r="N466" t="s">
        <x:v>532</x:v>
      </x:c>
      <x:c r="O466" t="s">
        <x:v>2365</x:v>
      </x:c>
      <x:c r="P466" t="s">
        <x:v>2366</x:v>
      </x:c>
      <x:c r="R466" s="9">
        <x:v>32833</x:v>
      </x:c>
      <x:c r="W466" s="26" t="n">
        <x:v>6.31122</x:v>
      </x:c>
      <x:c r="X466" s="26" t="n">
        <x:v>-75.14609</x:v>
      </x:c>
      <x:c r="Y466">
        <x:v>2681.63</x:v>
      </x:c>
      <x:c r="Z466">
        <x:v>1854</x:v>
      </x:c>
      <x:c r="AB466" t="s">
        <x:v>2229</x:v>
      </x:c>
      <x:c r="AF466" t="s">
        <x:v>50</x:v>
      </x:c>
      <x:c r="AG466" t="s">
        <x:v>402</x:v>
      </x:c>
      <x:c r="AH466" t="s">
        <x:v>2230</x:v>
      </x:c>
      <x:c r="AI466" t="s">
        <x:v>3474</x:v>
      </x:c>
      <x:c r="AJ466">
        <x:v>499</x:v>
      </x:c>
    </x:row>
    <x:row r="467">
      <x:c r="A467" t="s">
        <x:v>3318</x:v>
      </x:c>
      <x:c r="B467" t="s">
        <x:v>3299</x:v>
      </x:c>
      <x:c r="C467" t="s">
        <x:v>3475</x:v>
      </x:c>
      <x:c r="D467" t="s">
        <x:v>3476</x:v>
      </x:c>
      <x:c r="E467" t="s">
        <x:v>3473</x:v>
      </x:c>
      <x:c r="F467">
        <x:v>1850</x:v>
      </x:c>
      <x:c r="G467">
        <x:v>1850</x:v>
      </x:c>
      <x:c r="H467">
        <x:v>1850</x:v>
      </x:c>
      <x:c r="I467" t="s">
        <x:v>2381</x:v>
      </x:c>
      <x:c r="J467" t="s">
        <x:v>2382</x:v>
      </x:c>
      <x:c r="K467" t="s">
        <x:v>2383</x:v>
      </x:c>
      <x:c r="L467" t="s">
        <x:v>2384</x:v>
      </x:c>
      <x:c r="M467" t="s">
        <x:v>2385</x:v>
      </x:c>
      <x:c r="N467" t="s">
        <x:v>532</x:v>
      </x:c>
      <x:c r="O467" t="s">
        <x:v>2365</x:v>
      </x:c>
      <x:c r="P467" t="s">
        <x:v>2366</x:v>
      </x:c>
      <x:c r="R467" s="9">
        <x:v>32833</x:v>
      </x:c>
      <x:c r="W467" s="26" t="n">
        <x:v>6.31122</x:v>
      </x:c>
      <x:c r="X467" s="26" t="n">
        <x:v>-75.14609</x:v>
      </x:c>
      <x:c r="Y467">
        <x:v>2681.63</x:v>
      </x:c>
      <x:c r="Z467">
        <x:v>1854</x:v>
      </x:c>
      <x:c r="AB467" t="s">
        <x:v>2229</x:v>
      </x:c>
      <x:c r="AF467" t="s">
        <x:v>50</x:v>
      </x:c>
      <x:c r="AG467" t="s">
        <x:v>402</x:v>
      </x:c>
      <x:c r="AH467" t="s">
        <x:v>2230</x:v>
      </x:c>
      <x:c r="AI467" t="s">
        <x:v>3474</x:v>
      </x:c>
      <x:c r="AJ467">
        <x:v>500</x:v>
      </x:c>
    </x:row>
    <x:row r="468">
      <x:c r="A468" t="s">
        <x:v>3318</x:v>
      </x:c>
      <x:c r="B468" t="s">
        <x:v>3299</x:v>
      </x:c>
      <x:c r="C468" t="s">
        <x:v>3477</x:v>
      </x:c>
      <x:c r="D468" t="s">
        <x:v>3478</x:v>
      </x:c>
      <x:c r="E468" t="s">
        <x:v>3333</x:v>
      </x:c>
      <x:c r="F468">
        <x:v>1850</x:v>
      </x:c>
      <x:c r="G468">
        <x:v>1850</x:v>
      </x:c>
      <x:c r="H468">
        <x:v>1850</x:v>
      </x:c>
      <x:c r="I468" t="s">
        <x:v>2381</x:v>
      </x:c>
      <x:c r="J468" t="s">
        <x:v>2382</x:v>
      </x:c>
      <x:c r="K468" t="s">
        <x:v>2383</x:v>
      </x:c>
      <x:c r="L468" t="s">
        <x:v>2384</x:v>
      </x:c>
      <x:c r="M468" t="s">
        <x:v>2385</x:v>
      </x:c>
      <x:c r="N468" t="s">
        <x:v>532</x:v>
      </x:c>
      <x:c r="O468" t="s">
        <x:v>2365</x:v>
      </x:c>
      <x:c r="P468" t="s">
        <x:v>2366</x:v>
      </x:c>
      <x:c r="R468" s="9">
        <x:v>32833</x:v>
      </x:c>
      <x:c r="W468" s="26" t="n">
        <x:v>6.31122</x:v>
      </x:c>
      <x:c r="X468" s="26" t="n">
        <x:v>-75.14609</x:v>
      </x:c>
      <x:c r="Y468">
        <x:v>2681.63</x:v>
      </x:c>
      <x:c r="Z468">
        <x:v>1854</x:v>
      </x:c>
      <x:c r="AB468" t="s">
        <x:v>2229</x:v>
      </x:c>
      <x:c r="AF468" t="s">
        <x:v>50</x:v>
      </x:c>
      <x:c r="AG468" t="s">
        <x:v>402</x:v>
      </x:c>
      <x:c r="AH468" t="s">
        <x:v>2230</x:v>
      </x:c>
      <x:c r="AI468" t="s">
        <x:v>3334</x:v>
      </x:c>
      <x:c r="AJ468">
        <x:v>501</x:v>
      </x:c>
    </x:row>
    <x:row r="469">
      <x:c r="A469" t="s">
        <x:v>3318</x:v>
      </x:c>
      <x:c r="B469" t="s">
        <x:v>3299</x:v>
      </x:c>
      <x:c r="C469" t="s">
        <x:v>3479</x:v>
      </x:c>
      <x:c r="D469" t="s">
        <x:v>3480</x:v>
      </x:c>
      <x:c r="E469" t="s">
        <x:v>3481</x:v>
      </x:c>
      <x:c r="F469">
        <x:v>1850</x:v>
      </x:c>
      <x:c r="G469">
        <x:v>1850</x:v>
      </x:c>
      <x:c r="H469">
        <x:v>1850</x:v>
      </x:c>
      <x:c r="I469" t="s">
        <x:v>3385</x:v>
      </x:c>
      <x:c r="J469" t="s">
        <x:v>3386</x:v>
      </x:c>
      <x:c r="K469" t="s">
        <x:v>3387</x:v>
      </x:c>
      <x:c r="L469" t="s">
        <x:v>3388</x:v>
      </x:c>
      <x:c r="M469" t="s">
        <x:v>3389</x:v>
      </x:c>
      <x:c r="N469" t="s">
        <x:v>3390</x:v>
      </x:c>
      <x:c r="O469" t="s">
        <x:v>3391</x:v>
      </x:c>
      <x:c r="P469" t="s">
        <x:v>3392</x:v>
      </x:c>
      <x:c r="R469" s="9">
        <x:v>32910</x:v>
      </x:c>
      <x:c r="T469" t="s">
        <x:v>1863</x:v>
      </x:c>
      <x:c r="W469" s="26" t="n">
        <x:v>6.31122</x:v>
      </x:c>
      <x:c r="X469" s="26" t="n">
        <x:v>-75.14609</x:v>
      </x:c>
      <x:c r="Y469">
        <x:v>2681.63</x:v>
      </x:c>
      <x:c r="Z469">
        <x:v>1854</x:v>
      </x:c>
      <x:c r="AB469" t="s">
        <x:v>2229</x:v>
      </x:c>
      <x:c r="AF469" t="s">
        <x:v>50</x:v>
      </x:c>
      <x:c r="AG469" t="s">
        <x:v>402</x:v>
      </x:c>
      <x:c r="AH469" t="s">
        <x:v>2230</x:v>
      </x:c>
      <x:c r="AI469" t="s">
        <x:v>3482</x:v>
      </x:c>
      <x:c r="AJ469">
        <x:v>502</x:v>
      </x:c>
    </x:row>
    <x:row r="470">
      <x:c r="A470" t="s">
        <x:v>3318</x:v>
      </x:c>
      <x:c r="B470" t="s">
        <x:v>3299</x:v>
      </x:c>
      <x:c r="C470" t="s">
        <x:v>3483</x:v>
      </x:c>
      <x:c r="D470" t="s">
        <x:v>3484</x:v>
      </x:c>
      <x:c r="E470" t="s">
        <x:v>3485</x:v>
      </x:c>
      <x:c r="F470">
        <x:v>1850</x:v>
      </x:c>
      <x:c r="G470">
        <x:v>1850</x:v>
      </x:c>
      <x:c r="H470">
        <x:v>1850</x:v>
      </x:c>
      <x:c r="I470" t="s">
        <x:v>2381</x:v>
      </x:c>
      <x:c r="J470" t="s">
        <x:v>2382</x:v>
      </x:c>
      <x:c r="K470" t="s">
        <x:v>2383</x:v>
      </x:c>
      <x:c r="L470" t="s">
        <x:v>2384</x:v>
      </x:c>
      <x:c r="M470" t="s">
        <x:v>2385</x:v>
      </x:c>
      <x:c r="N470" t="s">
        <x:v>532</x:v>
      </x:c>
      <x:c r="O470" t="s">
        <x:v>2365</x:v>
      </x:c>
      <x:c r="P470" t="s">
        <x:v>2366</x:v>
      </x:c>
      <x:c r="R470" s="9">
        <x:v>32938</x:v>
      </x:c>
      <x:c r="W470" s="26" t="n">
        <x:v>6.31122</x:v>
      </x:c>
      <x:c r="X470" s="26" t="n">
        <x:v>-75.14609</x:v>
      </x:c>
      <x:c r="Y470">
        <x:v>2681.63</x:v>
      </x:c>
      <x:c r="Z470">
        <x:v>1854</x:v>
      </x:c>
      <x:c r="AB470" t="s">
        <x:v>2229</x:v>
      </x:c>
      <x:c r="AF470" t="s">
        <x:v>50</x:v>
      </x:c>
      <x:c r="AG470" t="s">
        <x:v>402</x:v>
      </x:c>
      <x:c r="AH470" t="s">
        <x:v>2276</x:v>
      </x:c>
      <x:c r="AI470" t="s">
        <x:v>3486</x:v>
      </x:c>
      <x:c r="AJ470">
        <x:v>503</x:v>
      </x:c>
    </x:row>
    <x:row r="471">
      <x:c r="A471" t="s">
        <x:v>3318</x:v>
      </x:c>
      <x:c r="B471" t="s">
        <x:v>3299</x:v>
      </x:c>
      <x:c r="C471" t="s">
        <x:v>3487</x:v>
      </x:c>
      <x:c r="D471" t="s">
        <x:v>3488</x:v>
      </x:c>
      <x:c r="E471" t="s">
        <x:v>3473</x:v>
      </x:c>
      <x:c r="F471">
        <x:v>1850</x:v>
      </x:c>
      <x:c r="G471">
        <x:v>1850</x:v>
      </x:c>
      <x:c r="H471">
        <x:v>1850</x:v>
      </x:c>
      <x:c r="I471" t="s">
        <x:v>2381</x:v>
      </x:c>
      <x:c r="J471" t="s">
        <x:v>2382</x:v>
      </x:c>
      <x:c r="K471" t="s">
        <x:v>2383</x:v>
      </x:c>
      <x:c r="L471" t="s">
        <x:v>2384</x:v>
      </x:c>
      <x:c r="M471" t="s">
        <x:v>2385</x:v>
      </x:c>
      <x:c r="N471" t="s">
        <x:v>532</x:v>
      </x:c>
      <x:c r="O471" t="s">
        <x:v>2365</x:v>
      </x:c>
      <x:c r="P471" t="s">
        <x:v>2366</x:v>
      </x:c>
      <x:c r="R471" s="9">
        <x:v>32938</x:v>
      </x:c>
      <x:c r="W471" s="26" t="n">
        <x:v>6.31122</x:v>
      </x:c>
      <x:c r="X471" s="26" t="n">
        <x:v>-75.14609</x:v>
      </x:c>
      <x:c r="Y471">
        <x:v>2681.63</x:v>
      </x:c>
      <x:c r="Z471">
        <x:v>1854</x:v>
      </x:c>
      <x:c r="AB471" t="s">
        <x:v>2229</x:v>
      </x:c>
      <x:c r="AF471" t="s">
        <x:v>50</x:v>
      </x:c>
      <x:c r="AG471" t="s">
        <x:v>402</x:v>
      </x:c>
      <x:c r="AH471" t="s">
        <x:v>2230</x:v>
      </x:c>
      <x:c r="AI471" t="s">
        <x:v>3474</x:v>
      </x:c>
      <x:c r="AJ471">
        <x:v>504</x:v>
      </x:c>
    </x:row>
    <x:row r="472">
      <x:c r="A472" t="s">
        <x:v>3318</x:v>
      </x:c>
      <x:c r="B472" t="s">
        <x:v>3299</x:v>
      </x:c>
      <x:c r="C472" t="s">
        <x:v>3489</x:v>
      </x:c>
      <x:c r="D472" t="s">
        <x:v>3490</x:v>
      </x:c>
      <x:c r="E472" t="s">
        <x:v>3473</x:v>
      </x:c>
      <x:c r="F472">
        <x:v>1850</x:v>
      </x:c>
      <x:c r="G472">
        <x:v>1850</x:v>
      </x:c>
      <x:c r="H472">
        <x:v>1850</x:v>
      </x:c>
      <x:c r="I472" t="s">
        <x:v>2381</x:v>
      </x:c>
      <x:c r="J472" t="s">
        <x:v>2382</x:v>
      </x:c>
      <x:c r="K472" t="s">
        <x:v>2383</x:v>
      </x:c>
      <x:c r="L472" t="s">
        <x:v>2384</x:v>
      </x:c>
      <x:c r="M472" t="s">
        <x:v>2385</x:v>
      </x:c>
      <x:c r="N472" t="s">
        <x:v>532</x:v>
      </x:c>
      <x:c r="O472" t="s">
        <x:v>2365</x:v>
      </x:c>
      <x:c r="P472" t="s">
        <x:v>2366</x:v>
      </x:c>
      <x:c r="R472" s="9">
        <x:v>32952</x:v>
      </x:c>
      <x:c r="W472" s="26" t="n">
        <x:v>6.31122</x:v>
      </x:c>
      <x:c r="X472" s="26" t="n">
        <x:v>-75.14609</x:v>
      </x:c>
      <x:c r="Y472">
        <x:v>2681.63</x:v>
      </x:c>
      <x:c r="Z472">
        <x:v>1854</x:v>
      </x:c>
      <x:c r="AB472" t="s">
        <x:v>2229</x:v>
      </x:c>
      <x:c r="AF472" t="s">
        <x:v>50</x:v>
      </x:c>
      <x:c r="AG472" t="s">
        <x:v>402</x:v>
      </x:c>
      <x:c r="AH472" t="s">
        <x:v>2230</x:v>
      </x:c>
      <x:c r="AI472" t="s">
        <x:v>3474</x:v>
      </x:c>
      <x:c r="AJ472">
        <x:v>505</x:v>
      </x:c>
    </x:row>
    <x:row r="473">
      <x:c r="A473" t="s">
        <x:v>3318</x:v>
      </x:c>
      <x:c r="B473" t="s">
        <x:v>3299</x:v>
      </x:c>
      <x:c r="C473" t="s">
        <x:v>3491</x:v>
      </x:c>
      <x:c r="D473" t="s">
        <x:v>3492</x:v>
      </x:c>
      <x:c r="E473" t="s">
        <x:v>3333</x:v>
      </x:c>
      <x:c r="F473">
        <x:v>1850</x:v>
      </x:c>
      <x:c r="G473">
        <x:v>1850</x:v>
      </x:c>
      <x:c r="H473">
        <x:v>1850</x:v>
      </x:c>
      <x:c r="I473" t="s">
        <x:v>3385</x:v>
      </x:c>
      <x:c r="J473" t="s">
        <x:v>3386</x:v>
      </x:c>
      <x:c r="K473" t="s">
        <x:v>3387</x:v>
      </x:c>
      <x:c r="L473" t="s">
        <x:v>3388</x:v>
      </x:c>
      <x:c r="M473" t="s">
        <x:v>3389</x:v>
      </x:c>
      <x:c r="N473" t="s">
        <x:v>3390</x:v>
      </x:c>
      <x:c r="O473" t="s">
        <x:v>3391</x:v>
      </x:c>
      <x:c r="P473" t="s">
        <x:v>3392</x:v>
      </x:c>
      <x:c r="R473" s="9">
        <x:v>32952</x:v>
      </x:c>
      <x:c r="W473" s="26" t="n">
        <x:v>6.31122</x:v>
      </x:c>
      <x:c r="X473" s="26" t="n">
        <x:v>-75.14609</x:v>
      </x:c>
      <x:c r="Y473">
        <x:v>2681.63</x:v>
      </x:c>
      <x:c r="Z473">
        <x:v>1854</x:v>
      </x:c>
      <x:c r="AB473" t="s">
        <x:v>2229</x:v>
      </x:c>
      <x:c r="AF473" t="s">
        <x:v>50</x:v>
      </x:c>
      <x:c r="AG473" t="s">
        <x:v>402</x:v>
      </x:c>
      <x:c r="AH473" t="s">
        <x:v>2230</x:v>
      </x:c>
      <x:c r="AI473" t="s">
        <x:v>3334</x:v>
      </x:c>
      <x:c r="AJ473">
        <x:v>506</x:v>
      </x:c>
    </x:row>
    <x:row r="474">
      <x:c r="A474" t="s">
        <x:v>3318</x:v>
      </x:c>
      <x:c r="B474" t="s">
        <x:v>3299</x:v>
      </x:c>
      <x:c r="C474" t="s">
        <x:v>3493</x:v>
      </x:c>
      <x:c r="D474" t="s">
        <x:v>3494</x:v>
      </x:c>
      <x:c r="E474" t="s">
        <x:v>3333</x:v>
      </x:c>
      <x:c r="F474">
        <x:v>1850</x:v>
      </x:c>
      <x:c r="G474">
        <x:v>1850</x:v>
      </x:c>
      <x:c r="H474">
        <x:v>1850</x:v>
      </x:c>
      <x:c r="I474" t="s">
        <x:v>2381</x:v>
      </x:c>
      <x:c r="J474" t="s">
        <x:v>2382</x:v>
      </x:c>
      <x:c r="K474" t="s">
        <x:v>2383</x:v>
      </x:c>
      <x:c r="L474" t="s">
        <x:v>2384</x:v>
      </x:c>
      <x:c r="M474" t="s">
        <x:v>2385</x:v>
      </x:c>
      <x:c r="N474" t="s">
        <x:v>532</x:v>
      </x:c>
      <x:c r="O474" t="s">
        <x:v>2365</x:v>
      </x:c>
      <x:c r="P474" t="s">
        <x:v>2366</x:v>
      </x:c>
      <x:c r="R474" s="9">
        <x:v>33001</x:v>
      </x:c>
      <x:c r="W474" s="26" t="n">
        <x:v>6.31122</x:v>
      </x:c>
      <x:c r="X474" s="26" t="n">
        <x:v>-75.14609</x:v>
      </x:c>
      <x:c r="Y474">
        <x:v>2681.63</x:v>
      </x:c>
      <x:c r="Z474">
        <x:v>1854</x:v>
      </x:c>
      <x:c r="AB474" t="s">
        <x:v>2229</x:v>
      </x:c>
      <x:c r="AF474" t="s">
        <x:v>50</x:v>
      </x:c>
      <x:c r="AG474" t="s">
        <x:v>402</x:v>
      </x:c>
      <x:c r="AH474" t="s">
        <x:v>2230</x:v>
      </x:c>
      <x:c r="AI474" t="s">
        <x:v>3334</x:v>
      </x:c>
      <x:c r="AJ474">
        <x:v>507</x:v>
      </x:c>
    </x:row>
    <x:row r="475">
      <x:c r="A475" t="s">
        <x:v>3318</x:v>
      </x:c>
      <x:c r="B475" t="s">
        <x:v>3299</x:v>
      </x:c>
      <x:c r="C475" t="s">
        <x:v>3495</x:v>
      </x:c>
      <x:c r="D475" t="s">
        <x:v>3496</x:v>
      </x:c>
      <x:c r="E475" t="s">
        <x:v>3485</x:v>
      </x:c>
      <x:c r="F475">
        <x:v>1850</x:v>
      </x:c>
      <x:c r="G475">
        <x:v>1850</x:v>
      </x:c>
      <x:c r="H475">
        <x:v>1850</x:v>
      </x:c>
      <x:c r="I475" t="s">
        <x:v>2381</x:v>
      </x:c>
      <x:c r="J475" t="s">
        <x:v>2382</x:v>
      </x:c>
      <x:c r="K475" t="s">
        <x:v>2383</x:v>
      </x:c>
      <x:c r="L475" t="s">
        <x:v>2384</x:v>
      </x:c>
      <x:c r="M475" t="s">
        <x:v>2385</x:v>
      </x:c>
      <x:c r="N475" t="s">
        <x:v>532</x:v>
      </x:c>
      <x:c r="O475" t="s">
        <x:v>2365</x:v>
      </x:c>
      <x:c r="P475" t="s">
        <x:v>2366</x:v>
      </x:c>
      <x:c r="R475" s="9">
        <x:v>33015</x:v>
      </x:c>
      <x:c r="W475" s="26" t="n">
        <x:v>6.31122</x:v>
      </x:c>
      <x:c r="X475" s="26" t="n">
        <x:v>-75.14609</x:v>
      </x:c>
      <x:c r="Y475">
        <x:v>2681.63</x:v>
      </x:c>
      <x:c r="Z475">
        <x:v>1854</x:v>
      </x:c>
      <x:c r="AB475" t="s">
        <x:v>2229</x:v>
      </x:c>
      <x:c r="AF475" t="s">
        <x:v>50</x:v>
      </x:c>
      <x:c r="AG475" t="s">
        <x:v>402</x:v>
      </x:c>
      <x:c r="AH475" t="s">
        <x:v>2276</x:v>
      </x:c>
      <x:c r="AI475" t="s">
        <x:v>3486</x:v>
      </x:c>
      <x:c r="AJ475">
        <x:v>508</x:v>
      </x:c>
    </x:row>
    <x:row r="476">
      <x:c r="A476" t="s">
        <x:v>3318</x:v>
      </x:c>
      <x:c r="B476" t="s">
        <x:v>3299</x:v>
      </x:c>
      <x:c r="C476" t="s">
        <x:v>3497</x:v>
      </x:c>
      <x:c r="D476" t="s">
        <x:v>3498</x:v>
      </x:c>
      <x:c r="E476" t="s">
        <x:v>3499</x:v>
      </x:c>
      <x:c r="F476" t="s">
        <x:v>3500</x:v>
      </x:c>
      <x:c r="G476">
        <x:v>2140</x:v>
      </x:c>
      <x:c r="H476">
        <x:v>2410</x:v>
      </x:c>
      <x:c r="I476" t="s">
        <x:v>3501</x:v>
      </x:c>
      <x:c r="J476" t="s">
        <x:v>3502</x:v>
      </x:c>
      <x:c r="K476" t="s">
        <x:v>3503</x:v>
      </x:c>
      <x:c r="L476" t="s">
        <x:v>3504</x:v>
      </x:c>
      <x:c r="M476" t="s">
        <x:v>3505</x:v>
      </x:c>
      <x:c r="N476" t="s">
        <x:v>532</x:v>
      </x:c>
      <x:c r="O476" t="s">
        <x:v>3506</x:v>
      </x:c>
      <x:c r="P476" t="s">
        <x:v>3507</x:v>
      </x:c>
      <x:c r="R476" s="9">
        <x:v>33189</x:v>
      </x:c>
      <x:c r="W476" s="26" t="n">
        <x:v>6.16954</x:v>
      </x:c>
      <x:c r="X476" s="26" t="n">
        <x:v>-75.46082</x:v>
      </x:c>
      <x:c r="Y476">
        <x:v>1590.6869999999999</x:v>
      </x:c>
      <x:c r="Z476">
        <x:v>2296</x:v>
      </x:c>
      <x:c r="AB476" t="s">
        <x:v>3508</x:v>
      </x:c>
      <x:c r="AF476" t="s">
        <x:v>50</x:v>
      </x:c>
      <x:c r="AG476" t="s">
        <x:v>402</x:v>
      </x:c>
      <x:c r="AH476" t="s">
        <x:v>3509</x:v>
      </x:c>
      <x:c r="AI476" t="s">
        <x:v>3510</x:v>
      </x:c>
      <x:c r="AJ476">
        <x:v>509</x:v>
      </x:c>
    </x:row>
    <x:row r="477">
      <x:c r="A477" t="s">
        <x:v>3318</x:v>
      </x:c>
      <x:c r="B477" t="s">
        <x:v>3299</x:v>
      </x:c>
      <x:c r="C477" t="s">
        <x:v>3511</x:v>
      </x:c>
      <x:c r="D477" t="s">
        <x:v>3512</x:v>
      </x:c>
      <x:c r="E477" t="s">
        <x:v>3513</x:v>
      </x:c>
      <x:c r="F477">
        <x:v>2000</x:v>
      </x:c>
      <x:c r="G477">
        <x:v>2000</x:v>
      </x:c>
      <x:c r="H477">
        <x:v>2000</x:v>
      </x:c>
      <x:c r="I477" t="s">
        <x:v>3514</x:v>
      </x:c>
      <x:c r="J477" t="s">
        <x:v>3515</x:v>
      </x:c>
      <x:c r="K477" t="s">
        <x:v>3516</x:v>
      </x:c>
      <x:c r="L477" t="s">
        <x:v>3517</x:v>
      </x:c>
      <x:c r="M477" t="s">
        <x:v>3518</x:v>
      </x:c>
      <x:c r="N477" t="s">
        <x:v>3519</x:v>
      </x:c>
      <x:c r="O477" t="s">
        <x:v>3520</x:v>
      </x:c>
      <x:c r="P477" t="s">
        <x:v>3521</x:v>
      </x:c>
      <x:c r="R477" s="9">
        <x:v>35253</x:v>
      </x:c>
      <x:c r="W477" s="26" t="n">
        <x:v>6.235925</x:v>
      </x:c>
      <x:c r="X477" s="26" t="n">
        <x:v>-75.5751361</x:v>
      </x:c>
      <x:c r="AF477" t="s">
        <x:v>50</x:v>
      </x:c>
      <x:c r="AG477" t="s">
        <x:v>402</x:v>
      </x:c>
      <x:c r="AH477" t="s">
        <x:v>855</x:v>
      </x:c>
      <x:c r="AI477" t="s">
        <x:v>3522</x:v>
      </x:c>
      <x:c r="AJ477">
        <x:v>510</x:v>
      </x:c>
    </x:row>
    <x:row r="478">
      <x:c r="A478" t="s">
        <x:v>3318</x:v>
      </x:c>
      <x:c r="B478" t="s">
        <x:v>3299</x:v>
      </x:c>
      <x:c r="C478" t="s">
        <x:v>3511</x:v>
      </x:c>
      <x:c r="D478" t="s">
        <x:v>3523</x:v>
      </x:c>
      <x:c r="E478" t="s">
        <x:v>3513</x:v>
      </x:c>
      <x:c r="F478">
        <x:v>2000</x:v>
      </x:c>
      <x:c r="G478">
        <x:v>2000</x:v>
      </x:c>
      <x:c r="H478">
        <x:v>2000</x:v>
      </x:c>
      <x:c r="I478" t="s">
        <x:v>3514</x:v>
      </x:c>
      <x:c r="J478" t="s">
        <x:v>3515</x:v>
      </x:c>
      <x:c r="K478" t="s">
        <x:v>3516</x:v>
      </x:c>
      <x:c r="L478" t="s">
        <x:v>3517</x:v>
      </x:c>
      <x:c r="M478" t="s">
        <x:v>3518</x:v>
      </x:c>
      <x:c r="N478" t="s">
        <x:v>3519</x:v>
      </x:c>
      <x:c r="O478" t="s">
        <x:v>3520</x:v>
      </x:c>
      <x:c r="P478" t="s">
        <x:v>3521</x:v>
      </x:c>
      <x:c r="R478" s="9">
        <x:v>35253</x:v>
      </x:c>
      <x:c r="W478" s="26" t="n">
        <x:v>6.235925</x:v>
      </x:c>
      <x:c r="X478" s="26" t="n">
        <x:v>-75.5751361</x:v>
      </x:c>
      <x:c r="AF478" t="s">
        <x:v>50</x:v>
      </x:c>
      <x:c r="AG478" t="s">
        <x:v>402</x:v>
      </x:c>
      <x:c r="AH478" t="s">
        <x:v>855</x:v>
      </x:c>
      <x:c r="AI478" t="s">
        <x:v>3522</x:v>
      </x:c>
      <x:c r="AJ478">
        <x:v>511</x:v>
      </x:c>
    </x:row>
    <x:row r="479">
      <x:c r="A479" t="s">
        <x:v>3318</x:v>
      </x:c>
      <x:c r="B479" t="s">
        <x:v>3299</x:v>
      </x:c>
      <x:c r="C479" t="s">
        <x:v>3524</x:v>
      </x:c>
      <x:c r="D479" t="s">
        <x:v>3525</x:v>
      </x:c>
      <x:c r="E479" t="s">
        <x:v>3526</x:v>
      </x:c>
      <x:c r="F479">
        <x:v>2100</x:v>
      </x:c>
      <x:c r="G479">
        <x:v>2100</x:v>
      </x:c>
      <x:c r="H479">
        <x:v>2100</x:v>
      </x:c>
      <x:c r="I479" t="s">
        <x:v>3527</x:v>
      </x:c>
      <x:c r="J479" t="s">
        <x:v>3528</x:v>
      </x:c>
      <x:c r="K479" t="s">
        <x:v>3529</x:v>
      </x:c>
      <x:c r="L479" t="s">
        <x:v>3530</x:v>
      </x:c>
      <x:c r="M479" t="s">
        <x:v>3531</x:v>
      </x:c>
      <x:c r="N479" t="s">
        <x:v>3532</x:v>
      </x:c>
      <x:c r="O479" t="s">
        <x:v>3533</x:v>
      </x:c>
      <x:c r="P479" t="s">
        <x:v>3534</x:v>
      </x:c>
      <x:c r="R479" s="9">
        <x:v>36599</x:v>
      </x:c>
      <x:c r="W479" s="26" t="n">
        <x:v>2.51058</x:v>
      </x:c>
      <x:c r="X479" s="26" t="n">
        <x:v>-76.98421</x:v>
      </x:c>
      <x:c r="Y479">
        <x:v>1862.7349999999999</x:v>
      </x:c>
      <x:c r="Z479">
        <x:v>1783</x:v>
      </x:c>
      <x:c r="AB479" t="s">
        <x:v>282</x:v>
      </x:c>
      <x:c r="AF479" t="s">
        <x:v>50</x:v>
      </x:c>
      <x:c r="AG479" t="s">
        <x:v>284</x:v>
      </x:c>
      <x:c r="AH479" t="s">
        <x:v>285</x:v>
      </x:c>
      <x:c r="AJ479">
        <x:v>512</x:v>
      </x:c>
    </x:row>
    <x:row r="480">
      <x:c r="A480" t="s">
        <x:v>3318</x:v>
      </x:c>
      <x:c r="B480" t="s">
        <x:v>3299</x:v>
      </x:c>
      <x:c r="C480" t="s">
        <x:v>3535</x:v>
      </x:c>
      <x:c r="D480" t="s">
        <x:v>3536</x:v>
      </x:c>
      <x:c r="E480" t="s">
        <x:v>3537</x:v>
      </x:c>
      <x:c r="F480">
        <x:v>1950</x:v>
      </x:c>
      <x:c r="G480">
        <x:v>1950</x:v>
      </x:c>
      <x:c r="H480">
        <x:v>1950</x:v>
      </x:c>
      <x:c r="I480" t="s">
        <x:v>3538</x:v>
      </x:c>
      <x:c r="J480" t="s">
        <x:v>3539</x:v>
      </x:c>
      <x:c r="K480" t="s">
        <x:v>3540</x:v>
      </x:c>
      <x:c r="L480" t="s">
        <x:v>3541</x:v>
      </x:c>
      <x:c r="M480" t="s">
        <x:v>3542</x:v>
      </x:c>
      <x:c r="N480" t="s">
        <x:v>3543</x:v>
      </x:c>
      <x:c r="O480" t="s">
        <x:v>3544</x:v>
      </x:c>
      <x:c r="P480" t="s">
        <x:v>3545</x:v>
      </x:c>
      <x:c r="R480" s="9">
        <x:v>36663</x:v>
      </x:c>
      <x:c r="W480" s="26" t="n">
        <x:v>6.4563056</x:v>
      </x:c>
      <x:c r="X480" s="26" t="n">
        <x:v>-75.2681111</x:v>
      </x:c>
      <x:c r="AF480" t="s">
        <x:v>50</x:v>
      </x:c>
      <x:c r="AG480" t="s">
        <x:v>3546</x:v>
      </x:c>
      <x:c r="AH480" t="s">
        <x:v>3547</x:v>
      </x:c>
      <x:c r="AI480" t="s">
        <x:v>3548</x:v>
      </x:c>
      <x:c r="AJ480">
        <x:v>513</x:v>
      </x:c>
    </x:row>
    <x:row r="481">
      <x:c r="A481" t="s">
        <x:v>3318</x:v>
      </x:c>
      <x:c r="B481" t="s">
        <x:v>3299</x:v>
      </x:c>
      <x:c r="C481" t="s">
        <x:v>3549</x:v>
      </x:c>
      <x:c r="D481" t="s">
        <x:v>3550</x:v>
      </x:c>
      <x:c r="E481" t="s">
        <x:v>3551</x:v>
      </x:c>
      <x:c r="F481">
        <x:v>2420</x:v>
      </x:c>
      <x:c r="G481">
        <x:v>2420</x:v>
      </x:c>
      <x:c r="H481">
        <x:v>2420</x:v>
      </x:c>
      <x:c r="I481" t="s">
        <x:v>3552</x:v>
      </x:c>
      <x:c r="J481" t="s">
        <x:v>3553</x:v>
      </x:c>
      <x:c r="K481" t="s">
        <x:v>3554</x:v>
      </x:c>
      <x:c r="L481" t="s">
        <x:v>3555</x:v>
      </x:c>
      <x:c r="M481" t="s">
        <x:v>3556</x:v>
      </x:c>
      <x:c r="N481" t="s">
        <x:v>3557</x:v>
      </x:c>
      <x:c r="O481" t="s">
        <x:v>3558</x:v>
      </x:c>
      <x:c r="P481" t="s">
        <x:v>3559</x:v>
      </x:c>
      <x:c r="R481" s="9">
        <x:v>36826</x:v>
      </x:c>
      <x:c r="W481" s="26" t="n">
        <x:v>6.3055556</x:v>
      </x:c>
      <x:c r="X481" s="26" t="n">
        <x:v>-75.5151667</x:v>
      </x:c>
      <x:c r="AF481" t="s">
        <x:v>50</x:v>
      </x:c>
      <x:c r="AG481" t="s">
        <x:v>402</x:v>
      </x:c>
      <x:c r="AH481" t="s">
        <x:v>3560</x:v>
      </x:c>
      <x:c r="AI481" t="s">
        <x:v>3561</x:v>
      </x:c>
      <x:c r="AJ481">
        <x:v>514</x:v>
      </x:c>
    </x:row>
    <x:row r="482">
      <x:c r="A482" t="s">
        <x:v>3318</x:v>
      </x:c>
      <x:c r="B482" t="s">
        <x:v>3299</x:v>
      </x:c>
      <x:c r="C482" t="s">
        <x:v>3549</x:v>
      </x:c>
      <x:c r="D482" t="s">
        <x:v>3562</x:v>
      </x:c>
      <x:c r="E482" t="s">
        <x:v>3551</x:v>
      </x:c>
      <x:c r="F482">
        <x:v>2420</x:v>
      </x:c>
      <x:c r="G482">
        <x:v>2420</x:v>
      </x:c>
      <x:c r="H482">
        <x:v>2420</x:v>
      </x:c>
      <x:c r="I482" t="s">
        <x:v>3552</x:v>
      </x:c>
      <x:c r="J482" t="s">
        <x:v>3553</x:v>
      </x:c>
      <x:c r="K482" t="s">
        <x:v>3554</x:v>
      </x:c>
      <x:c r="L482" t="s">
        <x:v>3555</x:v>
      </x:c>
      <x:c r="M482" t="s">
        <x:v>3556</x:v>
      </x:c>
      <x:c r="N482" t="s">
        <x:v>3557</x:v>
      </x:c>
      <x:c r="O482" t="s">
        <x:v>3558</x:v>
      </x:c>
      <x:c r="P482" t="s">
        <x:v>3559</x:v>
      </x:c>
      <x:c r="R482" s="9">
        <x:v>36826</x:v>
      </x:c>
      <x:c r="W482" s="26" t="n">
        <x:v>6.3055556</x:v>
      </x:c>
      <x:c r="X482" s="26" t="n">
        <x:v>-75.5151667</x:v>
      </x:c>
      <x:c r="AF482" t="s">
        <x:v>50</x:v>
      </x:c>
      <x:c r="AG482" t="s">
        <x:v>402</x:v>
      </x:c>
      <x:c r="AH482" t="s">
        <x:v>3560</x:v>
      </x:c>
      <x:c r="AI482" t="s">
        <x:v>3561</x:v>
      </x:c>
      <x:c r="AJ482">
        <x:v>515</x:v>
      </x:c>
    </x:row>
    <x:row r="483">
      <x:c r="A483" t="s">
        <x:v>3318</x:v>
      </x:c>
      <x:c r="B483" t="s">
        <x:v>3299</x:v>
      </x:c>
      <x:c r="C483" t="s">
        <x:v>3549</x:v>
      </x:c>
      <x:c r="D483" t="s">
        <x:v>3563</x:v>
      </x:c>
      <x:c r="E483" t="s">
        <x:v>3551</x:v>
      </x:c>
      <x:c r="F483">
        <x:v>2420</x:v>
      </x:c>
      <x:c r="G483">
        <x:v>2420</x:v>
      </x:c>
      <x:c r="H483">
        <x:v>2420</x:v>
      </x:c>
      <x:c r="I483" t="s">
        <x:v>3552</x:v>
      </x:c>
      <x:c r="J483" t="s">
        <x:v>3553</x:v>
      </x:c>
      <x:c r="K483" t="s">
        <x:v>3554</x:v>
      </x:c>
      <x:c r="L483" t="s">
        <x:v>3555</x:v>
      </x:c>
      <x:c r="M483" t="s">
        <x:v>3556</x:v>
      </x:c>
      <x:c r="N483" t="s">
        <x:v>3557</x:v>
      </x:c>
      <x:c r="O483" t="s">
        <x:v>3558</x:v>
      </x:c>
      <x:c r="P483" t="s">
        <x:v>3559</x:v>
      </x:c>
      <x:c r="R483" s="9">
        <x:v>36826</x:v>
      </x:c>
      <x:c r="W483" s="26" t="n">
        <x:v>6.3055556</x:v>
      </x:c>
      <x:c r="X483" s="26" t="n">
        <x:v>-75.5151667</x:v>
      </x:c>
      <x:c r="AF483" t="s">
        <x:v>50</x:v>
      </x:c>
      <x:c r="AG483" t="s">
        <x:v>402</x:v>
      </x:c>
      <x:c r="AH483" t="s">
        <x:v>3560</x:v>
      </x:c>
      <x:c r="AI483" t="s">
        <x:v>3561</x:v>
      </x:c>
      <x:c r="AJ483">
        <x:v>516</x:v>
      </x:c>
    </x:row>
    <x:row r="484">
      <x:c r="A484" t="s">
        <x:v>3318</x:v>
      </x:c>
      <x:c r="B484" t="s">
        <x:v>3299</x:v>
      </x:c>
      <x:c r="C484" t="s">
        <x:v>3564</x:v>
      </x:c>
      <x:c r="D484" t="s">
        <x:v>3565</x:v>
      </x:c>
      <x:c r="E484" t="s">
        <x:v>3566</x:v>
      </x:c>
      <x:c r="F484">
        <x:v>2630</x:v>
      </x:c>
      <x:c r="G484">
        <x:v>2630</x:v>
      </x:c>
      <x:c r="H484">
        <x:v>2630</x:v>
      </x:c>
      <x:c r="I484" t="s">
        <x:v>3567</x:v>
      </x:c>
      <x:c r="J484" t="s">
        <x:v>3568</x:v>
      </x:c>
      <x:c r="K484" t="s">
        <x:v>3569</x:v>
      </x:c>
      <x:c r="L484" t="s">
        <x:v>3570</x:v>
      </x:c>
      <x:c r="M484" t="s">
        <x:v>3571</x:v>
      </x:c>
      <x:c r="N484" t="s">
        <x:v>910</x:v>
      </x:c>
      <x:c r="O484" t="s">
        <x:v>911</x:v>
      </x:c>
      <x:c r="P484" t="s">
        <x:v>912</x:v>
      </x:c>
      <x:c r="R484" s="9">
        <x:v>37538</x:v>
      </x:c>
      <x:c r="T484" t="s">
        <x:v>119</x:v>
      </x:c>
      <x:c r="W484" s="26" t="n">
        <x:v>6.60408</x:v>
      </x:c>
      <x:c r="X484" s="26" t="n">
        <x:v>-75.73611</x:v>
      </x:c>
      <x:c r="Y484">
        <x:v>2160.6860000000001</x:v>
      </x:c>
      <x:c r="Z484">
        <x:v>2059</x:v>
      </x:c>
      <x:c r="AB484" t="s">
        <x:v>916</x:v>
      </x:c>
      <x:c r="AF484" t="s">
        <x:v>50</x:v>
      </x:c>
      <x:c r="AG484" t="s">
        <x:v>402</x:v>
      </x:c>
      <x:c r="AH484" t="s">
        <x:v>917</x:v>
      </x:c>
      <x:c r="AI484" t="s">
        <x:v>3572</x:v>
      </x:c>
      <x:c r="AJ484">
        <x:v>517</x:v>
      </x:c>
    </x:row>
    <x:row r="485" s="2" customFormat="1">
      <x:c r="A485" t="s">
        <x:v>3318</x:v>
      </x:c>
      <x:c r="B485" t="s">
        <x:v>3299</x:v>
      </x:c>
      <x:c r="C485" t="s">
        <x:v>3564</x:v>
      </x:c>
      <x:c r="D485" t="s">
        <x:v>3573</x:v>
      </x:c>
      <x:c r="E485" t="s">
        <x:v>3566</x:v>
      </x:c>
      <x:c r="F485">
        <x:v>2630</x:v>
      </x:c>
      <x:c r="G485">
        <x:v>2630</x:v>
      </x:c>
      <x:c r="H485">
        <x:v>2630</x:v>
      </x:c>
      <x:c r="I485" t="s">
        <x:v>3567</x:v>
      </x:c>
      <x:c r="J485" t="s">
        <x:v>3568</x:v>
      </x:c>
      <x:c r="K485" t="s">
        <x:v>3569</x:v>
      </x:c>
      <x:c r="L485" t="s">
        <x:v>3570</x:v>
      </x:c>
      <x:c r="M485" t="s">
        <x:v>3571</x:v>
      </x:c>
      <x:c r="N485" t="s">
        <x:v>910</x:v>
      </x:c>
      <x:c r="O485" t="s">
        <x:v>911</x:v>
      </x:c>
      <x:c r="P485" t="s">
        <x:v>912</x:v>
      </x:c>
      <x:c r="Q485"/>
      <x:c r="R485" s="9">
        <x:v>37538</x:v>
      </x:c>
      <x:c r="S485"/>
      <x:c r="T485" t="s">
        <x:v>119</x:v>
      </x:c>
      <x:c r="U485"/>
      <x:c r="V485"/>
      <x:c r="W485" s="26" t="n">
        <x:v>6.60408</x:v>
      </x:c>
      <x:c r="X485" s="26" t="n">
        <x:v>-75.73611</x:v>
      </x:c>
      <x:c r="Y485">
        <x:v>2160.6860000000001</x:v>
      </x:c>
      <x:c r="Z485">
        <x:v>2059</x:v>
      </x:c>
      <x:c r="AA485"/>
      <x:c r="AB485" t="s">
        <x:v>916</x:v>
      </x:c>
      <x:c r="AC485"/>
      <x:c r="AD485"/>
      <x:c r="AE485"/>
      <x:c r="AF485" t="s">
        <x:v>50</x:v>
      </x:c>
      <x:c r="AG485" t="s">
        <x:v>402</x:v>
      </x:c>
      <x:c r="AH485" t="s">
        <x:v>917</x:v>
      </x:c>
      <x:c r="AI485" t="s">
        <x:v>3572</x:v>
      </x:c>
      <x:c r="AJ485">
        <x:v>518</x:v>
      </x:c>
    </x:row>
    <x:row r="486" s="2" customFormat="1">
      <x:c r="A486" t="s">
        <x:v>3318</x:v>
      </x:c>
      <x:c r="B486" t="s">
        <x:v>3299</x:v>
      </x:c>
      <x:c r="C486" t="s">
        <x:v>3564</x:v>
      </x:c>
      <x:c r="D486" t="s">
        <x:v>3574</x:v>
      </x:c>
      <x:c r="E486" t="s">
        <x:v>3566</x:v>
      </x:c>
      <x:c r="F486">
        <x:v>2630</x:v>
      </x:c>
      <x:c r="G486">
        <x:v>2630</x:v>
      </x:c>
      <x:c r="H486">
        <x:v>2630</x:v>
      </x:c>
      <x:c r="I486" t="s">
        <x:v>3567</x:v>
      </x:c>
      <x:c r="J486" t="s">
        <x:v>3568</x:v>
      </x:c>
      <x:c r="K486" t="s">
        <x:v>3569</x:v>
      </x:c>
      <x:c r="L486" t="s">
        <x:v>3570</x:v>
      </x:c>
      <x:c r="M486" t="s">
        <x:v>3571</x:v>
      </x:c>
      <x:c r="N486" t="s">
        <x:v>910</x:v>
      </x:c>
      <x:c r="O486" t="s">
        <x:v>911</x:v>
      </x:c>
      <x:c r="P486" t="s">
        <x:v>912</x:v>
      </x:c>
      <x:c r="Q486"/>
      <x:c r="R486" s="9">
        <x:v>37538</x:v>
      </x:c>
      <x:c r="S486"/>
      <x:c r="T486"/>
      <x:c r="U486"/>
      <x:c r="V486"/>
      <x:c r="W486" s="26" t="n">
        <x:v>6.60408</x:v>
      </x:c>
      <x:c r="X486" s="26" t="n">
        <x:v>-75.73611</x:v>
      </x:c>
      <x:c r="Y486">
        <x:v>2160.6860000000001</x:v>
      </x:c>
      <x:c r="Z486">
        <x:v>2059</x:v>
      </x:c>
      <x:c r="AA486"/>
      <x:c r="AB486" t="s">
        <x:v>916</x:v>
      </x:c>
      <x:c r="AC486"/>
      <x:c r="AD486"/>
      <x:c r="AE486"/>
      <x:c r="AF486" t="s">
        <x:v>50</x:v>
      </x:c>
      <x:c r="AG486" t="s">
        <x:v>402</x:v>
      </x:c>
      <x:c r="AH486" t="s">
        <x:v>917</x:v>
      </x:c>
      <x:c r="AI486" t="s">
        <x:v>3572</x:v>
      </x:c>
      <x:c r="AJ486">
        <x:v>519</x:v>
      </x:c>
    </x:row>
    <x:row r="487">
      <x:c r="A487" t="s">
        <x:v>3318</x:v>
      </x:c>
      <x:c r="B487" t="s">
        <x:v>3299</x:v>
      </x:c>
      <x:c r="C487" t="s">
        <x:v>3575</x:v>
      </x:c>
      <x:c r="D487" t="s">
        <x:v>3576</x:v>
      </x:c>
      <x:c r="E487" t="s">
        <x:v>3577</x:v>
      </x:c>
      <x:c r="F487">
        <x:v>1420</x:v>
      </x:c>
      <x:c r="G487">
        <x:v>1420</x:v>
      </x:c>
      <x:c r="H487">
        <x:v>1420</x:v>
      </x:c>
      <x:c r="I487" t="s">
        <x:v>3578</x:v>
      </x:c>
      <x:c r="J487" t="s">
        <x:v>3579</x:v>
      </x:c>
      <x:c r="K487" t="s">
        <x:v>3580</x:v>
      </x:c>
      <x:c r="L487" t="s">
        <x:v>3581</x:v>
      </x:c>
      <x:c r="M487" t="s">
        <x:v>3582</x:v>
      </x:c>
      <x:c r="N487" t="s">
        <x:v>3583</x:v>
      </x:c>
      <x:c r="O487" t="s">
        <x:v>3584</x:v>
      </x:c>
      <x:c r="P487" t="s">
        <x:v>3585</x:v>
      </x:c>
      <x:c r="R487" s="9">
        <x:v>37897</x:v>
      </x:c>
      <x:c r="T487" t="s">
        <x:v>119</x:v>
      </x:c>
      <x:c r="W487" s="26" t="n">
        <x:v>7.133</x:v>
      </x:c>
      <x:c r="X487" s="26" t="n">
        <x:v>-75.1596944</x:v>
      </x:c>
      <x:c r="AF487" t="s">
        <x:v>50</x:v>
      </x:c>
      <x:c r="AG487" t="s">
        <x:v>402</x:v>
      </x:c>
      <x:c r="AH487" t="s">
        <x:v>1186</x:v>
      </x:c>
      <x:c r="AI487" t="s">
        <x:v>3586</x:v>
      </x:c>
      <x:c r="AJ487">
        <x:v>520</x:v>
      </x:c>
    </x:row>
    <x:row r="488">
      <x:c r="A488" t="s">
        <x:v>3318</x:v>
      </x:c>
      <x:c r="B488" t="s">
        <x:v>3299</x:v>
      </x:c>
      <x:c r="C488" t="s">
        <x:v>3575</x:v>
      </x:c>
      <x:c r="D488" t="s">
        <x:v>3576</x:v>
      </x:c>
      <x:c r="E488" t="s">
        <x:v>3577</x:v>
      </x:c>
      <x:c r="F488">
        <x:v>1420</x:v>
      </x:c>
      <x:c r="G488">
        <x:v>1420</x:v>
      </x:c>
      <x:c r="H488">
        <x:v>1420</x:v>
      </x:c>
      <x:c r="I488" t="s">
        <x:v>3578</x:v>
      </x:c>
      <x:c r="J488" t="s">
        <x:v>3579</x:v>
      </x:c>
      <x:c r="K488" t="s">
        <x:v>3580</x:v>
      </x:c>
      <x:c r="L488" t="s">
        <x:v>3581</x:v>
      </x:c>
      <x:c r="M488" t="s">
        <x:v>3582</x:v>
      </x:c>
      <x:c r="N488" t="s">
        <x:v>3583</x:v>
      </x:c>
      <x:c r="O488" t="s">
        <x:v>3584</x:v>
      </x:c>
      <x:c r="P488" t="s">
        <x:v>3585</x:v>
      </x:c>
      <x:c r="R488" s="9">
        <x:v>37897</x:v>
      </x:c>
      <x:c r="T488" t="s">
        <x:v>119</x:v>
      </x:c>
      <x:c r="W488" s="26" t="n">
        <x:v>7.133</x:v>
      </x:c>
      <x:c r="X488" s="26" t="n">
        <x:v>-75.1596944</x:v>
      </x:c>
      <x:c r="AF488" t="s">
        <x:v>50</x:v>
      </x:c>
      <x:c r="AG488" t="s">
        <x:v>402</x:v>
      </x:c>
      <x:c r="AH488" t="s">
        <x:v>1186</x:v>
      </x:c>
      <x:c r="AI488" t="s">
        <x:v>3586</x:v>
      </x:c>
      <x:c r="AJ488">
        <x:v>521</x:v>
      </x:c>
    </x:row>
    <x:row r="489">
      <x:c r="A489" t="s">
        <x:v>3318</x:v>
      </x:c>
      <x:c r="B489" t="s">
        <x:v>3299</x:v>
      </x:c>
      <x:c r="C489" t="s">
        <x:v>3587</x:v>
      </x:c>
      <x:c r="D489" t="s">
        <x:v>3588</x:v>
      </x:c>
      <x:c r="E489" t="s">
        <x:v>3589</x:v>
      </x:c>
      <x:c r="F489" t="s">
        <x:v>1025</x:v>
      </x:c>
      <x:c r="G489">
        <x:v>2150</x:v>
      </x:c>
      <x:c r="H489">
        <x:v>2250</x:v>
      </x:c>
      <x:c r="I489" t="s">
        <x:v>3590</x:v>
      </x:c>
      <x:c r="J489" t="s">
        <x:v>3591</x:v>
      </x:c>
      <x:c r="K489" t="s">
        <x:v>3592</x:v>
      </x:c>
      <x:c r="L489" t="s">
        <x:v>3593</x:v>
      </x:c>
      <x:c r="M489" t="s">
        <x:v>3594</x:v>
      </x:c>
      <x:c r="N489" t="s">
        <x:v>1030</x:v>
      </x:c>
      <x:c r="O489" t="s">
        <x:v>1031</x:v>
      </x:c>
      <x:c r="P489" t="s">
        <x:v>1032</x:v>
      </x:c>
      <x:c r="R489" s="9">
        <x:v>38341</x:v>
      </x:c>
      <x:c r="T489" t="s">
        <x:v>119</x:v>
      </x:c>
      <x:c r="W489" s="26" t="n">
        <x:v>5.9836111</x:v>
      </x:c>
      <x:c r="X489" s="26" t="n">
        <x:v>-75.6411944</x:v>
      </x:c>
      <x:c r="AF489" t="s">
        <x:v>50</x:v>
      </x:c>
      <x:c r="AG489" t="s">
        <x:v>402</x:v>
      </x:c>
      <x:c r="AH489" t="s">
        <x:v>1034</x:v>
      </x:c>
      <x:c r="AI489" t="s">
        <x:v>3595</x:v>
      </x:c>
      <x:c r="AJ489">
        <x:v>522</x:v>
      </x:c>
    </x:row>
    <x:row r="490">
      <x:c r="A490" t="s">
        <x:v>3318</x:v>
      </x:c>
      <x:c r="B490" t="s">
        <x:v>3299</x:v>
      </x:c>
      <x:c r="C490" t="s">
        <x:v>3596</x:v>
      </x:c>
      <x:c r="D490" t="s">
        <x:v>3597</x:v>
      </x:c>
      <x:c r="E490" t="s">
        <x:v>3526</x:v>
      </x:c>
      <x:c r="F490">
        <x:v>1600</x:v>
      </x:c>
      <x:c r="G490">
        <x:v>1600</x:v>
      </x:c>
      <x:c r="H490">
        <x:v>1600</x:v>
      </x:c>
      <x:c r="P490" t="s">
        <x:v>80</x:v>
      </x:c>
      <x:c r="R490" s="9">
        <x:v>38825</x:v>
      </x:c>
      <x:c r="W490" s="26" t="n">
        <x:v>2.51058</x:v>
      </x:c>
      <x:c r="X490" s="26" t="n">
        <x:v>-76.98421</x:v>
      </x:c>
      <x:c r="Y490">
        <x:v>1862.7349999999999</x:v>
      </x:c>
      <x:c r="Z490">
        <x:v>1783</x:v>
      </x:c>
      <x:c r="AB490" t="s">
        <x:v>282</x:v>
      </x:c>
      <x:c r="AF490" t="s">
        <x:v>50</x:v>
      </x:c>
      <x:c r="AG490" t="s">
        <x:v>284</x:v>
      </x:c>
      <x:c r="AH490" t="s">
        <x:v>285</x:v>
      </x:c>
      <x:c r="AJ490">
        <x:v>523</x:v>
      </x:c>
    </x:row>
    <x:row r="491">
      <x:c r="A491" t="s">
        <x:v>3318</x:v>
      </x:c>
      <x:c r="B491" t="s">
        <x:v>3299</x:v>
      </x:c>
      <x:c r="C491" t="s">
        <x:v>3564</x:v>
      </x:c>
      <x:c r="D491" t="s">
        <x:v>3598</x:v>
      </x:c>
      <x:c r="E491" t="s">
        <x:v>3599</x:v>
      </x:c>
      <x:c r="F491">
        <x:v>2430</x:v>
      </x:c>
      <x:c r="G491">
        <x:v>2430</x:v>
      </x:c>
      <x:c r="H491">
        <x:v>2430</x:v>
      </x:c>
      <x:c r="I491" t="s">
        <x:v>3600</x:v>
      </x:c>
      <x:c r="J491" t="s">
        <x:v>3601</x:v>
      </x:c>
      <x:c r="K491" t="s">
        <x:v>3602</x:v>
      </x:c>
      <x:c r="L491" t="s">
        <x:v>3603</x:v>
      </x:c>
      <x:c r="M491" t="s">
        <x:v>3604</x:v>
      </x:c>
      <x:c r="N491" t="s">
        <x:v>2647</x:v>
      </x:c>
      <x:c r="O491" t="s">
        <x:v>2648</x:v>
      </x:c>
      <x:c r="P491" t="s">
        <x:v>2649</x:v>
      </x:c>
      <x:c r="R491" s="9">
        <x:v>39029</x:v>
      </x:c>
      <x:c r="T491" t="s">
        <x:v>119</x:v>
      </x:c>
      <x:c r="W491" s="26" t="n">
        <x:v>6.2110278</x:v>
      </x:c>
      <x:c r="X491" s="26" t="n">
        <x:v>-75.6551389</x:v>
      </x:c>
      <x:c r="AF491" t="s">
        <x:v>50</x:v>
      </x:c>
      <x:c r="AG491" t="s">
        <x:v>402</x:v>
      </x:c>
      <x:c r="AH491" t="s">
        <x:v>855</x:v>
      </x:c>
      <x:c r="AI491" t="s">
        <x:v>3605</x:v>
      </x:c>
      <x:c r="AJ491">
        <x:v>524</x:v>
      </x:c>
    </x:row>
    <x:row r="492">
      <x:c r="A492" t="s">
        <x:v>3318</x:v>
      </x:c>
      <x:c r="B492" t="s">
        <x:v>3299</x:v>
      </x:c>
      <x:c r="C492" t="s">
        <x:v>3606</x:v>
      </x:c>
      <x:c r="D492" t="s">
        <x:v>3607</x:v>
      </x:c>
      <x:c r="E492" t="s">
        <x:v>3608</x:v>
      </x:c>
      <x:c r="F492" t="s">
        <x:v>3609</x:v>
      </x:c>
      <x:c r="G492">
        <x:v>1000</x:v>
      </x:c>
      <x:c r="H492">
        <x:v>1280</x:v>
      </x:c>
      <x:c r="I492" t="s">
        <x:v>3610</x:v>
      </x:c>
      <x:c r="J492" t="s">
        <x:v>3611</x:v>
      </x:c>
      <x:c r="K492" t="s">
        <x:v>3612</x:v>
      </x:c>
      <x:c r="L492" t="s">
        <x:v>3613</x:v>
      </x:c>
      <x:c r="M492" t="s">
        <x:v>3614</x:v>
      </x:c>
      <x:c r="N492" t="s">
        <x:v>3615</x:v>
      </x:c>
      <x:c r="O492" t="s">
        <x:v>3616</x:v>
      </x:c>
      <x:c r="P492" t="s">
        <x:v>3617</x:v>
      </x:c>
      <x:c r="R492" s="9">
        <x:v>40746</x:v>
      </x:c>
      <x:c r="T492" t="s">
        <x:v>318</x:v>
      </x:c>
      <x:c r="W492" s="26" t="n">
        <x:v>6.5125556</x:v>
      </x:c>
      <x:c r="X492" s="26" t="n">
        <x:v>-76.2615</x:v>
      </x:c>
      <x:c r="AF492" t="s">
        <x:v>50</x:v>
      </x:c>
      <x:c r="AG492" t="s">
        <x:v>402</x:v>
      </x:c>
      <x:c r="AH492" t="s">
        <x:v>1685</x:v>
      </x:c>
      <x:c r="AI492" t="s">
        <x:v>3618</x:v>
      </x:c>
      <x:c r="AJ492">
        <x:v>525</x:v>
      </x:c>
    </x:row>
    <x:row r="493">
      <x:c r="A493" t="s">
        <x:v>3318</x:v>
      </x:c>
      <x:c r="B493" t="s">
        <x:v>3299</x:v>
      </x:c>
      <x:c r="C493" t="s">
        <x:v>3619</x:v>
      </x:c>
      <x:c r="D493" t="s">
        <x:v>3607</x:v>
      </x:c>
      <x:c r="E493" t="s">
        <x:v>3620</x:v>
      </x:c>
      <x:c r="F493" t="s">
        <x:v>3609</x:v>
      </x:c>
      <x:c r="G493">
        <x:v>1000</x:v>
      </x:c>
      <x:c r="H493">
        <x:v>1280</x:v>
      </x:c>
      <x:c r="I493" t="s">
        <x:v>3610</x:v>
      </x:c>
      <x:c r="J493" t="s">
        <x:v>3611</x:v>
      </x:c>
      <x:c r="K493" t="s">
        <x:v>3621</x:v>
      </x:c>
      <x:c r="L493" t="s">
        <x:v>3622</x:v>
      </x:c>
      <x:c r="M493" t="s">
        <x:v>3623</x:v>
      </x:c>
      <x:c r="N493" t="s">
        <x:v>3615</x:v>
      </x:c>
      <x:c r="O493" t="s">
        <x:v>3616</x:v>
      </x:c>
      <x:c r="P493" t="s">
        <x:v>3617</x:v>
      </x:c>
      <x:c r="R493" s="9">
        <x:v>40746</x:v>
      </x:c>
      <x:c r="T493" t="s">
        <x:v>119</x:v>
      </x:c>
      <x:c r="W493" s="26" t="n">
        <x:v>6.5125556</x:v>
      </x:c>
      <x:c r="X493" s="26" t="n">
        <x:v>-76.2615</x:v>
      </x:c>
      <x:c r="AF493" t="s">
        <x:v>50</x:v>
      </x:c>
      <x:c r="AG493" t="s">
        <x:v>402</x:v>
      </x:c>
      <x:c r="AH493" t="s">
        <x:v>1685</x:v>
      </x:c>
      <x:c r="AI493" t="s">
        <x:v>3624</x:v>
      </x:c>
      <x:c r="AJ493">
        <x:v>526</x:v>
      </x:c>
    </x:row>
    <x:row r="494">
      <x:c r="A494" t="s">
        <x:v>3318</x:v>
      </x:c>
      <x:c r="B494" t="s">
        <x:v>3299</x:v>
      </x:c>
      <x:c r="C494" t="s">
        <x:v>3625</x:v>
      </x:c>
      <x:c r="D494" t="s">
        <x:v>3607</x:v>
      </x:c>
      <x:c r="E494" t="s">
        <x:v>3626</x:v>
      </x:c>
      <x:c r="F494" t="s">
        <x:v>3627</x:v>
      </x:c>
      <x:c r="G494">
        <x:v>1240</x:v>
      </x:c>
      <x:c r="H494">
        <x:v>1280</x:v>
      </x:c>
      <x:c r="I494" t="s">
        <x:v>3628</x:v>
      </x:c>
      <x:c r="J494" t="s">
        <x:v>3629</x:v>
      </x:c>
      <x:c r="K494" t="s">
        <x:v>3630</x:v>
      </x:c>
      <x:c r="L494" t="s">
        <x:v>3631</x:v>
      </x:c>
      <x:c r="M494" t="s">
        <x:v>3632</x:v>
      </x:c>
      <x:c r="N494" t="s">
        <x:v>3633</x:v>
      </x:c>
      <x:c r="O494" t="s">
        <x:v>3634</x:v>
      </x:c>
      <x:c r="P494" t="s">
        <x:v>3635</x:v>
      </x:c>
      <x:c r="R494" s="9">
        <x:v>40749</x:v>
      </x:c>
      <x:c r="T494" t="s">
        <x:v>119</x:v>
      </x:c>
      <x:c r="W494" s="26" t="n">
        <x:v>6.5503611</x:v>
      </x:c>
      <x:c r="X494" s="26" t="n">
        <x:v>-76.3150833</x:v>
      </x:c>
      <x:c r="AF494" t="s">
        <x:v>50</x:v>
      </x:c>
      <x:c r="AG494" t="s">
        <x:v>402</x:v>
      </x:c>
      <x:c r="AH494" t="s">
        <x:v>1356</x:v>
      </x:c>
      <x:c r="AI494" t="s">
        <x:v>3636</x:v>
      </x:c>
      <x:c r="AJ494">
        <x:v>527</x:v>
      </x:c>
    </x:row>
    <x:row r="495">
      <x:c r="A495" t="s">
        <x:v>3318</x:v>
      </x:c>
      <x:c r="B495" t="s">
        <x:v>3299</x:v>
      </x:c>
      <x:c r="C495" t="s">
        <x:v>3637</x:v>
      </x:c>
      <x:c r="D495" t="s">
        <x:v>3638</x:v>
      </x:c>
      <x:c r="E495" t="s">
        <x:v>3639</x:v>
      </x:c>
      <x:c r="F495">
        <x:v>2600</x:v>
      </x:c>
      <x:c r="G495">
        <x:v>2600</x:v>
      </x:c>
      <x:c r="H495">
        <x:v>2600</x:v>
      </x:c>
      <x:c r="I495" t="s">
        <x:v>3640</x:v>
      </x:c>
      <x:c r="J495" t="s">
        <x:v>3641</x:v>
      </x:c>
      <x:c r="K495" t="s">
        <x:v>3642</x:v>
      </x:c>
      <x:c r="L495" t="s">
        <x:v>3643</x:v>
      </x:c>
      <x:c r="M495" t="s">
        <x:v>3644</x:v>
      </x:c>
      <x:c r="N495" t="s">
        <x:v>3645</x:v>
      </x:c>
      <x:c r="O495" t="s">
        <x:v>3646</x:v>
      </x:c>
      <x:c r="P495" t="s">
        <x:v>3647</x:v>
      </x:c>
      <x:c r="R495" s="9">
        <x:v>36903</x:v>
      </x:c>
      <x:c r="W495" s="26" t="n">
        <x:v>6.2035</x:v>
      </x:c>
      <x:c r="X495" s="26" t="n">
        <x:v>-75.48725</x:v>
      </x:c>
      <x:c r="AF495" t="s">
        <x:v>50</x:v>
      </x:c>
      <x:c r="AG495" t="s">
        <x:v>402</x:v>
      </x:c>
      <x:c r="AH495" t="s">
        <x:v>3648</x:v>
      </x:c>
      <x:c r="AI495" t="s">
        <x:v>3649</x:v>
      </x:c>
      <x:c r="AJ495">
        <x:v>528</x:v>
      </x:c>
    </x:row>
    <x:row r="496">
      <x:c r="A496" t="s">
        <x:v>3318</x:v>
      </x:c>
      <x:c r="B496" t="s">
        <x:v>3299</x:v>
      </x:c>
      <x:c r="C496" t="s">
        <x:v>3650</x:v>
      </x:c>
      <x:c r="D496" t="s">
        <x:v>3651</x:v>
      </x:c>
      <x:c r="E496" t="s">
        <x:v>3652</x:v>
      </x:c>
      <x:c r="F496">
        <x:v>1300</x:v>
      </x:c>
      <x:c r="G496">
        <x:v>1300</x:v>
      </x:c>
      <x:c r="H496">
        <x:v>1300</x:v>
      </x:c>
      <x:c r="P496" t="s">
        <x:v>80</x:v>
      </x:c>
      <x:c r="R496" s="9">
        <x:v>30331</x:v>
      </x:c>
      <x:c r="T496" t="s">
        <x:v>119</x:v>
      </x:c>
      <x:c r="W496" s="26" t="n">
        <x:v>4.87828</x:v>
      </x:c>
      <x:c r="X496" s="26" t="n">
        <x:v>-76.23353</x:v>
      </x:c>
      <x:c r="Y496">
        <x:v>1520.1759999999999</x:v>
      </x:c>
      <x:c r="Z496">
        <x:v>1322</x:v>
      </x:c>
      <x:c r="AB496" t="s">
        <x:v>3653</x:v>
      </x:c>
      <x:c r="AF496" t="s">
        <x:v>50</x:v>
      </x:c>
      <x:c r="AG496" t="s">
        <x:v>374</x:v>
      </x:c>
      <x:c r="AH496" t="s">
        <x:v>1447</x:v>
      </x:c>
      <x:c r="AI496" t="s">
        <x:v>3654</x:v>
      </x:c>
      <x:c r="AJ496">
        <x:v>529</x:v>
      </x:c>
    </x:row>
    <x:row r="497">
      <x:c r="A497" t="s">
        <x:v>3318</x:v>
      </x:c>
      <x:c r="B497" t="s">
        <x:v>3299</x:v>
      </x:c>
      <x:c r="C497" t="s">
        <x:v>3655</x:v>
      </x:c>
      <x:c r="D497" t="s">
        <x:v>299</x:v>
      </x:c>
      <x:c r="E497" t="s">
        <x:v>3656</x:v>
      </x:c>
      <x:c r="F497">
        <x:v>800</x:v>
      </x:c>
      <x:c r="G497">
        <x:v>800</x:v>
      </x:c>
      <x:c r="H497">
        <x:v>800</x:v>
      </x:c>
      <x:c r="I497" t="s">
        <x:v>1272</x:v>
      </x:c>
      <x:c r="J497" t="s">
        <x:v>1273</x:v>
      </x:c>
      <x:c r="K497" t="s">
        <x:v>3657</x:v>
      </x:c>
      <x:c r="L497" t="s">
        <x:v>3658</x:v>
      </x:c>
      <x:c r="M497" t="s">
        <x:v>3659</x:v>
      </x:c>
      <x:c r="N497" t="s">
        <x:v>1277</x:v>
      </x:c>
      <x:c r="O497" t="s">
        <x:v>3660</x:v>
      </x:c>
      <x:c r="P497" t="s">
        <x:v>3661</x:v>
      </x:c>
      <x:c r="R497" s="9">
        <x:v>39193</x:v>
      </x:c>
      <x:c r="W497" s="26" t="n">
        <x:v>6.2927</x:v>
      </x:c>
      <x:c r="X497" s="26" t="n">
        <x:v>-75.50709</x:v>
      </x:c>
      <x:c r="Y497">
        <x:v>3749.79</x:v>
      </x:c>
      <x:c r="Z497">
        <x:v>2379</x:v>
      </x:c>
      <x:c r="AB497" t="s">
        <x:v>2654</x:v>
      </x:c>
      <x:c r="AF497" t="s">
        <x:v>50</x:v>
      </x:c>
      <x:c r="AG497" t="s">
        <x:v>402</x:v>
      </x:c>
      <x:c r="AH497" t="s">
        <x:v>855</x:v>
      </x:c>
      <x:c r="AI497" t="s">
        <x:v>3662</x:v>
      </x:c>
      <x:c r="AJ497">
        <x:v>530</x:v>
      </x:c>
    </x:row>
    <x:row r="498">
      <x:c r="A498" t="s">
        <x:v>3663</x:v>
      </x:c>
      <x:c r="B498" t="s">
        <x:v>3299</x:v>
      </x:c>
      <x:c r="C498" t="s">
        <x:v>3664</x:v>
      </x:c>
      <x:c r="D498" t="s">
        <x:v>3665</x:v>
      </x:c>
      <x:c r="E498" t="s">
        <x:v>3666</x:v>
      </x:c>
      <x:c r="F498" t="s">
        <x:v>3667</x:v>
      </x:c>
      <x:c r="G498">
        <x:v>2200</x:v>
      </x:c>
      <x:c r="H498">
        <x:v>2600</x:v>
      </x:c>
      <x:c r="I498" t="s">
        <x:v>3668</x:v>
      </x:c>
      <x:c r="J498" t="s">
        <x:v>3668</x:v>
      </x:c>
      <x:c r="K498" t="s">
        <x:v>3669</x:v>
      </x:c>
      <x:c r="L498" t="s">
        <x:v>3669</x:v>
      </x:c>
      <x:c r="M498" t="s">
        <x:v>3670</x:v>
      </x:c>
      <x:c r="N498" t="s">
        <x:v>811</x:v>
      </x:c>
      <x:c r="O498" t="s">
        <x:v>422</x:v>
      </x:c>
      <x:c r="P498" t="s">
        <x:v>3671</x:v>
      </x:c>
      <x:c r="R498" s="9">
        <x:v>26022</x:v>
      </x:c>
      <x:c r="T498" t="s">
        <x:v>1863</x:v>
      </x:c>
      <x:c r="W498" s="26" t="n">
        <x:v>6.2833333</x:v>
      </x:c>
      <x:c r="X498" s="26" t="n">
        <x:v>-75.5</x:v>
      </x:c>
      <x:c r="AF498" t="s">
        <x:v>50</x:v>
      </x:c>
      <x:c r="AG498" t="s">
        <x:v>402</x:v>
      </x:c>
      <x:c r="AH498" t="s">
        <x:v>3672</x:v>
      </x:c>
      <x:c r="AI498" t="s">
        <x:v>3673</x:v>
      </x:c>
      <x:c r="AJ498">
        <x:v>531</x:v>
      </x:c>
    </x:row>
    <x:row r="499">
      <x:c r="A499" t="s">
        <x:v>3674</x:v>
      </x:c>
      <x:c r="B499" t="s">
        <x:v>3299</x:v>
      </x:c>
      <x:c r="C499" t="s">
        <x:v>3675</x:v>
      </x:c>
      <x:c r="D499" t="s">
        <x:v>3476</x:v>
      </x:c>
      <x:c r="E499" t="s">
        <x:v>3676</x:v>
      </x:c>
      <x:c r="F499">
        <x:v>1850</x:v>
      </x:c>
      <x:c r="G499">
        <x:v>1850</x:v>
      </x:c>
      <x:c r="H499">
        <x:v>1850</x:v>
      </x:c>
      <x:c r="I499" t="s">
        <x:v>2371</x:v>
      </x:c>
      <x:c r="J499" t="s">
        <x:v>2371</x:v>
      </x:c>
      <x:c r="K499" t="s">
        <x:v>2384</x:v>
      </x:c>
      <x:c r="L499" t="s">
        <x:v>2384</x:v>
      </x:c>
      <x:c r="M499" t="s">
        <x:v>3677</x:v>
      </x:c>
      <x:c r="N499" t="s">
        <x:v>532</x:v>
      </x:c>
      <x:c r="O499" t="s">
        <x:v>2365</x:v>
      </x:c>
      <x:c r="P499" t="s">
        <x:v>2366</x:v>
      </x:c>
      <x:c r="R499" s="9">
        <x:v>32833</x:v>
      </x:c>
      <x:c r="T499" t="s">
        <x:v>1863</x:v>
      </x:c>
      <x:c r="W499" s="26" t="n">
        <x:v>6.25</x:v>
      </x:c>
      <x:c r="X499" s="26" t="n">
        <x:v>-75.1666667</x:v>
      </x:c>
      <x:c r="AF499" t="s">
        <x:v>50</x:v>
      </x:c>
      <x:c r="AG499" t="s">
        <x:v>402</x:v>
      </x:c>
      <x:c r="AH499" t="s">
        <x:v>2230</x:v>
      </x:c>
      <x:c r="AI499" t="s">
        <x:v>3482</x:v>
      </x:c>
      <x:c r="AJ499">
        <x:v>532</x:v>
      </x:c>
    </x:row>
    <x:row r="500">
      <x:c r="A500" t="s">
        <x:v>3678</x:v>
      </x:c>
      <x:c r="B500" t="s">
        <x:v>3299</x:v>
      </x:c>
      <x:c r="C500" t="s">
        <x:v>3679</x:v>
      </x:c>
      <x:c r="D500" t="s">
        <x:v>3494</x:v>
      </x:c>
      <x:c r="E500" t="s">
        <x:v>3680</x:v>
      </x:c>
      <x:c r="F500">
        <x:v>1850</x:v>
      </x:c>
      <x:c r="G500">
        <x:v>1850</x:v>
      </x:c>
      <x:c r="H500">
        <x:v>1850</x:v>
      </x:c>
      <x:c r="I500" t="s">
        <x:v>3681</x:v>
      </x:c>
      <x:c r="J500" t="s">
        <x:v>3681</x:v>
      </x:c>
      <x:c r="K500" t="s">
        <x:v>3682</x:v>
      </x:c>
      <x:c r="L500" t="s">
        <x:v>3682</x:v>
      </x:c>
      <x:c r="M500" t="s">
        <x:v>3683</x:v>
      </x:c>
      <x:c r="N500" t="s">
        <x:v>532</x:v>
      </x:c>
      <x:c r="O500" t="s">
        <x:v>2365</x:v>
      </x:c>
      <x:c r="P500" t="s">
        <x:v>2366</x:v>
      </x:c>
      <x:c r="R500" s="9">
        <x:v>33001</x:v>
      </x:c>
      <x:c r="T500" t="s">
        <x:v>1863</x:v>
      </x:c>
      <x:c r="W500" s="26" t="n">
        <x:v>6.25</x:v>
      </x:c>
      <x:c r="X500" s="26" t="n">
        <x:v>-75.1666667</x:v>
      </x:c>
      <x:c r="AF500" t="s">
        <x:v>50</x:v>
      </x:c>
      <x:c r="AG500" t="s">
        <x:v>402</x:v>
      </x:c>
      <x:c r="AH500" t="s">
        <x:v>2230</x:v>
      </x:c>
      <x:c r="AJ500">
        <x:v>533</x:v>
      </x:c>
    </x:row>
    <x:row r="501">
      <x:c r="A501" t="s">
        <x:v>3684</x:v>
      </x:c>
      <x:c r="B501" t="s">
        <x:v>3685</x:v>
      </x:c>
      <x:c r="C501" t="s">
        <x:v>3686</x:v>
      </x:c>
      <x:c r="D501" t="s">
        <x:v>3687</x:v>
      </x:c>
      <x:c r="E501" t="s">
        <x:v>3688</x:v>
      </x:c>
      <x:c r="F501">
        <x:v>2480</x:v>
      </x:c>
      <x:c r="G501">
        <x:v>2480</x:v>
      </x:c>
      <x:c r="H501">
        <x:v>2480</x:v>
      </x:c>
      <x:c r="I501" t="s">
        <x:v>3689</x:v>
      </x:c>
      <x:c r="J501" t="s">
        <x:v>3690</x:v>
      </x:c>
      <x:c r="K501" t="s">
        <x:v>3691</x:v>
      </x:c>
      <x:c r="L501" t="s">
        <x:v>3692</x:v>
      </x:c>
      <x:c r="M501" t="s">
        <x:v>3693</x:v>
      </x:c>
      <x:c r="N501" t="s">
        <x:v>3694</x:v>
      </x:c>
      <x:c r="O501" t="s">
        <x:v>3695</x:v>
      </x:c>
      <x:c r="P501" t="s">
        <x:v>3696</x:v>
      </x:c>
      <x:c r="R501" s="9">
        <x:v>37071</x:v>
      </x:c>
      <x:c r="T501" t="s">
        <x:v>119</x:v>
      </x:c>
      <x:c r="W501" s="26" t="n">
        <x:v>6.2007778</x:v>
      </x:c>
      <x:c r="X501" s="26" t="n">
        <x:v>-75.4662222</x:v>
      </x:c>
      <x:c r="AF501" t="s">
        <x:v>50</x:v>
      </x:c>
      <x:c r="AG501" t="s">
        <x:v>402</x:v>
      </x:c>
      <x:c r="AH501" t="s">
        <x:v>550</x:v>
      </x:c>
      <x:c r="AI501" t="s">
        <x:v>3697</x:v>
      </x:c>
      <x:c r="AJ501">
        <x:v>534</x:v>
      </x:c>
    </x:row>
    <x:row r="502">
      <x:c r="A502" t="s">
        <x:v>3684</x:v>
      </x:c>
      <x:c r="B502" t="s">
        <x:v>3685</x:v>
      </x:c>
      <x:c r="C502" t="s">
        <x:v>3686</x:v>
      </x:c>
      <x:c r="D502" t="s">
        <x:v>3698</x:v>
      </x:c>
      <x:c r="E502" t="s">
        <x:v>3688</x:v>
      </x:c>
      <x:c r="F502">
        <x:v>2480</x:v>
      </x:c>
      <x:c r="G502">
        <x:v>2480</x:v>
      </x:c>
      <x:c r="H502">
        <x:v>2480</x:v>
      </x:c>
      <x:c r="I502" t="s">
        <x:v>3689</x:v>
      </x:c>
      <x:c r="J502" t="s">
        <x:v>3690</x:v>
      </x:c>
      <x:c r="K502" t="s">
        <x:v>3691</x:v>
      </x:c>
      <x:c r="L502" t="s">
        <x:v>3692</x:v>
      </x:c>
      <x:c r="M502" t="s">
        <x:v>3693</x:v>
      </x:c>
      <x:c r="N502" t="s">
        <x:v>3694</x:v>
      </x:c>
      <x:c r="O502" t="s">
        <x:v>3695</x:v>
      </x:c>
      <x:c r="P502" t="s">
        <x:v>3696</x:v>
      </x:c>
      <x:c r="R502" s="9">
        <x:v>37071</x:v>
      </x:c>
      <x:c r="W502" s="26" t="n">
        <x:v>6.2007778</x:v>
      </x:c>
      <x:c r="X502" s="26" t="n">
        <x:v>-75.4662222</x:v>
      </x:c>
      <x:c r="AF502" t="s">
        <x:v>50</x:v>
      </x:c>
      <x:c r="AG502" t="s">
        <x:v>402</x:v>
      </x:c>
      <x:c r="AH502" t="s">
        <x:v>550</x:v>
      </x:c>
      <x:c r="AI502" t="s">
        <x:v>3697</x:v>
      </x:c>
      <x:c r="AJ502">
        <x:v>535</x:v>
      </x:c>
    </x:row>
    <x:row r="503">
      <x:c r="A503" t="s">
        <x:v>3684</x:v>
      </x:c>
      <x:c r="B503" t="s">
        <x:v>3685</x:v>
      </x:c>
      <x:c r="C503" t="s">
        <x:v>3686</x:v>
      </x:c>
      <x:c r="D503" t="s">
        <x:v>3699</x:v>
      </x:c>
      <x:c r="E503" t="s">
        <x:v>3688</x:v>
      </x:c>
      <x:c r="F503">
        <x:v>2480</x:v>
      </x:c>
      <x:c r="G503">
        <x:v>2480</x:v>
      </x:c>
      <x:c r="H503">
        <x:v>2480</x:v>
      </x:c>
      <x:c r="I503" t="s">
        <x:v>3689</x:v>
      </x:c>
      <x:c r="J503" t="s">
        <x:v>3690</x:v>
      </x:c>
      <x:c r="K503" t="s">
        <x:v>3691</x:v>
      </x:c>
      <x:c r="L503" t="s">
        <x:v>3692</x:v>
      </x:c>
      <x:c r="M503" t="s">
        <x:v>3693</x:v>
      </x:c>
      <x:c r="N503" t="s">
        <x:v>3694</x:v>
      </x:c>
      <x:c r="O503" t="s">
        <x:v>3695</x:v>
      </x:c>
      <x:c r="P503" t="s">
        <x:v>3696</x:v>
      </x:c>
      <x:c r="R503" s="9">
        <x:v>37071</x:v>
      </x:c>
      <x:c r="W503" s="26" t="n">
        <x:v>6.2007778</x:v>
      </x:c>
      <x:c r="X503" s="26" t="n">
        <x:v>-75.4662222</x:v>
      </x:c>
      <x:c r="AF503" t="s">
        <x:v>50</x:v>
      </x:c>
      <x:c r="AG503" t="s">
        <x:v>402</x:v>
      </x:c>
      <x:c r="AH503" t="s">
        <x:v>550</x:v>
      </x:c>
      <x:c r="AI503" t="s">
        <x:v>3697</x:v>
      </x:c>
      <x:c r="AJ503">
        <x:v>536</x:v>
      </x:c>
    </x:row>
    <x:row r="504">
      <x:c r="A504" t="s">
        <x:v>3684</x:v>
      </x:c>
      <x:c r="B504" t="s">
        <x:v>3685</x:v>
      </x:c>
      <x:c r="C504" t="s">
        <x:v>3700</x:v>
      </x:c>
      <x:c r="D504" t="s">
        <x:v>3701</x:v>
      </x:c>
      <x:c r="E504" t="s">
        <x:v>3702</x:v>
      </x:c>
      <x:c r="F504">
        <x:v>1800</x:v>
      </x:c>
      <x:c r="G504">
        <x:v>1800</x:v>
      </x:c>
      <x:c r="H504">
        <x:v>1800</x:v>
      </x:c>
      <x:c r="I504" t="s">
        <x:v>3703</x:v>
      </x:c>
      <x:c r="J504" t="s">
        <x:v>3704</x:v>
      </x:c>
      <x:c r="K504" t="s">
        <x:v>59</x:v>
      </x:c>
      <x:c r="L504" t="s">
        <x:v>60</x:v>
      </x:c>
      <x:c r="M504" t="s">
        <x:v>3705</x:v>
      </x:c>
      <x:c r="N504" t="s">
        <x:v>3706</x:v>
      </x:c>
      <x:c r="O504" t="s">
        <x:v>63</x:v>
      </x:c>
      <x:c r="P504" t="s">
        <x:v>3707</x:v>
      </x:c>
      <x:c r="R504" s="9">
        <x:v>37378</x:v>
      </x:c>
      <x:c r="T504" t="s">
        <x:v>119</x:v>
      </x:c>
      <x:c r="W504" s="26" t="n">
        <x:v>2.57474</x:v>
      </x:c>
      <x:c r="X504" s="26" t="n">
        <x:v>-76.54821</x:v>
      </x:c>
      <x:c r="Y504" t="s">
        <x:v>3708</x:v>
      </x:c>
      <x:c r="Z504">
        <x:v>1795</x:v>
      </x:c>
      <x:c r="AB504" t="s">
        <x:v>3709</x:v>
      </x:c>
      <x:c r="AF504" t="s">
        <x:v>50</x:v>
      </x:c>
      <x:c r="AG504" t="s">
        <x:v>3710</x:v>
      </x:c>
      <x:c r="AH504" t="s">
        <x:v>3711</x:v>
      </x:c>
      <x:c r="AI504" t="s">
        <x:v>3712</x:v>
      </x:c>
      <x:c r="AJ504">
        <x:v>537</x:v>
      </x:c>
    </x:row>
    <x:row r="505">
      <x:c r="A505" t="s">
        <x:v>3684</x:v>
      </x:c>
      <x:c r="B505" t="s">
        <x:v>3685</x:v>
      </x:c>
      <x:c r="C505" t="s">
        <x:v>3713</x:v>
      </x:c>
      <x:c r="D505" t="s">
        <x:v>3714</x:v>
      </x:c>
      <x:c r="E505" t="s">
        <x:v>3715</x:v>
      </x:c>
      <x:c r="F505">
        <x:v>1100</x:v>
      </x:c>
      <x:c r="G505">
        <x:v>1100</x:v>
      </x:c>
      <x:c r="H505">
        <x:v>1100</x:v>
      </x:c>
      <x:c r="I505" t="s">
        <x:v>3716</x:v>
      </x:c>
      <x:c r="J505" t="s">
        <x:v>3717</x:v>
      </x:c>
      <x:c r="K505" t="s">
        <x:v>3718</x:v>
      </x:c>
      <x:c r="L505" t="s">
        <x:v>3719</x:v>
      </x:c>
      <x:c r="M505" t="s">
        <x:v>3720</x:v>
      </x:c>
      <x:c r="N505" t="s">
        <x:v>3721</x:v>
      </x:c>
      <x:c r="O505" t="s">
        <x:v>3722</x:v>
      </x:c>
      <x:c r="P505" t="s">
        <x:v>3723</x:v>
      </x:c>
      <x:c r="R505" s="9">
        <x:v>25344</x:v>
      </x:c>
      <x:c r="W505" s="26" t="n">
        <x:v>2.5</x:v>
      </x:c>
      <x:c r="X505" s="26" t="n">
        <x:v>-76.5833333</x:v>
      </x:c>
      <x:c r="AF505" t="s">
        <x:v>50</x:v>
      </x:c>
      <x:c r="AG505" t="s">
        <x:v>283</x:v>
      </x:c>
      <x:c r="AH505" t="s">
        <x:v>3724</x:v>
      </x:c>
      <x:c r="AJ505">
        <x:v>538</x:v>
      </x:c>
    </x:row>
    <x:row r="506">
      <x:c r="A506" t="s">
        <x:v>3684</x:v>
      </x:c>
      <x:c r="B506" t="s">
        <x:v>3685</x:v>
      </x:c>
      <x:c r="C506" t="s">
        <x:v>3713</x:v>
      </x:c>
      <x:c r="D506" t="s">
        <x:v>3725</x:v>
      </x:c>
      <x:c r="E506" t="s">
        <x:v>3715</x:v>
      </x:c>
      <x:c r="F506">
        <x:v>1100</x:v>
      </x:c>
      <x:c r="G506">
        <x:v>1100</x:v>
      </x:c>
      <x:c r="H506">
        <x:v>1100</x:v>
      </x:c>
      <x:c r="I506" t="s">
        <x:v>3716</x:v>
      </x:c>
      <x:c r="J506" t="s">
        <x:v>3717</x:v>
      </x:c>
      <x:c r="K506" t="s">
        <x:v>3718</x:v>
      </x:c>
      <x:c r="L506" t="s">
        <x:v>3719</x:v>
      </x:c>
      <x:c r="M506" t="s">
        <x:v>3720</x:v>
      </x:c>
      <x:c r="N506" t="s">
        <x:v>3721</x:v>
      </x:c>
      <x:c r="O506" t="s">
        <x:v>3722</x:v>
      </x:c>
      <x:c r="P506" t="s">
        <x:v>3723</x:v>
      </x:c>
      <x:c r="R506" s="9">
        <x:v>32649</x:v>
      </x:c>
      <x:c r="W506" s="26" t="n">
        <x:v>2.5</x:v>
      </x:c>
      <x:c r="X506" s="26" t="n">
        <x:v>-76.5833333</x:v>
      </x:c>
      <x:c r="AF506" t="s">
        <x:v>50</x:v>
      </x:c>
      <x:c r="AG506" t="s">
        <x:v>283</x:v>
      </x:c>
      <x:c r="AH506" t="s">
        <x:v>3724</x:v>
      </x:c>
      <x:c r="AJ506">
        <x:v>539</x:v>
      </x:c>
    </x:row>
    <x:row r="507">
      <x:c r="A507" t="s">
        <x:v>3684</x:v>
      </x:c>
      <x:c r="B507" t="s">
        <x:v>3685</x:v>
      </x:c>
      <x:c r="C507" t="s">
        <x:v>3713</x:v>
      </x:c>
      <x:c r="D507" t="s">
        <x:v>3726</x:v>
      </x:c>
      <x:c r="E507" t="s">
        <x:v>3715</x:v>
      </x:c>
      <x:c r="F507">
        <x:v>1100</x:v>
      </x:c>
      <x:c r="G507">
        <x:v>1100</x:v>
      </x:c>
      <x:c r="H507">
        <x:v>1100</x:v>
      </x:c>
      <x:c r="I507" t="s">
        <x:v>3716</x:v>
      </x:c>
      <x:c r="J507" t="s">
        <x:v>3717</x:v>
      </x:c>
      <x:c r="K507" t="s">
        <x:v>3718</x:v>
      </x:c>
      <x:c r="L507" t="s">
        <x:v>3719</x:v>
      </x:c>
      <x:c r="M507" t="s">
        <x:v>3720</x:v>
      </x:c>
      <x:c r="N507" t="s">
        <x:v>3721</x:v>
      </x:c>
      <x:c r="O507" t="s">
        <x:v>3722</x:v>
      </x:c>
      <x:c r="P507" t="s">
        <x:v>3723</x:v>
      </x:c>
      <x:c r="R507" s="9">
        <x:v>32649</x:v>
      </x:c>
      <x:c r="W507" s="26" t="n">
        <x:v>2.5</x:v>
      </x:c>
      <x:c r="X507" s="26" t="n">
        <x:v>-76.5833333</x:v>
      </x:c>
      <x:c r="AF507" t="s">
        <x:v>50</x:v>
      </x:c>
      <x:c r="AG507" t="s">
        <x:v>283</x:v>
      </x:c>
      <x:c r="AH507" t="s">
        <x:v>3724</x:v>
      </x:c>
      <x:c r="AJ507">
        <x:v>540</x:v>
      </x:c>
    </x:row>
    <x:row r="508">
      <x:c r="A508" t="s">
        <x:v>3684</x:v>
      </x:c>
      <x:c r="B508" t="s">
        <x:v>3685</x:v>
      </x:c>
      <x:c r="C508" t="s">
        <x:v>3713</x:v>
      </x:c>
      <x:c r="D508" t="s">
        <x:v>3727</x:v>
      </x:c>
      <x:c r="E508" t="s">
        <x:v>3715</x:v>
      </x:c>
      <x:c r="F508">
        <x:v>1100</x:v>
      </x:c>
      <x:c r="G508">
        <x:v>1100</x:v>
      </x:c>
      <x:c r="H508">
        <x:v>1100</x:v>
      </x:c>
      <x:c r="I508" t="s">
        <x:v>3716</x:v>
      </x:c>
      <x:c r="J508" t="s">
        <x:v>3717</x:v>
      </x:c>
      <x:c r="K508" t="s">
        <x:v>3718</x:v>
      </x:c>
      <x:c r="L508" t="s">
        <x:v>3719</x:v>
      </x:c>
      <x:c r="M508" t="s">
        <x:v>3720</x:v>
      </x:c>
      <x:c r="N508" t="s">
        <x:v>3721</x:v>
      </x:c>
      <x:c r="O508" t="s">
        <x:v>3722</x:v>
      </x:c>
      <x:c r="P508" t="s">
        <x:v>3723</x:v>
      </x:c>
      <x:c r="R508" s="9">
        <x:v>32649</x:v>
      </x:c>
      <x:c r="W508" s="26" t="n">
        <x:v>2.5</x:v>
      </x:c>
      <x:c r="X508" s="26" t="n">
        <x:v>-76.5833333</x:v>
      </x:c>
      <x:c r="AF508" t="s">
        <x:v>50</x:v>
      </x:c>
      <x:c r="AG508" t="s">
        <x:v>283</x:v>
      </x:c>
      <x:c r="AH508" t="s">
        <x:v>3724</x:v>
      </x:c>
      <x:c r="AJ508">
        <x:v>541</x:v>
      </x:c>
    </x:row>
    <x:row r="509">
      <x:c r="A509" t="s">
        <x:v>3684</x:v>
      </x:c>
      <x:c r="B509" t="s">
        <x:v>3685</x:v>
      </x:c>
      <x:c r="C509" t="s">
        <x:v>3728</x:v>
      </x:c>
      <x:c r="D509" t="s">
        <x:v>3729</x:v>
      </x:c>
      <x:c r="E509" t="s">
        <x:v>3730</x:v>
      </x:c>
      <x:c r="F509">
        <x:v>1830</x:v>
      </x:c>
      <x:c r="G509">
        <x:v>1830</x:v>
      </x:c>
      <x:c r="H509">
        <x:v>1830</x:v>
      </x:c>
      <x:c r="I509" t="s">
        <x:v>768</x:v>
      </x:c>
      <x:c r="J509" t="s">
        <x:v>769</x:v>
      </x:c>
      <x:c r="K509" t="s">
        <x:v>3731</x:v>
      </x:c>
      <x:c r="L509" t="s">
        <x:v>3732</x:v>
      </x:c>
      <x:c r="M509" t="s">
        <x:v>3733</x:v>
      </x:c>
      <x:c r="N509" t="s">
        <x:v>773</x:v>
      </x:c>
      <x:c r="O509" t="s">
        <x:v>3734</x:v>
      </x:c>
      <x:c r="P509" t="s">
        <x:v>3735</x:v>
      </x:c>
      <x:c r="R509" s="9">
        <x:v>36561</x:v>
      </x:c>
      <x:c r="T509" t="s">
        <x:v>119</x:v>
      </x:c>
      <x:c r="W509" s="26" t="n">
        <x:v>2.45</x:v>
      </x:c>
      <x:c r="X509" s="26" t="n">
        <x:v>-76.4833333</x:v>
      </x:c>
      <x:c r="AF509" t="s">
        <x:v>50</x:v>
      </x:c>
      <x:c r="AG509" t="s">
        <x:v>283</x:v>
      </x:c>
      <x:c r="AH509" t="s">
        <x:v>703</x:v>
      </x:c>
      <x:c r="AI509" t="s">
        <x:v>3736</x:v>
      </x:c>
      <x:c r="AJ509">
        <x:v>542</x:v>
      </x:c>
    </x:row>
    <x:row r="510">
      <x:c r="A510" t="s">
        <x:v>3684</x:v>
      </x:c>
      <x:c r="B510" t="s">
        <x:v>3685</x:v>
      </x:c>
      <x:c r="C510" t="s">
        <x:v>3737</x:v>
      </x:c>
      <x:c r="D510" t="s">
        <x:v>3738</x:v>
      </x:c>
      <x:c r="E510" t="s">
        <x:v>3739</x:v>
      </x:c>
      <x:c r="F510">
        <x:v>1920</x:v>
      </x:c>
      <x:c r="G510">
        <x:v>1920</x:v>
      </x:c>
      <x:c r="H510">
        <x:v>1920</x:v>
      </x:c>
      <x:c r="I510" t="s">
        <x:v>3740</x:v>
      </x:c>
      <x:c r="J510" t="s">
        <x:v>3741</x:v>
      </x:c>
      <x:c r="K510" t="s">
        <x:v>3742</x:v>
      </x:c>
      <x:c r="L510" t="s">
        <x:v>3743</x:v>
      </x:c>
      <x:c r="M510" t="s">
        <x:v>3744</x:v>
      </x:c>
      <x:c r="N510" t="s">
        <x:v>3745</x:v>
      </x:c>
      <x:c r="O510" t="s">
        <x:v>3746</x:v>
      </x:c>
      <x:c r="P510" t="s">
        <x:v>3747</x:v>
      </x:c>
      <x:c r="R510" s="9">
        <x:v>36840</x:v>
      </x:c>
      <x:c r="T510" t="s">
        <x:v>111</x:v>
      </x:c>
      <x:c r="W510" s="26" t="n">
        <x:v>2.4441667</x:v>
      </x:c>
      <x:c r="X510" s="26" t="n">
        <x:v>-76.5902778</x:v>
      </x:c>
      <x:c r="AF510" t="s">
        <x:v>50</x:v>
      </x:c>
      <x:c r="AG510" t="s">
        <x:v>283</x:v>
      </x:c>
      <x:c r="AH510" t="s">
        <x:v>703</x:v>
      </x:c>
      <x:c r="AI510" t="s">
        <x:v>3748</x:v>
      </x:c>
      <x:c r="AJ510">
        <x:v>543</x:v>
      </x:c>
    </x:row>
    <x:row r="511">
      <x:c r="A511" t="s">
        <x:v>3684</x:v>
      </x:c>
      <x:c r="B511" t="s">
        <x:v>3685</x:v>
      </x:c>
      <x:c r="C511" t="s">
        <x:v>3749</x:v>
      </x:c>
      <x:c r="D511" t="s">
        <x:v>3750</x:v>
      </x:c>
      <x:c r="E511" t="s">
        <x:v>3751</x:v>
      </x:c>
      <x:c r="F511">
        <x:v>1850</x:v>
      </x:c>
      <x:c r="G511">
        <x:v>1850</x:v>
      </x:c>
      <x:c r="H511">
        <x:v>1850</x:v>
      </x:c>
      <x:c r="I511" t="s">
        <x:v>3716</x:v>
      </x:c>
      <x:c r="J511" t="s">
        <x:v>3717</x:v>
      </x:c>
      <x:c r="K511" t="s">
        <x:v>3718</x:v>
      </x:c>
      <x:c r="L511" t="s">
        <x:v>3719</x:v>
      </x:c>
      <x:c r="M511" t="s">
        <x:v>3720</x:v>
      </x:c>
      <x:c r="N511" t="s">
        <x:v>3721</x:v>
      </x:c>
      <x:c r="O511" t="s">
        <x:v>3722</x:v>
      </x:c>
      <x:c r="P511" t="s">
        <x:v>3723</x:v>
      </x:c>
      <x:c r="R511" s="9">
        <x:v>36861</x:v>
      </x:c>
      <x:c r="T511" t="s">
        <x:v>119</x:v>
      </x:c>
      <x:c r="W511" s="26" t="n">
        <x:v>2.5</x:v>
      </x:c>
      <x:c r="X511" s="26" t="n">
        <x:v>-76.5833333</x:v>
      </x:c>
      <x:c r="AF511" t="s">
        <x:v>50</x:v>
      </x:c>
      <x:c r="AG511" t="s">
        <x:v>283</x:v>
      </x:c>
      <x:c r="AH511" t="s">
        <x:v>703</x:v>
      </x:c>
      <x:c r="AI511" t="s">
        <x:v>3752</x:v>
      </x:c>
      <x:c r="AJ511">
        <x:v>544</x:v>
      </x:c>
    </x:row>
    <x:row r="512">
      <x:c r="A512" t="s">
        <x:v>3684</x:v>
      </x:c>
      <x:c r="B512" t="s">
        <x:v>3685</x:v>
      </x:c>
      <x:c r="C512" t="s">
        <x:v>3753</x:v>
      </x:c>
      <x:c r="D512" t="s">
        <x:v>3754</x:v>
      </x:c>
      <x:c r="E512" t="s">
        <x:v>3755</x:v>
      </x:c>
      <x:c r="F512">
        <x:v>1740</x:v>
      </x:c>
      <x:c r="G512">
        <x:v>1740</x:v>
      </x:c>
      <x:c r="H512">
        <x:v>1740</x:v>
      </x:c>
      <x:c r="I512" t="s">
        <x:v>768</x:v>
      </x:c>
      <x:c r="J512" t="s">
        <x:v>769</x:v>
      </x:c>
      <x:c r="K512" t="s">
        <x:v>770</x:v>
      </x:c>
      <x:c r="L512" t="s">
        <x:v>771</x:v>
      </x:c>
      <x:c r="M512" t="s">
        <x:v>772</x:v>
      </x:c>
      <x:c r="N512" t="s">
        <x:v>773</x:v>
      </x:c>
      <x:c r="O512" t="s">
        <x:v>774</x:v>
      </x:c>
      <x:c r="P512" t="s">
        <x:v>775</x:v>
      </x:c>
      <x:c r="R512" s="9">
        <x:v>36958</x:v>
      </x:c>
      <x:c r="W512" s="26" t="n">
        <x:v>2.45228</x:v>
      </x:c>
      <x:c r="X512" s="26" t="n">
        <x:v>-76.52246</x:v>
      </x:c>
      <x:c r="Y512" t="s">
        <x:v>3756</x:v>
      </x:c>
      <x:c r="Z512">
        <x:v>2006</x:v>
      </x:c>
      <x:c r="AF512" t="s">
        <x:v>50</x:v>
      </x:c>
      <x:c r="AG512" t="s">
        <x:v>283</x:v>
      </x:c>
      <x:c r="AH512" t="s">
        <x:v>703</x:v>
      </x:c>
      <x:c r="AI512" t="s">
        <x:v>3757</x:v>
      </x:c>
      <x:c r="AJ512">
        <x:v>545</x:v>
      </x:c>
    </x:row>
    <x:row r="513">
      <x:c r="A513" t="s">
        <x:v>3684</x:v>
      </x:c>
      <x:c r="B513" t="s">
        <x:v>3685</x:v>
      </x:c>
      <x:c r="C513" t="s">
        <x:v>3758</x:v>
      </x:c>
      <x:c r="D513" t="s">
        <x:v>3759</x:v>
      </x:c>
      <x:c r="E513" t="s">
        <x:v>3760</x:v>
      </x:c>
      <x:c r="F513">
        <x:v>1700</x:v>
      </x:c>
      <x:c r="G513">
        <x:v>1700</x:v>
      </x:c>
      <x:c r="H513">
        <x:v>1700</x:v>
      </x:c>
      <x:c r="I513" t="s">
        <x:v>3703</x:v>
      </x:c>
      <x:c r="J513" t="s">
        <x:v>3704</x:v>
      </x:c>
      <x:c r="K513" t="s">
        <x:v>59</x:v>
      </x:c>
      <x:c r="L513" t="s">
        <x:v>60</x:v>
      </x:c>
      <x:c r="M513" t="s">
        <x:v>3705</x:v>
      </x:c>
      <x:c r="N513" t="s">
        <x:v>3706</x:v>
      </x:c>
      <x:c r="O513" t="s">
        <x:v>63</x:v>
      </x:c>
      <x:c r="P513" t="s">
        <x:v>3707</x:v>
      </x:c>
      <x:c r="R513" s="9">
        <x:v>38675</x:v>
      </x:c>
      <x:c r="W513" s="26" t="n">
        <x:v>2.57474</x:v>
      </x:c>
      <x:c r="X513" s="26" t="n">
        <x:v>-76.54821</x:v>
      </x:c>
      <x:c r="AF513" t="s">
        <x:v>50</x:v>
      </x:c>
      <x:c r="AG513" t="s">
        <x:v>283</x:v>
      </x:c>
      <x:c r="AH513" t="s">
        <x:v>3761</x:v>
      </x:c>
      <x:c r="AI513" t="s">
        <x:v>3762</x:v>
      </x:c>
      <x:c r="AJ513">
        <x:v>546</x:v>
      </x:c>
    </x:row>
    <x:row r="514">
      <x:c r="A514" t="s">
        <x:v>3684</x:v>
      </x:c>
      <x:c r="B514" t="s">
        <x:v>3685</x:v>
      </x:c>
      <x:c r="C514" t="s">
        <x:v>3763</x:v>
      </x:c>
      <x:c r="D514" t="s">
        <x:v>3764</x:v>
      </x:c>
      <x:c r="E514" t="s">
        <x:v>3765</x:v>
      </x:c>
      <x:c r="F514" t="s">
        <x:v>3766</x:v>
      </x:c>
      <x:c r="G514" t="s">
        <x:v>3766</x:v>
      </x:c>
      <x:c r="H514" t="s">
        <x:v>3766</x:v>
      </x:c>
      <x:c r="P514" t="s">
        <x:v>80</x:v>
      </x:c>
      <x:c r="R514" s="9">
        <x:v>17084</x:v>
      </x:c>
      <x:c r="T514" t="s">
        <x:v>65</x:v>
      </x:c>
      <x:c r="W514" s="26" t="n">
        <x:v>5.1131</x:v>
      </x:c>
      <x:c r="X514" s="26" t="n">
        <x:v>-73.84495</x:v>
      </x:c>
      <x:c r="Y514" t="s">
        <x:v>3767</x:v>
      </x:c>
      <x:c r="Z514">
        <x:v>2600</x:v>
      </x:c>
      <x:c r="AB514" t="s">
        <x:v>3768</x:v>
      </x:c>
      <x:c r="AF514" t="s">
        <x:v>50</x:v>
      </x:c>
      <x:c r="AG514" t="s">
        <x:v>98</x:v>
      </x:c>
      <x:c r="AH514" t="s">
        <x:v>3769</x:v>
      </x:c>
      <x:c r="AI514" t="s">
        <x:v>3770</x:v>
      </x:c>
      <x:c r="AJ514">
        <x:v>547</x:v>
      </x:c>
    </x:row>
    <x:row r="515">
      <x:c r="A515" t="s">
        <x:v>3684</x:v>
      </x:c>
      <x:c r="B515" t="s">
        <x:v>3685</x:v>
      </x:c>
      <x:c r="C515" t="s">
        <x:v>3771</x:v>
      </x:c>
      <x:c r="D515" t="s">
        <x:v>3772</x:v>
      </x:c>
      <x:c r="E515" t="s">
        <x:v>3773</x:v>
      </x:c>
      <x:c r="F515">
        <x:v>1750</x:v>
      </x:c>
      <x:c r="G515">
        <x:v>1750</x:v>
      </x:c>
      <x:c r="H515">
        <x:v>1750</x:v>
      </x:c>
      <x:c r="P515" t="s">
        <x:v>80</x:v>
      </x:c>
      <x:c r="R515" s="9">
        <x:v>27167</x:v>
      </x:c>
      <x:c r="W515" s="26" t="n">
        <x:v>4.82077</x:v>
      </x:c>
      <x:c r="X515" s="26" t="n">
        <x:v>-73.63934</x:v>
      </x:c>
      <x:c r="Y515">
        <x:v>82.418999999999997</x:v>
      </x:c>
      <x:c r="Z515">
        <x:v>1783</x:v>
      </x:c>
      <x:c r="AB515" t="s">
        <x:v>3774</x:v>
      </x:c>
      <x:c r="AF515" t="s">
        <x:v>50</x:v>
      </x:c>
      <x:c r="AG515" t="s">
        <x:v>98</x:v>
      </x:c>
      <x:c r="AH515" t="s">
        <x:v>3775</x:v>
      </x:c>
      <x:c r="AI515" t="s">
        <x:v>3776</x:v>
      </x:c>
      <x:c r="AJ515">
        <x:v>548</x:v>
      </x:c>
    </x:row>
    <x:row r="516">
      <x:c r="A516" t="s">
        <x:v>3684</x:v>
      </x:c>
      <x:c r="B516" t="s">
        <x:v>3685</x:v>
      </x:c>
      <x:c r="C516" t="s">
        <x:v>3777</x:v>
      </x:c>
      <x:c r="D516" t="s">
        <x:v>3778</x:v>
      </x:c>
      <x:c r="E516" t="s">
        <x:v>3779</x:v>
      </x:c>
      <x:c r="F516">
        <x:v>2600</x:v>
      </x:c>
      <x:c r="G516">
        <x:v>2600</x:v>
      </x:c>
      <x:c r="H516">
        <x:v>2600</x:v>
      </x:c>
      <x:c r="P516" t="s">
        <x:v>80</x:v>
      </x:c>
      <x:c r="R516" s="9">
        <x:v>27182</x:v>
      </x:c>
      <x:c r="T516" t="s">
        <x:v>65</x:v>
      </x:c>
      <x:c r="W516" s="26" t="n">
        <x:v>5.12055</x:v>
      </x:c>
      <x:c r="X516" s="26" t="n">
        <x:v>-73.83689</x:v>
      </x:c>
      <x:c r="Y516">
        <x:v>2009.5709999999999</x:v>
      </x:c>
      <x:c r="Z516">
        <x:v>2761</x:v>
      </x:c>
      <x:c r="AB516" t="s">
        <x:v>3780</x:v>
      </x:c>
      <x:c r="AF516" t="s">
        <x:v>50</x:v>
      </x:c>
      <x:c r="AG516" t="s">
        <x:v>98</x:v>
      </x:c>
      <x:c r="AH516" t="s">
        <x:v>3769</x:v>
      </x:c>
      <x:c r="AI516" t="s">
        <x:v>3781</x:v>
      </x:c>
      <x:c r="AJ516">
        <x:v>549</x:v>
      </x:c>
    </x:row>
    <x:row r="517">
      <x:c r="A517" t="s">
        <x:v>3684</x:v>
      </x:c>
      <x:c r="B517" t="s">
        <x:v>3685</x:v>
      </x:c>
      <x:c r="C517" t="s">
        <x:v>3782</x:v>
      </x:c>
      <x:c r="D517" t="s">
        <x:v>3783</x:v>
      </x:c>
      <x:c r="E517" t="s">
        <x:v>3784</x:v>
      </x:c>
      <x:c r="F517">
        <x:v>2000</x:v>
      </x:c>
      <x:c r="G517">
        <x:v>2000</x:v>
      </x:c>
      <x:c r="H517">
        <x:v>2000</x:v>
      </x:c>
      <x:c r="P517" t="s">
        <x:v>80</x:v>
      </x:c>
      <x:c r="R517" s="9">
        <x:v>27221</x:v>
      </x:c>
      <x:c r="W517" s="26" t="n">
        <x:v>4.49991</x:v>
      </x:c>
      <x:c r="X517" s="26" t="n">
        <x:v>-73.93678</x:v>
      </x:c>
      <x:c r="Y517">
        <x:v>158.52500000000001</x:v>
      </x:c>
      <x:c r="Z517">
        <x:v>2083</x:v>
      </x:c>
      <x:c r="AB517" t="s">
        <x:v>3785</x:v>
      </x:c>
      <x:c r="AF517" t="s">
        <x:v>50</x:v>
      </x:c>
      <x:c r="AG517" t="s">
        <x:v>98</x:v>
      </x:c>
      <x:c r="AH517" t="s">
        <x:v>3786</x:v>
      </x:c>
      <x:c r="AJ517">
        <x:v>550</x:v>
      </x:c>
    </x:row>
    <x:row r="518">
      <x:c r="A518" t="s">
        <x:v>3684</x:v>
      </x:c>
      <x:c r="B518" t="s">
        <x:v>3685</x:v>
      </x:c>
      <x:c r="C518" t="s">
        <x:v>3787</x:v>
      </x:c>
      <x:c r="D518" t="s">
        <x:v>3788</x:v>
      </x:c>
      <x:c r="E518" t="s">
        <x:v>3789</x:v>
      </x:c>
      <x:c r="F518">
        <x:v>2130</x:v>
      </x:c>
      <x:c r="G518">
        <x:v>2130</x:v>
      </x:c>
      <x:c r="H518">
        <x:v>2130</x:v>
      </x:c>
      <x:c r="P518" t="s">
        <x:v>80</x:v>
      </x:c>
      <x:c r="R518" s="9">
        <x:v>34128</x:v>
      </x:c>
      <x:c r="T518" t="s">
        <x:v>119</x:v>
      </x:c>
      <x:c r="W518" s="26" t="n">
        <x:v>5.30378</x:v>
      </x:c>
      <x:c r="X518" s="26" t="n">
        <x:v>-74.08687</x:v>
      </x:c>
      <x:c r="Y518" t="s">
        <x:v>3790</x:v>
      </x:c>
      <x:c r="Z518">
        <x:v>1908</x:v>
      </x:c>
      <x:c r="AB518" t="s">
        <x:v>3791</x:v>
      </x:c>
      <x:c r="AF518" t="s">
        <x:v>50</x:v>
      </x:c>
      <x:c r="AG518" t="s">
        <x:v>98</x:v>
      </x:c>
      <x:c r="AH518" t="s">
        <x:v>3792</x:v>
      </x:c>
      <x:c r="AI518" t="s">
        <x:v>3793</x:v>
      </x:c>
      <x:c r="AJ518">
        <x:v>551</x:v>
      </x:c>
    </x:row>
    <x:row r="519">
      <x:c r="A519" t="s">
        <x:v>3684</x:v>
      </x:c>
      <x:c r="B519" t="s">
        <x:v>3685</x:v>
      </x:c>
      <x:c r="C519" t="s">
        <x:v>3794</x:v>
      </x:c>
      <x:c r="D519" t="s">
        <x:v>3795</x:v>
      </x:c>
      <x:c r="E519" t="s">
        <x:v>3765</x:v>
      </x:c>
      <x:c r="F519">
        <x:v>2580</x:v>
      </x:c>
      <x:c r="G519">
        <x:v>2580</x:v>
      </x:c>
      <x:c r="H519">
        <x:v>2580</x:v>
      </x:c>
      <x:c r="P519" t="s">
        <x:v>80</x:v>
      </x:c>
      <x:c r="R519" s="9">
        <x:v>36472</x:v>
      </x:c>
      <x:c r="W519" s="26" t="n">
        <x:v>5.1131</x:v>
      </x:c>
      <x:c r="X519" s="26" t="n">
        <x:v>-73.84495</x:v>
      </x:c>
      <x:c r="Y519">
        <x:v>270.79899999999998</x:v>
      </x:c>
      <x:c r="Z519">
        <x:v>2600</x:v>
      </x:c>
      <x:c r="AB519" t="s">
        <x:v>3768</x:v>
      </x:c>
      <x:c r="AF519" t="s">
        <x:v>50</x:v>
      </x:c>
      <x:c r="AG519" t="s">
        <x:v>98</x:v>
      </x:c>
      <x:c r="AH519" t="s">
        <x:v>3769</x:v>
      </x:c>
      <x:c r="AI519" t="s">
        <x:v>3770</x:v>
      </x:c>
      <x:c r="AJ519">
        <x:v>552</x:v>
      </x:c>
    </x:row>
    <x:row r="520">
      <x:c r="A520" t="s">
        <x:v>3684</x:v>
      </x:c>
      <x:c r="B520" t="s">
        <x:v>3685</x:v>
      </x:c>
      <x:c r="C520" t="s">
        <x:v>3796</x:v>
      </x:c>
      <x:c r="D520" t="s">
        <x:v>3797</x:v>
      </x:c>
      <x:c r="E520" t="s">
        <x:v>3798</x:v>
      </x:c>
      <x:c r="F520">
        <x:v>2680</x:v>
      </x:c>
      <x:c r="G520">
        <x:v>2680</x:v>
      </x:c>
      <x:c r="H520">
        <x:v>2680</x:v>
      </x:c>
      <x:c r="P520" t="s">
        <x:v>80</x:v>
      </x:c>
      <x:c r="R520" s="9">
        <x:v>16054</x:v>
      </x:c>
      <x:c r="W520" s="26" t="n">
        <x:v>4.68968</x:v>
      </x:c>
      <x:c r="X520" s="26" t="n">
        <x:v>-74.27968</x:v>
      </x:c>
      <x:c r="Y520">
        <x:v>302.209</x:v>
      </x:c>
      <x:c r="Z520">
        <x:v>2551</x:v>
      </x:c>
      <x:c r="AB520" t="s">
        <x:v>3799</x:v>
      </x:c>
      <x:c r="AF520" t="s">
        <x:v>50</x:v>
      </x:c>
      <x:c r="AG520" t="s">
        <x:v>98</x:v>
      </x:c>
      <x:c r="AH520" t="s">
        <x:v>3800</x:v>
      </x:c>
      <x:c r="AI520" t="s">
        <x:v>3801</x:v>
      </x:c>
      <x:c r="AJ520">
        <x:v>553</x:v>
      </x:c>
    </x:row>
    <x:row r="521">
      <x:c r="A521" t="s">
        <x:v>3684</x:v>
      </x:c>
      <x:c r="B521" t="s">
        <x:v>3685</x:v>
      </x:c>
      <x:c r="C521" t="s">
        <x:v>3802</x:v>
      </x:c>
      <x:c r="D521" t="s">
        <x:v>3803</x:v>
      </x:c>
      <x:c r="E521" t="s">
        <x:v>3804</x:v>
      </x:c>
      <x:c r="F521">
        <x:v>2000</x:v>
      </x:c>
      <x:c r="G521">
        <x:v>2000</x:v>
      </x:c>
      <x:c r="H521">
        <x:v>2000</x:v>
      </x:c>
      <x:c r="P521" t="s">
        <x:v>80</x:v>
      </x:c>
      <x:c r="R521" s="9">
        <x:v>32856</x:v>
      </x:c>
      <x:c r="T521" t="s">
        <x:v>119</x:v>
      </x:c>
      <x:c r="W521" s="26" t="n">
        <x:v>4.68312</x:v>
      </x:c>
      <x:c r="X521" s="26" t="n">
        <x:v>-74.38963</x:v>
      </x:c>
      <x:c r="Y521">
        <x:v>286.28899999999999</x:v>
      </x:c>
      <x:c r="Z521">
        <x:v>2029</x:v>
      </x:c>
      <x:c r="AB521" t="s">
        <x:v>381</x:v>
      </x:c>
      <x:c r="AF521" t="s">
        <x:v>50</x:v>
      </x:c>
      <x:c r="AG521" t="s">
        <x:v>98</x:v>
      </x:c>
      <x:c r="AH521" t="s">
        <x:v>2882</x:v>
      </x:c>
      <x:c r="AI521" t="s">
        <x:v>3805</x:v>
      </x:c>
      <x:c r="AJ521">
        <x:v>554</x:v>
      </x:c>
    </x:row>
    <x:row r="522">
      <x:c r="A522" t="s">
        <x:v>3806</x:v>
      </x:c>
      <x:c r="B522" t="s">
        <x:v>3807</x:v>
      </x:c>
      <x:c r="C522" t="s">
        <x:v>3808</x:v>
      </x:c>
      <x:c r="D522" t="s">
        <x:v>3809</x:v>
      </x:c>
      <x:c r="E522" t="s">
        <x:v>3810</x:v>
      </x:c>
      <x:c r="P522" t="s">
        <x:v>80</x:v>
      </x:c>
      <x:c r="R522" s="9">
        <x:v>19132</x:v>
      </x:c>
      <x:c r="W522" s="26" t="n">
        <x:v>-0.992</x:v>
      </x:c>
      <x:c r="X522" s="26" t="n">
        <x:v>-70.44361</x:v>
      </x:c>
      <x:c r="Y522">
        <x:v>8868</x:v>
      </x:c>
      <x:c r="Z522">
        <x:v>105</x:v>
      </x:c>
      <x:c r="AB522" t="s">
        <x:v>3811</x:v>
      </x:c>
      <x:c r="AF522" t="s">
        <x:v>50</x:v>
      </x:c>
      <x:c r="AG522" t="s">
        <x:v>3812</x:v>
      </x:c>
      <x:c r="AH522" t="s">
        <x:v>3813</x:v>
      </x:c>
      <x:c r="AI522" t="s">
        <x:v>3814</x:v>
      </x:c>
      <x:c r="AJ522">
        <x:v>557</x:v>
      </x:c>
    </x:row>
    <x:row r="523">
      <x:c r="A523" t="s">
        <x:v>3806</x:v>
      </x:c>
      <x:c r="B523" t="s">
        <x:v>3807</x:v>
      </x:c>
      <x:c r="C523" t="s">
        <x:v>3815</x:v>
      </x:c>
      <x:c r="D523" t="s">
        <x:v>3816</x:v>
      </x:c>
      <x:c r="E523" t="s">
        <x:v>3817</x:v>
      </x:c>
      <x:c r="F523">
        <x:v>500</x:v>
      </x:c>
      <x:c r="G523">
        <x:v>500</x:v>
      </x:c>
      <x:c r="H523">
        <x:v>500</x:v>
      </x:c>
      <x:c r="I523" t="s">
        <x:v>3818</x:v>
      </x:c>
      <x:c r="J523" t="s">
        <x:v>3819</x:v>
      </x:c>
      <x:c r="K523" t="s">
        <x:v>3820</x:v>
      </x:c>
      <x:c r="L523" t="s">
        <x:v>3821</x:v>
      </x:c>
      <x:c r="M523" t="s">
        <x:v>3822</x:v>
      </x:c>
      <x:c r="N523" t="s">
        <x:v>3823</x:v>
      </x:c>
      <x:c r="O523" t="s">
        <x:v>3824</x:v>
      </x:c>
      <x:c r="P523" t="s">
        <x:v>3825</x:v>
      </x:c>
      <x:c r="R523" s="9">
        <x:v>25972</x:v>
      </x:c>
      <x:c r="T523" t="s">
        <x:v>119</x:v>
      </x:c>
      <x:c r="W523" s="26" t="n">
        <x:v>7.31676</x:v>
      </x:c>
      <x:c r="X523" s="26" t="n">
        <x:v>-75.05643</x:v>
      </x:c>
      <x:c r="Y523">
        <x:v>3115.4110000000001</x:v>
      </x:c>
      <x:c r="Z523">
        <x:v>474</x:v>
      </x:c>
      <x:c r="AA523" t="s">
        <x:v>3826</x:v>
      </x:c>
      <x:c r="AB523" t="s">
        <x:v>3827</x:v>
      </x:c>
      <x:c r="AF523" t="s">
        <x:v>50</x:v>
      </x:c>
      <x:c r="AG523" t="s">
        <x:v>402</x:v>
      </x:c>
      <x:c r="AH523" t="s">
        <x:v>3828</x:v>
      </x:c>
      <x:c r="AI523" t="s">
        <x:v>3829</x:v>
      </x:c>
      <x:c r="AJ523">
        <x:v>558</x:v>
      </x:c>
    </x:row>
    <x:row r="524">
      <x:c r="A524" t="s">
        <x:v>3806</x:v>
      </x:c>
      <x:c r="B524" t="s">
        <x:v>3807</x:v>
      </x:c>
      <x:c r="C524" t="s">
        <x:v>3815</x:v>
      </x:c>
      <x:c r="D524" t="s">
        <x:v>3830</x:v>
      </x:c>
      <x:c r="E524" t="s">
        <x:v>3817</x:v>
      </x:c>
      <x:c r="F524">
        <x:v>500</x:v>
      </x:c>
      <x:c r="G524">
        <x:v>500</x:v>
      </x:c>
      <x:c r="H524">
        <x:v>500</x:v>
      </x:c>
      <x:c r="I524" t="s">
        <x:v>3818</x:v>
      </x:c>
      <x:c r="J524" t="s">
        <x:v>3819</x:v>
      </x:c>
      <x:c r="K524" t="s">
        <x:v>3820</x:v>
      </x:c>
      <x:c r="L524" t="s">
        <x:v>3821</x:v>
      </x:c>
      <x:c r="M524" t="s">
        <x:v>3822</x:v>
      </x:c>
      <x:c r="N524" t="s">
        <x:v>3823</x:v>
      </x:c>
      <x:c r="O524" t="s">
        <x:v>3824</x:v>
      </x:c>
      <x:c r="P524" t="s">
        <x:v>3825</x:v>
      </x:c>
      <x:c r="R524" s="9">
        <x:v>25972</x:v>
      </x:c>
      <x:c r="T524" t="s">
        <x:v>119</x:v>
      </x:c>
      <x:c r="W524" s="26" t="n">
        <x:v>7.31676</x:v>
      </x:c>
      <x:c r="X524" s="26" t="n">
        <x:v>-75.05643</x:v>
      </x:c>
      <x:c r="Y524">
        <x:v>3115.4110000000001</x:v>
      </x:c>
      <x:c r="Z524">
        <x:v>474</x:v>
      </x:c>
      <x:c r="AB524" t="s">
        <x:v>3827</x:v>
      </x:c>
      <x:c r="AF524" t="s">
        <x:v>50</x:v>
      </x:c>
      <x:c r="AG524" t="s">
        <x:v>402</x:v>
      </x:c>
      <x:c r="AH524" t="s">
        <x:v>3828</x:v>
      </x:c>
      <x:c r="AI524" t="s">
        <x:v>3829</x:v>
      </x:c>
      <x:c r="AJ524">
        <x:v>559</x:v>
      </x:c>
    </x:row>
    <x:row r="525">
      <x:c r="A525" t="s">
        <x:v>3806</x:v>
      </x:c>
      <x:c r="B525" t="s">
        <x:v>3807</x:v>
      </x:c>
      <x:c r="C525" t="s">
        <x:v>3831</x:v>
      </x:c>
      <x:c r="D525" t="s">
        <x:v>3832</x:v>
      </x:c>
      <x:c r="E525" t="s">
        <x:v>3833</x:v>
      </x:c>
      <x:c r="F525" t="s">
        <x:v>3834</x:v>
      </x:c>
      <x:c r="G525">
        <x:v>400</x:v>
      </x:c>
      <x:c r="H525">
        <x:v>700</x:v>
      </x:c>
      <x:c r="I525" t="s">
        <x:v>1176</x:v>
      </x:c>
      <x:c r="J525" t="s">
        <x:v>1177</x:v>
      </x:c>
      <x:c r="K525" t="s">
        <x:v>1178</x:v>
      </x:c>
      <x:c r="L525" t="s">
        <x:v>1179</x:v>
      </x:c>
      <x:c r="M525" t="s">
        <x:v>1180</x:v>
      </x:c>
      <x:c r="N525" t="s">
        <x:v>1181</x:v>
      </x:c>
      <x:c r="O525" t="s">
        <x:v>1182</x:v>
      </x:c>
      <x:c r="P525" t="s">
        <x:v>1183</x:v>
      </x:c>
      <x:c r="R525" s="9">
        <x:v>26089</x:v>
      </x:c>
      <x:c r="T525" t="s">
        <x:v>119</x:v>
      </x:c>
      <x:c r="W525" s="26" t="n">
        <x:v>7.0764389</x:v>
      </x:c>
      <x:c r="X525" s="26" t="n">
        <x:v>-75.1565389</x:v>
      </x:c>
      <x:c r="AF525" t="s">
        <x:v>50</x:v>
      </x:c>
      <x:c r="AG525" t="s">
        <x:v>402</x:v>
      </x:c>
      <x:c r="AH525" t="s">
        <x:v>1186</x:v>
      </x:c>
      <x:c r="AI525" t="s">
        <x:v>3835</x:v>
      </x:c>
      <x:c r="AJ525">
        <x:v>560</x:v>
      </x:c>
    </x:row>
    <x:row r="526">
      <x:c r="A526" t="s">
        <x:v>3806</x:v>
      </x:c>
      <x:c r="B526" t="s">
        <x:v>3807</x:v>
      </x:c>
      <x:c r="C526" t="s">
        <x:v>3831</x:v>
      </x:c>
      <x:c r="D526" t="s">
        <x:v>3836</x:v>
      </x:c>
      <x:c r="E526" t="s">
        <x:v>3833</x:v>
      </x:c>
      <x:c r="F526" t="s">
        <x:v>3834</x:v>
      </x:c>
      <x:c r="G526">
        <x:v>400</x:v>
      </x:c>
      <x:c r="H526">
        <x:v>700</x:v>
      </x:c>
      <x:c r="I526" t="s">
        <x:v>1176</x:v>
      </x:c>
      <x:c r="J526" t="s">
        <x:v>1177</x:v>
      </x:c>
      <x:c r="K526" t="s">
        <x:v>1178</x:v>
      </x:c>
      <x:c r="L526" t="s">
        <x:v>1179</x:v>
      </x:c>
      <x:c r="M526" t="s">
        <x:v>1180</x:v>
      </x:c>
      <x:c r="N526" t="s">
        <x:v>1181</x:v>
      </x:c>
      <x:c r="O526" t="s">
        <x:v>1182</x:v>
      </x:c>
      <x:c r="P526" t="s">
        <x:v>1183</x:v>
      </x:c>
      <x:c r="R526" s="9">
        <x:v>26089</x:v>
      </x:c>
      <x:c r="T526" t="s">
        <x:v>119</x:v>
      </x:c>
      <x:c r="W526" s="26" t="n">
        <x:v>7.0764389</x:v>
      </x:c>
      <x:c r="X526" s="26" t="n">
        <x:v>-75.1565389</x:v>
      </x:c>
      <x:c r="AF526" t="s">
        <x:v>50</x:v>
      </x:c>
      <x:c r="AG526" t="s">
        <x:v>402</x:v>
      </x:c>
      <x:c r="AH526" t="s">
        <x:v>1186</x:v>
      </x:c>
      <x:c r="AI526" t="s">
        <x:v>3835</x:v>
      </x:c>
      <x:c r="AJ526">
        <x:v>561</x:v>
      </x:c>
    </x:row>
    <x:row r="527">
      <x:c r="A527" t="s">
        <x:v>3806</x:v>
      </x:c>
      <x:c r="B527" t="s">
        <x:v>3807</x:v>
      </x:c>
      <x:c r="C527" t="s">
        <x:v>3837</x:v>
      </x:c>
      <x:c r="D527" t="s">
        <x:v>3838</x:v>
      </x:c>
      <x:c r="E527" t="s">
        <x:v>3839</x:v>
      </x:c>
      <x:c r="F527" t="s">
        <x:v>1175</x:v>
      </x:c>
      <x:c r="G527">
        <x:v>400</x:v>
      </x:c>
      <x:c r="H527">
        <x:v>900</x:v>
      </x:c>
      <x:c r="I527" t="s">
        <x:v>1176</x:v>
      </x:c>
      <x:c r="J527" t="s">
        <x:v>1177</x:v>
      </x:c>
      <x:c r="K527" t="s">
        <x:v>1178</x:v>
      </x:c>
      <x:c r="L527" t="s">
        <x:v>1179</x:v>
      </x:c>
      <x:c r="M527" t="s">
        <x:v>1180</x:v>
      </x:c>
      <x:c r="N527" t="s">
        <x:v>1181</x:v>
      </x:c>
      <x:c r="O527" t="s">
        <x:v>1182</x:v>
      </x:c>
      <x:c r="P527" t="s">
        <x:v>1183</x:v>
      </x:c>
      <x:c r="R527" s="9">
        <x:v>27588</x:v>
      </x:c>
      <x:c r="T527" t="s">
        <x:v>119</x:v>
      </x:c>
      <x:c r="W527" s="26" t="n">
        <x:v>7.0764389</x:v>
      </x:c>
      <x:c r="X527" s="26" t="n">
        <x:v>-75.1565389</x:v>
      </x:c>
      <x:c r="AF527" t="s">
        <x:v>50</x:v>
      </x:c>
      <x:c r="AG527" t="s">
        <x:v>402</x:v>
      </x:c>
      <x:c r="AH527" t="s">
        <x:v>1186</x:v>
      </x:c>
      <x:c r="AI527" t="s">
        <x:v>3840</x:v>
      </x:c>
      <x:c r="AJ527">
        <x:v>562</x:v>
      </x:c>
    </x:row>
    <x:row r="528">
      <x:c r="A528" t="s">
        <x:v>3806</x:v>
      </x:c>
      <x:c r="B528" t="s">
        <x:v>3807</x:v>
      </x:c>
      <x:c r="C528" t="s">
        <x:v>3837</x:v>
      </x:c>
      <x:c r="D528" t="s">
        <x:v>3841</x:v>
      </x:c>
      <x:c r="E528" t="s">
        <x:v>3839</x:v>
      </x:c>
      <x:c r="F528" t="s">
        <x:v>1175</x:v>
      </x:c>
      <x:c r="G528">
        <x:v>400</x:v>
      </x:c>
      <x:c r="H528">
        <x:v>900</x:v>
      </x:c>
      <x:c r="I528" t="s">
        <x:v>1176</x:v>
      </x:c>
      <x:c r="J528" t="s">
        <x:v>1177</x:v>
      </x:c>
      <x:c r="K528" t="s">
        <x:v>1178</x:v>
      </x:c>
      <x:c r="L528" t="s">
        <x:v>1179</x:v>
      </x:c>
      <x:c r="M528" t="s">
        <x:v>1180</x:v>
      </x:c>
      <x:c r="N528" t="s">
        <x:v>1181</x:v>
      </x:c>
      <x:c r="O528" t="s">
        <x:v>1182</x:v>
      </x:c>
      <x:c r="P528" t="s">
        <x:v>1183</x:v>
      </x:c>
      <x:c r="R528" s="9">
        <x:v>27588</x:v>
      </x:c>
      <x:c r="W528" s="26" t="n">
        <x:v>7.0764389</x:v>
      </x:c>
      <x:c r="X528" s="26" t="n">
        <x:v>-75.1565389</x:v>
      </x:c>
      <x:c r="AF528" t="s">
        <x:v>50</x:v>
      </x:c>
      <x:c r="AG528" t="s">
        <x:v>402</x:v>
      </x:c>
      <x:c r="AH528" t="s">
        <x:v>1186</x:v>
      </x:c>
      <x:c r="AI528" t="s">
        <x:v>3840</x:v>
      </x:c>
      <x:c r="AJ528">
        <x:v>563</x:v>
      </x:c>
    </x:row>
    <x:row r="529">
      <x:c r="A529" t="s">
        <x:v>3806</x:v>
      </x:c>
      <x:c r="B529" t="s">
        <x:v>3807</x:v>
      </x:c>
      <x:c r="C529" t="s">
        <x:v>3842</x:v>
      </x:c>
      <x:c r="D529" t="s">
        <x:v>3843</x:v>
      </x:c>
      <x:c r="E529" t="s">
        <x:v>3839</x:v>
      </x:c>
      <x:c r="F529" t="s">
        <x:v>3834</x:v>
      </x:c>
      <x:c r="G529">
        <x:v>400</x:v>
      </x:c>
      <x:c r="H529">
        <x:v>700</x:v>
      </x:c>
      <x:c r="I529" t="s">
        <x:v>3844</x:v>
      </x:c>
      <x:c r="J529" t="s">
        <x:v>3845</x:v>
      </x:c>
      <x:c r="K529" t="s">
        <x:v>1262</x:v>
      </x:c>
      <x:c r="L529" t="s">
        <x:v>1263</x:v>
      </x:c>
      <x:c r="M529" t="s">
        <x:v>3846</x:v>
      </x:c>
      <x:c r="N529" t="s">
        <x:v>3847</x:v>
      </x:c>
      <x:c r="O529" t="s">
        <x:v>1266</x:v>
      </x:c>
      <x:c r="P529" t="s">
        <x:v>3848</x:v>
      </x:c>
      <x:c r="R529" s="9">
        <x:v>27911</x:v>
      </x:c>
      <x:c r="T529" t="s">
        <x:v>119</x:v>
      </x:c>
      <x:c r="W529" s="26" t="n">
        <x:v>7.2166667</x:v>
      </x:c>
      <x:c r="X529" s="26" t="n">
        <x:v>-75.05</x:v>
      </x:c>
      <x:c r="AF529" t="s">
        <x:v>50</x:v>
      </x:c>
      <x:c r="AG529" t="s">
        <x:v>402</x:v>
      </x:c>
      <x:c r="AH529" t="s">
        <x:v>1186</x:v>
      </x:c>
      <x:c r="AI529" t="s">
        <x:v>3840</x:v>
      </x:c>
      <x:c r="AJ529">
        <x:v>564</x:v>
      </x:c>
    </x:row>
    <x:row r="530">
      <x:c r="A530" t="s">
        <x:v>3806</x:v>
      </x:c>
      <x:c r="B530" t="s">
        <x:v>3807</x:v>
      </x:c>
      <x:c r="C530" t="s">
        <x:v>3842</x:v>
      </x:c>
      <x:c r="D530" t="s">
        <x:v>3849</x:v>
      </x:c>
      <x:c r="E530" t="s">
        <x:v>3839</x:v>
      </x:c>
      <x:c r="F530" t="s">
        <x:v>3834</x:v>
      </x:c>
      <x:c r="G530">
        <x:v>400</x:v>
      </x:c>
      <x:c r="H530">
        <x:v>700</x:v>
      </x:c>
      <x:c r="I530" t="s">
        <x:v>3844</x:v>
      </x:c>
      <x:c r="J530" t="s">
        <x:v>3845</x:v>
      </x:c>
      <x:c r="K530" t="s">
        <x:v>1262</x:v>
      </x:c>
      <x:c r="L530" t="s">
        <x:v>1263</x:v>
      </x:c>
      <x:c r="M530" t="s">
        <x:v>3846</x:v>
      </x:c>
      <x:c r="N530" t="s">
        <x:v>3847</x:v>
      </x:c>
      <x:c r="O530" t="s">
        <x:v>1266</x:v>
      </x:c>
      <x:c r="P530" t="s">
        <x:v>3848</x:v>
      </x:c>
      <x:c r="R530" s="9">
        <x:v>27911</x:v>
      </x:c>
      <x:c r="T530" t="s">
        <x:v>119</x:v>
      </x:c>
      <x:c r="W530" s="26" t="n">
        <x:v>7.2166667</x:v>
      </x:c>
      <x:c r="X530" s="26" t="n">
        <x:v>-75.05</x:v>
      </x:c>
      <x:c r="AF530" t="s">
        <x:v>50</x:v>
      </x:c>
      <x:c r="AG530" t="s">
        <x:v>402</x:v>
      </x:c>
      <x:c r="AH530" t="s">
        <x:v>1186</x:v>
      </x:c>
      <x:c r="AI530" t="s">
        <x:v>3840</x:v>
      </x:c>
      <x:c r="AJ530">
        <x:v>565</x:v>
      </x:c>
    </x:row>
    <x:row r="531">
      <x:c r="A531" t="s">
        <x:v>3806</x:v>
      </x:c>
      <x:c r="B531" t="s">
        <x:v>3807</x:v>
      </x:c>
      <x:c r="C531" t="s">
        <x:v>3850</x:v>
      </x:c>
      <x:c r="D531" t="s">
        <x:v>3851</x:v>
      </x:c>
      <x:c r="E531" t="s">
        <x:v>3852</x:v>
      </x:c>
      <x:c r="F531" t="s">
        <x:v>3853</x:v>
      </x:c>
      <x:c r="G531">
        <x:v>200</x:v>
      </x:c>
      <x:c r="H531">
        <x:v>400</x:v>
      </x:c>
      <x:c r="I531" t="s">
        <x:v>3854</x:v>
      </x:c>
      <x:c r="J531" t="s">
        <x:v>3855</x:v>
      </x:c>
      <x:c r="K531" t="s">
        <x:v>3856</x:v>
      </x:c>
      <x:c r="L531" t="s">
        <x:v>3857</x:v>
      </x:c>
      <x:c r="M531" t="s">
        <x:v>3858</x:v>
      </x:c>
      <x:c r="N531" t="s">
        <x:v>3859</x:v>
      </x:c>
      <x:c r="O531" t="s">
        <x:v>3860</x:v>
      </x:c>
      <x:c r="P531" t="s">
        <x:v>3861</x:v>
      </x:c>
      <x:c r="R531" s="9">
        <x:v>28286</x:v>
      </x:c>
      <x:c r="T531" t="s">
        <x:v>119</x:v>
      </x:c>
      <x:c r="W531" s="26" t="n">
        <x:v>7.5783889</x:v>
      </x:c>
      <x:c r="X531" s="26" t="n">
        <x:v>-75.3485056</x:v>
      </x:c>
      <x:c r="AF531" t="s">
        <x:v>50</x:v>
      </x:c>
      <x:c r="AG531" t="s">
        <x:v>402</x:v>
      </x:c>
      <x:c r="AH531" t="s">
        <x:v>3862</x:v>
      </x:c>
      <x:c r="AI531" t="s">
        <x:v>3863</x:v>
      </x:c>
      <x:c r="AJ531">
        <x:v>566</x:v>
      </x:c>
    </x:row>
    <x:row r="532">
      <x:c r="A532" t="s">
        <x:v>3806</x:v>
      </x:c>
      <x:c r="B532" t="s">
        <x:v>3807</x:v>
      </x:c>
      <x:c r="C532" t="s">
        <x:v>3864</x:v>
      </x:c>
      <x:c r="D532" t="s">
        <x:v>3865</x:v>
      </x:c>
      <x:c r="E532" t="s">
        <x:v>3866</x:v>
      </x:c>
      <x:c r="F532">
        <x:v>1500</x:v>
      </x:c>
      <x:c r="G532">
        <x:v>1500</x:v>
      </x:c>
      <x:c r="H532">
        <x:v>1500</x:v>
      </x:c>
      <x:c r="I532" t="s">
        <x:v>3867</x:v>
      </x:c>
      <x:c r="J532" t="s">
        <x:v>3868</x:v>
      </x:c>
      <x:c r="K532" t="s">
        <x:v>3869</x:v>
      </x:c>
      <x:c r="L532" t="s">
        <x:v>3870</x:v>
      </x:c>
      <x:c r="M532" t="s">
        <x:v>3871</x:v>
      </x:c>
      <x:c r="N532" t="s">
        <x:v>3872</x:v>
      </x:c>
      <x:c r="O532" t="s">
        <x:v>3873</x:v>
      </x:c>
      <x:c r="P532" t="s">
        <x:v>3874</x:v>
      </x:c>
      <x:c r="R532" s="9">
        <x:v>31674</x:v>
      </x:c>
      <x:c r="T532" t="s">
        <x:v>119</x:v>
      </x:c>
      <x:c r="W532" s="26" t="n">
        <x:v>5.5998333</x:v>
      </x:c>
      <x:c r="X532" s="26" t="n">
        <x:v>-75.8198333</x:v>
      </x:c>
      <x:c r="AF532" t="s">
        <x:v>50</x:v>
      </x:c>
      <x:c r="AG532" t="s">
        <x:v>402</x:v>
      </x:c>
      <x:c r="AH532" t="s">
        <x:v>627</x:v>
      </x:c>
      <x:c r="AI532" t="s">
        <x:v>3875</x:v>
      </x:c>
      <x:c r="AJ532">
        <x:v>567</x:v>
      </x:c>
    </x:row>
    <x:row r="533">
      <x:c r="A533" t="s">
        <x:v>3806</x:v>
      </x:c>
      <x:c r="B533" t="s">
        <x:v>3807</x:v>
      </x:c>
      <x:c r="C533" t="s">
        <x:v>3876</x:v>
      </x:c>
      <x:c r="D533" t="s">
        <x:v>3877</x:v>
      </x:c>
      <x:c r="E533" t="s">
        <x:v>3878</x:v>
      </x:c>
      <x:c r="F533" t="s">
        <x:v>3879</x:v>
      </x:c>
      <x:c r="G533">
        <x:v>110</x:v>
      </x:c>
      <x:c r="H533">
        <x:v>130</x:v>
      </x:c>
      <x:c r="I533" t="s">
        <x:v>3854</x:v>
      </x:c>
      <x:c r="J533" t="s">
        <x:v>3855</x:v>
      </x:c>
      <x:c r="K533" t="s">
        <x:v>3856</x:v>
      </x:c>
      <x:c r="L533" t="s">
        <x:v>3857</x:v>
      </x:c>
      <x:c r="M533" t="s">
        <x:v>3858</x:v>
      </x:c>
      <x:c r="N533" t="s">
        <x:v>3859</x:v>
      </x:c>
      <x:c r="O533" t="s">
        <x:v>3860</x:v>
      </x:c>
      <x:c r="P533" t="s">
        <x:v>3861</x:v>
      </x:c>
      <x:c r="R533" s="9">
        <x:v>32086</x:v>
      </x:c>
      <x:c r="W533" s="26" t="n">
        <x:v>7.5783889</x:v>
      </x:c>
      <x:c r="X533" s="26" t="n">
        <x:v>-75.3485056</x:v>
      </x:c>
      <x:c r="AF533" t="s">
        <x:v>50</x:v>
      </x:c>
      <x:c r="AG533" t="s">
        <x:v>402</x:v>
      </x:c>
      <x:c r="AH533" t="s">
        <x:v>3862</x:v>
      </x:c>
      <x:c r="AI533" t="s">
        <x:v>3880</x:v>
      </x:c>
      <x:c r="AJ533">
        <x:v>568</x:v>
      </x:c>
    </x:row>
    <x:row r="534">
      <x:c r="A534" t="s">
        <x:v>3806</x:v>
      </x:c>
      <x:c r="B534" t="s">
        <x:v>3807</x:v>
      </x:c>
      <x:c r="C534" t="s">
        <x:v>3876</x:v>
      </x:c>
      <x:c r="D534" t="s">
        <x:v>3832</x:v>
      </x:c>
      <x:c r="E534" t="s">
        <x:v>3878</x:v>
      </x:c>
      <x:c r="F534" t="s">
        <x:v>3879</x:v>
      </x:c>
      <x:c r="G534">
        <x:v>110</x:v>
      </x:c>
      <x:c r="H534">
        <x:v>130</x:v>
      </x:c>
      <x:c r="I534" t="s">
        <x:v>3854</x:v>
      </x:c>
      <x:c r="J534" t="s">
        <x:v>3855</x:v>
      </x:c>
      <x:c r="K534" t="s">
        <x:v>3856</x:v>
      </x:c>
      <x:c r="L534" t="s">
        <x:v>3857</x:v>
      </x:c>
      <x:c r="M534" t="s">
        <x:v>3858</x:v>
      </x:c>
      <x:c r="N534" t="s">
        <x:v>3859</x:v>
      </x:c>
      <x:c r="O534" t="s">
        <x:v>3860</x:v>
      </x:c>
      <x:c r="P534" t="s">
        <x:v>3861</x:v>
      </x:c>
      <x:c r="R534" s="9">
        <x:v>32086</x:v>
      </x:c>
      <x:c r="W534" s="26" t="n">
        <x:v>7.5783889</x:v>
      </x:c>
      <x:c r="X534" s="26" t="n">
        <x:v>-75.3485056</x:v>
      </x:c>
      <x:c r="AF534" t="s">
        <x:v>50</x:v>
      </x:c>
      <x:c r="AG534" t="s">
        <x:v>402</x:v>
      </x:c>
      <x:c r="AH534" t="s">
        <x:v>3862</x:v>
      </x:c>
      <x:c r="AI534" t="s">
        <x:v>3880</x:v>
      </x:c>
      <x:c r="AJ534">
        <x:v>569</x:v>
      </x:c>
    </x:row>
    <x:row r="535">
      <x:c r="A535" t="s">
        <x:v>3806</x:v>
      </x:c>
      <x:c r="B535" t="s">
        <x:v>3807</x:v>
      </x:c>
      <x:c r="C535" t="s">
        <x:v>3881</x:v>
      </x:c>
      <x:c r="D535" t="s">
        <x:v>3882</x:v>
      </x:c>
      <x:c r="E535" t="s">
        <x:v>3883</x:v>
      </x:c>
      <x:c r="F535">
        <x:v>1500</x:v>
      </x:c>
      <x:c r="G535">
        <x:v>1500</x:v>
      </x:c>
      <x:c r="H535">
        <x:v>1500</x:v>
      </x:c>
      <x:c r="I535" t="s">
        <x:v>3867</x:v>
      </x:c>
      <x:c r="J535" t="s">
        <x:v>3868</x:v>
      </x:c>
      <x:c r="K535" t="s">
        <x:v>3869</x:v>
      </x:c>
      <x:c r="L535" t="s">
        <x:v>3870</x:v>
      </x:c>
      <x:c r="M535" t="s">
        <x:v>3871</x:v>
      </x:c>
      <x:c r="N535" t="s">
        <x:v>3872</x:v>
      </x:c>
      <x:c r="O535" t="s">
        <x:v>3873</x:v>
      </x:c>
      <x:c r="P535" t="s">
        <x:v>3874</x:v>
      </x:c>
      <x:c r="R535" s="9">
        <x:v>32168</x:v>
      </x:c>
      <x:c r="T535" t="s">
        <x:v>119</x:v>
      </x:c>
      <x:c r="W535" s="26" t="n">
        <x:v>5.5998333</x:v>
      </x:c>
      <x:c r="X535" s="26" t="n">
        <x:v>-75.8198333</x:v>
      </x:c>
      <x:c r="AF535" t="s">
        <x:v>50</x:v>
      </x:c>
      <x:c r="AG535" t="s">
        <x:v>402</x:v>
      </x:c>
      <x:c r="AH535" t="s">
        <x:v>627</x:v>
      </x:c>
      <x:c r="AI535" t="s">
        <x:v>3884</x:v>
      </x:c>
      <x:c r="AJ535">
        <x:v>570</x:v>
      </x:c>
    </x:row>
    <x:row r="536">
      <x:c r="A536" t="s">
        <x:v>3806</x:v>
      </x:c>
      <x:c r="B536" t="s">
        <x:v>3807</x:v>
      </x:c>
      <x:c r="C536" t="s">
        <x:v>3885</x:v>
      </x:c>
      <x:c r="D536" t="s">
        <x:v>3886</x:v>
      </x:c>
      <x:c r="E536" t="s">
        <x:v>3887</x:v>
      </x:c>
      <x:c r="F536" t="s">
        <x:v>3888</x:v>
      </x:c>
      <x:c r="G536">
        <x:v>820</x:v>
      </x:c>
      <x:c r="H536">
        <x:v>900</x:v>
      </x:c>
      <x:c r="I536" t="s">
        <x:v>3889</x:v>
      </x:c>
      <x:c r="J536" t="s">
        <x:v>3890</x:v>
      </x:c>
      <x:c r="K536" t="s">
        <x:v>3891</x:v>
      </x:c>
      <x:c r="L536" t="s">
        <x:v>3892</x:v>
      </x:c>
      <x:c r="M536" t="s">
        <x:v>3893</x:v>
      </x:c>
      <x:c r="N536" t="s">
        <x:v>3894</x:v>
      </x:c>
      <x:c r="O536" t="s">
        <x:v>3895</x:v>
      </x:c>
      <x:c r="P536" t="s">
        <x:v>3896</x:v>
      </x:c>
      <x:c r="R536" s="9">
        <x:v>32673</x:v>
      </x:c>
      <x:c r="T536" t="s">
        <x:v>119</x:v>
      </x:c>
      <x:c r="W536" s="26" t="n">
        <x:v>6.1067139</x:v>
      </x:c>
      <x:c r="X536" s="26" t="n">
        <x:v>-74.9608528</x:v>
      </x:c>
      <x:c r="AF536" t="s">
        <x:v>50</x:v>
      </x:c>
      <x:c r="AG536" t="s">
        <x:v>402</x:v>
      </x:c>
      <x:c r="AH536" t="s">
        <x:v>3897</x:v>
      </x:c>
      <x:c r="AI536" t="s">
        <x:v>3898</x:v>
      </x:c>
      <x:c r="AJ536">
        <x:v>571</x:v>
      </x:c>
    </x:row>
    <x:row r="537">
      <x:c r="A537" t="s">
        <x:v>3806</x:v>
      </x:c>
      <x:c r="B537" t="s">
        <x:v>3807</x:v>
      </x:c>
      <x:c r="C537" t="s">
        <x:v>3899</x:v>
      </x:c>
      <x:c r="D537" t="s">
        <x:v>3900</x:v>
      </x:c>
      <x:c r="E537" t="s">
        <x:v>3901</x:v>
      </x:c>
      <x:c r="F537" t="s">
        <x:v>3902</x:v>
      </x:c>
      <x:c r="G537">
        <x:v>820</x:v>
      </x:c>
      <x:c r="H537">
        <x:v>910</x:v>
      </x:c>
      <x:c r="I537" t="s">
        <x:v>3903</x:v>
      </x:c>
      <x:c r="J537" t="s">
        <x:v>3904</x:v>
      </x:c>
      <x:c r="K537" t="s">
        <x:v>3905</x:v>
      </x:c>
      <x:c r="L537" t="s">
        <x:v>3906</x:v>
      </x:c>
      <x:c r="M537" t="s">
        <x:v>3907</x:v>
      </x:c>
      <x:c r="N537" t="s">
        <x:v>3908</x:v>
      </x:c>
      <x:c r="O537" t="s">
        <x:v>3909</x:v>
      </x:c>
      <x:c r="P537" t="s">
        <x:v>3910</x:v>
      </x:c>
      <x:c r="R537" s="9">
        <x:v>32831</x:v>
      </x:c>
      <x:c r="T537" t="s">
        <x:v>119</x:v>
      </x:c>
      <x:c r="W537" s="26" t="n">
        <x:v>7.25</x:v>
      </x:c>
      <x:c r="X537" s="26" t="n">
        <x:v>-75.2</x:v>
      </x:c>
      <x:c r="AF537" t="s">
        <x:v>50</x:v>
      </x:c>
      <x:c r="AG537" t="s">
        <x:v>402</x:v>
      </x:c>
      <x:c r="AH537" t="s">
        <x:v>1186</x:v>
      </x:c>
      <x:c r="AI537" t="s">
        <x:v>3911</x:v>
      </x:c>
      <x:c r="AJ537">
        <x:v>572</x:v>
      </x:c>
    </x:row>
    <x:row r="538">
      <x:c r="A538" t="s">
        <x:v>3806</x:v>
      </x:c>
      <x:c r="B538" t="s">
        <x:v>3807</x:v>
      </x:c>
      <x:c r="C538" t="s">
        <x:v>3912</x:v>
      </x:c>
      <x:c r="D538" t="s">
        <x:v>3913</x:v>
      </x:c>
      <x:c r="E538" t="s">
        <x:v>3914</x:v>
      </x:c>
      <x:c r="F538">
        <x:v>725</x:v>
      </x:c>
      <x:c r="G538">
        <x:v>725</x:v>
      </x:c>
      <x:c r="H538">
        <x:v>725</x:v>
      </x:c>
      <x:c r="I538" t="s">
        <x:v>3915</x:v>
      </x:c>
      <x:c r="J538" t="s">
        <x:v>3916</x:v>
      </x:c>
      <x:c r="K538" t="s">
        <x:v>3917</x:v>
      </x:c>
      <x:c r="L538" t="s">
        <x:v>3918</x:v>
      </x:c>
      <x:c r="M538" t="s">
        <x:v>3919</x:v>
      </x:c>
      <x:c r="N538" t="s">
        <x:v>3920</x:v>
      </x:c>
      <x:c r="O538" t="s">
        <x:v>3921</x:v>
      </x:c>
      <x:c r="P538" t="s">
        <x:v>3922</x:v>
      </x:c>
      <x:c r="R538" s="9">
        <x:v>37934</x:v>
      </x:c>
      <x:c r="W538" s="26" t="n">
        <x:v>7.2668056</x:v>
      </x:c>
      <x:c r="X538" s="26" t="n">
        <x:v>-75.0644167</x:v>
      </x:c>
      <x:c r="AF538" t="s">
        <x:v>50</x:v>
      </x:c>
      <x:c r="AG538" t="s">
        <x:v>402</x:v>
      </x:c>
      <x:c r="AH538" t="s">
        <x:v>1186</x:v>
      </x:c>
      <x:c r="AI538" t="s">
        <x:v>3923</x:v>
      </x:c>
      <x:c r="AJ538">
        <x:v>573</x:v>
      </x:c>
    </x:row>
    <x:row r="539">
      <x:c r="A539" t="s">
        <x:v>3806</x:v>
      </x:c>
      <x:c r="B539" t="s">
        <x:v>3807</x:v>
      </x:c>
      <x:c r="C539" t="s">
        <x:v>3912</x:v>
      </x:c>
      <x:c r="D539" t="s">
        <x:v>3924</x:v>
      </x:c>
      <x:c r="E539" t="s">
        <x:v>3914</x:v>
      </x:c>
      <x:c r="F539">
        <x:v>725</x:v>
      </x:c>
      <x:c r="G539">
        <x:v>725</x:v>
      </x:c>
      <x:c r="H539">
        <x:v>725</x:v>
      </x:c>
      <x:c r="I539" t="s">
        <x:v>3915</x:v>
      </x:c>
      <x:c r="J539" t="s">
        <x:v>3916</x:v>
      </x:c>
      <x:c r="K539" t="s">
        <x:v>3917</x:v>
      </x:c>
      <x:c r="L539" t="s">
        <x:v>3918</x:v>
      </x:c>
      <x:c r="M539" t="s">
        <x:v>3919</x:v>
      </x:c>
      <x:c r="N539" t="s">
        <x:v>3920</x:v>
      </x:c>
      <x:c r="O539" t="s">
        <x:v>3921</x:v>
      </x:c>
      <x:c r="P539" t="s">
        <x:v>3922</x:v>
      </x:c>
      <x:c r="R539" s="9">
        <x:v>37934</x:v>
      </x:c>
      <x:c r="T539" t="s">
        <x:v>119</x:v>
      </x:c>
      <x:c r="W539" s="26" t="n">
        <x:v>7.2668056</x:v>
      </x:c>
      <x:c r="X539" s="26" t="n">
        <x:v>-75.0644167</x:v>
      </x:c>
      <x:c r="AF539" t="s">
        <x:v>50</x:v>
      </x:c>
      <x:c r="AG539" t="s">
        <x:v>402</x:v>
      </x:c>
      <x:c r="AH539" t="s">
        <x:v>1186</x:v>
      </x:c>
      <x:c r="AI539" t="s">
        <x:v>3923</x:v>
      </x:c>
      <x:c r="AJ539">
        <x:v>574</x:v>
      </x:c>
    </x:row>
    <x:row r="540">
      <x:c r="A540" t="s">
        <x:v>3806</x:v>
      </x:c>
      <x:c r="B540" t="s">
        <x:v>3807</x:v>
      </x:c>
      <x:c r="C540" t="s">
        <x:v>3912</x:v>
      </x:c>
      <x:c r="D540" t="s">
        <x:v>3925</x:v>
      </x:c>
      <x:c r="E540" t="s">
        <x:v>3914</x:v>
      </x:c>
      <x:c r="F540">
        <x:v>725</x:v>
      </x:c>
      <x:c r="G540">
        <x:v>725</x:v>
      </x:c>
      <x:c r="H540">
        <x:v>725</x:v>
      </x:c>
      <x:c r="I540" t="s">
        <x:v>3915</x:v>
      </x:c>
      <x:c r="J540" t="s">
        <x:v>3916</x:v>
      </x:c>
      <x:c r="K540" t="s">
        <x:v>3917</x:v>
      </x:c>
      <x:c r="L540" t="s">
        <x:v>3918</x:v>
      </x:c>
      <x:c r="M540" t="s">
        <x:v>3919</x:v>
      </x:c>
      <x:c r="N540" t="s">
        <x:v>3920</x:v>
      </x:c>
      <x:c r="O540" t="s">
        <x:v>3921</x:v>
      </x:c>
      <x:c r="P540" t="s">
        <x:v>3922</x:v>
      </x:c>
      <x:c r="R540" s="9">
        <x:v>37934</x:v>
      </x:c>
      <x:c r="T540" t="s">
        <x:v>119</x:v>
      </x:c>
      <x:c r="W540" s="26" t="n">
        <x:v>7.2668056</x:v>
      </x:c>
      <x:c r="X540" s="26" t="n">
        <x:v>-75.0644167</x:v>
      </x:c>
      <x:c r="AF540" t="s">
        <x:v>50</x:v>
      </x:c>
      <x:c r="AG540" t="s">
        <x:v>402</x:v>
      </x:c>
      <x:c r="AH540" t="s">
        <x:v>1186</x:v>
      </x:c>
      <x:c r="AI540" t="s">
        <x:v>3923</x:v>
      </x:c>
      <x:c r="AJ540">
        <x:v>575</x:v>
      </x:c>
    </x:row>
    <x:row r="541">
      <x:c r="A541" t="s">
        <x:v>3806</x:v>
      </x:c>
      <x:c r="B541" t="s">
        <x:v>3807</x:v>
      </x:c>
      <x:c r="C541" t="s">
        <x:v>3926</x:v>
      </x:c>
      <x:c r="D541" t="s">
        <x:v>3927</x:v>
      </x:c>
      <x:c r="E541" t="s">
        <x:v>1220</x:v>
      </x:c>
      <x:c r="F541">
        <x:v>740</x:v>
      </x:c>
      <x:c r="G541">
        <x:v>740</x:v>
      </x:c>
      <x:c r="H541">
        <x:v>740</x:v>
      </x:c>
      <x:c r="I541" t="s">
        <x:v>1221</x:v>
      </x:c>
      <x:c r="J541" t="s">
        <x:v>1222</x:v>
      </x:c>
      <x:c r="K541" t="s">
        <x:v>1223</x:v>
      </x:c>
      <x:c r="L541" t="s">
        <x:v>1224</x:v>
      </x:c>
      <x:c r="M541" t="s">
        <x:v>1225</x:v>
      </x:c>
      <x:c r="N541" t="s">
        <x:v>1226</x:v>
      </x:c>
      <x:c r="O541" t="s">
        <x:v>1227</x:v>
      </x:c>
      <x:c r="P541" t="s">
        <x:v>1228</x:v>
      </x:c>
      <x:c r="R541" s="9">
        <x:v>37938</x:v>
      </x:c>
      <x:c r="T541" t="s">
        <x:v>119</x:v>
      </x:c>
      <x:c r="W541" s="26" t="n">
        <x:v>7.2662778</x:v>
      </x:c>
      <x:c r="X541" s="26" t="n">
        <x:v>-75.0741667</x:v>
      </x:c>
      <x:c r="AF541" t="s">
        <x:v>50</x:v>
      </x:c>
      <x:c r="AG541" t="s">
        <x:v>402</x:v>
      </x:c>
      <x:c r="AH541" t="s">
        <x:v>1186</x:v>
      </x:c>
      <x:c r="AI541" t="s">
        <x:v>1229</x:v>
      </x:c>
      <x:c r="AJ541">
        <x:v>576</x:v>
      </x:c>
    </x:row>
    <x:row r="542">
      <x:c r="A542" t="s">
        <x:v>3806</x:v>
      </x:c>
      <x:c r="B542" t="s">
        <x:v>3807</x:v>
      </x:c>
      <x:c r="C542" t="s">
        <x:v>3926</x:v>
      </x:c>
      <x:c r="D542" t="s">
        <x:v>3928</x:v>
      </x:c>
      <x:c r="E542" t="s">
        <x:v>1220</x:v>
      </x:c>
      <x:c r="F542">
        <x:v>740</x:v>
      </x:c>
      <x:c r="G542">
        <x:v>740</x:v>
      </x:c>
      <x:c r="H542">
        <x:v>740</x:v>
      </x:c>
      <x:c r="I542" t="s">
        <x:v>1221</x:v>
      </x:c>
      <x:c r="J542" t="s">
        <x:v>1222</x:v>
      </x:c>
      <x:c r="K542" t="s">
        <x:v>1223</x:v>
      </x:c>
      <x:c r="L542" t="s">
        <x:v>1224</x:v>
      </x:c>
      <x:c r="M542" t="s">
        <x:v>1225</x:v>
      </x:c>
      <x:c r="N542" t="s">
        <x:v>1226</x:v>
      </x:c>
      <x:c r="O542" t="s">
        <x:v>1227</x:v>
      </x:c>
      <x:c r="P542" t="s">
        <x:v>1228</x:v>
      </x:c>
      <x:c r="R542" s="9">
        <x:v>37938</x:v>
      </x:c>
      <x:c r="T542" t="s">
        <x:v>119</x:v>
      </x:c>
      <x:c r="W542" s="26" t="n">
        <x:v>7.2662778</x:v>
      </x:c>
      <x:c r="X542" s="26" t="n">
        <x:v>-75.0741667</x:v>
      </x:c>
      <x:c r="AF542" t="s">
        <x:v>50</x:v>
      </x:c>
      <x:c r="AG542" t="s">
        <x:v>402</x:v>
      </x:c>
      <x:c r="AH542" t="s">
        <x:v>1186</x:v>
      </x:c>
      <x:c r="AI542" t="s">
        <x:v>1229</x:v>
      </x:c>
      <x:c r="AJ542">
        <x:v>577</x:v>
      </x:c>
    </x:row>
    <x:row r="543">
      <x:c r="A543" t="s">
        <x:v>3806</x:v>
      </x:c>
      <x:c r="B543" t="s">
        <x:v>3807</x:v>
      </x:c>
      <x:c r="C543" t="s">
        <x:v>3929</x:v>
      </x:c>
      <x:c r="D543" t="s">
        <x:v>3930</x:v>
      </x:c>
      <x:c r="E543" t="s">
        <x:v>3931</x:v>
      </x:c>
      <x:c r="F543">
        <x:v>720</x:v>
      </x:c>
      <x:c r="G543">
        <x:v>720</x:v>
      </x:c>
      <x:c r="H543">
        <x:v>720</x:v>
      </x:c>
      <x:c r="I543" t="s">
        <x:v>3932</x:v>
      </x:c>
      <x:c r="J543" t="s">
        <x:v>3933</x:v>
      </x:c>
      <x:c r="K543" t="s">
        <x:v>3934</x:v>
      </x:c>
      <x:c r="L543" t="s">
        <x:v>3935</x:v>
      </x:c>
      <x:c r="M543" t="s">
        <x:v>3936</x:v>
      </x:c>
      <x:c r="N543" t="s">
        <x:v>3937</x:v>
      </x:c>
      <x:c r="O543" t="s">
        <x:v>3938</x:v>
      </x:c>
      <x:c r="P543" t="s">
        <x:v>3939</x:v>
      </x:c>
      <x:c r="R543" s="9">
        <x:v>38002</x:v>
      </x:c>
      <x:c r="T543" t="s">
        <x:v>119</x:v>
      </x:c>
      <x:c r="W543" s="26" t="n">
        <x:v>7.2836667</x:v>
      </x:c>
      <x:c r="X543" s="26" t="n">
        <x:v>-75.0880833</x:v>
      </x:c>
      <x:c r="AF543" t="s">
        <x:v>50</x:v>
      </x:c>
      <x:c r="AG543" t="s">
        <x:v>402</x:v>
      </x:c>
      <x:c r="AH543" t="s">
        <x:v>1186</x:v>
      </x:c>
      <x:c r="AI543" t="s">
        <x:v>3940</x:v>
      </x:c>
      <x:c r="AJ543">
        <x:v>578</x:v>
      </x:c>
    </x:row>
    <x:row r="544">
      <x:c r="A544" t="s">
        <x:v>3806</x:v>
      </x:c>
      <x:c r="B544" t="s">
        <x:v>3807</x:v>
      </x:c>
      <x:c r="C544" t="s">
        <x:v>3929</x:v>
      </x:c>
      <x:c r="D544" t="s">
        <x:v>3941</x:v>
      </x:c>
      <x:c r="E544" t="s">
        <x:v>3931</x:v>
      </x:c>
      <x:c r="F544">
        <x:v>720</x:v>
      </x:c>
      <x:c r="G544">
        <x:v>720</x:v>
      </x:c>
      <x:c r="H544">
        <x:v>720</x:v>
      </x:c>
      <x:c r="I544" t="s">
        <x:v>3932</x:v>
      </x:c>
      <x:c r="J544" t="s">
        <x:v>3933</x:v>
      </x:c>
      <x:c r="K544" t="s">
        <x:v>3934</x:v>
      </x:c>
      <x:c r="L544" t="s">
        <x:v>3935</x:v>
      </x:c>
      <x:c r="M544" t="s">
        <x:v>3936</x:v>
      </x:c>
      <x:c r="N544" t="s">
        <x:v>3937</x:v>
      </x:c>
      <x:c r="O544" t="s">
        <x:v>3938</x:v>
      </x:c>
      <x:c r="P544" t="s">
        <x:v>3939</x:v>
      </x:c>
      <x:c r="R544" s="9">
        <x:v>38002</x:v>
      </x:c>
      <x:c r="T544" t="s">
        <x:v>119</x:v>
      </x:c>
      <x:c r="W544" s="26" t="n">
        <x:v>7.2836667</x:v>
      </x:c>
      <x:c r="X544" s="26" t="n">
        <x:v>-75.0880833</x:v>
      </x:c>
      <x:c r="AF544" t="s">
        <x:v>50</x:v>
      </x:c>
      <x:c r="AG544" t="s">
        <x:v>402</x:v>
      </x:c>
      <x:c r="AH544" t="s">
        <x:v>1186</x:v>
      </x:c>
      <x:c r="AI544" t="s">
        <x:v>3940</x:v>
      </x:c>
      <x:c r="AJ544">
        <x:v>579</x:v>
      </x:c>
    </x:row>
    <x:row r="545">
      <x:c r="A545" t="s">
        <x:v>3806</x:v>
      </x:c>
      <x:c r="B545" t="s">
        <x:v>3807</x:v>
      </x:c>
      <x:c r="C545" t="s">
        <x:v>3942</x:v>
      </x:c>
      <x:c r="D545" t="s">
        <x:v>3943</x:v>
      </x:c>
      <x:c r="E545" t="s">
        <x:v>3944</x:v>
      </x:c>
      <x:c r="F545">
        <x:v>700</x:v>
      </x:c>
      <x:c r="G545">
        <x:v>700</x:v>
      </x:c>
      <x:c r="H545">
        <x:v>700</x:v>
      </x:c>
      <x:c r="I545" t="s">
        <x:v>1246</x:v>
      </x:c>
      <x:c r="J545" t="s">
        <x:v>1247</x:v>
      </x:c>
      <x:c r="K545" t="s">
        <x:v>1248</x:v>
      </x:c>
      <x:c r="L545" t="s">
        <x:v>1249</x:v>
      </x:c>
      <x:c r="M545" t="s">
        <x:v>1250</x:v>
      </x:c>
      <x:c r="N545" t="s">
        <x:v>1251</x:v>
      </x:c>
      <x:c r="O545" t="s">
        <x:v>1252</x:v>
      </x:c>
      <x:c r="P545" t="s">
        <x:v>1253</x:v>
      </x:c>
      <x:c r="R545" s="9">
        <x:v>38006</x:v>
      </x:c>
      <x:c r="T545" t="s">
        <x:v>119</x:v>
      </x:c>
      <x:c r="W545" s="26" t="n">
        <x:v>7.2535</x:v>
      </x:c>
      <x:c r="X545" s="26" t="n">
        <x:v>-75.0432778</x:v>
      </x:c>
      <x:c r="AF545" t="s">
        <x:v>50</x:v>
      </x:c>
      <x:c r="AG545" t="s">
        <x:v>402</x:v>
      </x:c>
      <x:c r="AH545" t="s">
        <x:v>1186</x:v>
      </x:c>
      <x:c r="AI545" t="s">
        <x:v>3945</x:v>
      </x:c>
      <x:c r="AJ545">
        <x:v>580</x:v>
      </x:c>
    </x:row>
    <x:row r="546">
      <x:c r="A546" t="s">
        <x:v>3806</x:v>
      </x:c>
      <x:c r="B546" t="s">
        <x:v>3807</x:v>
      </x:c>
      <x:c r="C546" t="s">
        <x:v>3946</x:v>
      </x:c>
      <x:c r="D546" t="s">
        <x:v>3947</x:v>
      </x:c>
      <x:c r="E546" t="s">
        <x:v>3948</x:v>
      </x:c>
      <x:c r="F546" t="s">
        <x:v>1175</x:v>
      </x:c>
      <x:c r="G546">
        <x:v>400</x:v>
      </x:c>
      <x:c r="H546">
        <x:v>900</x:v>
      </x:c>
      <x:c r="I546" t="s">
        <x:v>1176</x:v>
      </x:c>
      <x:c r="J546" t="s">
        <x:v>1177</x:v>
      </x:c>
      <x:c r="K546" t="s">
        <x:v>1178</x:v>
      </x:c>
      <x:c r="L546" t="s">
        <x:v>1179</x:v>
      </x:c>
      <x:c r="M546" t="s">
        <x:v>1180</x:v>
      </x:c>
      <x:c r="N546" t="s">
        <x:v>1181</x:v>
      </x:c>
      <x:c r="O546" t="s">
        <x:v>1182</x:v>
      </x:c>
      <x:c r="P546" t="s">
        <x:v>1183</x:v>
      </x:c>
      <x:c r="R546" s="9">
        <x:v>27558</x:v>
      </x:c>
      <x:c r="T546" t="s">
        <x:v>119</x:v>
      </x:c>
      <x:c r="W546" s="26" t="n">
        <x:v>7.0764389</x:v>
      </x:c>
      <x:c r="X546" s="26" t="n">
        <x:v>-75.1565389</x:v>
      </x:c>
      <x:c r="AF546" t="s">
        <x:v>50</x:v>
      </x:c>
      <x:c r="AG546" t="s">
        <x:v>402</x:v>
      </x:c>
      <x:c r="AH546" t="s">
        <x:v>1186</x:v>
      </x:c>
      <x:c r="AI546" t="s">
        <x:v>3949</x:v>
      </x:c>
      <x:c r="AJ546">
        <x:v>581</x:v>
      </x:c>
    </x:row>
    <x:row r="547">
      <x:c r="A547" t="s">
        <x:v>3950</x:v>
      </x:c>
      <x:c r="B547" t="s">
        <x:v>3807</x:v>
      </x:c>
      <x:c r="C547" t="s">
        <x:v>3951</x:v>
      </x:c>
      <x:c r="D547" t="s">
        <x:v>3607</x:v>
      </x:c>
      <x:c r="E547" t="s">
        <x:v>3952</x:v>
      </x:c>
      <x:c r="F547" t="s">
        <x:v>1492</x:v>
      </x:c>
      <x:c r="G547">
        <x:v>860</x:v>
      </x:c>
      <x:c r="H547">
        <x:v>910</x:v>
      </x:c>
      <x:c r="I547" t="s">
        <x:v>3953</x:v>
      </x:c>
      <x:c r="J547" t="s">
        <x:v>3954</x:v>
      </x:c>
      <x:c r="K547" t="s">
        <x:v>3955</x:v>
      </x:c>
      <x:c r="L547" t="s">
        <x:v>3956</x:v>
      </x:c>
      <x:c r="M547" t="s">
        <x:v>3957</x:v>
      </x:c>
      <x:c r="N547" t="s">
        <x:v>1498</x:v>
      </x:c>
      <x:c r="O547" t="s">
        <x:v>3958</x:v>
      </x:c>
      <x:c r="P547" t="s">
        <x:v>3959</x:v>
      </x:c>
      <x:c r="R547" s="9">
        <x:v>40747</x:v>
      </x:c>
      <x:c r="T547" t="s">
        <x:v>119</x:v>
      </x:c>
      <x:c r="W547" s="26" t="n">
        <x:v>6.5398611</x:v>
      </x:c>
      <x:c r="X547" s="26" t="n">
        <x:v>-76.3193611</x:v>
      </x:c>
      <x:c r="AF547" t="s">
        <x:v>50</x:v>
      </x:c>
      <x:c r="AG547" t="s">
        <x:v>402</x:v>
      </x:c>
      <x:c r="AH547" t="s">
        <x:v>1356</x:v>
      </x:c>
      <x:c r="AI547" t="s">
        <x:v>3960</x:v>
      </x:c>
      <x:c r="AJ547">
        <x:v>583</x:v>
      </x:c>
    </x:row>
    <x:row r="548">
      <x:c r="A548" t="s">
        <x:v>3950</x:v>
      </x:c>
      <x:c r="B548" t="s">
        <x:v>3807</x:v>
      </x:c>
      <x:c r="C548" t="s">
        <x:v>3961</x:v>
      </x:c>
      <x:c r="D548" t="s">
        <x:v>3607</x:v>
      </x:c>
      <x:c r="E548" t="s">
        <x:v>3952</x:v>
      </x:c>
      <x:c r="F548" t="s">
        <x:v>1492</x:v>
      </x:c>
      <x:c r="G548">
        <x:v>860</x:v>
      </x:c>
      <x:c r="H548">
        <x:v>910</x:v>
      </x:c>
      <x:c r="I548" t="s">
        <x:v>3953</x:v>
      </x:c>
      <x:c r="J548" t="s">
        <x:v>3954</x:v>
      </x:c>
      <x:c r="K548" t="s">
        <x:v>3955</x:v>
      </x:c>
      <x:c r="L548" t="s">
        <x:v>3956</x:v>
      </x:c>
      <x:c r="M548" t="s">
        <x:v>3957</x:v>
      </x:c>
      <x:c r="N548" t="s">
        <x:v>1498</x:v>
      </x:c>
      <x:c r="O548" t="s">
        <x:v>3958</x:v>
      </x:c>
      <x:c r="P548" t="s">
        <x:v>3959</x:v>
      </x:c>
      <x:c r="R548" s="9">
        <x:v>40747</x:v>
      </x:c>
      <x:c r="T548" t="s">
        <x:v>119</x:v>
      </x:c>
      <x:c r="W548" s="26" t="n">
        <x:v>6.5398611</x:v>
      </x:c>
      <x:c r="X548" s="26" t="n">
        <x:v>-76.3193611</x:v>
      </x:c>
      <x:c r="AF548" t="s">
        <x:v>50</x:v>
      </x:c>
      <x:c r="AG548" t="s">
        <x:v>402</x:v>
      </x:c>
      <x:c r="AH548" t="s">
        <x:v>1356</x:v>
      </x:c>
      <x:c r="AI548" t="s">
        <x:v>3960</x:v>
      </x:c>
      <x:c r="AJ548">
        <x:v>584</x:v>
      </x:c>
    </x:row>
    <x:row r="549">
      <x:c r="A549" t="s">
        <x:v>3950</x:v>
      </x:c>
      <x:c r="B549" t="s">
        <x:v>3807</x:v>
      </x:c>
      <x:c r="C549" t="s">
        <x:v>3962</x:v>
      </x:c>
      <x:c r="D549" t="s">
        <x:v>3607</x:v>
      </x:c>
      <x:c r="E549" t="s">
        <x:v>3963</x:v>
      </x:c>
      <x:c r="F549" t="s">
        <x:v>3964</x:v>
      </x:c>
      <x:c r="G549">
        <x:v>880</x:v>
      </x:c>
      <x:c r="H549">
        <x:v>920</x:v>
      </x:c>
      <x:c r="I549" t="s">
        <x:v>3965</x:v>
      </x:c>
      <x:c r="J549" t="s">
        <x:v>3966</x:v>
      </x:c>
      <x:c r="K549" t="s">
        <x:v>3967</x:v>
      </x:c>
      <x:c r="L549" t="s">
        <x:v>3968</x:v>
      </x:c>
      <x:c r="M549" t="s">
        <x:v>3969</x:v>
      </x:c>
      <x:c r="N549" t="s">
        <x:v>3970</x:v>
      </x:c>
      <x:c r="O549" t="s">
        <x:v>3971</x:v>
      </x:c>
      <x:c r="P549" t="s">
        <x:v>3972</x:v>
      </x:c>
      <x:c r="R549" s="9">
        <x:v>40753</x:v>
      </x:c>
      <x:c r="T549" t="s">
        <x:v>119</x:v>
      </x:c>
      <x:c r="W549" s="26" t="n">
        <x:v>6.5352222</x:v>
      </x:c>
      <x:c r="X549" s="26" t="n">
        <x:v>-76.3128611</x:v>
      </x:c>
      <x:c r="AF549" t="s">
        <x:v>50</x:v>
      </x:c>
      <x:c r="AG549" t="s">
        <x:v>402</x:v>
      </x:c>
      <x:c r="AH549" t="s">
        <x:v>1356</x:v>
      </x:c>
      <x:c r="AI549" t="s">
        <x:v>3973</x:v>
      </x:c>
      <x:c r="AJ549">
        <x:v>585</x:v>
      </x:c>
    </x:row>
    <x:row r="550">
      <x:c r="A550" t="s">
        <x:v>3950</x:v>
      </x:c>
      <x:c r="B550" t="s">
        <x:v>3807</x:v>
      </x:c>
      <x:c r="C550" t="s">
        <x:v>3974</x:v>
      </x:c>
      <x:c r="D550" t="s">
        <x:v>3975</x:v>
      </x:c>
      <x:c r="E550" t="s">
        <x:v>3976</x:v>
      </x:c>
      <x:c r="P550" t="s">
        <x:v>80</x:v>
      </x:c>
      <x:c r="R550" s="9">
        <x:v>28730</x:v>
      </x:c>
      <x:c r="T550" t="s">
        <x:v>119</x:v>
      </x:c>
      <x:c r="W550" s="26" t="n">
        <x:v>2.67839</x:v>
      </x:c>
      <x:c r="X550" s="26" t="n">
        <x:v>-77.90774</x:v>
      </x:c>
      <x:c r="Y550">
        <x:v>1741.8810000000001</x:v>
      </x:c>
      <x:c r="Z550">
        <x:v>9</x:v>
      </x:c>
      <x:c r="AB550" t="s">
        <x:v>3975</x:v>
      </x:c>
      <x:c r="AF550" t="s">
        <x:v>50</x:v>
      </x:c>
      <x:c r="AG550" t="s">
        <x:v>283</x:v>
      </x:c>
      <x:c r="AH550" t="s">
        <x:v>3977</x:v>
      </x:c>
      <x:c r="AI550" t="s">
        <x:v>3978</x:v>
      </x:c>
      <x:c r="AJ550">
        <x:v>587</x:v>
      </x:c>
    </x:row>
    <x:row r="551">
      <x:c r="A551" t="s">
        <x:v>3950</x:v>
      </x:c>
      <x:c r="B551" t="s">
        <x:v>3807</x:v>
      </x:c>
      <x:c r="C551" t="s">
        <x:v>3974</x:v>
      </x:c>
      <x:c r="D551" t="s">
        <x:v>3975</x:v>
      </x:c>
      <x:c r="E551" t="s">
        <x:v>3976</x:v>
      </x:c>
      <x:c r="P551" t="s">
        <x:v>80</x:v>
      </x:c>
      <x:c r="R551" s="9">
        <x:v>28730</x:v>
      </x:c>
      <x:c r="W551" s="26" t="n">
        <x:v>2.67839</x:v>
      </x:c>
      <x:c r="X551" s="26" t="n">
        <x:v>-77.90774</x:v>
      </x:c>
      <x:c r="Y551">
        <x:v>1741.8810000000001</x:v>
      </x:c>
      <x:c r="Z551">
        <x:v>9</x:v>
      </x:c>
      <x:c r="AB551" t="s">
        <x:v>3975</x:v>
      </x:c>
      <x:c r="AF551" t="s">
        <x:v>50</x:v>
      </x:c>
      <x:c r="AG551" t="s">
        <x:v>283</x:v>
      </x:c>
      <x:c r="AH551" t="s">
        <x:v>3977</x:v>
      </x:c>
      <x:c r="AI551" t="s">
        <x:v>3978</x:v>
      </x:c>
      <x:c r="AJ551">
        <x:v>588</x:v>
      </x:c>
    </x:row>
    <x:row r="552">
      <x:c r="A552" t="s">
        <x:v>3950</x:v>
      </x:c>
      <x:c r="B552" t="s">
        <x:v>3807</x:v>
      </x:c>
      <x:c r="C552" t="s">
        <x:v>3974</x:v>
      </x:c>
      <x:c r="D552" t="s">
        <x:v>3975</x:v>
      </x:c>
      <x:c r="E552" t="s">
        <x:v>3976</x:v>
      </x:c>
      <x:c r="P552" t="s">
        <x:v>80</x:v>
      </x:c>
      <x:c r="R552" s="9">
        <x:v>28730</x:v>
      </x:c>
      <x:c r="W552" s="26" t="n">
        <x:v>2.67839</x:v>
      </x:c>
      <x:c r="X552" s="26" t="n">
        <x:v>-77.90774</x:v>
      </x:c>
      <x:c r="Y552">
        <x:v>1741.8810000000001</x:v>
      </x:c>
      <x:c r="Z552">
        <x:v>9</x:v>
      </x:c>
      <x:c r="AB552" t="s">
        <x:v>3975</x:v>
      </x:c>
      <x:c r="AF552" t="s">
        <x:v>50</x:v>
      </x:c>
      <x:c r="AG552" t="s">
        <x:v>283</x:v>
      </x:c>
      <x:c r="AH552" t="s">
        <x:v>3977</x:v>
      </x:c>
      <x:c r="AI552" t="s">
        <x:v>3978</x:v>
      </x:c>
      <x:c r="AJ552">
        <x:v>589</x:v>
      </x:c>
    </x:row>
    <x:row r="553">
      <x:c r="A553" t="s">
        <x:v>3950</x:v>
      </x:c>
      <x:c r="B553" t="s">
        <x:v>3807</x:v>
      </x:c>
      <x:c r="C553" t="s">
        <x:v>3979</x:v>
      </x:c>
      <x:c r="D553" t="s">
        <x:v>3980</x:v>
      </x:c>
      <x:c r="E553" t="s">
        <x:v>3981</x:v>
      </x:c>
      <x:c r="F553" t="s">
        <x:v>3982</x:v>
      </x:c>
      <x:c r="G553">
        <x:v>0</x:v>
      </x:c>
      <x:c r="H553">
        <x:v>20</x:v>
      </x:c>
      <x:c r="P553" t="s">
        <x:v>80</x:v>
      </x:c>
      <x:c r="R553" s="9">
        <x:v>25959</x:v>
      </x:c>
      <x:c r="T553" t="s">
        <x:v>119</x:v>
      </x:c>
      <x:c r="W553" s="26" t="n">
        <x:v>6.21507</x:v>
      </x:c>
      <x:c r="X553" s="26" t="n">
        <x:v>-77.35771</x:v>
      </x:c>
      <x:c r="Y553">
        <x:v>4066.0659999999998</x:v>
      </x:c>
      <x:c r="Z553">
        <x:v>89</x:v>
      </x:c>
      <x:c r="AB553" t="s">
        <x:v>3983</x:v>
      </x:c>
      <x:c r="AF553" t="s">
        <x:v>50</x:v>
      </x:c>
      <x:c r="AG553" t="s">
        <x:v>374</x:v>
      </x:c>
      <x:c r="AH553" t="s">
        <x:v>3984</x:v>
      </x:c>
      <x:c r="AI553" t="s">
        <x:v>3985</x:v>
      </x:c>
      <x:c r="AJ553">
        <x:v>590</x:v>
      </x:c>
    </x:row>
    <x:row r="554">
      <x:c r="A554" t="s">
        <x:v>3950</x:v>
      </x:c>
      <x:c r="B554" t="s">
        <x:v>3807</x:v>
      </x:c>
      <x:c r="C554" t="s">
        <x:v>3986</x:v>
      </x:c>
      <x:c r="D554" t="s">
        <x:v>3987</x:v>
      </x:c>
      <x:c r="E554" t="s">
        <x:v>3988</x:v>
      </x:c>
      <x:c r="F554">
        <x:v>50</x:v>
      </x:c>
      <x:c r="G554">
        <x:v>50</x:v>
      </x:c>
      <x:c r="H554">
        <x:v>50</x:v>
      </x:c>
      <x:c r="P554" t="s">
        <x:v>80</x:v>
      </x:c>
      <x:c r="R554" s="9">
        <x:v>27514</x:v>
      </x:c>
      <x:c r="T554" t="s">
        <x:v>119</x:v>
      </x:c>
      <x:c r="W554" s="26" t="n">
        <x:v>5.73269</x:v>
      </x:c>
      <x:c r="X554" s="26" t="n">
        <x:v>-76.63017</x:v>
      </x:c>
      <x:c r="Y554">
        <x:v>5669.8419999999996</x:v>
      </x:c>
      <x:c r="Z554">
        <x:v>57</x:v>
      </x:c>
      <x:c r="AB554" t="s">
        <x:v>3989</x:v>
      </x:c>
      <x:c r="AF554" t="s">
        <x:v>50</x:v>
      </x:c>
      <x:c r="AG554" t="s">
        <x:v>374</x:v>
      </x:c>
      <x:c r="AH554" t="s">
        <x:v>3990</x:v>
      </x:c>
      <x:c r="AI554" t="s">
        <x:v>3991</x:v>
      </x:c>
      <x:c r="AJ554">
        <x:v>591</x:v>
      </x:c>
    </x:row>
    <x:row r="555">
      <x:c r="A555" t="s">
        <x:v>3950</x:v>
      </x:c>
      <x:c r="B555" t="s">
        <x:v>3807</x:v>
      </x:c>
      <x:c r="C555" t="s">
        <x:v>3992</x:v>
      </x:c>
      <x:c r="D555" t="s">
        <x:v>3993</x:v>
      </x:c>
      <x:c r="E555" t="s">
        <x:v>3994</x:v>
      </x:c>
      <x:c r="F555">
        <x:v>5</x:v>
      </x:c>
      <x:c r="G555">
        <x:v>5</x:v>
      </x:c>
      <x:c r="H555">
        <x:v>5</x:v>
      </x:c>
      <x:c r="I555" t="s">
        <x:v>3995</x:v>
      </x:c>
      <x:c r="J555" t="s">
        <x:v>3996</x:v>
      </x:c>
      <x:c r="K555" t="s">
        <x:v>3997</x:v>
      </x:c>
      <x:c r="L555" t="s">
        <x:v>3998</x:v>
      </x:c>
      <x:c r="M555" t="s">
        <x:v>3999</x:v>
      </x:c>
      <x:c r="N555" t="s">
        <x:v>1582</x:v>
      </x:c>
      <x:c r="O555" t="s">
        <x:v>1583</x:v>
      </x:c>
      <x:c r="P555" t="s">
        <x:v>1584</x:v>
      </x:c>
      <x:c r="R555" s="9">
        <x:v>28940</x:v>
      </x:c>
      <x:c r="T555" t="s">
        <x:v>119</x:v>
      </x:c>
      <x:c r="W555" s="26" t="n">
        <x:v>4.1569</x:v>
      </x:c>
      <x:c r="X555" s="26" t="n">
        <x:v>-77.13704</x:v>
      </x:c>
      <x:c r="Y555">
        <x:v>3254.4549999999999</x:v>
      </x:c>
      <x:c r="Z555">
        <x:v>13</x:v>
      </x:c>
      <x:c r="AB555" t="s">
        <x:v>1323</x:v>
      </x:c>
      <x:c r="AF555" t="s">
        <x:v>50</x:v>
      </x:c>
      <x:c r="AG555" t="s">
        <x:v>374</x:v>
      </x:c>
      <x:c r="AH555" t="s">
        <x:v>1324</x:v>
      </x:c>
      <x:c r="AI555" t="s">
        <x:v>4000</x:v>
      </x:c>
      <x:c r="AJ555">
        <x:v>592</x:v>
      </x:c>
    </x:row>
    <x:row r="556">
      <x:c r="A556" t="s">
        <x:v>3950</x:v>
      </x:c>
      <x:c r="B556" t="s">
        <x:v>3807</x:v>
      </x:c>
      <x:c r="C556" t="s">
        <x:v>4001</x:v>
      </x:c>
      <x:c r="D556" t="s">
        <x:v>4002</x:v>
      </x:c>
      <x:c r="E556" t="s">
        <x:v>4003</x:v>
      </x:c>
      <x:c r="I556" t="s">
        <x:v>4004</x:v>
      </x:c>
      <x:c r="J556" t="s">
        <x:v>4005</x:v>
      </x:c>
      <x:c r="K556" t="s">
        <x:v>4006</x:v>
      </x:c>
      <x:c r="L556" t="s">
        <x:v>4007</x:v>
      </x:c>
      <x:c r="M556" t="s">
        <x:v>4008</x:v>
      </x:c>
      <x:c r="N556" t="s">
        <x:v>4009</x:v>
      </x:c>
      <x:c r="O556" t="s">
        <x:v>4010</x:v>
      </x:c>
      <x:c r="P556" t="s">
        <x:v>4011</x:v>
      </x:c>
      <x:c r="R556" s="9">
        <x:v>28955</x:v>
      </x:c>
      <x:c r="T556" t="s">
        <x:v>119</x:v>
      </x:c>
      <x:c r="W556" s="26" t="n">
        <x:v>5</x:v>
      </x:c>
      <x:c r="X556" s="26" t="n">
        <x:v>-76.7333333</x:v>
      </x:c>
      <x:c r="AF556" t="s">
        <x:v>50</x:v>
      </x:c>
      <x:c r="AG556" t="s">
        <x:v>374</x:v>
      </x:c>
      <x:c r="AH556" t="s">
        <x:v>1324</x:v>
      </x:c>
      <x:c r="AI556" t="s">
        <x:v>4012</x:v>
      </x:c>
      <x:c r="AJ556">
        <x:v>593</x:v>
      </x:c>
    </x:row>
    <x:row r="557">
      <x:c r="A557" t="s">
        <x:v>3950</x:v>
      </x:c>
      <x:c r="B557" t="s">
        <x:v>3807</x:v>
      </x:c>
      <x:c r="C557" t="s">
        <x:v>4013</x:v>
      </x:c>
      <x:c r="D557" t="s">
        <x:v>4014</x:v>
      </x:c>
      <x:c r="E557" t="s">
        <x:v>4015</x:v>
      </x:c>
      <x:c r="I557" t="s">
        <x:v>4016</x:v>
      </x:c>
      <x:c r="J557" t="s">
        <x:v>4017</x:v>
      </x:c>
      <x:c r="K557" t="s">
        <x:v>4018</x:v>
      </x:c>
      <x:c r="L557" t="s">
        <x:v>4019</x:v>
      </x:c>
      <x:c r="M557" t="s">
        <x:v>4020</x:v>
      </x:c>
      <x:c r="N557" t="s">
        <x:v>4021</x:v>
      </x:c>
      <x:c r="O557">
        <x:v>-76.7</x:v>
      </x:c>
      <x:c r="P557" t="s">
        <x:v>4022</x:v>
      </x:c>
      <x:c r="R557" s="9">
        <x:v>28958</x:v>
      </x:c>
      <x:c r="T557" t="s">
        <x:v>119</x:v>
      </x:c>
      <x:c r="W557" s="26" t="n">
        <x:v>5.1</x:v>
      </x:c>
      <x:c r="X557" s="26" t="n">
        <x:v>-76.7</x:v>
      </x:c>
      <x:c r="AF557" t="s">
        <x:v>50</x:v>
      </x:c>
      <x:c r="AG557" t="s">
        <x:v>374</x:v>
      </x:c>
      <x:c r="AH557" t="s">
        <x:v>1324</x:v>
      </x:c>
      <x:c r="AI557" t="s">
        <x:v>4023</x:v>
      </x:c>
      <x:c r="AJ557">
        <x:v>594</x:v>
      </x:c>
    </x:row>
    <x:row r="558">
      <x:c r="A558" t="s">
        <x:v>3950</x:v>
      </x:c>
      <x:c r="B558" t="s">
        <x:v>3807</x:v>
      </x:c>
      <x:c r="C558" t="s">
        <x:v>4024</x:v>
      </x:c>
      <x:c r="D558" t="s">
        <x:v>4025</x:v>
      </x:c>
      <x:c r="E558" t="s">
        <x:v>4026</x:v>
      </x:c>
      <x:c r="F558">
        <x:v>600</x:v>
      </x:c>
      <x:c r="G558">
        <x:v>600</x:v>
      </x:c>
      <x:c r="H558">
        <x:v>600</x:v>
      </x:c>
      <x:c r="P558" t="s">
        <x:v>80</x:v>
      </x:c>
      <x:c r="R558" s="9">
        <x:v>30239</x:v>
      </x:c>
      <x:c r="T558" t="s">
        <x:v>119</x:v>
      </x:c>
      <x:c r="W558" s="26" t="n">
        <x:v>7.96955</x:v>
      </x:c>
      <x:c r="X558" s="26" t="n">
        <x:v>-77.16071</x:v>
      </x:c>
      <x:c r="Y558">
        <x:v>1160.6990000000001</x:v>
      </x:c>
      <x:c r="Z558">
        <x:v>552</x:v>
      </x:c>
      <x:c r="AB558" t="s">
        <x:v>4027</x:v>
      </x:c>
      <x:c r="AF558" t="s">
        <x:v>50</x:v>
      </x:c>
      <x:c r="AG558" t="s">
        <x:v>374</x:v>
      </x:c>
      <x:c r="AH558" t="s">
        <x:v>4028</x:v>
      </x:c>
      <x:c r="AI558" t="s">
        <x:v>4029</x:v>
      </x:c>
      <x:c r="AJ558">
        <x:v>595</x:v>
      </x:c>
    </x:row>
    <x:row r="559">
      <x:c r="A559" t="s">
        <x:v>3950</x:v>
      </x:c>
      <x:c r="B559" t="s">
        <x:v>3807</x:v>
      </x:c>
      <x:c r="C559" t="s">
        <x:v>4030</x:v>
      </x:c>
      <x:c r="D559" t="s">
        <x:v>4031</x:v>
      </x:c>
      <x:c r="E559" t="s">
        <x:v>4032</x:v>
      </x:c>
      <x:c r="P559" t="s">
        <x:v>80</x:v>
      </x:c>
      <x:c r="R559" s="9">
        <x:v>32829</x:v>
      </x:c>
      <x:c r="T559" t="s">
        <x:v>119</x:v>
      </x:c>
      <x:c r="W559" s="26" t="n">
        <x:v>6.02912</x:v>
      </x:c>
      <x:c r="X559" s="26" t="n">
        <x:v>-77.36486</x:v>
      </x:c>
      <x:c r="Y559">
        <x:v>3381.23</x:v>
      </x:c>
      <x:c r="Z559">
        <x:v>207</x:v>
      </x:c>
      <x:c r="AB559" t="s">
        <x:v>4033</x:v>
      </x:c>
      <x:c r="AF559" t="s">
        <x:v>50</x:v>
      </x:c>
      <x:c r="AG559" t="s">
        <x:v>374</x:v>
      </x:c>
      <x:c r="AH559" t="s">
        <x:v>4034</x:v>
      </x:c>
      <x:c r="AI559" t="s">
        <x:v>4035</x:v>
      </x:c>
      <x:c r="AJ559">
        <x:v>596</x:v>
      </x:c>
    </x:row>
    <x:row r="560">
      <x:c r="A560" t="s">
        <x:v>3950</x:v>
      </x:c>
      <x:c r="B560" t="s">
        <x:v>3807</x:v>
      </x:c>
      <x:c r="C560" t="s">
        <x:v>4036</x:v>
      </x:c>
      <x:c r="D560" t="s">
        <x:v>228</x:v>
      </x:c>
      <x:c r="E560" t="s">
        <x:v>4037</x:v>
      </x:c>
      <x:c r="F560">
        <x:v>641</x:v>
      </x:c>
      <x:c r="G560">
        <x:v>641</x:v>
      </x:c>
      <x:c r="H560">
        <x:v>641</x:v>
      </x:c>
      <x:c r="I560" t="s">
        <x:v>1566</x:v>
      </x:c>
      <x:c r="J560" t="s">
        <x:v>1567</x:v>
      </x:c>
      <x:c r="K560" t="s">
        <x:v>4038</x:v>
      </x:c>
      <x:c r="L560" t="s">
        <x:v>4039</x:v>
      </x:c>
      <x:c r="M560" t="s">
        <x:v>4040</x:v>
      </x:c>
      <x:c r="N560" t="s">
        <x:v>1371</x:v>
      </x:c>
      <x:c r="O560" t="s">
        <x:v>1372</x:v>
      </x:c>
      <x:c r="P560" t="s">
        <x:v>1373</x:v>
      </x:c>
      <x:c r="R560" s="9">
        <x:v>39954</x:v>
      </x:c>
      <x:c r="T560" t="s">
        <x:v>65</x:v>
      </x:c>
      <x:c r="W560" s="26" t="n">
        <x:v>4.8692722</x:v>
      </x:c>
      <x:c r="X560" s="26" t="n">
        <x:v>-76.2506472</x:v>
      </x:c>
      <x:c r="AF560" t="s">
        <x:v>50</x:v>
      </x:c>
      <x:c r="AG560" t="s">
        <x:v>374</x:v>
      </x:c>
      <x:c r="AH560" t="s">
        <x:v>375</x:v>
      </x:c>
      <x:c r="AI560" t="s">
        <x:v>4041</x:v>
      </x:c>
      <x:c r="AJ560">
        <x:v>597</x:v>
      </x:c>
    </x:row>
    <x:row r="561">
      <x:c r="A561" t="s">
        <x:v>3950</x:v>
      </x:c>
      <x:c r="B561" t="s">
        <x:v>3807</x:v>
      </x:c>
      <x:c r="C561" t="s">
        <x:v>4036</x:v>
      </x:c>
      <x:c r="D561" t="s">
        <x:v>228</x:v>
      </x:c>
      <x:c r="E561" t="s">
        <x:v>4037</x:v>
      </x:c>
      <x:c r="F561">
        <x:v>641</x:v>
      </x:c>
      <x:c r="G561">
        <x:v>641</x:v>
      </x:c>
      <x:c r="H561">
        <x:v>641</x:v>
      </x:c>
      <x:c r="I561" t="s">
        <x:v>1566</x:v>
      </x:c>
      <x:c r="J561" t="s">
        <x:v>1567</x:v>
      </x:c>
      <x:c r="K561" t="s">
        <x:v>4038</x:v>
      </x:c>
      <x:c r="L561" t="s">
        <x:v>4039</x:v>
      </x:c>
      <x:c r="M561" t="s">
        <x:v>4040</x:v>
      </x:c>
      <x:c r="N561" t="s">
        <x:v>1371</x:v>
      </x:c>
      <x:c r="O561" t="s">
        <x:v>1372</x:v>
      </x:c>
      <x:c r="P561" t="s">
        <x:v>1373</x:v>
      </x:c>
      <x:c r="R561" s="9">
        <x:v>39954</x:v>
      </x:c>
      <x:c r="T561" t="s">
        <x:v>65</x:v>
      </x:c>
      <x:c r="W561" s="26" t="n">
        <x:v>4.8692722</x:v>
      </x:c>
      <x:c r="X561" s="26" t="n">
        <x:v>-76.2506472</x:v>
      </x:c>
      <x:c r="AF561" t="s">
        <x:v>50</x:v>
      </x:c>
      <x:c r="AG561" t="s">
        <x:v>374</x:v>
      </x:c>
      <x:c r="AH561" t="s">
        <x:v>375</x:v>
      </x:c>
      <x:c r="AI561" t="s">
        <x:v>4041</x:v>
      </x:c>
      <x:c r="AJ561">
        <x:v>598</x:v>
      </x:c>
    </x:row>
    <x:row r="562">
      <x:c r="A562" t="s">
        <x:v>3950</x:v>
      </x:c>
      <x:c r="B562" t="s">
        <x:v>3807</x:v>
      </x:c>
      <x:c r="C562" t="s">
        <x:v>4042</x:v>
      </x:c>
      <x:c r="D562" t="s">
        <x:v>228</x:v>
      </x:c>
      <x:c r="E562" t="s">
        <x:v>4037</x:v>
      </x:c>
      <x:c r="F562">
        <x:v>641</x:v>
      </x:c>
      <x:c r="G562">
        <x:v>641</x:v>
      </x:c>
      <x:c r="H562">
        <x:v>641</x:v>
      </x:c>
      <x:c r="I562" t="s">
        <x:v>1566</x:v>
      </x:c>
      <x:c r="J562" t="s">
        <x:v>1567</x:v>
      </x:c>
      <x:c r="K562" t="s">
        <x:v>4038</x:v>
      </x:c>
      <x:c r="L562" t="s">
        <x:v>4039</x:v>
      </x:c>
      <x:c r="M562" t="s">
        <x:v>4040</x:v>
      </x:c>
      <x:c r="N562" t="s">
        <x:v>1371</x:v>
      </x:c>
      <x:c r="O562" t="s">
        <x:v>1372</x:v>
      </x:c>
      <x:c r="P562" t="s">
        <x:v>1373</x:v>
      </x:c>
      <x:c r="R562" s="9">
        <x:v>39954</x:v>
      </x:c>
      <x:c r="T562" t="s">
        <x:v>65</x:v>
      </x:c>
      <x:c r="W562" s="26" t="n">
        <x:v>4.8692722</x:v>
      </x:c>
      <x:c r="X562" s="26" t="n">
        <x:v>-76.2506472</x:v>
      </x:c>
      <x:c r="AF562" t="s">
        <x:v>50</x:v>
      </x:c>
      <x:c r="AG562" t="s">
        <x:v>374</x:v>
      </x:c>
      <x:c r="AH562" t="s">
        <x:v>375</x:v>
      </x:c>
      <x:c r="AI562" t="s">
        <x:v>4041</x:v>
      </x:c>
      <x:c r="AJ562">
        <x:v>599</x:v>
      </x:c>
    </x:row>
    <x:row r="563">
      <x:c r="A563" t="s">
        <x:v>3950</x:v>
      </x:c>
      <x:c r="B563" t="s">
        <x:v>3807</x:v>
      </x:c>
      <x:c r="C563" t="s">
        <x:v>4043</x:v>
      </x:c>
      <x:c r="D563" t="s">
        <x:v>228</x:v>
      </x:c>
      <x:c r="E563" t="s">
        <x:v>4037</x:v>
      </x:c>
      <x:c r="F563">
        <x:v>641</x:v>
      </x:c>
      <x:c r="G563">
        <x:v>641</x:v>
      </x:c>
      <x:c r="H563">
        <x:v>641</x:v>
      </x:c>
      <x:c r="I563" t="s">
        <x:v>1566</x:v>
      </x:c>
      <x:c r="J563" t="s">
        <x:v>1567</x:v>
      </x:c>
      <x:c r="K563" t="s">
        <x:v>4038</x:v>
      </x:c>
      <x:c r="L563" t="s">
        <x:v>4039</x:v>
      </x:c>
      <x:c r="M563" t="s">
        <x:v>4040</x:v>
      </x:c>
      <x:c r="N563" t="s">
        <x:v>1371</x:v>
      </x:c>
      <x:c r="O563" t="s">
        <x:v>1372</x:v>
      </x:c>
      <x:c r="P563" t="s">
        <x:v>1373</x:v>
      </x:c>
      <x:c r="R563" s="9">
        <x:v>39954</x:v>
      </x:c>
      <x:c r="T563" t="s">
        <x:v>65</x:v>
      </x:c>
      <x:c r="W563" s="26" t="n">
        <x:v>4.8692722</x:v>
      </x:c>
      <x:c r="X563" s="26" t="n">
        <x:v>-76.2506472</x:v>
      </x:c>
      <x:c r="AF563" t="s">
        <x:v>50</x:v>
      </x:c>
      <x:c r="AG563" t="s">
        <x:v>374</x:v>
      </x:c>
      <x:c r="AH563" t="s">
        <x:v>375</x:v>
      </x:c>
      <x:c r="AI563" t="s">
        <x:v>4041</x:v>
      </x:c>
      <x:c r="AJ563">
        <x:v>600</x:v>
      </x:c>
    </x:row>
    <x:row r="564">
      <x:c r="A564" t="s">
        <x:v>3950</x:v>
      </x:c>
      <x:c r="B564" t="s">
        <x:v>3807</x:v>
      </x:c>
      <x:c r="C564" t="s">
        <x:v>4044</x:v>
      </x:c>
      <x:c r="D564" t="s">
        <x:v>4045</x:v>
      </x:c>
      <x:c r="E564" t="s">
        <x:v>4046</x:v>
      </x:c>
      <x:c r="I564" t="s">
        <x:v>4047</x:v>
      </x:c>
      <x:c r="J564" t="s">
        <x:v>4048</x:v>
      </x:c>
      <x:c r="K564" t="s">
        <x:v>4049</x:v>
      </x:c>
      <x:c r="L564" t="s">
        <x:v>4050</x:v>
      </x:c>
      <x:c r="M564" t="s">
        <x:v>4051</x:v>
      </x:c>
      <x:c r="N564" t="s">
        <x:v>4052</x:v>
      </x:c>
      <x:c r="O564" t="s">
        <x:v>4053</x:v>
      </x:c>
      <x:c r="P564" t="s">
        <x:v>4054</x:v>
      </x:c>
      <x:c r="R564" s="9">
        <x:v>38212</x:v>
      </x:c>
      <x:c r="T564" t="s">
        <x:v>111</x:v>
      </x:c>
      <x:c r="W564" s="26" t="n">
        <x:v>5.2177806</x:v>
      </x:c>
      <x:c r="X564" s="26" t="n">
        <x:v>-76.6348667</x:v>
      </x:c>
      <x:c r="AF564" t="s">
        <x:v>50</x:v>
      </x:c>
      <x:c r="AG564" t="s">
        <x:v>374</x:v>
      </x:c>
      <x:c r="AH564" t="s">
        <x:v>4055</x:v>
      </x:c>
      <x:c r="AI564" t="s">
        <x:v>4056</x:v>
      </x:c>
      <x:c r="AJ564">
        <x:v>601</x:v>
      </x:c>
    </x:row>
    <x:row r="565">
      <x:c r="A565" t="s">
        <x:v>3950</x:v>
      </x:c>
      <x:c r="B565" t="s">
        <x:v>3807</x:v>
      </x:c>
      <x:c r="C565" t="s">
        <x:v>4057</x:v>
      </x:c>
      <x:c r="D565" t="s">
        <x:v>4058</x:v>
      </x:c>
      <x:c r="E565" t="s">
        <x:v>4059</x:v>
      </x:c>
      <x:c r="P565" t="s">
        <x:v>80</x:v>
      </x:c>
      <x:c r="R565" s="9"/>
      <x:c r="W565" s="26" t="n">
        <x:v>5.42165</x:v>
      </x:c>
      <x:c r="X565" s="26" t="n">
        <x:v>-76.74507</x:v>
      </x:c>
      <x:c r="Y565">
        <x:v>7507.3310000000001</x:v>
      </x:c>
      <x:c r="Z565">
        <x:v>71</x:v>
      </x:c>
      <x:c r="AA565" t="s">
        <x:v>4060</x:v>
      </x:c>
      <x:c r="AB565" t="s">
        <x:v>4061</x:v>
      </x:c>
      <x:c r="AF565" t="s">
        <x:v>50</x:v>
      </x:c>
      <x:c r="AG565" t="s">
        <x:v>374</x:v>
      </x:c>
      <x:c r="AH565" t="s">
        <x:v>4062</x:v>
      </x:c>
      <x:c r="AI565" t="s">
        <x:v>4063</x:v>
      </x:c>
      <x:c r="AJ565">
        <x:v>602</x:v>
      </x:c>
    </x:row>
    <x:row r="566">
      <x:c r="A566" t="s">
        <x:v>3806</x:v>
      </x:c>
      <x:c r="B566" t="s">
        <x:v>3807</x:v>
      </x:c>
      <x:c r="C566" t="s">
        <x:v>4064</x:v>
      </x:c>
      <x:c r="D566" t="s">
        <x:v>228</x:v>
      </x:c>
      <x:c r="E566" t="s">
        <x:v>4065</x:v>
      </x:c>
      <x:c r="F566" t="s">
        <x:v>2967</x:v>
      </x:c>
      <x:c r="G566">
        <x:v>2147</x:v>
      </x:c>
      <x:c r="H566">
        <x:v>2150</x:v>
      </x:c>
      <x:c r="I566" t="s">
        <x:v>4066</x:v>
      </x:c>
      <x:c r="J566" t="s">
        <x:v>4067</x:v>
      </x:c>
      <x:c r="K566" t="s">
        <x:v>4068</x:v>
      </x:c>
      <x:c r="L566" t="s">
        <x:v>4069</x:v>
      </x:c>
      <x:c r="M566" t="s">
        <x:v>4070</x:v>
      </x:c>
      <x:c r="P566" t="s">
        <x:v>80</x:v>
      </x:c>
      <x:c r="R566" s="9">
        <x:v>39965</x:v>
      </x:c>
      <x:c r="T566" t="s">
        <x:v>119</x:v>
      </x:c>
      <x:c r="W566" s="26" t="n">
        <x:v>1.9998611</x:v>
      </x:c>
      <x:c r="X566" s="26" t="n">
        <x:v>-76.2855028</x:v>
      </x:c>
      <x:c r="AF566" t="s">
        <x:v>50</x:v>
      </x:c>
      <x:c r="AG566" t="s">
        <x:v>51</x:v>
      </x:c>
      <x:c r="AH566" t="s">
        <x:v>296</x:v>
      </x:c>
      <x:c r="AI566" t="s">
        <x:v>4071</x:v>
      </x:c>
      <x:c r="AJ566">
        <x:v>603</x:v>
      </x:c>
    </x:row>
    <x:row r="567">
      <x:c r="A567" t="s">
        <x:v>3806</x:v>
      </x:c>
      <x:c r="B567" t="s">
        <x:v>3807</x:v>
      </x:c>
      <x:c r="C567" t="s">
        <x:v>4072</x:v>
      </x:c>
      <x:c r="D567" t="s">
        <x:v>4073</x:v>
      </x:c>
      <x:c r="E567" t="s">
        <x:v>4074</x:v>
      </x:c>
      <x:c r="F567">
        <x:v>1100</x:v>
      </x:c>
      <x:c r="G567">
        <x:v>1100</x:v>
      </x:c>
      <x:c r="H567">
        <x:v>1100</x:v>
      </x:c>
      <x:c r="I567" t="s">
        <x:v>4075</x:v>
      </x:c>
      <x:c r="J567" t="s">
        <x:v>4076</x:v>
      </x:c>
      <x:c r="K567" t="s">
        <x:v>4077</x:v>
      </x:c>
      <x:c r="L567" t="s">
        <x:v>4078</x:v>
      </x:c>
      <x:c r="M567" t="s">
        <x:v>4079</x:v>
      </x:c>
      <x:c r="N567" t="s">
        <x:v>4080</x:v>
      </x:c>
      <x:c r="O567" t="s">
        <x:v>4081</x:v>
      </x:c>
      <x:c r="P567" t="s">
        <x:v>4082</x:v>
      </x:c>
      <x:c r="R567" s="9">
        <x:v>29922</x:v>
      </x:c>
      <x:c r="W567" s="26" t="n">
        <x:v>1.25</x:v>
      </x:c>
      <x:c r="X567" s="26" t="n">
        <x:v>-78.1166667</x:v>
      </x:c>
      <x:c r="AF567" t="s">
        <x:v>50</x:v>
      </x:c>
      <x:c r="AG567" t="s">
        <x:v>127</x:v>
      </x:c>
      <x:c r="AH567" t="s">
        <x:v>4083</x:v>
      </x:c>
      <x:c r="AJ567">
        <x:v>604</x:v>
      </x:c>
    </x:row>
    <x:row r="568">
      <x:c r="A568" t="s">
        <x:v>3950</x:v>
      </x:c>
      <x:c r="B568" t="s">
        <x:v>3807</x:v>
      </x:c>
      <x:c r="C568" t="s">
        <x:v>4084</x:v>
      </x:c>
      <x:c r="D568" t="s">
        <x:v>4085</x:v>
      </x:c>
      <x:c r="E568" t="s">
        <x:v>4086</x:v>
      </x:c>
      <x:c r="F568">
        <x:v>350</x:v>
      </x:c>
      <x:c r="G568">
        <x:v>350</x:v>
      </x:c>
      <x:c r="H568">
        <x:v>350</x:v>
      </x:c>
      <x:c r="P568" t="s">
        <x:v>80</x:v>
      </x:c>
      <x:c r="R568" s="9">
        <x:v>36313</x:v>
      </x:c>
      <x:c r="T568" t="s">
        <x:v>119</x:v>
      </x:c>
      <x:c r="W568" s="26" t="n">
        <x:v>1.7738</x:v>
      </x:c>
      <x:c r="X568" s="26" t="n">
        <x:v>-78.8333</x:v>
      </x:c>
      <x:c r="Y568">
        <x:v>1615.596</x:v>
      </x:c>
      <x:c r="Z568">
        <x:v>11</x:v>
      </x:c>
      <x:c r="AB568" t="s">
        <x:v>4087</x:v>
      </x:c>
      <x:c r="AF568" t="s">
        <x:v>50</x:v>
      </x:c>
      <x:c r="AG568" t="s">
        <x:v>127</x:v>
      </x:c>
      <x:c r="AH568" t="s">
        <x:v>4088</x:v>
      </x:c>
      <x:c r="AI568" t="s">
        <x:v>4089</x:v>
      </x:c>
      <x:c r="AJ568">
        <x:v>605</x:v>
      </x:c>
    </x:row>
    <x:row r="569">
      <x:c r="A569" t="s">
        <x:v>3950</x:v>
      </x:c>
      <x:c r="B569" t="s">
        <x:v>3807</x:v>
      </x:c>
      <x:c r="C569" t="s">
        <x:v>4084</x:v>
      </x:c>
      <x:c r="D569" t="s">
        <x:v>4090</x:v>
      </x:c>
      <x:c r="E569" t="s">
        <x:v>4086</x:v>
      </x:c>
      <x:c r="F569">
        <x:v>350</x:v>
      </x:c>
      <x:c r="G569">
        <x:v>350</x:v>
      </x:c>
      <x:c r="H569">
        <x:v>350</x:v>
      </x:c>
      <x:c r="P569" t="s">
        <x:v>80</x:v>
      </x:c>
      <x:c r="R569" s="9">
        <x:v>36313</x:v>
      </x:c>
      <x:c r="T569" t="s">
        <x:v>119</x:v>
      </x:c>
      <x:c r="W569" s="26" t="n">
        <x:v>1.7738</x:v>
      </x:c>
      <x:c r="X569" s="26" t="n">
        <x:v>-78.8333</x:v>
      </x:c>
      <x:c r="Y569">
        <x:v>1615.596</x:v>
      </x:c>
      <x:c r="Z569">
        <x:v>11</x:v>
      </x:c>
      <x:c r="AB569" t="s">
        <x:v>4087</x:v>
      </x:c>
      <x:c r="AF569" t="s">
        <x:v>50</x:v>
      </x:c>
      <x:c r="AG569" t="s">
        <x:v>127</x:v>
      </x:c>
      <x:c r="AH569" t="s">
        <x:v>4088</x:v>
      </x:c>
      <x:c r="AI569" t="s">
        <x:v>4089</x:v>
      </x:c>
      <x:c r="AJ569">
        <x:v>606</x:v>
      </x:c>
    </x:row>
    <x:row r="570">
      <x:c r="A570" t="s">
        <x:v>3806</x:v>
      </x:c>
      <x:c r="B570" t="s">
        <x:v>3807</x:v>
      </x:c>
      <x:c r="C570" t="s">
        <x:v>4091</x:v>
      </x:c>
      <x:c r="D570" t="s">
        <x:v>4092</x:v>
      </x:c>
      <x:c r="E570" t="s">
        <x:v>4093</x:v>
      </x:c>
      <x:c r="F570">
        <x:v>250</x:v>
      </x:c>
      <x:c r="G570">
        <x:v>250</x:v>
      </x:c>
      <x:c r="H570">
        <x:v>250</x:v>
      </x:c>
      <x:c r="P570" t="s">
        <x:v>80</x:v>
      </x:c>
      <x:c r="R570" s="9">
        <x:v>14934</x:v>
      </x:c>
      <x:c r="T570" t="s">
        <x:v>119</x:v>
      </x:c>
      <x:c r="W570" s="26" t="n">
        <x:v>-0.49493</x:v>
      </x:c>
      <x:c r="X570" s="26" t="n">
        <x:v>-74.41941</x:v>
      </x:c>
      <x:c r="Y570">
        <x:v>494.892</x:v>
      </x:c>
      <x:c r="Z570">
        <x:v>168</x:v>
      </x:c>
      <x:c r="AB570" t="s">
        <x:v>4094</x:v>
      </x:c>
      <x:c r="AF570" t="s">
        <x:v>50</x:v>
      </x:c>
      <x:c r="AG570" t="s">
        <x:v>67</x:v>
      </x:c>
      <x:c r="AH570" t="s">
        <x:v>4095</x:v>
      </x:c>
      <x:c r="AI570" t="s">
        <x:v>4096</x:v>
      </x:c>
      <x:c r="AJ570">
        <x:v>607</x:v>
      </x:c>
    </x:row>
    <x:row r="571">
      <x:c r="A571" t="s">
        <x:v>3806</x:v>
      </x:c>
      <x:c r="B571" t="s">
        <x:v>3807</x:v>
      </x:c>
      <x:c r="C571" t="s">
        <x:v>4097</x:v>
      </x:c>
      <x:c r="D571" t="s">
        <x:v>4098</x:v>
      </x:c>
      <x:c r="E571" t="s">
        <x:v>4099</x:v>
      </x:c>
      <x:c r="F571">
        <x:v>240</x:v>
      </x:c>
      <x:c r="G571">
        <x:v>240</x:v>
      </x:c>
      <x:c r="H571">
        <x:v>240</x:v>
      </x:c>
      <x:c r="I571" t="s">
        <x:v>4100</x:v>
      </x:c>
      <x:c r="J571" t="s">
        <x:v>4101</x:v>
      </x:c>
      <x:c r="K571" t="s">
        <x:v>4102</x:v>
      </x:c>
      <x:c r="L571" t="s">
        <x:v>4103</x:v>
      </x:c>
      <x:c r="M571" t="s">
        <x:v>4104</x:v>
      </x:c>
      <x:c r="N571" t="s">
        <x:v>4105</x:v>
      </x:c>
      <x:c r="O571" t="s">
        <x:v>4106</x:v>
      </x:c>
      <x:c r="P571" t="s">
        <x:v>4107</x:v>
      </x:c>
      <x:c r="R571" s="9">
        <x:v>26712</x:v>
      </x:c>
      <x:c r="W571" s="26" t="n">
        <x:v>0.65795</x:v>
      </x:c>
      <x:c r="X571" s="26" t="n">
        <x:v>-76.6929861</x:v>
      </x:c>
      <x:c r="AF571" t="s">
        <x:v>50</x:v>
      </x:c>
      <x:c r="AG571" t="s">
        <x:v>67</x:v>
      </x:c>
      <x:c r="AH571" t="s">
        <x:v>4108</x:v>
      </x:c>
      <x:c r="AJ571">
        <x:v>608</x:v>
      </x:c>
    </x:row>
    <x:row r="572">
      <x:c r="A572" t="s">
        <x:v>3806</x:v>
      </x:c>
      <x:c r="B572" t="s">
        <x:v>3807</x:v>
      </x:c>
      <x:c r="C572" t="s">
        <x:v>4109</x:v>
      </x:c>
      <x:c r="D572" t="s">
        <x:v>4110</x:v>
      </x:c>
      <x:c r="E572" t="s">
        <x:v>4111</x:v>
      </x:c>
      <x:c r="F572">
        <x:v>700</x:v>
      </x:c>
      <x:c r="G572">
        <x:v>700</x:v>
      </x:c>
      <x:c r="H572">
        <x:v>700</x:v>
      </x:c>
      <x:c r="I572" t="s">
        <x:v>664</x:v>
      </x:c>
      <x:c r="J572" t="s">
        <x:v>665</x:v>
      </x:c>
      <x:c r="K572" t="s">
        <x:v>4112</x:v>
      </x:c>
      <x:c r="L572" t="s">
        <x:v>4113</x:v>
      </x:c>
      <x:c r="M572" t="s">
        <x:v>4114</x:v>
      </x:c>
      <x:c r="N572" t="s">
        <x:v>649</x:v>
      </x:c>
      <x:c r="O572" t="s">
        <x:v>4115</x:v>
      </x:c>
      <x:c r="P572" t="s">
        <x:v>4116</x:v>
      </x:c>
      <x:c r="R572" s="9">
        <x:v>29557</x:v>
      </x:c>
      <x:c r="W572" s="26" t="n">
        <x:v>1.1666667</x:v>
      </x:c>
      <x:c r="X572" s="26" t="n">
        <x:v>-76.55</x:v>
      </x:c>
      <x:c r="AF572" t="s">
        <x:v>50</x:v>
      </x:c>
      <x:c r="AG572" t="s">
        <x:v>67</x:v>
      </x:c>
      <x:c r="AH572" t="s">
        <x:v>4117</x:v>
      </x:c>
      <x:c r="AI572" t="s">
        <x:v>4118</x:v>
      </x:c>
      <x:c r="AJ572">
        <x:v>609</x:v>
      </x:c>
    </x:row>
    <x:row r="573">
      <x:c r="A573" t="s">
        <x:v>3806</x:v>
      </x:c>
      <x:c r="B573" t="s">
        <x:v>3807</x:v>
      </x:c>
      <x:c r="C573" t="s">
        <x:v>4119</x:v>
      </x:c>
      <x:c r="D573" t="s">
        <x:v>4120</x:v>
      </x:c>
      <x:c r="E573" t="s">
        <x:v>4121</x:v>
      </x:c>
      <x:c r="F573" t="s">
        <x:v>4122</x:v>
      </x:c>
      <x:c r="G573">
        <x:v>100</x:v>
      </x:c>
      <x:c r="H573">
        <x:v>700</x:v>
      </x:c>
      <x:c r="P573" t="s">
        <x:v>80</x:v>
      </x:c>
      <x:c r="R573" s="9">
        <x:v>12960</x:v>
      </x:c>
      <x:c r="W573" s="26" t="n">
        <x:v>6.75739</x:v>
      </x:c>
      <x:c r="X573" s="26" t="n">
        <x:v>-74.1218</x:v>
      </x:c>
      <x:c r="Y573">
        <x:v>1212.4369999999999</x:v>
      </x:c>
      <x:c r="Z573">
        <x:v>93</x:v>
      </x:c>
      <x:c r="AB573" t="s">
        <x:v>4123</x:v>
      </x:c>
      <x:c r="AF573" t="s">
        <x:v>50</x:v>
      </x:c>
      <x:c r="AG573" t="s">
        <x:v>224</x:v>
      </x:c>
      <x:c r="AH573" t="s">
        <x:v>4124</x:v>
      </x:c>
      <x:c r="AI573" t="s">
        <x:v>4125</x:v>
      </x:c>
      <x:c r="AJ573">
        <x:v>610</x:v>
      </x:c>
    </x:row>
    <x:row r="574">
      <x:c r="A574" t="s">
        <x:v>3950</x:v>
      </x:c>
      <x:c r="B574" t="s">
        <x:v>3807</x:v>
      </x:c>
      <x:c r="C574" t="s">
        <x:v>4126</x:v>
      </x:c>
      <x:c r="D574" t="s">
        <x:v>4127</x:v>
      </x:c>
      <x:c r="E574" t="s">
        <x:v>4128</x:v>
      </x:c>
      <x:c r="P574" t="s">
        <x:v>80</x:v>
      </x:c>
      <x:c r="R574" s="9">
        <x:v>24732</x:v>
      </x:c>
      <x:c r="T574" t="s">
        <x:v>119</x:v>
      </x:c>
      <x:c r="W574" s="26" t="n">
        <x:v>4.00206</x:v>
      </x:c>
      <x:c r="X574" s="26" t="n">
        <x:v>-76.97832</x:v>
      </x:c>
      <x:c r="Y574">
        <x:v>7060.0810000000001</x:v>
      </x:c>
      <x:c r="Z574">
        <x:v>20</x:v>
      </x:c>
      <x:c r="AB574" t="s">
        <x:v>4129</x:v>
      </x:c>
      <x:c r="AF574" t="s">
        <x:v>50</x:v>
      </x:c>
      <x:c r="AG574" t="s">
        <x:v>4130</x:v>
      </x:c>
      <x:c r="AJ574">
        <x:v>611</x:v>
      </x:c>
    </x:row>
    <x:row r="575">
      <x:c r="A575" t="s">
        <x:v>4131</x:v>
      </x:c>
      <x:c r="B575" t="s">
        <x:v>4132</x:v>
      </x:c>
      <x:c r="C575" t="s">
        <x:v>4133</x:v>
      </x:c>
      <x:c r="D575" t="s">
        <x:v>4134</x:v>
      </x:c>
      <x:c r="E575" t="s">
        <x:v>4135</x:v>
      </x:c>
      <x:c r="F575">
        <x:v>2511</x:v>
      </x:c>
      <x:c r="G575">
        <x:v>2511</x:v>
      </x:c>
      <x:c r="H575">
        <x:v>2511</x:v>
      </x:c>
      <x:c r="I575" t="s">
        <x:v>4136</x:v>
      </x:c>
      <x:c r="J575" t="s">
        <x:v>4137</x:v>
      </x:c>
      <x:c r="K575" t="s">
        <x:v>4138</x:v>
      </x:c>
      <x:c r="L575" t="s">
        <x:v>530</x:v>
      </x:c>
      <x:c r="M575" t="s">
        <x:v>4139</x:v>
      </x:c>
      <x:c r="N575" t="s">
        <x:v>4140</x:v>
      </x:c>
      <x:c r="O575" t="s">
        <x:v>533</x:v>
      </x:c>
      <x:c r="P575" t="s">
        <x:v>4141</x:v>
      </x:c>
      <x:c r="R575" s="9">
        <x:v>33352</x:v>
      </x:c>
      <x:c r="T575" t="s">
        <x:v>119</x:v>
      </x:c>
      <x:c r="W575" s="26" t="n">
        <x:v>6.6288</x:v>
      </x:c>
      <x:c r="X575" s="26" t="n">
        <x:v>-75.68897</x:v>
      </x:c>
      <x:c r="Y575">
        <x:v>1354.675</x:v>
      </x:c>
      <x:c r="Z575">
        <x:v>2639</x:v>
      </x:c>
      <x:c r="AB575" t="s">
        <x:v>4142</x:v>
      </x:c>
      <x:c r="AF575" t="s">
        <x:v>50</x:v>
      </x:c>
      <x:c r="AG575" t="s">
        <x:v>3417</x:v>
      </x:c>
      <x:c r="AH575" t="s">
        <x:v>1710</x:v>
      </x:c>
      <x:c r="AI575" t="s">
        <x:v>4143</x:v>
      </x:c>
      <x:c r="AJ575">
        <x:v>613</x:v>
      </x:c>
    </x:row>
    <x:row r="576">
      <x:c r="A576" t="s">
        <x:v>4131</x:v>
      </x:c>
      <x:c r="B576" t="s">
        <x:v>4132</x:v>
      </x:c>
      <x:c r="C576" t="s">
        <x:v>4144</x:v>
      </x:c>
      <x:c r="D576" t="s">
        <x:v>4145</x:v>
      </x:c>
      <x:c r="E576" t="s">
        <x:v>4146</x:v>
      </x:c>
      <x:c r="F576">
        <x:v>2590</x:v>
      </x:c>
      <x:c r="G576">
        <x:v>2590</x:v>
      </x:c>
      <x:c r="H576">
        <x:v>2590</x:v>
      </x:c>
      <x:c r="I576" t="s">
        <x:v>4147</x:v>
      </x:c>
      <x:c r="J576" t="s">
        <x:v>4148</x:v>
      </x:c>
      <x:c r="K576" t="s">
        <x:v>4149</x:v>
      </x:c>
      <x:c r="L576" t="s">
        <x:v>4150</x:v>
      </x:c>
      <x:c r="M576" t="s">
        <x:v>4151</x:v>
      </x:c>
      <x:c r="N576" t="s">
        <x:v>4152</x:v>
      </x:c>
      <x:c r="O576" t="s">
        <x:v>4153</x:v>
      </x:c>
      <x:c r="P576" t="s">
        <x:v>4154</x:v>
      </x:c>
      <x:c r="R576" s="9">
        <x:v>38563</x:v>
      </x:c>
      <x:c r="T576" t="s">
        <x:v>119</x:v>
      </x:c>
      <x:c r="W576" s="26" t="n">
        <x:v>6.6288</x:v>
      </x:c>
      <x:c r="X576" s="26" t="n">
        <x:v>-75.68897</x:v>
      </x:c>
      <x:c r="Y576">
        <x:v>1354.675</x:v>
      </x:c>
      <x:c r="Z576">
        <x:v>2639</x:v>
      </x:c>
      <x:c r="AB576" t="s">
        <x:v>4142</x:v>
      </x:c>
      <x:c r="AF576" t="s">
        <x:v>50</x:v>
      </x:c>
      <x:c r="AG576" t="s">
        <x:v>4155</x:v>
      </x:c>
      <x:c r="AH576" t="s">
        <x:v>1710</x:v>
      </x:c>
      <x:c r="AI576" t="s">
        <x:v>4156</x:v>
      </x:c>
      <x:c r="AJ576">
        <x:v>615</x:v>
      </x:c>
    </x:row>
    <x:row r="577">
      <x:c r="A577" t="s">
        <x:v>4131</x:v>
      </x:c>
      <x:c r="B577" t="s">
        <x:v>4132</x:v>
      </x:c>
      <x:c r="C577" t="s">
        <x:v>4157</x:v>
      </x:c>
      <x:c r="D577" t="s">
        <x:v>4158</x:v>
      </x:c>
      <x:c r="E577" t="s">
        <x:v>4159</x:v>
      </x:c>
      <x:c r="F577">
        <x:v>2600</x:v>
      </x:c>
      <x:c r="G577">
        <x:v>2600</x:v>
      </x:c>
      <x:c r="H577">
        <x:v>2600</x:v>
      </x:c>
      <x:c r="P577" t="s">
        <x:v>80</x:v>
      </x:c>
      <x:c r="R577" s="9">
        <x:v>24649</x:v>
      </x:c>
      <x:c r="T577" t="s">
        <x:v>119</x:v>
      </x:c>
      <x:c r="W577" s="26" t="n">
        <x:v>6.33376</x:v>
      </x:c>
      <x:c r="X577" s="26" t="n">
        <x:v>-75.64393</x:v>
      </x:c>
      <x:c r="Y577">
        <x:v>1957.38</x:v>
      </x:c>
      <x:c r="Z577">
        <x:v>3060</x:v>
      </x:c>
      <x:c r="AB577" t="s">
        <x:v>2262</x:v>
      </x:c>
      <x:c r="AF577" t="s">
        <x:v>50</x:v>
      </x:c>
      <x:c r="AG577" t="s">
        <x:v>402</x:v>
      </x:c>
      <x:c r="AH577" t="s">
        <x:v>4160</x:v>
      </x:c>
      <x:c r="AJ577">
        <x:v>617</x:v>
      </x:c>
    </x:row>
    <x:row r="578">
      <x:c r="A578" t="s">
        <x:v>4131</x:v>
      </x:c>
      <x:c r="B578" t="s">
        <x:v>4132</x:v>
      </x:c>
      <x:c r="C578" t="s">
        <x:v>4161</x:v>
      </x:c>
      <x:c r="D578" t="s">
        <x:v>4162</x:v>
      </x:c>
      <x:c r="E578" t="s">
        <x:v>4163</x:v>
      </x:c>
      <x:c r="F578">
        <x:v>2950</x:v>
      </x:c>
      <x:c r="G578">
        <x:v>2950</x:v>
      </x:c>
      <x:c r="H578">
        <x:v>2950</x:v>
      </x:c>
      <x:c r="I578" t="s">
        <x:v>4164</x:v>
      </x:c>
      <x:c r="J578" t="s">
        <x:v>4165</x:v>
      </x:c>
      <x:c r="K578" t="s">
        <x:v>4166</x:v>
      </x:c>
      <x:c r="L578" t="s">
        <x:v>4167</x:v>
      </x:c>
      <x:c r="M578" t="s">
        <x:v>4168</x:v>
      </x:c>
      <x:c r="N578" t="s">
        <x:v>4169</x:v>
      </x:c>
      <x:c r="O578" t="s">
        <x:v>4170</x:v>
      </x:c>
      <x:c r="P578" t="s">
        <x:v>4171</x:v>
      </x:c>
      <x:c r="R578" s="9">
        <x:v>28064</x:v>
      </x:c>
      <x:c r="T578" t="s">
        <x:v>119</x:v>
      </x:c>
      <x:c r="W578" s="26" t="n">
        <x:v>5.9280194</x:v>
      </x:c>
      <x:c r="X578" s="26" t="n">
        <x:v>-75.6717194</x:v>
      </x:c>
      <x:c r="AF578" t="s">
        <x:v>50</x:v>
      </x:c>
      <x:c r="AG578" t="s">
        <x:v>402</x:v>
      </x:c>
      <x:c r="AH578" t="s">
        <x:v>1034</x:v>
      </x:c>
      <x:c r="AI578" t="s">
        <x:v>4172</x:v>
      </x:c>
      <x:c r="AJ578">
        <x:v>618</x:v>
      </x:c>
    </x:row>
    <x:row r="579">
      <x:c r="A579" t="s">
        <x:v>4131</x:v>
      </x:c>
      <x:c r="B579" t="s">
        <x:v>4132</x:v>
      </x:c>
      <x:c r="C579" t="s">
        <x:v>4173</x:v>
      </x:c>
      <x:c r="D579" t="s">
        <x:v>4174</x:v>
      </x:c>
      <x:c r="E579" t="s">
        <x:v>4175</x:v>
      </x:c>
      <x:c r="F579">
        <x:v>2280</x:v>
      </x:c>
      <x:c r="G579">
        <x:v>2280</x:v>
      </x:c>
      <x:c r="H579">
        <x:v>2280</x:v>
      </x:c>
      <x:c r="I579" t="s">
        <x:v>4176</x:v>
      </x:c>
      <x:c r="J579" t="s">
        <x:v>4177</x:v>
      </x:c>
      <x:c r="K579" t="s">
        <x:v>4178</x:v>
      </x:c>
      <x:c r="L579" t="s">
        <x:v>4179</x:v>
      </x:c>
      <x:c r="M579" t="s">
        <x:v>4180</x:v>
      </x:c>
      <x:c r="N579" t="s">
        <x:v>4181</x:v>
      </x:c>
      <x:c r="O579" t="s">
        <x:v>4182</x:v>
      </x:c>
      <x:c r="P579" t="s">
        <x:v>4183</x:v>
      </x:c>
      <x:c r="R579" s="9">
        <x:v>28246</x:v>
      </x:c>
      <x:c r="T579" t="s">
        <x:v>119</x:v>
      </x:c>
      <x:c r="W579" s="26" t="n">
        <x:v>6.0572222</x:v>
      </x:c>
      <x:c r="X579" s="26" t="n">
        <x:v>-75.5025</x:v>
      </x:c>
      <x:c r="AF579" t="s">
        <x:v>50</x:v>
      </x:c>
      <x:c r="AG579" t="s">
        <x:v>402</x:v>
      </x:c>
      <x:c r="AH579" t="s">
        <x:v>4184</x:v>
      </x:c>
      <x:c r="AJ579">
        <x:v>619</x:v>
      </x:c>
    </x:row>
    <x:row r="580">
      <x:c r="A580" t="s">
        <x:v>4131</x:v>
      </x:c>
      <x:c r="B580" t="s">
        <x:v>4132</x:v>
      </x:c>
      <x:c r="C580" t="s">
        <x:v>4185</x:v>
      </x:c>
      <x:c r="D580" t="s">
        <x:v>4186</x:v>
      </x:c>
      <x:c r="E580" t="s">
        <x:v>4187</x:v>
      </x:c>
      <x:c r="F580" t="s">
        <x:v>4188</x:v>
      </x:c>
      <x:c r="G580" t="s">
        <x:v>4188</x:v>
      </x:c>
      <x:c r="H580" t="s">
        <x:v>4188</x:v>
      </x:c>
      <x:c r="I580" t="s">
        <x:v>4189</x:v>
      </x:c>
      <x:c r="J580" t="s">
        <x:v>4190</x:v>
      </x:c>
      <x:c r="K580" t="s">
        <x:v>4191</x:v>
      </x:c>
      <x:c r="L580" t="s">
        <x:v>4192</x:v>
      </x:c>
      <x:c r="M580" t="s">
        <x:v>4193</x:v>
      </x:c>
      <x:c r="N580" t="s">
        <x:v>754</x:v>
      </x:c>
      <x:c r="O580" t="s">
        <x:v>4194</x:v>
      </x:c>
      <x:c r="P580" t="s">
        <x:v>4195</x:v>
      </x:c>
      <x:c r="R580" s="9">
        <x:v>28709</x:v>
      </x:c>
      <x:c r="W580" s="26" t="n">
        <x:v>6.3</x:v>
      </x:c>
      <x:c r="X580" s="26" t="n">
        <x:v>-75.6833333</x:v>
      </x:c>
      <x:c r="AF580" t="s">
        <x:v>50</x:v>
      </x:c>
      <x:c r="AG580" t="s">
        <x:v>402</x:v>
      </x:c>
      <x:c r="AH580" t="s">
        <x:v>855</x:v>
      </x:c>
      <x:c r="AI580" t="s">
        <x:v>4196</x:v>
      </x:c>
      <x:c r="AJ580">
        <x:v>620</x:v>
      </x:c>
    </x:row>
    <x:row r="581">
      <x:c r="A581" t="s">
        <x:v>4131</x:v>
      </x:c>
      <x:c r="B581" t="s">
        <x:v>4132</x:v>
      </x:c>
      <x:c r="C581" t="s">
        <x:v>4197</x:v>
      </x:c>
      <x:c r="D581" t="s">
        <x:v>4198</x:v>
      </x:c>
      <x:c r="E581" t="s">
        <x:v>4199</x:v>
      </x:c>
      <x:c r="F581" t="s">
        <x:v>4200</x:v>
      </x:c>
      <x:c r="G581">
        <x:v>2100</x:v>
      </x:c>
      <x:c r="H581">
        <x:v>3150</x:v>
      </x:c>
      <x:c r="P581" t="s">
        <x:v>80</x:v>
      </x:c>
      <x:c r="R581" s="9">
        <x:v>28718</x:v>
      </x:c>
      <x:c r="T581" t="s">
        <x:v>119</x:v>
      </x:c>
      <x:c r="W581" s="26" t="n">
        <x:v>6.33435</x:v>
      </x:c>
      <x:c r="X581" s="26" t="n">
        <x:v>-75.65691</x:v>
      </x:c>
      <x:c r="Y581">
        <x:v>2777.5030000000002</x:v>
      </x:c>
      <x:c r="Z581">
        <x:v>3072</x:v>
      </x:c>
      <x:c r="AB581" t="s">
        <x:v>4201</x:v>
      </x:c>
      <x:c r="AF581" t="s">
        <x:v>50</x:v>
      </x:c>
      <x:c r="AG581" t="s">
        <x:v>402</x:v>
      </x:c>
      <x:c r="AH581" t="s">
        <x:v>4202</x:v>
      </x:c>
      <x:c r="AI581" t="s">
        <x:v>4203</x:v>
      </x:c>
      <x:c r="AJ581">
        <x:v>621</x:v>
      </x:c>
    </x:row>
    <x:row r="582">
      <x:c r="A582" t="s">
        <x:v>4131</x:v>
      </x:c>
      <x:c r="B582" t="s">
        <x:v>4132</x:v>
      </x:c>
      <x:c r="C582" t="s">
        <x:v>4204</x:v>
      </x:c>
      <x:c r="D582" t="s">
        <x:v>4205</x:v>
      </x:c>
      <x:c r="E582" t="s">
        <x:v>4206</x:v>
      </x:c>
      <x:c r="F582">
        <x:v>2000</x:v>
      </x:c>
      <x:c r="G582">
        <x:v>2000</x:v>
      </x:c>
      <x:c r="H582">
        <x:v>2000</x:v>
      </x:c>
      <x:c r="I582" t="s">
        <x:v>4207</x:v>
      </x:c>
      <x:c r="J582" t="s">
        <x:v>4208</x:v>
      </x:c>
      <x:c r="K582" t="s">
        <x:v>4209</x:v>
      </x:c>
      <x:c r="L582" t="s">
        <x:v>4210</x:v>
      </x:c>
      <x:c r="M582" t="s">
        <x:v>4211</x:v>
      </x:c>
      <x:c r="N582" t="s">
        <x:v>4212</x:v>
      </x:c>
      <x:c r="O582" t="s">
        <x:v>4213</x:v>
      </x:c>
      <x:c r="P582" t="s">
        <x:v>4214</x:v>
      </x:c>
      <x:c r="R582" s="9">
        <x:v>29061</x:v>
      </x:c>
      <x:c r="T582" t="s">
        <x:v>119</x:v>
      </x:c>
      <x:c r="W582" s="26" t="n">
        <x:v>6.9616833</x:v>
      </x:c>
      <x:c r="X582" s="26" t="n">
        <x:v>-75.426825</x:v>
      </x:c>
      <x:c r="AF582" t="s">
        <x:v>50</x:v>
      </x:c>
      <x:c r="AG582" t="s">
        <x:v>402</x:v>
      </x:c>
      <x:c r="AH582" t="s">
        <x:v>4215</x:v>
      </x:c>
      <x:c r="AI582" t="s">
        <x:v>4216</x:v>
      </x:c>
      <x:c r="AJ582">
        <x:v>622</x:v>
      </x:c>
    </x:row>
    <x:row r="583">
      <x:c r="A583" t="s">
        <x:v>4131</x:v>
      </x:c>
      <x:c r="B583" t="s">
        <x:v>4132</x:v>
      </x:c>
      <x:c r="C583" t="s">
        <x:v>4204</x:v>
      </x:c>
      <x:c r="D583" t="s">
        <x:v>4217</x:v>
      </x:c>
      <x:c r="E583" t="s">
        <x:v>4206</x:v>
      </x:c>
      <x:c r="F583">
        <x:v>2000</x:v>
      </x:c>
      <x:c r="G583">
        <x:v>2000</x:v>
      </x:c>
      <x:c r="H583">
        <x:v>2000</x:v>
      </x:c>
      <x:c r="I583" t="s">
        <x:v>4207</x:v>
      </x:c>
      <x:c r="J583" t="s">
        <x:v>4208</x:v>
      </x:c>
      <x:c r="K583" t="s">
        <x:v>4209</x:v>
      </x:c>
      <x:c r="L583" t="s">
        <x:v>4210</x:v>
      </x:c>
      <x:c r="M583" t="s">
        <x:v>4211</x:v>
      </x:c>
      <x:c r="N583" t="s">
        <x:v>4212</x:v>
      </x:c>
      <x:c r="O583" t="s">
        <x:v>4213</x:v>
      </x:c>
      <x:c r="P583" t="s">
        <x:v>4214</x:v>
      </x:c>
      <x:c r="R583" s="9">
        <x:v>29061</x:v>
      </x:c>
      <x:c r="W583" s="26" t="n">
        <x:v>6.9616833</x:v>
      </x:c>
      <x:c r="X583" s="26" t="n">
        <x:v>-75.426825</x:v>
      </x:c>
      <x:c r="AF583" t="s">
        <x:v>50</x:v>
      </x:c>
      <x:c r="AG583" t="s">
        <x:v>402</x:v>
      </x:c>
      <x:c r="AH583" t="s">
        <x:v>4215</x:v>
      </x:c>
      <x:c r="AI583" t="s">
        <x:v>4216</x:v>
      </x:c>
      <x:c r="AJ583">
        <x:v>623</x:v>
      </x:c>
    </x:row>
    <x:row r="584">
      <x:c r="A584" t="s">
        <x:v>4131</x:v>
      </x:c>
      <x:c r="B584" t="s">
        <x:v>4132</x:v>
      </x:c>
      <x:c r="C584" t="s">
        <x:v>4218</x:v>
      </x:c>
      <x:c r="D584" t="s">
        <x:v>4219</x:v>
      </x:c>
      <x:c r="E584" t="s">
        <x:v>4220</x:v>
      </x:c>
      <x:c r="I584" t="s">
        <x:v>4207</x:v>
      </x:c>
      <x:c r="J584" t="s">
        <x:v>4208</x:v>
      </x:c>
      <x:c r="K584" t="s">
        <x:v>4209</x:v>
      </x:c>
      <x:c r="L584" t="s">
        <x:v>4210</x:v>
      </x:c>
      <x:c r="M584" t="s">
        <x:v>4211</x:v>
      </x:c>
      <x:c r="N584" t="s">
        <x:v>4212</x:v>
      </x:c>
      <x:c r="O584" t="s">
        <x:v>4213</x:v>
      </x:c>
      <x:c r="P584" t="s">
        <x:v>4214</x:v>
      </x:c>
      <x:c r="R584" s="9">
        <x:v>29092</x:v>
      </x:c>
      <x:c r="W584" s="26" t="n">
        <x:v>6.9616833</x:v>
      </x:c>
      <x:c r="X584" s="26" t="n">
        <x:v>-75.426825</x:v>
      </x:c>
      <x:c r="AF584" t="s">
        <x:v>50</x:v>
      </x:c>
      <x:c r="AG584" t="s">
        <x:v>402</x:v>
      </x:c>
      <x:c r="AH584" t="s">
        <x:v>4221</x:v>
      </x:c>
      <x:c r="AJ584">
        <x:v>624</x:v>
      </x:c>
    </x:row>
    <x:row r="585">
      <x:c r="A585" t="s">
        <x:v>4131</x:v>
      </x:c>
      <x:c r="B585" t="s">
        <x:v>4132</x:v>
      </x:c>
      <x:c r="C585" t="s">
        <x:v>4222</x:v>
      </x:c>
      <x:c r="D585" t="s">
        <x:v>4223</x:v>
      </x:c>
      <x:c r="E585" t="s">
        <x:v>4224</x:v>
      </x:c>
      <x:c r="F585" t="s">
        <x:v>4225</x:v>
      </x:c>
      <x:c r="G585">
        <x:v>2200</x:v>
      </x:c>
      <x:c r="H585">
        <x:v>2700</x:v>
      </x:c>
      <x:c r="I585" t="s">
        <x:v>4226</x:v>
      </x:c>
      <x:c r="J585" t="s">
        <x:v>4227</x:v>
      </x:c>
      <x:c r="K585" t="s">
        <x:v>4228</x:v>
      </x:c>
      <x:c r="L585" t="s">
        <x:v>4229</x:v>
      </x:c>
      <x:c r="M585" t="s">
        <x:v>4230</x:v>
      </x:c>
      <x:c r="N585" t="s">
        <x:v>811</x:v>
      </x:c>
      <x:c r="O585" t="s">
        <x:v>2437</x:v>
      </x:c>
      <x:c r="P585" t="s">
        <x:v>4231</x:v>
      </x:c>
      <x:c r="R585" s="9">
        <x:v>30238</x:v>
      </x:c>
      <x:c r="T585" t="s">
        <x:v>119</x:v>
      </x:c>
      <x:c r="W585" s="26" t="n">
        <x:v>6.2833333</x:v>
      </x:c>
      <x:c r="X585" s="26" t="n">
        <x:v>-75.6333333</x:v>
      </x:c>
      <x:c r="AF585" t="s">
        <x:v>50</x:v>
      </x:c>
      <x:c r="AG585" t="s">
        <x:v>402</x:v>
      </x:c>
      <x:c r="AH585" t="s">
        <x:v>4232</x:v>
      </x:c>
      <x:c r="AI585" t="s">
        <x:v>4233</x:v>
      </x:c>
      <x:c r="AJ585">
        <x:v>625</x:v>
      </x:c>
    </x:row>
    <x:row r="586">
      <x:c r="A586" t="s">
        <x:v>4131</x:v>
      </x:c>
      <x:c r="B586" t="s">
        <x:v>4132</x:v>
      </x:c>
      <x:c r="C586" t="s">
        <x:v>4234</x:v>
      </x:c>
      <x:c r="D586" t="s">
        <x:v>4235</x:v>
      </x:c>
      <x:c r="E586" t="s">
        <x:v>4236</x:v>
      </x:c>
      <x:c r="F586">
        <x:v>2290</x:v>
      </x:c>
      <x:c r="G586">
        <x:v>2290</x:v>
      </x:c>
      <x:c r="H586">
        <x:v>2290</x:v>
      </x:c>
      <x:c r="I586" t="s">
        <x:v>541</x:v>
      </x:c>
      <x:c r="J586" t="s">
        <x:v>542</x:v>
      </x:c>
      <x:c r="K586" t="s">
        <x:v>543</x:v>
      </x:c>
      <x:c r="L586" t="s">
        <x:v>544</x:v>
      </x:c>
      <x:c r="M586" t="s">
        <x:v>545</x:v>
      </x:c>
      <x:c r="N586" t="s">
        <x:v>546</x:v>
      </x:c>
      <x:c r="O586" t="s">
        <x:v>547</x:v>
      </x:c>
      <x:c r="P586" t="s">
        <x:v>548</x:v>
      </x:c>
      <x:c r="R586" s="9">
        <x:v>30723</x:v>
      </x:c>
      <x:c r="W586" s="26" t="n">
        <x:v>6.2800111</x:v>
      </x:c>
      <x:c r="X586" s="26" t="n">
        <x:v>-75.4427333</x:v>
      </x:c>
      <x:c r="AF586" t="s">
        <x:v>50</x:v>
      </x:c>
      <x:c r="AG586" t="s">
        <x:v>402</x:v>
      </x:c>
      <x:c r="AH586" t="s">
        <x:v>550</x:v>
      </x:c>
      <x:c r="AI586" t="s">
        <x:v>4237</x:v>
      </x:c>
      <x:c r="AJ586">
        <x:v>628</x:v>
      </x:c>
    </x:row>
    <x:row r="587">
      <x:c r="A587" t="s">
        <x:v>4131</x:v>
      </x:c>
      <x:c r="B587" t="s">
        <x:v>4132</x:v>
      </x:c>
      <x:c r="C587" t="s">
        <x:v>4238</x:v>
      </x:c>
      <x:c r="D587" t="s">
        <x:v>4239</x:v>
      </x:c>
      <x:c r="E587" t="s">
        <x:v>4236</x:v>
      </x:c>
      <x:c r="F587">
        <x:v>2290</x:v>
      </x:c>
      <x:c r="G587">
        <x:v>2290</x:v>
      </x:c>
      <x:c r="H587">
        <x:v>2290</x:v>
      </x:c>
      <x:c r="I587" t="s">
        <x:v>541</x:v>
      </x:c>
      <x:c r="J587" t="s">
        <x:v>542</x:v>
      </x:c>
      <x:c r="K587" t="s">
        <x:v>543</x:v>
      </x:c>
      <x:c r="L587" t="s">
        <x:v>544</x:v>
      </x:c>
      <x:c r="M587" t="s">
        <x:v>545</x:v>
      </x:c>
      <x:c r="N587" t="s">
        <x:v>546</x:v>
      </x:c>
      <x:c r="O587" t="s">
        <x:v>547</x:v>
      </x:c>
      <x:c r="P587" t="s">
        <x:v>548</x:v>
      </x:c>
      <x:c r="R587" s="9">
        <x:v>30723</x:v>
      </x:c>
      <x:c r="W587" s="26" t="n">
        <x:v>6.2800111</x:v>
      </x:c>
      <x:c r="X587" s="26" t="n">
        <x:v>-75.4427333</x:v>
      </x:c>
      <x:c r="AF587" t="s">
        <x:v>50</x:v>
      </x:c>
      <x:c r="AG587" t="s">
        <x:v>402</x:v>
      </x:c>
      <x:c r="AH587" t="s">
        <x:v>550</x:v>
      </x:c>
      <x:c r="AI587" t="s">
        <x:v>4237</x:v>
      </x:c>
      <x:c r="AJ587">
        <x:v>629</x:v>
      </x:c>
    </x:row>
    <x:row r="588">
      <x:c r="A588" t="s">
        <x:v>4131</x:v>
      </x:c>
      <x:c r="B588" t="s">
        <x:v>4132</x:v>
      </x:c>
      <x:c r="C588" t="s">
        <x:v>4240</x:v>
      </x:c>
      <x:c r="D588" t="s">
        <x:v>4241</x:v>
      </x:c>
      <x:c r="E588" t="s">
        <x:v>4242</x:v>
      </x:c>
      <x:c r="F588">
        <x:v>2440</x:v>
      </x:c>
      <x:c r="G588">
        <x:v>2440</x:v>
      </x:c>
      <x:c r="H588">
        <x:v>2440</x:v>
      </x:c>
      <x:c r="I588" t="s">
        <x:v>555</x:v>
      </x:c>
      <x:c r="J588" t="s">
        <x:v>556</x:v>
      </x:c>
      <x:c r="K588" t="s">
        <x:v>557</x:v>
      </x:c>
      <x:c r="L588" t="s">
        <x:v>558</x:v>
      </x:c>
      <x:c r="M588" t="s">
        <x:v>559</x:v>
      </x:c>
      <x:c r="N588" t="s">
        <x:v>560</x:v>
      </x:c>
      <x:c r="O588" t="s">
        <x:v>561</x:v>
      </x:c>
      <x:c r="P588" t="s">
        <x:v>562</x:v>
      </x:c>
      <x:c r="R588" s="9">
        <x:v>30833</x:v>
      </x:c>
      <x:c r="T588" t="s">
        <x:v>111</x:v>
      </x:c>
      <x:c r="W588" s="26" t="n">
        <x:v>6.09</x:v>
      </x:c>
      <x:c r="X588" s="26" t="n">
        <x:v>-75.638</x:v>
      </x:c>
      <x:c r="AF588" t="s">
        <x:v>50</x:v>
      </x:c>
      <x:c r="AG588" t="s">
        <x:v>402</x:v>
      </x:c>
      <x:c r="AH588" t="s">
        <x:v>167</x:v>
      </x:c>
      <x:c r="AI588" t="s">
        <x:v>4243</x:v>
      </x:c>
      <x:c r="AJ588">
        <x:v>630</x:v>
      </x:c>
    </x:row>
    <x:row r="589">
      <x:c r="A589" t="s">
        <x:v>4131</x:v>
      </x:c>
      <x:c r="B589" t="s">
        <x:v>4132</x:v>
      </x:c>
      <x:c r="C589" t="s">
        <x:v>4244</x:v>
      </x:c>
      <x:c r="D589" t="s">
        <x:v>4245</x:v>
      </x:c>
      <x:c r="E589" t="s">
        <x:v>4242</x:v>
      </x:c>
      <x:c r="F589">
        <x:v>2440</x:v>
      </x:c>
      <x:c r="G589">
        <x:v>2440</x:v>
      </x:c>
      <x:c r="H589">
        <x:v>2440</x:v>
      </x:c>
      <x:c r="I589" t="s">
        <x:v>555</x:v>
      </x:c>
      <x:c r="J589" t="s">
        <x:v>556</x:v>
      </x:c>
      <x:c r="K589" t="s">
        <x:v>557</x:v>
      </x:c>
      <x:c r="L589" t="s">
        <x:v>558</x:v>
      </x:c>
      <x:c r="M589" t="s">
        <x:v>559</x:v>
      </x:c>
      <x:c r="N589" t="s">
        <x:v>560</x:v>
      </x:c>
      <x:c r="O589" t="s">
        <x:v>561</x:v>
      </x:c>
      <x:c r="P589" t="s">
        <x:v>562</x:v>
      </x:c>
      <x:c r="R589" s="9">
        <x:v>30833</x:v>
      </x:c>
      <x:c r="W589" s="26" t="n">
        <x:v>6.09</x:v>
      </x:c>
      <x:c r="X589" s="26" t="n">
        <x:v>-75.638</x:v>
      </x:c>
      <x:c r="AF589" t="s">
        <x:v>50</x:v>
      </x:c>
      <x:c r="AG589" t="s">
        <x:v>402</x:v>
      </x:c>
      <x:c r="AH589" t="s">
        <x:v>167</x:v>
      </x:c>
      <x:c r="AI589" t="s">
        <x:v>4243</x:v>
      </x:c>
      <x:c r="AJ589">
        <x:v>631</x:v>
      </x:c>
    </x:row>
    <x:row r="590">
      <x:c r="A590" t="s">
        <x:v>4131</x:v>
      </x:c>
      <x:c r="B590" t="s">
        <x:v>4132</x:v>
      </x:c>
      <x:c r="C590" t="s">
        <x:v>4246</x:v>
      </x:c>
      <x:c r="D590" t="s">
        <x:v>4247</x:v>
      </x:c>
      <x:c r="E590" t="s">
        <x:v>4242</x:v>
      </x:c>
      <x:c r="F590">
        <x:v>2440</x:v>
      </x:c>
      <x:c r="G590">
        <x:v>2440</x:v>
      </x:c>
      <x:c r="H590">
        <x:v>2440</x:v>
      </x:c>
      <x:c r="I590" t="s">
        <x:v>555</x:v>
      </x:c>
      <x:c r="J590" t="s">
        <x:v>556</x:v>
      </x:c>
      <x:c r="K590" t="s">
        <x:v>557</x:v>
      </x:c>
      <x:c r="L590" t="s">
        <x:v>558</x:v>
      </x:c>
      <x:c r="M590" t="s">
        <x:v>559</x:v>
      </x:c>
      <x:c r="N590" t="s">
        <x:v>560</x:v>
      </x:c>
      <x:c r="O590" t="s">
        <x:v>561</x:v>
      </x:c>
      <x:c r="P590" t="s">
        <x:v>562</x:v>
      </x:c>
      <x:c r="R590" s="9">
        <x:v>31170</x:v>
      </x:c>
      <x:c r="W590" s="26" t="n">
        <x:v>6.09</x:v>
      </x:c>
      <x:c r="X590" s="26" t="n">
        <x:v>-75.638</x:v>
      </x:c>
      <x:c r="AF590" t="s">
        <x:v>50</x:v>
      </x:c>
      <x:c r="AG590" t="s">
        <x:v>402</x:v>
      </x:c>
      <x:c r="AH590" t="s">
        <x:v>167</x:v>
      </x:c>
      <x:c r="AI590" t="s">
        <x:v>4243</x:v>
      </x:c>
      <x:c r="AJ590">
        <x:v>632</x:v>
      </x:c>
    </x:row>
    <x:row r="591">
      <x:c r="A591" t="s">
        <x:v>4131</x:v>
      </x:c>
      <x:c r="B591" t="s">
        <x:v>4132</x:v>
      </x:c>
      <x:c r="C591" t="s">
        <x:v>4248</x:v>
      </x:c>
      <x:c r="D591" t="s">
        <x:v>4249</x:v>
      </x:c>
      <x:c r="E591" t="s">
        <x:v>4242</x:v>
      </x:c>
      <x:c r="F591">
        <x:v>2440</x:v>
      </x:c>
      <x:c r="G591">
        <x:v>2440</x:v>
      </x:c>
      <x:c r="H591">
        <x:v>2440</x:v>
      </x:c>
      <x:c r="I591" t="s">
        <x:v>555</x:v>
      </x:c>
      <x:c r="J591" t="s">
        <x:v>556</x:v>
      </x:c>
      <x:c r="K591" t="s">
        <x:v>557</x:v>
      </x:c>
      <x:c r="L591" t="s">
        <x:v>558</x:v>
      </x:c>
      <x:c r="M591" t="s">
        <x:v>559</x:v>
      </x:c>
      <x:c r="N591" t="s">
        <x:v>560</x:v>
      </x:c>
      <x:c r="O591" t="s">
        <x:v>561</x:v>
      </x:c>
      <x:c r="P591" t="s">
        <x:v>562</x:v>
      </x:c>
      <x:c r="R591" s="9">
        <x:v>31191</x:v>
      </x:c>
      <x:c r="W591" s="26" t="n">
        <x:v>6.09</x:v>
      </x:c>
      <x:c r="X591" s="26" t="n">
        <x:v>-75.638</x:v>
      </x:c>
      <x:c r="AF591" t="s">
        <x:v>50</x:v>
      </x:c>
      <x:c r="AG591" t="s">
        <x:v>402</x:v>
      </x:c>
      <x:c r="AH591" t="s">
        <x:v>167</x:v>
      </x:c>
      <x:c r="AI591" t="s">
        <x:v>4243</x:v>
      </x:c>
      <x:c r="AJ591">
        <x:v>633</x:v>
      </x:c>
    </x:row>
    <x:row r="592">
      <x:c r="A592" t="s">
        <x:v>4131</x:v>
      </x:c>
      <x:c r="B592" t="s">
        <x:v>4132</x:v>
      </x:c>
      <x:c r="C592" t="s">
        <x:v>4250</x:v>
      </x:c>
      <x:c r="D592" t="s">
        <x:v>4251</x:v>
      </x:c>
      <x:c r="E592" t="s">
        <x:v>4242</x:v>
      </x:c>
      <x:c r="F592">
        <x:v>2440</x:v>
      </x:c>
      <x:c r="G592">
        <x:v>2440</x:v>
      </x:c>
      <x:c r="H592">
        <x:v>2440</x:v>
      </x:c>
      <x:c r="I592" t="s">
        <x:v>555</x:v>
      </x:c>
      <x:c r="J592" t="s">
        <x:v>556</x:v>
      </x:c>
      <x:c r="K592" t="s">
        <x:v>557</x:v>
      </x:c>
      <x:c r="L592" t="s">
        <x:v>558</x:v>
      </x:c>
      <x:c r="M592" t="s">
        <x:v>559</x:v>
      </x:c>
      <x:c r="N592" t="s">
        <x:v>560</x:v>
      </x:c>
      <x:c r="O592" t="s">
        <x:v>561</x:v>
      </x:c>
      <x:c r="P592" t="s">
        <x:v>562</x:v>
      </x:c>
      <x:c r="R592" s="9">
        <x:v>31327</x:v>
      </x:c>
      <x:c r="W592" s="26" t="n">
        <x:v>6.09</x:v>
      </x:c>
      <x:c r="X592" s="26" t="n">
        <x:v>-75.638</x:v>
      </x:c>
      <x:c r="AF592" t="s">
        <x:v>50</x:v>
      </x:c>
      <x:c r="AG592" t="s">
        <x:v>402</x:v>
      </x:c>
      <x:c r="AH592" t="s">
        <x:v>167</x:v>
      </x:c>
      <x:c r="AI592" t="s">
        <x:v>4243</x:v>
      </x:c>
      <x:c r="AJ592">
        <x:v>634</x:v>
      </x:c>
    </x:row>
    <x:row r="593">
      <x:c r="A593" t="s">
        <x:v>4131</x:v>
      </x:c>
      <x:c r="B593" t="s">
        <x:v>4132</x:v>
      </x:c>
      <x:c r="C593" t="s">
        <x:v>4252</x:v>
      </x:c>
      <x:c r="D593" t="s">
        <x:v>4253</x:v>
      </x:c>
      <x:c r="E593" t="s">
        <x:v>4242</x:v>
      </x:c>
      <x:c r="F593">
        <x:v>2440</x:v>
      </x:c>
      <x:c r="G593">
        <x:v>2440</x:v>
      </x:c>
      <x:c r="H593">
        <x:v>2440</x:v>
      </x:c>
      <x:c r="I593" t="s">
        <x:v>555</x:v>
      </x:c>
      <x:c r="J593" t="s">
        <x:v>556</x:v>
      </x:c>
      <x:c r="K593" t="s">
        <x:v>557</x:v>
      </x:c>
      <x:c r="L593" t="s">
        <x:v>558</x:v>
      </x:c>
      <x:c r="M593" t="s">
        <x:v>559</x:v>
      </x:c>
      <x:c r="N593" t="s">
        <x:v>560</x:v>
      </x:c>
      <x:c r="O593" t="s">
        <x:v>561</x:v>
      </x:c>
      <x:c r="P593" t="s">
        <x:v>562</x:v>
      </x:c>
      <x:c r="R593" s="9">
        <x:v>31341</x:v>
      </x:c>
      <x:c r="W593" s="26" t="n">
        <x:v>6.09</x:v>
      </x:c>
      <x:c r="X593" s="26" t="n">
        <x:v>-75.638</x:v>
      </x:c>
      <x:c r="AF593" t="s">
        <x:v>50</x:v>
      </x:c>
      <x:c r="AG593" t="s">
        <x:v>402</x:v>
      </x:c>
      <x:c r="AH593" t="s">
        <x:v>167</x:v>
      </x:c>
      <x:c r="AI593" t="s">
        <x:v>4243</x:v>
      </x:c>
      <x:c r="AJ593">
        <x:v>635</x:v>
      </x:c>
    </x:row>
    <x:row r="594">
      <x:c r="A594" t="s">
        <x:v>4131</x:v>
      </x:c>
      <x:c r="B594" t="s">
        <x:v>4132</x:v>
      </x:c>
      <x:c r="C594" t="s">
        <x:v>4254</x:v>
      </x:c>
      <x:c r="D594" t="s">
        <x:v>4255</x:v>
      </x:c>
      <x:c r="E594" t="s">
        <x:v>4242</x:v>
      </x:c>
      <x:c r="F594">
        <x:v>2400</x:v>
      </x:c>
      <x:c r="G594">
        <x:v>2400</x:v>
      </x:c>
      <x:c r="H594">
        <x:v>2400</x:v>
      </x:c>
      <x:c r="I594" t="s">
        <x:v>555</x:v>
      </x:c>
      <x:c r="J594" t="s">
        <x:v>556</x:v>
      </x:c>
      <x:c r="K594" t="s">
        <x:v>557</x:v>
      </x:c>
      <x:c r="L594" t="s">
        <x:v>558</x:v>
      </x:c>
      <x:c r="M594" t="s">
        <x:v>559</x:v>
      </x:c>
      <x:c r="N594" t="s">
        <x:v>560</x:v>
      </x:c>
      <x:c r="O594" t="s">
        <x:v>561</x:v>
      </x:c>
      <x:c r="P594" t="s">
        <x:v>562</x:v>
      </x:c>
      <x:c r="R594" s="9">
        <x:v>31551</x:v>
      </x:c>
      <x:c r="W594" s="26" t="n">
        <x:v>6.09</x:v>
      </x:c>
      <x:c r="X594" s="26" t="n">
        <x:v>-75.638</x:v>
      </x:c>
      <x:c r="AF594" t="s">
        <x:v>50</x:v>
      </x:c>
      <x:c r="AG594" t="s">
        <x:v>402</x:v>
      </x:c>
      <x:c r="AH594" t="s">
        <x:v>167</x:v>
      </x:c>
      <x:c r="AI594" t="s">
        <x:v>4243</x:v>
      </x:c>
      <x:c r="AJ594">
        <x:v>636</x:v>
      </x:c>
    </x:row>
    <x:row r="595">
      <x:c r="A595" t="s">
        <x:v>4131</x:v>
      </x:c>
      <x:c r="B595" t="s">
        <x:v>4132</x:v>
      </x:c>
      <x:c r="C595" t="s">
        <x:v>4256</x:v>
      </x:c>
      <x:c r="D595" t="s">
        <x:v>4257</x:v>
      </x:c>
      <x:c r="E595" t="s">
        <x:v>4258</x:v>
      </x:c>
      <x:c r="F595">
        <x:v>2790</x:v>
      </x:c>
      <x:c r="G595">
        <x:v>2790</x:v>
      </x:c>
      <x:c r="H595">
        <x:v>2790</x:v>
      </x:c>
      <x:c r="I595" t="s">
        <x:v>4207</x:v>
      </x:c>
      <x:c r="J595" t="s">
        <x:v>4208</x:v>
      </x:c>
      <x:c r="K595" t="s">
        <x:v>4209</x:v>
      </x:c>
      <x:c r="L595" t="s">
        <x:v>4210</x:v>
      </x:c>
      <x:c r="M595" t="s">
        <x:v>4211</x:v>
      </x:c>
      <x:c r="N595" t="s">
        <x:v>4212</x:v>
      </x:c>
      <x:c r="O595" t="s">
        <x:v>4213</x:v>
      </x:c>
      <x:c r="P595" t="s">
        <x:v>4214</x:v>
      </x:c>
      <x:c r="R595" s="9">
        <x:v>31627</x:v>
      </x:c>
      <x:c r="W595" s="26" t="n">
        <x:v>6.9616833</x:v>
      </x:c>
      <x:c r="X595" s="26" t="n">
        <x:v>-75.426825</x:v>
      </x:c>
      <x:c r="AF595" t="s">
        <x:v>50</x:v>
      </x:c>
      <x:c r="AG595" t="s">
        <x:v>402</x:v>
      </x:c>
      <x:c r="AH595" t="s">
        <x:v>4215</x:v>
      </x:c>
      <x:c r="AI595" t="s">
        <x:v>4259</x:v>
      </x:c>
      <x:c r="AJ595">
        <x:v>638</x:v>
      </x:c>
    </x:row>
    <x:row r="596">
      <x:c r="A596" t="s">
        <x:v>4131</x:v>
      </x:c>
      <x:c r="B596" t="s">
        <x:v>4132</x:v>
      </x:c>
      <x:c r="C596" t="s">
        <x:v>4260</x:v>
      </x:c>
      <x:c r="D596" t="s">
        <x:v>4261</x:v>
      </x:c>
      <x:c r="E596" t="s">
        <x:v>4262</x:v>
      </x:c>
      <x:c r="F596">
        <x:v>2420</x:v>
      </x:c>
      <x:c r="G596">
        <x:v>2420</x:v>
      </x:c>
      <x:c r="H596">
        <x:v>2420</x:v>
      </x:c>
      <x:c r="I596" t="s">
        <x:v>4207</x:v>
      </x:c>
      <x:c r="J596" t="s">
        <x:v>4208</x:v>
      </x:c>
      <x:c r="K596" t="s">
        <x:v>4209</x:v>
      </x:c>
      <x:c r="L596" t="s">
        <x:v>4210</x:v>
      </x:c>
      <x:c r="M596" t="s">
        <x:v>4211</x:v>
      </x:c>
      <x:c r="N596" t="s">
        <x:v>4212</x:v>
      </x:c>
      <x:c r="O596" t="s">
        <x:v>4213</x:v>
      </x:c>
      <x:c r="P596" t="s">
        <x:v>4214</x:v>
      </x:c>
      <x:c r="R596" s="9">
        <x:v>31639</x:v>
      </x:c>
      <x:c r="W596" s="26" t="n">
        <x:v>6.9616833</x:v>
      </x:c>
      <x:c r="X596" s="26" t="n">
        <x:v>-75.426825</x:v>
      </x:c>
      <x:c r="AF596" t="s">
        <x:v>50</x:v>
      </x:c>
      <x:c r="AG596" t="s">
        <x:v>402</x:v>
      </x:c>
      <x:c r="AH596" t="s">
        <x:v>4215</x:v>
      </x:c>
      <x:c r="AI596" t="s">
        <x:v>4263</x:v>
      </x:c>
      <x:c r="AJ596">
        <x:v>640</x:v>
      </x:c>
    </x:row>
    <x:row r="597">
      <x:c r="A597" t="s">
        <x:v>4131</x:v>
      </x:c>
      <x:c r="B597" t="s">
        <x:v>4132</x:v>
      </x:c>
      <x:c r="C597" t="s">
        <x:v>4264</x:v>
      </x:c>
      <x:c r="D597" t="s">
        <x:v>4265</x:v>
      </x:c>
      <x:c r="E597" t="s">
        <x:v>4266</x:v>
      </x:c>
      <x:c r="F597">
        <x:v>2420</x:v>
      </x:c>
      <x:c r="G597">
        <x:v>2420</x:v>
      </x:c>
      <x:c r="H597">
        <x:v>2420</x:v>
      </x:c>
      <x:c r="I597" t="s">
        <x:v>4267</x:v>
      </x:c>
      <x:c r="J597" t="s">
        <x:v>4268</x:v>
      </x:c>
      <x:c r="K597" t="s">
        <x:v>3503</x:v>
      </x:c>
      <x:c r="L597" t="s">
        <x:v>3504</x:v>
      </x:c>
      <x:c r="M597" t="s">
        <x:v>4269</x:v>
      </x:c>
      <x:c r="N597" t="s">
        <x:v>4270</x:v>
      </x:c>
      <x:c r="O597" t="s">
        <x:v>3506</x:v>
      </x:c>
      <x:c r="P597" t="s">
        <x:v>4271</x:v>
      </x:c>
      <x:c r="R597" s="9">
        <x:v>31746</x:v>
      </x:c>
      <x:c r="T597" t="s">
        <x:v>119</x:v>
      </x:c>
      <x:c r="W597" s="26" t="n">
        <x:v>6.95</x:v>
      </x:c>
      <x:c r="X597" s="26" t="n">
        <x:v>-75.4666667</x:v>
      </x:c>
      <x:c r="AF597" t="s">
        <x:v>50</x:v>
      </x:c>
      <x:c r="AG597" t="s">
        <x:v>402</x:v>
      </x:c>
      <x:c r="AH597" t="s">
        <x:v>4215</x:v>
      </x:c>
      <x:c r="AI597" t="s">
        <x:v>4272</x:v>
      </x:c>
      <x:c r="AJ597">
        <x:v>642</x:v>
      </x:c>
    </x:row>
    <x:row r="598">
      <x:c r="A598" t="s">
        <x:v>4131</x:v>
      </x:c>
      <x:c r="B598" t="s">
        <x:v>4132</x:v>
      </x:c>
      <x:c r="C598" t="s">
        <x:v>4273</x:v>
      </x:c>
      <x:c r="D598" t="s">
        <x:v>4274</x:v>
      </x:c>
      <x:c r="E598" t="s">
        <x:v>4275</x:v>
      </x:c>
      <x:c r="F598">
        <x:v>2640</x:v>
      </x:c>
      <x:c r="G598">
        <x:v>2640</x:v>
      </x:c>
      <x:c r="H598">
        <x:v>2640</x:v>
      </x:c>
      <x:c r="I598" t="s">
        <x:v>4189</x:v>
      </x:c>
      <x:c r="J598" t="s">
        <x:v>4190</x:v>
      </x:c>
      <x:c r="K598" t="s">
        <x:v>4191</x:v>
      </x:c>
      <x:c r="L598" t="s">
        <x:v>4192</x:v>
      </x:c>
      <x:c r="M598" t="s">
        <x:v>4193</x:v>
      </x:c>
      <x:c r="N598" t="s">
        <x:v>754</x:v>
      </x:c>
      <x:c r="O598" t="s">
        <x:v>4194</x:v>
      </x:c>
      <x:c r="P598" t="s">
        <x:v>4195</x:v>
      </x:c>
      <x:c r="R598" s="9">
        <x:v>31846</x:v>
      </x:c>
      <x:c r="W598" s="26" t="n">
        <x:v>6.3</x:v>
      </x:c>
      <x:c r="X598" s="26" t="n">
        <x:v>-75.6833333</x:v>
      </x:c>
      <x:c r="AF598" t="s">
        <x:v>50</x:v>
      </x:c>
      <x:c r="AG598" t="s">
        <x:v>402</x:v>
      </x:c>
      <x:c r="AH598" t="s">
        <x:v>855</x:v>
      </x:c>
      <x:c r="AI598" t="s">
        <x:v>4276</x:v>
      </x:c>
      <x:c r="AJ598">
        <x:v>643</x:v>
      </x:c>
    </x:row>
    <x:row r="599">
      <x:c r="A599" t="s">
        <x:v>4131</x:v>
      </x:c>
      <x:c r="B599" t="s">
        <x:v>4132</x:v>
      </x:c>
      <x:c r="C599" t="s">
        <x:v>4273</x:v>
      </x:c>
      <x:c r="D599" t="s">
        <x:v>4274</x:v>
      </x:c>
      <x:c r="E599" t="s">
        <x:v>4277</x:v>
      </x:c>
      <x:c r="F599">
        <x:v>2640</x:v>
      </x:c>
      <x:c r="G599">
        <x:v>2640</x:v>
      </x:c>
      <x:c r="H599">
        <x:v>2640</x:v>
      </x:c>
      <x:c r="I599" t="s">
        <x:v>4189</x:v>
      </x:c>
      <x:c r="J599" t="s">
        <x:v>4190</x:v>
      </x:c>
      <x:c r="K599" t="s">
        <x:v>4191</x:v>
      </x:c>
      <x:c r="L599" t="s">
        <x:v>4192</x:v>
      </x:c>
      <x:c r="M599" t="s">
        <x:v>4193</x:v>
      </x:c>
      <x:c r="N599" t="s">
        <x:v>754</x:v>
      </x:c>
      <x:c r="O599" t="s">
        <x:v>4194</x:v>
      </x:c>
      <x:c r="P599" t="s">
        <x:v>4195</x:v>
      </x:c>
      <x:c r="R599" s="9">
        <x:v>31846</x:v>
      </x:c>
      <x:c r="W599" s="26" t="n">
        <x:v>6.3</x:v>
      </x:c>
      <x:c r="X599" s="26" t="n">
        <x:v>-75.6833333</x:v>
      </x:c>
      <x:c r="AF599" t="s">
        <x:v>50</x:v>
      </x:c>
      <x:c r="AG599" t="s">
        <x:v>402</x:v>
      </x:c>
      <x:c r="AH599" t="s">
        <x:v>855</x:v>
      </x:c>
      <x:c r="AI599" t="s">
        <x:v>4278</x:v>
      </x:c>
      <x:c r="AJ599">
        <x:v>644</x:v>
      </x:c>
    </x:row>
    <x:row r="600">
      <x:c r="A600" t="s">
        <x:v>4131</x:v>
      </x:c>
      <x:c r="B600" t="s">
        <x:v>4132</x:v>
      </x:c>
      <x:c r="C600" t="s">
        <x:v>4279</x:v>
      </x:c>
      <x:c r="D600" t="s">
        <x:v>4280</x:v>
      </x:c>
      <x:c r="E600" t="s">
        <x:v>4281</x:v>
      </x:c>
      <x:c r="F600">
        <x:v>2490</x:v>
      </x:c>
      <x:c r="G600">
        <x:v>2490</x:v>
      </x:c>
      <x:c r="H600">
        <x:v>2490</x:v>
      </x:c>
      <x:c r="I600" t="s">
        <x:v>4282</x:v>
      </x:c>
      <x:c r="J600" t="s">
        <x:v>4283</x:v>
      </x:c>
      <x:c r="K600" t="s">
        <x:v>4284</x:v>
      </x:c>
      <x:c r="L600" t="s">
        <x:v>4285</x:v>
      </x:c>
      <x:c r="M600" t="s">
        <x:v>4286</x:v>
      </x:c>
      <x:c r="N600" t="s">
        <x:v>4287</x:v>
      </x:c>
      <x:c r="O600" t="s">
        <x:v>4288</x:v>
      </x:c>
      <x:c r="P600" t="s">
        <x:v>4289</x:v>
      </x:c>
      <x:c r="R600" s="9">
        <x:v>31889</x:v>
      </x:c>
      <x:c r="T600" t="s">
        <x:v>119</x:v>
      </x:c>
      <x:c r="W600" s="26" t="n">
        <x:v>5.9736111</x:v>
      </x:c>
      <x:c r="X600" s="26" t="n">
        <x:v>-75.3613833</x:v>
      </x:c>
      <x:c r="AF600" t="s">
        <x:v>50</x:v>
      </x:c>
      <x:c r="AG600" t="s">
        <x:v>402</x:v>
      </x:c>
      <x:c r="AH600" t="s">
        <x:v>4290</x:v>
      </x:c>
      <x:c r="AI600" t="s">
        <x:v>4291</x:v>
      </x:c>
      <x:c r="AJ600">
        <x:v>645</x:v>
      </x:c>
    </x:row>
    <x:row r="601">
      <x:c r="A601" t="s">
        <x:v>4131</x:v>
      </x:c>
      <x:c r="B601" t="s">
        <x:v>4132</x:v>
      </x:c>
      <x:c r="C601" t="s">
        <x:v>4292</x:v>
      </x:c>
      <x:c r="D601" t="s">
        <x:v>4293</x:v>
      </x:c>
      <x:c r="E601" t="s">
        <x:v>4294</x:v>
      </x:c>
      <x:c r="F601" t="s">
        <x:v>2286</x:v>
      </x:c>
      <x:c r="G601">
        <x:v>1600</x:v>
      </x:c>
      <x:c r="H601">
        <x:v>1700</x:v>
      </x:c>
      <x:c r="I601" t="s">
        <x:v>4295</x:v>
      </x:c>
      <x:c r="J601" t="s">
        <x:v>4296</x:v>
      </x:c>
      <x:c r="K601" t="s">
        <x:v>543</x:v>
      </x:c>
      <x:c r="L601" t="s">
        <x:v>544</x:v>
      </x:c>
      <x:c r="M601" t="s">
        <x:v>4297</x:v>
      </x:c>
      <x:c r="N601" t="s">
        <x:v>4298</x:v>
      </x:c>
      <x:c r="O601" t="s">
        <x:v>547</x:v>
      </x:c>
      <x:c r="P601" t="s">
        <x:v>4299</x:v>
      </x:c>
      <x:c r="R601" s="9">
        <x:v>31920</x:v>
      </x:c>
      <x:c r="T601" t="s">
        <x:v>119</x:v>
      </x:c>
      <x:c r="W601" s="26" t="n">
        <x:v>6.2801111</x:v>
      </x:c>
      <x:c r="X601" s="26" t="n">
        <x:v>-75.4427333</x:v>
      </x:c>
      <x:c r="AF601" t="s">
        <x:v>50</x:v>
      </x:c>
      <x:c r="AG601" t="s">
        <x:v>402</x:v>
      </x:c>
      <x:c r="AH601" t="s">
        <x:v>4300</x:v>
      </x:c>
      <x:c r="AI601" t="s">
        <x:v>4301</x:v>
      </x:c>
      <x:c r="AJ601">
        <x:v>646</x:v>
      </x:c>
    </x:row>
    <x:row r="602">
      <x:c r="A602" t="s">
        <x:v>4131</x:v>
      </x:c>
      <x:c r="B602" t="s">
        <x:v>4132</x:v>
      </x:c>
      <x:c r="C602" t="s">
        <x:v>4302</x:v>
      </x:c>
      <x:c r="D602" t="s">
        <x:v>4303</x:v>
      </x:c>
      <x:c r="E602" t="s">
        <x:v>4304</x:v>
      </x:c>
      <x:c r="F602" t="s">
        <x:v>2286</x:v>
      </x:c>
      <x:c r="G602">
        <x:v>1600</x:v>
      </x:c>
      <x:c r="H602">
        <x:v>1700</x:v>
      </x:c>
      <x:c r="I602" t="s">
        <x:v>2381</x:v>
      </x:c>
      <x:c r="J602" t="s">
        <x:v>2382</x:v>
      </x:c>
      <x:c r="K602" t="s">
        <x:v>4305</x:v>
      </x:c>
      <x:c r="L602" t="s">
        <x:v>2424</x:v>
      </x:c>
      <x:c r="M602" t="s">
        <x:v>2425</x:v>
      </x:c>
      <x:c r="N602" t="s">
        <x:v>532</x:v>
      </x:c>
      <x:c r="O602" t="s">
        <x:v>2426</x:v>
      </x:c>
      <x:c r="P602" t="s">
        <x:v>2427</x:v>
      </x:c>
      <x:c r="R602" s="9">
        <x:v>31920</x:v>
      </x:c>
      <x:c r="T602" t="s">
        <x:v>119</x:v>
      </x:c>
      <x:c r="W602" s="26" t="n">
        <x:v>6.25</x:v>
      </x:c>
      <x:c r="X602" s="26" t="n">
        <x:v>-75.5833333</x:v>
      </x:c>
      <x:c r="AF602" t="s">
        <x:v>50</x:v>
      </x:c>
      <x:c r="AG602" t="s">
        <x:v>402</x:v>
      </x:c>
      <x:c r="AH602" t="s">
        <x:v>4306</x:v>
      </x:c>
      <x:c r="AI602" t="s">
        <x:v>4301</x:v>
      </x:c>
      <x:c r="AJ602">
        <x:v>649</x:v>
      </x:c>
    </x:row>
    <x:row r="603">
      <x:c r="A603" t="s">
        <x:v>4131</x:v>
      </x:c>
      <x:c r="B603" t="s">
        <x:v>4132</x:v>
      </x:c>
      <x:c r="C603" t="s">
        <x:v>4307</x:v>
      </x:c>
      <x:c r="D603" t="s">
        <x:v>4308</x:v>
      </x:c>
      <x:c r="E603" t="s">
        <x:v>4309</x:v>
      </x:c>
      <x:c r="F603">
        <x:v>2020</x:v>
      </x:c>
      <x:c r="G603">
        <x:v>2020</x:v>
      </x:c>
      <x:c r="H603">
        <x:v>2020</x:v>
      </x:c>
      <x:c r="I603" t="s">
        <x:v>1350</x:v>
      </x:c>
      <x:c r="J603" t="s">
        <x:v>1351</x:v>
      </x:c>
      <x:c r="K603" t="s">
        <x:v>3465</x:v>
      </x:c>
      <x:c r="L603" t="s">
        <x:v>3466</x:v>
      </x:c>
      <x:c r="M603" t="s">
        <x:v>4310</x:v>
      </x:c>
      <x:c r="N603" t="s">
        <x:v>624</x:v>
      </x:c>
      <x:c r="O603" t="s">
        <x:v>625</x:v>
      </x:c>
      <x:c r="P603" t="s">
        <x:v>626</x:v>
      </x:c>
      <x:c r="R603" s="9">
        <x:v>31935</x:v>
      </x:c>
      <x:c r="T603" t="s">
        <x:v>65</x:v>
      </x:c>
      <x:c r="W603" s="26" t="n">
        <x:v>5.5</x:v>
      </x:c>
      <x:c r="X603" s="26" t="n">
        <x:v>-75.8333333</x:v>
      </x:c>
      <x:c r="AF603" t="s">
        <x:v>50</x:v>
      </x:c>
      <x:c r="AG603" t="s">
        <x:v>402</x:v>
      </x:c>
      <x:c r="AH603" t="s">
        <x:v>4311</x:v>
      </x:c>
      <x:c r="AI603" t="s">
        <x:v>4312</x:v>
      </x:c>
      <x:c r="AJ603">
        <x:v>650</x:v>
      </x:c>
    </x:row>
    <x:row r="604">
      <x:c r="A604" t="s">
        <x:v>4131</x:v>
      </x:c>
      <x:c r="B604" t="s">
        <x:v>4132</x:v>
      </x:c>
      <x:c r="C604" t="s">
        <x:v>4313</x:v>
      </x:c>
      <x:c r="D604" t="s">
        <x:v>4314</x:v>
      </x:c>
      <x:c r="E604" t="s">
        <x:v>4315</x:v>
      </x:c>
      <x:c r="F604">
        <x:v>2680</x:v>
      </x:c>
      <x:c r="G604">
        <x:v>2680</x:v>
      </x:c>
      <x:c r="H604">
        <x:v>2680</x:v>
      </x:c>
      <x:c r="I604" t="s">
        <x:v>4316</x:v>
      </x:c>
      <x:c r="J604" t="s">
        <x:v>2306</x:v>
      </x:c>
      <x:c r="K604" t="s">
        <x:v>4317</x:v>
      </x:c>
      <x:c r="L604" t="s">
        <x:v>2307</x:v>
      </x:c>
      <x:c r="M604" t="s">
        <x:v>2308</x:v>
      </x:c>
      <x:c r="N604" t="s">
        <x:v>2309</x:v>
      </x:c>
      <x:c r="O604" t="s">
        <x:v>2310</x:v>
      </x:c>
      <x:c r="P604" t="s">
        <x:v>2311</x:v>
      </x:c>
      <x:c r="R604" s="9">
        <x:v>31965</x:v>
      </x:c>
      <x:c r="T604" t="s">
        <x:v>119</x:v>
      </x:c>
      <x:c r="W604" s="26" t="n">
        <x:v>5.6833333</x:v>
      </x:c>
      <x:c r="X604" s="26" t="n">
        <x:v>-75.2333333</x:v>
      </x:c>
      <x:c r="AF604" t="s">
        <x:v>50</x:v>
      </x:c>
      <x:c r="AG604" t="s">
        <x:v>402</x:v>
      </x:c>
      <x:c r="AH604" t="s">
        <x:v>3306</x:v>
      </x:c>
      <x:c r="AI604" t="s">
        <x:v>4318</x:v>
      </x:c>
      <x:c r="AJ604">
        <x:v>651</x:v>
      </x:c>
    </x:row>
    <x:row r="605">
      <x:c r="A605" t="s">
        <x:v>4131</x:v>
      </x:c>
      <x:c r="B605" t="s">
        <x:v>4132</x:v>
      </x:c>
      <x:c r="C605" t="s">
        <x:v>4319</x:v>
      </x:c>
      <x:c r="D605" t="s">
        <x:v>4320</x:v>
      </x:c>
      <x:c r="E605" t="s">
        <x:v>4321</x:v>
      </x:c>
      <x:c r="F605">
        <x:v>2420</x:v>
      </x:c>
      <x:c r="G605">
        <x:v>2420</x:v>
      </x:c>
      <x:c r="H605">
        <x:v>2420</x:v>
      </x:c>
      <x:c r="I605" t="s">
        <x:v>4316</x:v>
      </x:c>
      <x:c r="J605" t="s">
        <x:v>2306</x:v>
      </x:c>
      <x:c r="K605" t="s">
        <x:v>4322</x:v>
      </x:c>
      <x:c r="L605" t="s">
        <x:v>4323</x:v>
      </x:c>
      <x:c r="M605" t="s">
        <x:v>4324</x:v>
      </x:c>
      <x:c r="N605" t="s">
        <x:v>2309</x:v>
      </x:c>
      <x:c r="O605" t="s">
        <x:v>4325</x:v>
      </x:c>
      <x:c r="P605" t="s">
        <x:v>4326</x:v>
      </x:c>
      <x:c r="R605" s="9">
        <x:v>31966</x:v>
      </x:c>
      <x:c r="W605" s="26" t="n">
        <x:v>5.6833333</x:v>
      </x:c>
      <x:c r="X605" s="26" t="n">
        <x:v>-75.35</x:v>
      </x:c>
      <x:c r="AF605" t="s">
        <x:v>50</x:v>
      </x:c>
      <x:c r="AG605" t="s">
        <x:v>402</x:v>
      </x:c>
      <x:c r="AH605" t="s">
        <x:v>3306</x:v>
      </x:c>
      <x:c r="AI605" t="s">
        <x:v>4327</x:v>
      </x:c>
      <x:c r="AJ605">
        <x:v>652</x:v>
      </x:c>
    </x:row>
    <x:row r="606">
      <x:c r="A606" t="s">
        <x:v>4131</x:v>
      </x:c>
      <x:c r="B606" t="s">
        <x:v>4132</x:v>
      </x:c>
      <x:c r="C606" t="s">
        <x:v>4328</x:v>
      </x:c>
      <x:c r="D606" t="s">
        <x:v>4329</x:v>
      </x:c>
      <x:c r="E606" t="s">
        <x:v>4330</x:v>
      </x:c>
      <x:c r="F606">
        <x:v>1830</x:v>
      </x:c>
      <x:c r="G606">
        <x:v>1830</x:v>
      </x:c>
      <x:c r="H606">
        <x:v>1830</x:v>
      </x:c>
      <x:c r="I606" t="s">
        <x:v>4331</x:v>
      </x:c>
      <x:c r="J606" t="s">
        <x:v>4332</x:v>
      </x:c>
      <x:c r="K606" t="s">
        <x:v>4333</x:v>
      </x:c>
      <x:c r="L606" t="s">
        <x:v>4334</x:v>
      </x:c>
      <x:c r="M606" t="s">
        <x:v>4335</x:v>
      </x:c>
      <x:c r="N606" t="s">
        <x:v>4336</x:v>
      </x:c>
      <x:c r="O606" t="s">
        <x:v>4337</x:v>
      </x:c>
      <x:c r="P606" t="s">
        <x:v>4338</x:v>
      </x:c>
      <x:c r="R606" s="9">
        <x:v>32042</x:v>
      </x:c>
      <x:c r="T606" t="s">
        <x:v>119</x:v>
      </x:c>
      <x:c r="W606" s="26" t="n">
        <x:v>6.75</x:v>
      </x:c>
      <x:c r="X606" s="26" t="n">
        <x:v>-76.3833333</x:v>
      </x:c>
      <x:c r="AF606" t="s">
        <x:v>50</x:v>
      </x:c>
      <x:c r="AG606" t="s">
        <x:v>402</x:v>
      </x:c>
      <x:c r="AH606" t="s">
        <x:v>1356</x:v>
      </x:c>
      <x:c r="AI606" t="s">
        <x:v>4339</x:v>
      </x:c>
      <x:c r="AJ606">
        <x:v>653</x:v>
      </x:c>
    </x:row>
    <x:row r="607">
      <x:c r="A607" t="s">
        <x:v>4131</x:v>
      </x:c>
      <x:c r="B607" t="s">
        <x:v>4132</x:v>
      </x:c>
      <x:c r="C607" t="s">
        <x:v>4340</x:v>
      </x:c>
      <x:c r="D607" t="s">
        <x:v>4341</x:v>
      </x:c>
      <x:c r="E607" t="s">
        <x:v>4342</x:v>
      </x:c>
      <x:c r="F607" t="s">
        <x:v>4343</x:v>
      </x:c>
      <x:c r="G607">
        <x:v>2100</x:v>
      </x:c>
      <x:c r="H607">
        <x:v>2300</x:v>
      </x:c>
      <x:c r="I607" t="s">
        <x:v>4344</x:v>
      </x:c>
      <x:c r="J607" t="s">
        <x:v>4345</x:v>
      </x:c>
      <x:c r="K607" t="s">
        <x:v>4346</x:v>
      </x:c>
      <x:c r="L607" t="s">
        <x:v>4347</x:v>
      </x:c>
      <x:c r="M607" t="s">
        <x:v>4348</x:v>
      </x:c>
      <x:c r="N607" t="s">
        <x:v>4349</x:v>
      </x:c>
      <x:c r="O607" t="s">
        <x:v>4350</x:v>
      </x:c>
      <x:c r="P607" t="s">
        <x:v>4351</x:v>
      </x:c>
      <x:c r="R607" s="9">
        <x:v>32091</x:v>
      </x:c>
      <x:c r="W607" s="26" t="n">
        <x:v>7.1136111</x:v>
      </x:c>
      <x:c r="X607" s="26" t="n">
        <x:v>-75.55</x:v>
      </x:c>
      <x:c r="AF607" t="s">
        <x:v>50</x:v>
      </x:c>
      <x:c r="AG607" t="s">
        <x:v>402</x:v>
      </x:c>
      <x:c r="AH607" t="s">
        <x:v>4352</x:v>
      </x:c>
      <x:c r="AI607" t="s">
        <x:v>4353</x:v>
      </x:c>
      <x:c r="AJ607">
        <x:v>654</x:v>
      </x:c>
    </x:row>
    <x:row r="608">
      <x:c r="A608" t="s">
        <x:v>4131</x:v>
      </x:c>
      <x:c r="B608" t="s">
        <x:v>4132</x:v>
      </x:c>
      <x:c r="C608" t="s">
        <x:v>4354</x:v>
      </x:c>
      <x:c r="D608" t="s">
        <x:v>4355</x:v>
      </x:c>
      <x:c r="E608" t="s">
        <x:v>4356</x:v>
      </x:c>
      <x:c r="F608" t="s">
        <x:v>2432</x:v>
      </x:c>
      <x:c r="G608">
        <x:v>1800</x:v>
      </x:c>
      <x:c r="H608">
        <x:v>2000</x:v>
      </x:c>
      <x:c r="I608" t="s">
        <x:v>4357</x:v>
      </x:c>
      <x:c r="J608" t="s">
        <x:v>4358</x:v>
      </x:c>
      <x:c r="K608" t="s">
        <x:v>799</x:v>
      </x:c>
      <x:c r="L608" t="s">
        <x:v>419</x:v>
      </x:c>
      <x:c r="M608" t="s">
        <x:v>4359</x:v>
      </x:c>
      <x:c r="N608" t="s">
        <x:v>725</x:v>
      </x:c>
      <x:c r="O608" t="s">
        <x:v>422</x:v>
      </x:c>
      <x:c r="P608" t="s">
        <x:v>4360</x:v>
      </x:c>
      <x:c r="R608" s="9">
        <x:v>32222</x:v>
      </x:c>
      <x:c r="T608" t="s">
        <x:v>119</x:v>
      </x:c>
      <x:c r="W608" s="26" t="n">
        <x:v>7.1164</x:v>
      </x:c>
      <x:c r="X608" s="26" t="n">
        <x:v>-75.41691</x:v>
      </x:c>
      <x:c r="Y608">
        <x:v>2429.7139999999999</x:v>
      </x:c>
      <x:c r="Z608">
        <x:v>1676</x:v>
      </x:c>
      <x:c r="AB608" t="s">
        <x:v>4361</x:v>
      </x:c>
      <x:c r="AF608" t="s">
        <x:v>50</x:v>
      </x:c>
      <x:c r="AG608" t="s">
        <x:v>402</x:v>
      </x:c>
      <x:c r="AH608" t="s">
        <x:v>4362</x:v>
      </x:c>
      <x:c r="AI608" t="s">
        <x:v>4363</x:v>
      </x:c>
      <x:c r="AJ608">
        <x:v>655</x:v>
      </x:c>
    </x:row>
    <x:row r="609">
      <x:c r="A609" t="s">
        <x:v>4131</x:v>
      </x:c>
      <x:c r="B609" t="s">
        <x:v>4132</x:v>
      </x:c>
      <x:c r="C609" t="s">
        <x:v>4364</x:v>
      </x:c>
      <x:c r="D609" t="s">
        <x:v>4365</x:v>
      </x:c>
      <x:c r="E609" t="s">
        <x:v>4366</x:v>
      </x:c>
      <x:c r="F609" t="s">
        <x:v>4367</x:v>
      </x:c>
      <x:c r="G609">
        <x:v>1710</x:v>
      </x:c>
      <x:c r="H609">
        <x:v>1900</x:v>
      </x:c>
      <x:c r="I609" t="s">
        <x:v>4368</x:v>
      </x:c>
      <x:c r="J609" t="s">
        <x:v>4369</x:v>
      </x:c>
      <x:c r="K609" t="s">
        <x:v>4370</x:v>
      </x:c>
      <x:c r="L609" t="s">
        <x:v>4371</x:v>
      </x:c>
      <x:c r="M609" t="s">
        <x:v>4372</x:v>
      </x:c>
      <x:c r="N609" t="s">
        <x:v>4373</x:v>
      </x:c>
      <x:c r="O609" t="s">
        <x:v>4374</x:v>
      </x:c>
      <x:c r="P609" t="s">
        <x:v>4375</x:v>
      </x:c>
      <x:c r="R609" s="9">
        <x:v>32225</x:v>
      </x:c>
      <x:c r="T609" t="s">
        <x:v>65</x:v>
      </x:c>
      <x:c r="W609" s="26" t="n">
        <x:v>7.0333333</x:v>
      </x:c>
      <x:c r="X609" s="26" t="n">
        <x:v>-75.4</x:v>
      </x:c>
      <x:c r="AF609" t="s">
        <x:v>50</x:v>
      </x:c>
      <x:c r="AG609" t="s">
        <x:v>402</x:v>
      </x:c>
      <x:c r="AH609" t="s">
        <x:v>4215</x:v>
      </x:c>
      <x:c r="AI609" t="s">
        <x:v>4376</x:v>
      </x:c>
      <x:c r="AJ609">
        <x:v>656</x:v>
      </x:c>
    </x:row>
    <x:row r="610">
      <x:c r="A610" t="s">
        <x:v>4131</x:v>
      </x:c>
      <x:c r="B610" t="s">
        <x:v>4132</x:v>
      </x:c>
      <x:c r="C610" t="s">
        <x:v>4377</x:v>
      </x:c>
      <x:c r="D610" t="s">
        <x:v>4378</x:v>
      </x:c>
      <x:c r="E610" t="s">
        <x:v>4379</x:v>
      </x:c>
      <x:c r="F610">
        <x:v>2800</x:v>
      </x:c>
      <x:c r="G610">
        <x:v>2800</x:v>
      </x:c>
      <x:c r="H610">
        <x:v>2800</x:v>
      </x:c>
      <x:c r="I610" t="s">
        <x:v>4380</x:v>
      </x:c>
      <x:c r="J610" t="s">
        <x:v>4381</x:v>
      </x:c>
      <x:c r="K610" t="s">
        <x:v>4382</x:v>
      </x:c>
      <x:c r="L610" t="s">
        <x:v>4383</x:v>
      </x:c>
      <x:c r="M610" t="s">
        <x:v>4384</x:v>
      </x:c>
      <x:c r="N610" t="s">
        <x:v>4385</x:v>
      </x:c>
      <x:c r="O610" t="s">
        <x:v>4386</x:v>
      </x:c>
      <x:c r="P610" t="s">
        <x:v>4387</x:v>
      </x:c>
      <x:c r="R610" s="9">
        <x:v>32241</x:v>
      </x:c>
      <x:c r="T610" t="s">
        <x:v>119</x:v>
      </x:c>
      <x:c r="W610" s="26" t="n">
        <x:v>5.7097222</x:v>
      </x:c>
      <x:c r="X610" s="26" t="n">
        <x:v>-75.3108333</x:v>
      </x:c>
      <x:c r="AF610" t="s">
        <x:v>50</x:v>
      </x:c>
      <x:c r="AG610" t="s">
        <x:v>402</x:v>
      </x:c>
      <x:c r="AH610" t="s">
        <x:v>3306</x:v>
      </x:c>
      <x:c r="AI610" t="s">
        <x:v>4388</x:v>
      </x:c>
      <x:c r="AJ610">
        <x:v>657</x:v>
      </x:c>
    </x:row>
    <x:row r="611">
      <x:c r="A611" t="s">
        <x:v>4131</x:v>
      </x:c>
      <x:c r="B611" t="s">
        <x:v>4132</x:v>
      </x:c>
      <x:c r="C611" t="s">
        <x:v>4389</x:v>
      </x:c>
      <x:c r="D611" t="s">
        <x:v>4390</x:v>
      </x:c>
      <x:c r="E611" t="s">
        <x:v>4391</x:v>
      </x:c>
      <x:c r="F611">
        <x:v>2640</x:v>
      </x:c>
      <x:c r="G611">
        <x:v>2640</x:v>
      </x:c>
      <x:c r="H611">
        <x:v>2640</x:v>
      </x:c>
      <x:c r="I611" t="s">
        <x:v>4189</x:v>
      </x:c>
      <x:c r="J611" t="s">
        <x:v>4190</x:v>
      </x:c>
      <x:c r="K611" t="s">
        <x:v>4191</x:v>
      </x:c>
      <x:c r="L611" t="s">
        <x:v>4192</x:v>
      </x:c>
      <x:c r="M611" t="s">
        <x:v>4193</x:v>
      </x:c>
      <x:c r="N611" t="s">
        <x:v>754</x:v>
      </x:c>
      <x:c r="O611" t="s">
        <x:v>4194</x:v>
      </x:c>
      <x:c r="P611" t="s">
        <x:v>4195</x:v>
      </x:c>
      <x:c r="R611" s="9">
        <x:v>32285</x:v>
      </x:c>
      <x:c r="T611" t="s">
        <x:v>119</x:v>
      </x:c>
      <x:c r="W611" s="26" t="n">
        <x:v>6.3</x:v>
      </x:c>
      <x:c r="X611" s="26" t="n">
        <x:v>-75.6833333</x:v>
      </x:c>
      <x:c r="AF611" t="s">
        <x:v>50</x:v>
      </x:c>
      <x:c r="AG611" t="s">
        <x:v>402</x:v>
      </x:c>
      <x:c r="AH611" t="s">
        <x:v>855</x:v>
      </x:c>
      <x:c r="AI611" t="s">
        <x:v>4392</x:v>
      </x:c>
      <x:c r="AJ611">
        <x:v>658</x:v>
      </x:c>
    </x:row>
    <x:row r="612">
      <x:c r="A612" t="s">
        <x:v>4131</x:v>
      </x:c>
      <x:c r="B612" t="s">
        <x:v>4132</x:v>
      </x:c>
      <x:c r="C612" t="s">
        <x:v>4393</x:v>
      </x:c>
      <x:c r="D612" t="s">
        <x:v>4394</x:v>
      </x:c>
      <x:c r="E612" t="s">
        <x:v>4395</x:v>
      </x:c>
      <x:c r="F612">
        <x:v>2560</x:v>
      </x:c>
      <x:c r="G612">
        <x:v>2560</x:v>
      </x:c>
      <x:c r="H612">
        <x:v>2560</x:v>
      </x:c>
      <x:c r="I612" t="s">
        <x:v>4396</x:v>
      </x:c>
      <x:c r="J612" t="s">
        <x:v>4397</x:v>
      </x:c>
      <x:c r="K612" t="s">
        <x:v>4191</x:v>
      </x:c>
      <x:c r="L612" t="s">
        <x:v>4192</x:v>
      </x:c>
      <x:c r="M612" t="s">
        <x:v>4398</x:v>
      </x:c>
      <x:c r="N612" t="s">
        <x:v>754</x:v>
      </x:c>
      <x:c r="O612" t="s">
        <x:v>4194</x:v>
      </x:c>
      <x:c r="P612" t="s">
        <x:v>4195</x:v>
      </x:c>
      <x:c r="R612" s="9">
        <x:v>32285</x:v>
      </x:c>
      <x:c r="W612" s="26" t="n">
        <x:v>6.3</x:v>
      </x:c>
      <x:c r="X612" s="26" t="n">
        <x:v>-75.6833333</x:v>
      </x:c>
      <x:c r="AF612" t="s">
        <x:v>50</x:v>
      </x:c>
      <x:c r="AG612" t="s">
        <x:v>402</x:v>
      </x:c>
      <x:c r="AH612" t="s">
        <x:v>855</x:v>
      </x:c>
      <x:c r="AI612" t="s">
        <x:v>4399</x:v>
      </x:c>
      <x:c r="AJ612">
        <x:v>659</x:v>
      </x:c>
    </x:row>
    <x:row r="613">
      <x:c r="A613" t="s">
        <x:v>4131</x:v>
      </x:c>
      <x:c r="B613" t="s">
        <x:v>4132</x:v>
      </x:c>
      <x:c r="C613" t="s">
        <x:v>4389</x:v>
      </x:c>
      <x:c r="D613" t="s">
        <x:v>4400</x:v>
      </x:c>
      <x:c r="E613" t="s">
        <x:v>4401</x:v>
      </x:c>
      <x:c r="F613">
        <x:v>2640</x:v>
      </x:c>
      <x:c r="G613">
        <x:v>2640</x:v>
      </x:c>
      <x:c r="H613">
        <x:v>2640</x:v>
      </x:c>
      <x:c r="I613" t="s">
        <x:v>4189</x:v>
      </x:c>
      <x:c r="J613" t="s">
        <x:v>4190</x:v>
      </x:c>
      <x:c r="K613" t="s">
        <x:v>4191</x:v>
      </x:c>
      <x:c r="L613" t="s">
        <x:v>4192</x:v>
      </x:c>
      <x:c r="M613" t="s">
        <x:v>4193</x:v>
      </x:c>
      <x:c r="N613" t="s">
        <x:v>754</x:v>
      </x:c>
      <x:c r="O613" t="s">
        <x:v>4194</x:v>
      </x:c>
      <x:c r="P613" t="s">
        <x:v>4195</x:v>
      </x:c>
      <x:c r="R613" s="9">
        <x:v>32285</x:v>
      </x:c>
      <x:c r="T613" t="s">
        <x:v>119</x:v>
      </x:c>
      <x:c r="W613" s="26" t="n">
        <x:v>6.3</x:v>
      </x:c>
      <x:c r="X613" s="26" t="n">
        <x:v>-75.6833333</x:v>
      </x:c>
      <x:c r="AF613" t="s">
        <x:v>50</x:v>
      </x:c>
      <x:c r="AG613" t="s">
        <x:v>402</x:v>
      </x:c>
      <x:c r="AH613" t="s">
        <x:v>855</x:v>
      </x:c>
      <x:c r="AI613" t="s">
        <x:v>4402</x:v>
      </x:c>
      <x:c r="AJ613">
        <x:v>660</x:v>
      </x:c>
    </x:row>
    <x:row r="614">
      <x:c r="A614" t="s">
        <x:v>4131</x:v>
      </x:c>
      <x:c r="B614" t="s">
        <x:v>4132</x:v>
      </x:c>
      <x:c r="C614" t="s">
        <x:v>4403</x:v>
      </x:c>
      <x:c r="D614" t="s">
        <x:v>4404</x:v>
      </x:c>
      <x:c r="E614" t="s">
        <x:v>4405</x:v>
      </x:c>
      <x:c r="F614">
        <x:v>2050</x:v>
      </x:c>
      <x:c r="G614">
        <x:v>2050</x:v>
      </x:c>
      <x:c r="H614">
        <x:v>2050</x:v>
      </x:c>
      <x:c r="I614" t="s">
        <x:v>4406</x:v>
      </x:c>
      <x:c r="J614" t="s">
        <x:v>4407</x:v>
      </x:c>
      <x:c r="K614" t="s">
        <x:v>3465</x:v>
      </x:c>
      <x:c r="L614" t="s">
        <x:v>3466</x:v>
      </x:c>
      <x:c r="M614" t="s">
        <x:v>4408</x:v>
      </x:c>
      <x:c r="N614" t="s">
        <x:v>2333</x:v>
      </x:c>
      <x:c r="O614" t="s">
        <x:v>625</x:v>
      </x:c>
      <x:c r="P614" t="s">
        <x:v>2334</x:v>
      </x:c>
      <x:c r="R614" s="9">
        <x:v>32446</x:v>
      </x:c>
      <x:c r="T614" t="s">
        <x:v>119</x:v>
      </x:c>
      <x:c r="W614" s="26" t="n">
        <x:v>5.6166667</x:v>
      </x:c>
      <x:c r="X614" s="26" t="n">
        <x:v>-75.8333333</x:v>
      </x:c>
      <x:c r="AF614" t="s">
        <x:v>50</x:v>
      </x:c>
      <x:c r="AG614" t="s">
        <x:v>402</x:v>
      </x:c>
      <x:c r="AH614" t="s">
        <x:v>627</x:v>
      </x:c>
      <x:c r="AI614" t="s">
        <x:v>4409</x:v>
      </x:c>
      <x:c r="AJ614">
        <x:v>661</x:v>
      </x:c>
    </x:row>
    <x:row r="615">
      <x:c r="A615" t="s">
        <x:v>4131</x:v>
      </x:c>
      <x:c r="B615" t="s">
        <x:v>4132</x:v>
      </x:c>
      <x:c r="C615" t="s">
        <x:v>4410</x:v>
      </x:c>
      <x:c r="D615" t="s">
        <x:v>4411</x:v>
      </x:c>
      <x:c r="E615" t="s">
        <x:v>4412</x:v>
      </x:c>
      <x:c r="F615" t="s">
        <x:v>4413</x:v>
      </x:c>
      <x:c r="G615">
        <x:v>2050</x:v>
      </x:c>
      <x:c r="H615">
        <x:v>2170</x:v>
      </x:c>
      <x:c r="I615" t="s">
        <x:v>4414</x:v>
      </x:c>
      <x:c r="J615" t="s">
        <x:v>4415</x:v>
      </x:c>
      <x:c r="K615" t="s">
        <x:v>4416</x:v>
      </x:c>
      <x:c r="L615" t="s">
        <x:v>4417</x:v>
      </x:c>
      <x:c r="M615" t="s">
        <x:v>4418</x:v>
      </x:c>
      <x:c r="N615" t="s">
        <x:v>4419</x:v>
      </x:c>
      <x:c r="O615" t="s">
        <x:v>4420</x:v>
      </x:c>
      <x:c r="P615" t="s">
        <x:v>4421</x:v>
      </x:c>
      <x:c r="R615" s="9">
        <x:v>32446</x:v>
      </x:c>
      <x:c r="W615" s="26" t="n">
        <x:v>6.78125</x:v>
      </x:c>
      <x:c r="X615" s="26" t="n">
        <x:v>-76.1250611</x:v>
      </x:c>
      <x:c r="AF615" t="s">
        <x:v>50</x:v>
      </x:c>
      <x:c r="AG615" t="s">
        <x:v>402</x:v>
      </x:c>
      <x:c r="AH615" t="s">
        <x:v>1685</x:v>
      </x:c>
      <x:c r="AI615" t="s">
        <x:v>4422</x:v>
      </x:c>
      <x:c r="AJ615">
        <x:v>662</x:v>
      </x:c>
    </x:row>
    <x:row r="616">
      <x:c r="A616" t="s">
        <x:v>4131</x:v>
      </x:c>
      <x:c r="B616" t="s">
        <x:v>4132</x:v>
      </x:c>
      <x:c r="C616" t="s">
        <x:v>4423</x:v>
      </x:c>
      <x:c r="D616" t="s">
        <x:v>4424</x:v>
      </x:c>
      <x:c r="E616" t="s">
        <x:v>4425</x:v>
      </x:c>
      <x:c r="F616" t="s">
        <x:v>962</x:v>
      </x:c>
      <x:c r="G616">
        <x:v>2300</x:v>
      </x:c>
      <x:c r="H616">
        <x:v>2400</x:v>
      </x:c>
      <x:c r="I616" t="s">
        <x:v>4426</x:v>
      </x:c>
      <x:c r="J616" t="s">
        <x:v>4427</x:v>
      </x:c>
      <x:c r="K616" t="s">
        <x:v>4428</x:v>
      </x:c>
      <x:c r="L616" t="s">
        <x:v>4429</x:v>
      </x:c>
      <x:c r="M616" t="s">
        <x:v>4430</x:v>
      </x:c>
      <x:c r="N616" t="s">
        <x:v>4431</x:v>
      </x:c>
      <x:c r="O616" t="s">
        <x:v>4432</x:v>
      </x:c>
      <x:c r="P616" t="s">
        <x:v>4433</x:v>
      </x:c>
      <x:c r="R616" s="9">
        <x:v>32537</x:v>
      </x:c>
      <x:c r="W616" s="26" t="n">
        <x:v>5.5</x:v>
      </x:c>
      <x:c r="X616" s="26" t="n">
        <x:v>-75.8333333</x:v>
      </x:c>
      <x:c r="AF616" t="s">
        <x:v>50</x:v>
      </x:c>
      <x:c r="AG616" t="s">
        <x:v>402</x:v>
      </x:c>
      <x:c r="AH616" t="s">
        <x:v>4311</x:v>
      </x:c>
      <x:c r="AI616" t="s">
        <x:v>4434</x:v>
      </x:c>
      <x:c r="AJ616">
        <x:v>663</x:v>
      </x:c>
    </x:row>
    <x:row r="617">
      <x:c r="A617" t="s">
        <x:v>4131</x:v>
      </x:c>
      <x:c r="B617" t="s">
        <x:v>4132</x:v>
      </x:c>
      <x:c r="C617" t="s">
        <x:v>4435</x:v>
      </x:c>
      <x:c r="D617" t="s">
        <x:v>4436</x:v>
      </x:c>
      <x:c r="E617" t="s">
        <x:v>4437</x:v>
      </x:c>
      <x:c r="F617" t="s">
        <x:v>4438</x:v>
      </x:c>
      <x:c r="G617">
        <x:v>1830</x:v>
      </x:c>
      <x:c r="H617">
        <x:v>1900</x:v>
      </x:c>
      <x:c r="I617" t="s">
        <x:v>4439</x:v>
      </x:c>
      <x:c r="J617" t="s">
        <x:v>4440</x:v>
      </x:c>
      <x:c r="K617" t="s">
        <x:v>4305</x:v>
      </x:c>
      <x:c r="L617" t="s">
        <x:v>2424</x:v>
      </x:c>
      <x:c r="M617" t="s">
        <x:v>4441</x:v>
      </x:c>
      <x:c r="N617" t="s">
        <x:v>4442</x:v>
      </x:c>
      <x:c r="O617" t="s">
        <x:v>2426</x:v>
      </x:c>
      <x:c r="P617" t="s">
        <x:v>4443</x:v>
      </x:c>
      <x:c r="R617" s="9">
        <x:v>32663</x:v>
      </x:c>
      <x:c r="W617" s="26" t="n">
        <x:v>7.0166667</x:v>
      </x:c>
      <x:c r="X617" s="26" t="n">
        <x:v>-75.5833333</x:v>
      </x:c>
      <x:c r="AF617" t="s">
        <x:v>50</x:v>
      </x:c>
      <x:c r="AG617" t="s">
        <x:v>402</x:v>
      </x:c>
      <x:c r="AH617" t="s">
        <x:v>4215</x:v>
      </x:c>
      <x:c r="AI617" t="s">
        <x:v>4444</x:v>
      </x:c>
      <x:c r="AJ617">
        <x:v>664</x:v>
      </x:c>
    </x:row>
    <x:row r="618">
      <x:c r="A618" t="s">
        <x:v>4131</x:v>
      </x:c>
      <x:c r="B618" t="s">
        <x:v>4132</x:v>
      </x:c>
      <x:c r="C618" t="s">
        <x:v>4435</x:v>
      </x:c>
      <x:c r="D618" t="s">
        <x:v>4445</x:v>
      </x:c>
      <x:c r="E618" t="s">
        <x:v>4437</x:v>
      </x:c>
      <x:c r="F618" t="s">
        <x:v>4438</x:v>
      </x:c>
      <x:c r="G618">
        <x:v>1830</x:v>
      </x:c>
      <x:c r="H618">
        <x:v>1900</x:v>
      </x:c>
      <x:c r="I618" t="s">
        <x:v>4439</x:v>
      </x:c>
      <x:c r="J618" t="s">
        <x:v>4440</x:v>
      </x:c>
      <x:c r="K618" t="s">
        <x:v>4305</x:v>
      </x:c>
      <x:c r="L618" t="s">
        <x:v>2424</x:v>
      </x:c>
      <x:c r="M618" t="s">
        <x:v>4441</x:v>
      </x:c>
      <x:c r="N618" t="s">
        <x:v>4442</x:v>
      </x:c>
      <x:c r="O618" t="s">
        <x:v>2426</x:v>
      </x:c>
      <x:c r="P618" t="s">
        <x:v>4443</x:v>
      </x:c>
      <x:c r="R618" s="9">
        <x:v>32663</x:v>
      </x:c>
      <x:c r="W618" s="26" t="n">
        <x:v>7.0166667</x:v>
      </x:c>
      <x:c r="X618" s="26" t="n">
        <x:v>-75.5833333</x:v>
      </x:c>
      <x:c r="AF618" t="s">
        <x:v>50</x:v>
      </x:c>
      <x:c r="AG618" t="s">
        <x:v>402</x:v>
      </x:c>
      <x:c r="AH618" t="s">
        <x:v>4215</x:v>
      </x:c>
      <x:c r="AI618" t="s">
        <x:v>4444</x:v>
      </x:c>
      <x:c r="AJ618">
        <x:v>665</x:v>
      </x:c>
    </x:row>
    <x:row r="619">
      <x:c r="A619" t="s">
        <x:v>4131</x:v>
      </x:c>
      <x:c r="B619" t="s">
        <x:v>4132</x:v>
      </x:c>
      <x:c r="C619" t="s">
        <x:v>4446</x:v>
      </x:c>
      <x:c r="D619" t="s">
        <x:v>4447</x:v>
      </x:c>
      <x:c r="E619" t="s">
        <x:v>4448</x:v>
      </x:c>
      <x:c r="F619">
        <x:v>2600</x:v>
      </x:c>
      <x:c r="G619">
        <x:v>2600</x:v>
      </x:c>
      <x:c r="H619">
        <x:v>2600</x:v>
      </x:c>
      <x:c r="I619" t="s">
        <x:v>4136</x:v>
      </x:c>
      <x:c r="J619" t="s">
        <x:v>4137</x:v>
      </x:c>
      <x:c r="K619" t="s">
        <x:v>4138</x:v>
      </x:c>
      <x:c r="L619" t="s">
        <x:v>530</x:v>
      </x:c>
      <x:c r="M619" t="s">
        <x:v>4139</x:v>
      </x:c>
      <x:c r="N619" t="s">
        <x:v>4140</x:v>
      </x:c>
      <x:c r="O619" t="s">
        <x:v>533</x:v>
      </x:c>
      <x:c r="P619" t="s">
        <x:v>4141</x:v>
      </x:c>
      <x:c r="R619" s="9">
        <x:v>33352</x:v>
      </x:c>
      <x:c r="T619" t="s">
        <x:v>119</x:v>
      </x:c>
      <x:c r="W619" s="26" t="n">
        <x:v>6.6288</x:v>
      </x:c>
      <x:c r="X619" s="26" t="n">
        <x:v>-75.68897</x:v>
      </x:c>
      <x:c r="Y619">
        <x:v>1354.675</x:v>
      </x:c>
      <x:c r="Z619">
        <x:v>2639</x:v>
      </x:c>
      <x:c r="AB619" t="s">
        <x:v>4142</x:v>
      </x:c>
      <x:c r="AF619" t="s">
        <x:v>50</x:v>
      </x:c>
      <x:c r="AG619" t="s">
        <x:v>402</x:v>
      </x:c>
      <x:c r="AH619" t="s">
        <x:v>1710</x:v>
      </x:c>
      <x:c r="AI619" t="s">
        <x:v>4449</x:v>
      </x:c>
      <x:c r="AJ619">
        <x:v>666</x:v>
      </x:c>
    </x:row>
    <x:row r="620">
      <x:c r="A620" t="s">
        <x:v>4131</x:v>
      </x:c>
      <x:c r="B620" t="s">
        <x:v>4132</x:v>
      </x:c>
      <x:c r="C620" t="s">
        <x:v>4450</x:v>
      </x:c>
      <x:c r="D620" t="s">
        <x:v>4451</x:v>
      </x:c>
      <x:c r="E620" t="s">
        <x:v>4452</x:v>
      </x:c>
      <x:c r="F620">
        <x:v>2500</x:v>
      </x:c>
      <x:c r="G620">
        <x:v>2500</x:v>
      </x:c>
      <x:c r="H620">
        <x:v>2500</x:v>
      </x:c>
      <x:c r="I620" t="s">
        <x:v>3514</x:v>
      </x:c>
      <x:c r="J620" t="s">
        <x:v>3515</x:v>
      </x:c>
      <x:c r="K620" t="s">
        <x:v>3516</x:v>
      </x:c>
      <x:c r="L620" t="s">
        <x:v>3517</x:v>
      </x:c>
      <x:c r="M620" t="s">
        <x:v>3518</x:v>
      </x:c>
      <x:c r="N620" t="s">
        <x:v>3519</x:v>
      </x:c>
      <x:c r="O620" t="s">
        <x:v>3520</x:v>
      </x:c>
      <x:c r="P620" t="s">
        <x:v>3521</x:v>
      </x:c>
      <x:c r="R620" s="9">
        <x:v>33507</x:v>
      </x:c>
      <x:c r="W620" s="26" t="n">
        <x:v>6.235925</x:v>
      </x:c>
      <x:c r="X620" s="26" t="n">
        <x:v>-75.5751361</x:v>
      </x:c>
      <x:c r="AF620" t="s">
        <x:v>50</x:v>
      </x:c>
      <x:c r="AG620" t="s">
        <x:v>402</x:v>
      </x:c>
      <x:c r="AH620" t="s">
        <x:v>855</x:v>
      </x:c>
      <x:c r="AI620" t="s">
        <x:v>4453</x:v>
      </x:c>
      <x:c r="AJ620">
        <x:v>667</x:v>
      </x:c>
    </x:row>
    <x:row r="621">
      <x:c r="A621" t="s">
        <x:v>4131</x:v>
      </x:c>
      <x:c r="B621" t="s">
        <x:v>4132</x:v>
      </x:c>
      <x:c r="C621" t="s">
        <x:v>4454</x:v>
      </x:c>
      <x:c r="D621" t="s">
        <x:v>4455</x:v>
      </x:c>
      <x:c r="E621" t="s">
        <x:v>4456</x:v>
      </x:c>
      <x:c r="F621">
        <x:v>2650</x:v>
      </x:c>
      <x:c r="G621">
        <x:v>2650</x:v>
      </x:c>
      <x:c r="H621">
        <x:v>2650</x:v>
      </x:c>
      <x:c r="I621" t="s">
        <x:v>2381</x:v>
      </x:c>
      <x:c r="J621" t="s">
        <x:v>2382</x:v>
      </x:c>
      <x:c r="K621" t="s">
        <x:v>4305</x:v>
      </x:c>
      <x:c r="L621" t="s">
        <x:v>2424</x:v>
      </x:c>
      <x:c r="M621" t="s">
        <x:v>2425</x:v>
      </x:c>
      <x:c r="N621" t="s">
        <x:v>532</x:v>
      </x:c>
      <x:c r="O621" t="s">
        <x:v>2426</x:v>
      </x:c>
      <x:c r="P621" t="s">
        <x:v>2427</x:v>
      </x:c>
      <x:c r="R621" s="9">
        <x:v>33726</x:v>
      </x:c>
      <x:c r="T621" t="s">
        <x:v>119</x:v>
      </x:c>
      <x:c r="W621" s="26" t="n">
        <x:v>6.25</x:v>
      </x:c>
      <x:c r="X621" s="26" t="n">
        <x:v>-75.5833333</x:v>
      </x:c>
      <x:c r="AF621" t="s">
        <x:v>50</x:v>
      </x:c>
      <x:c r="AG621" t="s">
        <x:v>402</x:v>
      </x:c>
      <x:c r="AH621" t="s">
        <x:v>855</x:v>
      </x:c>
      <x:c r="AI621" t="s">
        <x:v>4457</x:v>
      </x:c>
      <x:c r="AJ621">
        <x:v>668</x:v>
      </x:c>
    </x:row>
    <x:row r="622">
      <x:c r="A622" t="s">
        <x:v>4131</x:v>
      </x:c>
      <x:c r="B622" t="s">
        <x:v>4132</x:v>
      </x:c>
      <x:c r="C622" t="s">
        <x:v>4458</x:v>
      </x:c>
      <x:c r="D622" t="s">
        <x:v>4459</x:v>
      </x:c>
      <x:c r="E622" t="s">
        <x:v>4460</x:v>
      </x:c>
      <x:c r="F622">
        <x:v>2500</x:v>
      </x:c>
      <x:c r="G622">
        <x:v>2500</x:v>
      </x:c>
      <x:c r="H622">
        <x:v>2500</x:v>
      </x:c>
      <x:c r="I622" t="s">
        <x:v>4461</x:v>
      </x:c>
      <x:c r="J622" t="s">
        <x:v>4462</x:v>
      </x:c>
      <x:c r="K622" t="s">
        <x:v>4463</x:v>
      </x:c>
      <x:c r="L622" t="s">
        <x:v>4464</x:v>
      </x:c>
      <x:c r="M622" t="s">
        <x:v>4465</x:v>
      </x:c>
      <x:c r="N622" t="s">
        <x:v>4466</x:v>
      </x:c>
      <x:c r="O622" t="s">
        <x:v>4467</x:v>
      </x:c>
      <x:c r="P622" t="s">
        <x:v>4468</x:v>
      </x:c>
      <x:c r="R622" s="9">
        <x:v>33832</x:v>
      </x:c>
      <x:c r="T622" t="s">
        <x:v>119</x:v>
      </x:c>
      <x:c r="W622" s="26" t="n">
        <x:v>5.65</x:v>
      </x:c>
      <x:c r="X622" s="26" t="n">
        <x:v>-75.3</x:v>
      </x:c>
      <x:c r="AF622" t="s">
        <x:v>50</x:v>
      </x:c>
      <x:c r="AG622" t="s">
        <x:v>402</x:v>
      </x:c>
      <x:c r="AH622" t="s">
        <x:v>3306</x:v>
      </x:c>
      <x:c r="AI622" t="s">
        <x:v>4469</x:v>
      </x:c>
      <x:c r="AJ622">
        <x:v>669</x:v>
      </x:c>
    </x:row>
    <x:row r="623">
      <x:c r="A623" t="s">
        <x:v>4131</x:v>
      </x:c>
      <x:c r="B623" t="s">
        <x:v>4132</x:v>
      </x:c>
      <x:c r="C623" t="s">
        <x:v>4470</x:v>
      </x:c>
      <x:c r="D623" t="s">
        <x:v>4471</x:v>
      </x:c>
      <x:c r="E623" t="s">
        <x:v>4460</x:v>
      </x:c>
      <x:c r="F623">
        <x:v>2500</x:v>
      </x:c>
      <x:c r="G623">
        <x:v>2500</x:v>
      </x:c>
      <x:c r="H623">
        <x:v>2500</x:v>
      </x:c>
      <x:c r="I623" t="s">
        <x:v>4461</x:v>
      </x:c>
      <x:c r="J623" t="s">
        <x:v>4462</x:v>
      </x:c>
      <x:c r="K623" t="s">
        <x:v>4463</x:v>
      </x:c>
      <x:c r="L623" t="s">
        <x:v>4464</x:v>
      </x:c>
      <x:c r="M623" t="s">
        <x:v>4465</x:v>
      </x:c>
      <x:c r="N623" t="s">
        <x:v>4466</x:v>
      </x:c>
      <x:c r="O623" t="s">
        <x:v>4467</x:v>
      </x:c>
      <x:c r="P623" t="s">
        <x:v>4468</x:v>
      </x:c>
      <x:c r="R623" s="9">
        <x:v>33832</x:v>
      </x:c>
      <x:c r="T623" t="s">
        <x:v>119</x:v>
      </x:c>
      <x:c r="W623" s="26" t="n">
        <x:v>5.65</x:v>
      </x:c>
      <x:c r="X623" s="26" t="n">
        <x:v>-75.3</x:v>
      </x:c>
      <x:c r="AF623" t="s">
        <x:v>50</x:v>
      </x:c>
      <x:c r="AG623" t="s">
        <x:v>402</x:v>
      </x:c>
      <x:c r="AH623" t="s">
        <x:v>3306</x:v>
      </x:c>
      <x:c r="AI623" t="s">
        <x:v>4469</x:v>
      </x:c>
      <x:c r="AJ623">
        <x:v>670</x:v>
      </x:c>
    </x:row>
    <x:row r="624">
      <x:c r="A624" t="s">
        <x:v>4131</x:v>
      </x:c>
      <x:c r="B624" t="s">
        <x:v>4132</x:v>
      </x:c>
      <x:c r="C624" t="s">
        <x:v>4472</x:v>
      </x:c>
      <x:c r="D624" t="s">
        <x:v>4473</x:v>
      </x:c>
      <x:c r="E624" t="s">
        <x:v>4474</x:v>
      </x:c>
      <x:c r="F624" t="s">
        <x:v>4475</x:v>
      </x:c>
      <x:c r="G624">
        <x:v>2420</x:v>
      </x:c>
      <x:c r="H624">
        <x:v>2510</x:v>
      </x:c>
      <x:c r="I624" t="s">
        <x:v>4476</x:v>
      </x:c>
      <x:c r="J624" t="s">
        <x:v>4477</x:v>
      </x:c>
      <x:c r="K624" t="s">
        <x:v>3905</x:v>
      </x:c>
      <x:c r="L624" t="s">
        <x:v>3906</x:v>
      </x:c>
      <x:c r="M624" t="s">
        <x:v>4478</x:v>
      </x:c>
      <x:c r="N624" t="s">
        <x:v>4479</x:v>
      </x:c>
      <x:c r="O624" t="s">
        <x:v>3909</x:v>
      </x:c>
      <x:c r="P624" t="s">
        <x:v>4480</x:v>
      </x:c>
      <x:c r="R624" s="9">
        <x:v>33836</x:v>
      </x:c>
      <x:c r="T624" t="s">
        <x:v>119</x:v>
      </x:c>
      <x:c r="W624" s="26" t="n">
        <x:v>5.7839</x:v>
      </x:c>
      <x:c r="X624" s="26" t="n">
        <x:v>-75.27997</x:v>
      </x:c>
      <x:c r="Y624">
        <x:v>2356.1390000000001</x:v>
      </x:c>
      <x:c r="Z624">
        <x:v>2661</x:v>
      </x:c>
      <x:c r="AB624" t="s">
        <x:v>4481</x:v>
      </x:c>
      <x:c r="AF624" t="s">
        <x:v>50</x:v>
      </x:c>
      <x:c r="AG624" t="s">
        <x:v>402</x:v>
      </x:c>
      <x:c r="AH624" t="s">
        <x:v>2312</x:v>
      </x:c>
      <x:c r="AI624" t="s">
        <x:v>4482</x:v>
      </x:c>
      <x:c r="AJ624">
        <x:v>671</x:v>
      </x:c>
    </x:row>
    <x:row r="625">
      <x:c r="A625" t="s">
        <x:v>4131</x:v>
      </x:c>
      <x:c r="B625" t="s">
        <x:v>4132</x:v>
      </x:c>
      <x:c r="C625" t="s">
        <x:v>4483</x:v>
      </x:c>
      <x:c r="D625" t="s">
        <x:v>4484</x:v>
      </x:c>
      <x:c r="E625" t="s">
        <x:v>4485</x:v>
      </x:c>
      <x:c r="F625">
        <x:v>2350</x:v>
      </x:c>
      <x:c r="G625">
        <x:v>2350</x:v>
      </x:c>
      <x:c r="H625">
        <x:v>2350</x:v>
      </x:c>
      <x:c r="I625" t="s">
        <x:v>4189</x:v>
      </x:c>
      <x:c r="J625" t="s">
        <x:v>4190</x:v>
      </x:c>
      <x:c r="K625" t="s">
        <x:v>2089</x:v>
      </x:c>
      <x:c r="L625" t="s">
        <x:v>2090</x:v>
      </x:c>
      <x:c r="M625" t="s">
        <x:v>4486</x:v>
      </x:c>
      <x:c r="N625" t="s">
        <x:v>754</x:v>
      </x:c>
      <x:c r="O625" t="s">
        <x:v>755</x:v>
      </x:c>
      <x:c r="P625" t="s">
        <x:v>756</x:v>
      </x:c>
      <x:c r="R625" s="9">
        <x:v>34657</x:v>
      </x:c>
      <x:c r="T625" t="s">
        <x:v>119</x:v>
      </x:c>
      <x:c r="W625" s="26" t="n">
        <x:v>6.3</x:v>
      </x:c>
      <x:c r="X625" s="26" t="n">
        <x:v>-75.4833333</x:v>
      </x:c>
      <x:c r="AF625" t="s">
        <x:v>50</x:v>
      </x:c>
      <x:c r="AG625" t="s">
        <x:v>402</x:v>
      </x:c>
      <x:c r="AH625" t="s">
        <x:v>4487</x:v>
      </x:c>
      <x:c r="AI625" t="s">
        <x:v>4488</x:v>
      </x:c>
      <x:c r="AJ625">
        <x:v>672</x:v>
      </x:c>
    </x:row>
    <x:row r="626">
      <x:c r="A626" t="s">
        <x:v>4131</x:v>
      </x:c>
      <x:c r="B626" t="s">
        <x:v>4132</x:v>
      </x:c>
      <x:c r="C626" t="s">
        <x:v>4489</x:v>
      </x:c>
      <x:c r="D626" t="s">
        <x:v>4490</x:v>
      </x:c>
      <x:c r="E626" t="s">
        <x:v>4491</x:v>
      </x:c>
      <x:c r="F626">
        <x:v>2300</x:v>
      </x:c>
      <x:c r="G626">
        <x:v>2300</x:v>
      </x:c>
      <x:c r="H626">
        <x:v>2300</x:v>
      </x:c>
      <x:c r="I626" t="s">
        <x:v>4492</x:v>
      </x:c>
      <x:c r="J626" t="s">
        <x:v>4493</x:v>
      </x:c>
      <x:c r="K626" t="s">
        <x:v>4494</x:v>
      </x:c>
      <x:c r="L626" t="s">
        <x:v>4495</x:v>
      </x:c>
      <x:c r="M626" t="s">
        <x:v>4496</x:v>
      </x:c>
      <x:c r="N626" t="s">
        <x:v>4497</x:v>
      </x:c>
      <x:c r="O626" t="s">
        <x:v>4498</x:v>
      </x:c>
      <x:c r="P626" t="s">
        <x:v>4499</x:v>
      </x:c>
      <x:c r="R626" s="9">
        <x:v>34887</x:v>
      </x:c>
      <x:c r="T626" t="s">
        <x:v>119</x:v>
      </x:c>
      <x:c r="W626" s="26" t="n">
        <x:v>6.2666667</x:v>
      </x:c>
      <x:c r="X626" s="26" t="n">
        <x:v>-75.5666667</x:v>
      </x:c>
      <x:c r="AF626" t="s">
        <x:v>50</x:v>
      </x:c>
      <x:c r="AG626" t="s">
        <x:v>402</x:v>
      </x:c>
      <x:c r="AH626" t="s">
        <x:v>855</x:v>
      </x:c>
      <x:c r="AI626" t="s">
        <x:v>4500</x:v>
      </x:c>
      <x:c r="AJ626">
        <x:v>674</x:v>
      </x:c>
    </x:row>
    <x:row r="627">
      <x:c r="A627" t="s">
        <x:v>4131</x:v>
      </x:c>
      <x:c r="B627" t="s">
        <x:v>4132</x:v>
      </x:c>
      <x:c r="C627" t="s">
        <x:v>4501</x:v>
      </x:c>
      <x:c r="D627" t="s">
        <x:v>4502</x:v>
      </x:c>
      <x:c r="E627" t="s">
        <x:v>4503</x:v>
      </x:c>
      <x:c r="F627">
        <x:v>2400</x:v>
      </x:c>
      <x:c r="G627">
        <x:v>2400</x:v>
      </x:c>
      <x:c r="H627">
        <x:v>2400</x:v>
      </x:c>
      <x:c r="I627" t="s">
        <x:v>4189</x:v>
      </x:c>
      <x:c r="J627" t="s">
        <x:v>4190</x:v>
      </x:c>
      <x:c r="K627" t="s">
        <x:v>4504</x:v>
      </x:c>
      <x:c r="L627" t="s">
        <x:v>4505</x:v>
      </x:c>
      <x:c r="M627" t="s">
        <x:v>4486</x:v>
      </x:c>
      <x:c r="N627" t="s">
        <x:v>754</x:v>
      </x:c>
      <x:c r="O627" t="s">
        <x:v>4506</x:v>
      </x:c>
      <x:c r="P627" t="s">
        <x:v>4507</x:v>
      </x:c>
      <x:c r="R627" s="9">
        <x:v>34901</x:v>
      </x:c>
      <x:c r="T627" t="s">
        <x:v>119</x:v>
      </x:c>
      <x:c r="W627" s="26" t="n">
        <x:v>6.27804</x:v>
      </x:c>
      <x:c r="X627" s="26" t="n">
        <x:v>-75.49653</x:v>
      </x:c>
      <x:c r="Y627">
        <x:v>1925.1410000000001</x:v>
      </x:c>
      <x:c r="AB627" t="s">
        <x:v>4508</x:v>
      </x:c>
      <x:c r="AF627" t="s">
        <x:v>50</x:v>
      </x:c>
      <x:c r="AG627" t="s">
        <x:v>402</x:v>
      </x:c>
      <x:c r="AH627" t="s">
        <x:v>855</x:v>
      </x:c>
      <x:c r="AI627" t="s">
        <x:v>4509</x:v>
      </x:c>
      <x:c r="AJ627">
        <x:v>675</x:v>
      </x:c>
    </x:row>
    <x:row r="628">
      <x:c r="A628" t="s">
        <x:v>4131</x:v>
      </x:c>
      <x:c r="B628" t="s">
        <x:v>4132</x:v>
      </x:c>
      <x:c r="C628" t="s">
        <x:v>4510</x:v>
      </x:c>
      <x:c r="D628" t="s">
        <x:v>4511</x:v>
      </x:c>
      <x:c r="E628" t="s">
        <x:v>4512</x:v>
      </x:c>
      <x:c r="F628">
        <x:v>2600</x:v>
      </x:c>
      <x:c r="G628">
        <x:v>2600</x:v>
      </x:c>
      <x:c r="H628">
        <x:v>2600</x:v>
      </x:c>
      <x:c r="I628" t="s">
        <x:v>4513</x:v>
      </x:c>
      <x:c r="J628" t="s">
        <x:v>4514</x:v>
      </x:c>
      <x:c r="K628" t="s">
        <x:v>4515</x:v>
      </x:c>
      <x:c r="L628" t="s">
        <x:v>4516</x:v>
      </x:c>
      <x:c r="M628" t="s">
        <x:v>4517</x:v>
      </x:c>
      <x:c r="N628" t="s">
        <x:v>4518</x:v>
      </x:c>
      <x:c r="O628" t="s">
        <x:v>4519</x:v>
      </x:c>
      <x:c r="P628" t="s">
        <x:v>4520</x:v>
      </x:c>
      <x:c r="R628" s="9">
        <x:v>34979</x:v>
      </x:c>
      <x:c r="W628" s="26" t="n">
        <x:v>6.0289722</x:v>
      </x:c>
      <x:c r="X628" s="26" t="n">
        <x:v>-75.3262778</x:v>
      </x:c>
      <x:c r="AF628" t="s">
        <x:v>50</x:v>
      </x:c>
      <x:c r="AG628" t="s">
        <x:v>402</x:v>
      </x:c>
      <x:c r="AH628" t="s">
        <x:v>4521</x:v>
      </x:c>
      <x:c r="AI628" t="s">
        <x:v>4522</x:v>
      </x:c>
      <x:c r="AJ628">
        <x:v>676</x:v>
      </x:c>
    </x:row>
    <x:row r="629">
      <x:c r="A629" t="s">
        <x:v>4131</x:v>
      </x:c>
      <x:c r="B629" t="s">
        <x:v>4132</x:v>
      </x:c>
      <x:c r="C629" t="s">
        <x:v>4523</x:v>
      </x:c>
      <x:c r="D629" t="s">
        <x:v>4524</x:v>
      </x:c>
      <x:c r="E629" t="s">
        <x:v>4525</x:v>
      </x:c>
      <x:c r="F629">
        <x:v>2350</x:v>
      </x:c>
      <x:c r="G629">
        <x:v>2350</x:v>
      </x:c>
      <x:c r="H629">
        <x:v>2350</x:v>
      </x:c>
      <x:c r="I629" t="s">
        <x:v>4526</x:v>
      </x:c>
      <x:c r="J629" t="s">
        <x:v>4527</x:v>
      </x:c>
      <x:c r="K629" t="s">
        <x:v>4528</x:v>
      </x:c>
      <x:c r="L629" t="s">
        <x:v>2445</x:v>
      </x:c>
      <x:c r="M629" t="s">
        <x:v>4529</x:v>
      </x:c>
      <x:c r="N629" t="s">
        <x:v>2447</x:v>
      </x:c>
      <x:c r="O629" t="s">
        <x:v>2448</x:v>
      </x:c>
      <x:c r="P629" t="s">
        <x:v>2449</x:v>
      </x:c>
      <x:c r="R629" s="9">
        <x:v>35173</x:v>
      </x:c>
      <x:c r="T629" t="s">
        <x:v>318</x:v>
      </x:c>
      <x:c r="W629" s="26" t="n">
        <x:v>6.1719444</x:v>
      </x:c>
      <x:c r="X629" s="26" t="n">
        <x:v>-75.5858333</x:v>
      </x:c>
      <x:c r="AF629" t="s">
        <x:v>50</x:v>
      </x:c>
      <x:c r="AG629" t="s">
        <x:v>402</x:v>
      </x:c>
      <x:c r="AH629" t="s">
        <x:v>2450</x:v>
      </x:c>
      <x:c r="AI629" t="s">
        <x:v>4530</x:v>
      </x:c>
      <x:c r="AJ629">
        <x:v>677</x:v>
      </x:c>
    </x:row>
    <x:row r="630">
      <x:c r="A630" t="s">
        <x:v>4131</x:v>
      </x:c>
      <x:c r="B630" t="s">
        <x:v>4132</x:v>
      </x:c>
      <x:c r="C630" t="s">
        <x:v>4531</x:v>
      </x:c>
      <x:c r="D630" t="s">
        <x:v>4532</x:v>
      </x:c>
      <x:c r="E630" t="s">
        <x:v>4533</x:v>
      </x:c>
      <x:c r="F630">
        <x:v>2350</x:v>
      </x:c>
      <x:c r="G630">
        <x:v>2350</x:v>
      </x:c>
      <x:c r="H630">
        <x:v>2350</x:v>
      </x:c>
      <x:c r="I630" t="s">
        <x:v>4189</x:v>
      </x:c>
      <x:c r="J630" t="s">
        <x:v>4190</x:v>
      </x:c>
      <x:c r="K630" t="s">
        <x:v>2089</x:v>
      </x:c>
      <x:c r="L630" t="s">
        <x:v>2090</x:v>
      </x:c>
      <x:c r="M630" t="s">
        <x:v>4534</x:v>
      </x:c>
      <x:c r="N630" t="s">
        <x:v>754</x:v>
      </x:c>
      <x:c r="O630" t="s">
        <x:v>755</x:v>
      </x:c>
      <x:c r="P630" t="s">
        <x:v>756</x:v>
      </x:c>
      <x:c r="R630" s="9">
        <x:v>35228</x:v>
      </x:c>
      <x:c r="W630" s="26" t="n">
        <x:v>6.3</x:v>
      </x:c>
      <x:c r="X630" s="26" t="n">
        <x:v>-75.4833333</x:v>
      </x:c>
      <x:c r="AF630" t="s">
        <x:v>50</x:v>
      </x:c>
      <x:c r="AG630" t="s">
        <x:v>402</x:v>
      </x:c>
      <x:c r="AH630" t="s">
        <x:v>4487</x:v>
      </x:c>
      <x:c r="AI630" t="s">
        <x:v>4535</x:v>
      </x:c>
      <x:c r="AJ630">
        <x:v>678</x:v>
      </x:c>
    </x:row>
    <x:row r="631">
      <x:c r="A631" t="s">
        <x:v>4131</x:v>
      </x:c>
      <x:c r="B631" t="s">
        <x:v>4132</x:v>
      </x:c>
      <x:c r="C631" t="s">
        <x:v>4536</x:v>
      </x:c>
      <x:c r="D631" t="s">
        <x:v>4537</x:v>
      </x:c>
      <x:c r="E631" t="s">
        <x:v>4538</x:v>
      </x:c>
      <x:c r="F631">
        <x:v>2400</x:v>
      </x:c>
      <x:c r="G631">
        <x:v>2400</x:v>
      </x:c>
      <x:c r="H631">
        <x:v>2400</x:v>
      </x:c>
      <x:c r="I631" t="s">
        <x:v>4539</x:v>
      </x:c>
      <x:c r="J631" t="s">
        <x:v>4540</x:v>
      </x:c>
      <x:c r="K631" t="s">
        <x:v>4138</x:v>
      </x:c>
      <x:c r="L631" t="s">
        <x:v>530</x:v>
      </x:c>
      <x:c r="M631" t="s">
        <x:v>4541</x:v>
      </x:c>
      <x:c r="N631" t="s">
        <x:v>4542</x:v>
      </x:c>
      <x:c r="O631" t="s">
        <x:v>533</x:v>
      </x:c>
      <x:c r="P631" t="s">
        <x:v>4543</x:v>
      </x:c>
      <x:c r="R631" s="9">
        <x:v>35817</x:v>
      </x:c>
      <x:c r="T631" t="s">
        <x:v>119</x:v>
      </x:c>
      <x:c r="W631" s="26" t="n">
        <x:v>6.22788</x:v>
      </x:c>
      <x:c r="X631" s="26" t="n">
        <x:v>-75.50634</x:v>
      </x:c>
      <x:c r="Y631">
        <x:v>8443.5429999999997</x:v>
      </x:c>
      <x:c r="Z631">
        <x:v>2450</x:v>
      </x:c>
      <x:c r="AB631" t="s">
        <x:v>4544</x:v>
      </x:c>
      <x:c r="AF631" t="s">
        <x:v>50</x:v>
      </x:c>
      <x:c r="AG631" t="s">
        <x:v>402</x:v>
      </x:c>
      <x:c r="AH631" t="s">
        <x:v>855</x:v>
      </x:c>
      <x:c r="AI631" t="s">
        <x:v>4545</x:v>
      </x:c>
      <x:c r="AJ631">
        <x:v>679</x:v>
      </x:c>
    </x:row>
    <x:row r="632">
      <x:c r="A632" t="s">
        <x:v>4131</x:v>
      </x:c>
      <x:c r="B632" t="s">
        <x:v>4132</x:v>
      </x:c>
      <x:c r="C632" t="s">
        <x:v>4546</x:v>
      </x:c>
      <x:c r="D632" t="s">
        <x:v>4547</x:v>
      </x:c>
      <x:c r="E632" t="s">
        <x:v>4548</x:v>
      </x:c>
      <x:c r="F632">
        <x:v>2400</x:v>
      </x:c>
      <x:c r="G632">
        <x:v>2400</x:v>
      </x:c>
      <x:c r="H632">
        <x:v>2400</x:v>
      </x:c>
      <x:c r="I632" t="s">
        <x:v>2381</x:v>
      </x:c>
      <x:c r="J632" t="s">
        <x:v>2382</x:v>
      </x:c>
      <x:c r="K632" t="s">
        <x:v>4305</x:v>
      </x:c>
      <x:c r="L632" t="s">
        <x:v>2424</x:v>
      </x:c>
      <x:c r="M632" t="s">
        <x:v>2425</x:v>
      </x:c>
      <x:c r="N632" t="s">
        <x:v>532</x:v>
      </x:c>
      <x:c r="O632" t="s">
        <x:v>2426</x:v>
      </x:c>
      <x:c r="P632" t="s">
        <x:v>2427</x:v>
      </x:c>
      <x:c r="R632" s="9">
        <x:v>35855</x:v>
      </x:c>
      <x:c r="T632" t="s">
        <x:v>119</x:v>
      </x:c>
      <x:c r="W632" s="26" t="n">
        <x:v>6.25</x:v>
      </x:c>
      <x:c r="X632" s="26" t="n">
        <x:v>-75.5833333</x:v>
      </x:c>
      <x:c r="AF632" t="s">
        <x:v>50</x:v>
      </x:c>
      <x:c r="AG632" t="s">
        <x:v>402</x:v>
      </x:c>
      <x:c r="AH632" t="s">
        <x:v>855</x:v>
      </x:c>
      <x:c r="AI632" t="s">
        <x:v>4549</x:v>
      </x:c>
      <x:c r="AJ632">
        <x:v>680</x:v>
      </x:c>
    </x:row>
    <x:row r="633">
      <x:c r="A633" t="s">
        <x:v>4131</x:v>
      </x:c>
      <x:c r="B633" t="s">
        <x:v>4132</x:v>
      </x:c>
      <x:c r="C633" t="s">
        <x:v>4550</x:v>
      </x:c>
      <x:c r="D633" t="s">
        <x:v>4551</x:v>
      </x:c>
      <x:c r="E633" t="s">
        <x:v>4552</x:v>
      </x:c>
      <x:c r="F633">
        <x:v>2220</x:v>
      </x:c>
      <x:c r="G633">
        <x:v>2220</x:v>
      </x:c>
      <x:c r="H633">
        <x:v>2220</x:v>
      </x:c>
      <x:c r="I633" t="s">
        <x:v>4189</x:v>
      </x:c>
      <x:c r="J633" t="s">
        <x:v>4190</x:v>
      </x:c>
      <x:c r="K633" t="s">
        <x:v>4191</x:v>
      </x:c>
      <x:c r="L633" t="s">
        <x:v>4192</x:v>
      </x:c>
      <x:c r="M633" t="s">
        <x:v>4193</x:v>
      </x:c>
      <x:c r="N633" t="s">
        <x:v>754</x:v>
      </x:c>
      <x:c r="O633" t="s">
        <x:v>4194</x:v>
      </x:c>
      <x:c r="P633" t="s">
        <x:v>4195</x:v>
      </x:c>
      <x:c r="R633" s="9">
        <x:v>36364</x:v>
      </x:c>
      <x:c r="T633" t="s">
        <x:v>119</x:v>
      </x:c>
      <x:c r="W633" s="26" t="n">
        <x:v>6.3</x:v>
      </x:c>
      <x:c r="X633" s="26" t="n">
        <x:v>-75.6833333</x:v>
      </x:c>
      <x:c r="AF633" t="s">
        <x:v>50</x:v>
      </x:c>
      <x:c r="AG633" t="s">
        <x:v>402</x:v>
      </x:c>
      <x:c r="AH633" t="s">
        <x:v>855</x:v>
      </x:c>
      <x:c r="AI633" t="s">
        <x:v>4553</x:v>
      </x:c>
      <x:c r="AJ633">
        <x:v>681</x:v>
      </x:c>
    </x:row>
    <x:row r="634">
      <x:c r="A634" t="s">
        <x:v>4131</x:v>
      </x:c>
      <x:c r="B634" t="s">
        <x:v>4132</x:v>
      </x:c>
      <x:c r="C634" t="s">
        <x:v>4554</x:v>
      </x:c>
      <x:c r="D634" t="s">
        <x:v>4555</x:v>
      </x:c>
      <x:c r="E634" t="s">
        <x:v>4556</x:v>
      </x:c>
      <x:c r="F634">
        <x:v>2400</x:v>
      </x:c>
      <x:c r="G634">
        <x:v>2400</x:v>
      </x:c>
      <x:c r="H634">
        <x:v>2400</x:v>
      </x:c>
      <x:c r="I634" t="s">
        <x:v>4557</x:v>
      </x:c>
      <x:c r="J634" t="s">
        <x:v>2492</x:v>
      </x:c>
      <x:c r="K634" t="s">
        <x:v>4558</x:v>
      </x:c>
      <x:c r="L634" t="s">
        <x:v>4559</x:v>
      </x:c>
      <x:c r="M634" t="s">
        <x:v>4560</x:v>
      </x:c>
      <x:c r="N634" t="s">
        <x:v>2485</x:v>
      </x:c>
      <x:c r="O634" t="s">
        <x:v>4561</x:v>
      </x:c>
      <x:c r="P634" t="s">
        <x:v>4562</x:v>
      </x:c>
      <x:c r="R634" s="9">
        <x:v>36816</x:v>
      </x:c>
      <x:c r="T634" t="s">
        <x:v>119</x:v>
      </x:c>
      <x:c r="W634" s="26" t="n">
        <x:v>6.2616667</x:v>
      </x:c>
      <x:c r="X634" s="26" t="n">
        <x:v>-75.5089722</x:v>
      </x:c>
      <x:c r="AF634" t="s">
        <x:v>50</x:v>
      </x:c>
      <x:c r="AG634" t="s">
        <x:v>402</x:v>
      </x:c>
      <x:c r="AH634" t="s">
        <x:v>855</x:v>
      </x:c>
      <x:c r="AI634" t="s">
        <x:v>4563</x:v>
      </x:c>
      <x:c r="AJ634">
        <x:v>682</x:v>
      </x:c>
    </x:row>
    <x:row r="635">
      <x:c r="A635" t="s">
        <x:v>4131</x:v>
      </x:c>
      <x:c r="B635" t="s">
        <x:v>4132</x:v>
      </x:c>
      <x:c r="C635" t="s">
        <x:v>4554</x:v>
      </x:c>
      <x:c r="D635" t="s">
        <x:v>4564</x:v>
      </x:c>
      <x:c r="E635" t="s">
        <x:v>4556</x:v>
      </x:c>
      <x:c r="F635">
        <x:v>2400</x:v>
      </x:c>
      <x:c r="G635">
        <x:v>2400</x:v>
      </x:c>
      <x:c r="H635">
        <x:v>2400</x:v>
      </x:c>
      <x:c r="I635" t="s">
        <x:v>4557</x:v>
      </x:c>
      <x:c r="J635" t="s">
        <x:v>2492</x:v>
      </x:c>
      <x:c r="K635" t="s">
        <x:v>4558</x:v>
      </x:c>
      <x:c r="L635" t="s">
        <x:v>4559</x:v>
      </x:c>
      <x:c r="M635" t="s">
        <x:v>4560</x:v>
      </x:c>
      <x:c r="N635" t="s">
        <x:v>2485</x:v>
      </x:c>
      <x:c r="O635" t="s">
        <x:v>4561</x:v>
      </x:c>
      <x:c r="P635" t="s">
        <x:v>4562</x:v>
      </x:c>
      <x:c r="R635" s="9">
        <x:v>36816</x:v>
      </x:c>
      <x:c r="T635" t="s">
        <x:v>119</x:v>
      </x:c>
      <x:c r="W635" s="26" t="n">
        <x:v>6.2616667</x:v>
      </x:c>
      <x:c r="X635" s="26" t="n">
        <x:v>-75.5089722</x:v>
      </x:c>
      <x:c r="AF635" t="s">
        <x:v>50</x:v>
      </x:c>
      <x:c r="AG635" t="s">
        <x:v>402</x:v>
      </x:c>
      <x:c r="AH635" t="s">
        <x:v>855</x:v>
      </x:c>
      <x:c r="AI635" t="s">
        <x:v>4563</x:v>
      </x:c>
      <x:c r="AJ635">
        <x:v>683</x:v>
      </x:c>
    </x:row>
    <x:row r="636">
      <x:c r="A636" t="s">
        <x:v>4131</x:v>
      </x:c>
      <x:c r="B636" t="s">
        <x:v>4132</x:v>
      </x:c>
      <x:c r="C636" t="s">
        <x:v>4554</x:v>
      </x:c>
      <x:c r="D636" t="s">
        <x:v>4565</x:v>
      </x:c>
      <x:c r="E636" t="s">
        <x:v>4556</x:v>
      </x:c>
      <x:c r="F636">
        <x:v>2400</x:v>
      </x:c>
      <x:c r="G636">
        <x:v>2400</x:v>
      </x:c>
      <x:c r="H636">
        <x:v>2400</x:v>
      </x:c>
      <x:c r="I636" t="s">
        <x:v>4557</x:v>
      </x:c>
      <x:c r="J636" t="s">
        <x:v>2492</x:v>
      </x:c>
      <x:c r="K636" t="s">
        <x:v>4558</x:v>
      </x:c>
      <x:c r="L636" t="s">
        <x:v>4559</x:v>
      </x:c>
      <x:c r="M636" t="s">
        <x:v>4560</x:v>
      </x:c>
      <x:c r="N636" t="s">
        <x:v>2485</x:v>
      </x:c>
      <x:c r="O636" t="s">
        <x:v>4561</x:v>
      </x:c>
      <x:c r="P636" t="s">
        <x:v>4562</x:v>
      </x:c>
      <x:c r="R636" s="9">
        <x:v>36816</x:v>
      </x:c>
      <x:c r="T636" t="s">
        <x:v>3138</x:v>
      </x:c>
      <x:c r="W636" s="26" t="n">
        <x:v>6.2616667</x:v>
      </x:c>
      <x:c r="X636" s="26" t="n">
        <x:v>-75.5089722</x:v>
      </x:c>
      <x:c r="AF636" t="s">
        <x:v>50</x:v>
      </x:c>
      <x:c r="AG636" t="s">
        <x:v>402</x:v>
      </x:c>
      <x:c r="AH636" t="s">
        <x:v>855</x:v>
      </x:c>
      <x:c r="AI636" t="s">
        <x:v>4563</x:v>
      </x:c>
      <x:c r="AJ636">
        <x:v>684</x:v>
      </x:c>
    </x:row>
    <x:row r="637">
      <x:c r="A637" t="s">
        <x:v>4131</x:v>
      </x:c>
      <x:c r="B637" t="s">
        <x:v>4132</x:v>
      </x:c>
      <x:c r="C637" t="s">
        <x:v>4566</x:v>
      </x:c>
      <x:c r="D637" t="s">
        <x:v>4567</x:v>
      </x:c>
      <x:c r="E637" t="s">
        <x:v>4568</x:v>
      </x:c>
      <x:c r="F637">
        <x:v>2690</x:v>
      </x:c>
      <x:c r="G637">
        <x:v>2690</x:v>
      </x:c>
      <x:c r="H637">
        <x:v>2690</x:v>
      </x:c>
      <x:c r="I637" t="s">
        <x:v>4569</x:v>
      </x:c>
      <x:c r="J637" t="s">
        <x:v>4570</x:v>
      </x:c>
      <x:c r="K637" t="s">
        <x:v>4571</x:v>
      </x:c>
      <x:c r="L637" t="s">
        <x:v>4572</x:v>
      </x:c>
      <x:c r="M637" t="s">
        <x:v>4573</x:v>
      </x:c>
      <x:c r="N637" t="s">
        <x:v>4574</x:v>
      </x:c>
      <x:c r="O637" t="s">
        <x:v>4575</x:v>
      </x:c>
      <x:c r="P637" t="s">
        <x:v>4576</x:v>
      </x:c>
      <x:c r="R637" s="9">
        <x:v>37424</x:v>
      </x:c>
      <x:c r="T637" t="s">
        <x:v>119</x:v>
      </x:c>
      <x:c r="W637" s="26" t="n">
        <x:v>6.6108889</x:v>
      </x:c>
      <x:c r="X637" s="26" t="n">
        <x:v>-75.6661389</x:v>
      </x:c>
      <x:c r="AF637" t="s">
        <x:v>50</x:v>
      </x:c>
      <x:c r="AG637" t="s">
        <x:v>402</x:v>
      </x:c>
      <x:c r="AH637" t="s">
        <x:v>1710</x:v>
      </x:c>
      <x:c r="AI637" t="s">
        <x:v>4577</x:v>
      </x:c>
      <x:c r="AJ637">
        <x:v>686</x:v>
      </x:c>
    </x:row>
    <x:row r="638">
      <x:c r="A638" t="s">
        <x:v>4131</x:v>
      </x:c>
      <x:c r="B638" t="s">
        <x:v>4132</x:v>
      </x:c>
      <x:c r="C638" t="s">
        <x:v>4566</x:v>
      </x:c>
      <x:c r="D638" t="s">
        <x:v>4578</x:v>
      </x:c>
      <x:c r="E638" t="s">
        <x:v>4568</x:v>
      </x:c>
      <x:c r="F638">
        <x:v>2690</x:v>
      </x:c>
      <x:c r="G638">
        <x:v>2690</x:v>
      </x:c>
      <x:c r="H638">
        <x:v>2690</x:v>
      </x:c>
      <x:c r="I638" t="s">
        <x:v>4569</x:v>
      </x:c>
      <x:c r="J638" t="s">
        <x:v>4570</x:v>
      </x:c>
      <x:c r="K638" t="s">
        <x:v>4571</x:v>
      </x:c>
      <x:c r="L638" t="s">
        <x:v>4572</x:v>
      </x:c>
      <x:c r="M638" t="s">
        <x:v>4573</x:v>
      </x:c>
      <x:c r="N638" t="s">
        <x:v>4574</x:v>
      </x:c>
      <x:c r="O638" t="s">
        <x:v>4575</x:v>
      </x:c>
      <x:c r="P638" t="s">
        <x:v>4576</x:v>
      </x:c>
      <x:c r="R638" s="9">
        <x:v>37424</x:v>
      </x:c>
      <x:c r="T638" t="s">
        <x:v>119</x:v>
      </x:c>
      <x:c r="W638" s="26" t="n">
        <x:v>6.6108889</x:v>
      </x:c>
      <x:c r="X638" s="26" t="n">
        <x:v>-75.6661389</x:v>
      </x:c>
      <x:c r="AF638" t="s">
        <x:v>50</x:v>
      </x:c>
      <x:c r="AG638" t="s">
        <x:v>402</x:v>
      </x:c>
      <x:c r="AH638" t="s">
        <x:v>1710</x:v>
      </x:c>
      <x:c r="AI638" t="s">
        <x:v>4577</x:v>
      </x:c>
      <x:c r="AJ638">
        <x:v>687</x:v>
      </x:c>
    </x:row>
    <x:row r="639">
      <x:c r="A639" t="s">
        <x:v>4131</x:v>
      </x:c>
      <x:c r="B639" t="s">
        <x:v>4132</x:v>
      </x:c>
      <x:c r="C639" t="s">
        <x:v>4579</x:v>
      </x:c>
      <x:c r="D639" t="s">
        <x:v>4580</x:v>
      </x:c>
      <x:c r="E639" t="s">
        <x:v>4581</x:v>
      </x:c>
      <x:c r="F639">
        <x:v>2555</x:v>
      </x:c>
      <x:c r="G639">
        <x:v>2555</x:v>
      </x:c>
      <x:c r="H639">
        <x:v>2555</x:v>
      </x:c>
      <x:c r="I639" t="s">
        <x:v>4582</x:v>
      </x:c>
      <x:c r="J639" t="s">
        <x:v>2520</x:v>
      </x:c>
      <x:c r="K639" t="s">
        <x:v>4583</x:v>
      </x:c>
      <x:c r="L639" t="s">
        <x:v>2521</x:v>
      </x:c>
      <x:c r="M639" t="s">
        <x:v>2522</x:v>
      </x:c>
      <x:c r="N639" t="s">
        <x:v>2508</x:v>
      </x:c>
      <x:c r="O639" t="s">
        <x:v>2509</x:v>
      </x:c>
      <x:c r="P639" t="s">
        <x:v>2510</x:v>
      </x:c>
      <x:c r="R639" s="9">
        <x:v>37427</x:v>
      </x:c>
      <x:c r="T639" t="s">
        <x:v>119</x:v>
      </x:c>
      <x:c r="W639" s="26" t="n">
        <x:v>6.5959167</x:v>
      </x:c>
      <x:c r="X639" s="26" t="n">
        <x:v>-75.6536111</x:v>
      </x:c>
      <x:c r="AF639" t="s">
        <x:v>50</x:v>
      </x:c>
      <x:c r="AG639" t="s">
        <x:v>402</x:v>
      </x:c>
      <x:c r="AH639" t="s">
        <x:v>1710</x:v>
      </x:c>
      <x:c r="AI639" t="s">
        <x:v>4584</x:v>
      </x:c>
      <x:c r="AJ639">
        <x:v>688</x:v>
      </x:c>
    </x:row>
    <x:row r="640">
      <x:c r="A640" t="s">
        <x:v>4131</x:v>
      </x:c>
      <x:c r="B640" t="s">
        <x:v>4132</x:v>
      </x:c>
      <x:c r="C640" t="s">
        <x:v>4579</x:v>
      </x:c>
      <x:c r="D640" t="s">
        <x:v>4585</x:v>
      </x:c>
      <x:c r="E640" t="s">
        <x:v>4581</x:v>
      </x:c>
      <x:c r="F640">
        <x:v>2555</x:v>
      </x:c>
      <x:c r="G640">
        <x:v>2555</x:v>
      </x:c>
      <x:c r="H640">
        <x:v>2555</x:v>
      </x:c>
      <x:c r="I640" t="s">
        <x:v>4582</x:v>
      </x:c>
      <x:c r="J640" t="s">
        <x:v>2520</x:v>
      </x:c>
      <x:c r="K640" t="s">
        <x:v>4583</x:v>
      </x:c>
      <x:c r="L640" t="s">
        <x:v>2521</x:v>
      </x:c>
      <x:c r="M640" t="s">
        <x:v>2522</x:v>
      </x:c>
      <x:c r="N640" t="s">
        <x:v>2508</x:v>
      </x:c>
      <x:c r="O640" t="s">
        <x:v>2509</x:v>
      </x:c>
      <x:c r="P640" t="s">
        <x:v>2510</x:v>
      </x:c>
      <x:c r="R640" s="9">
        <x:v>37427</x:v>
      </x:c>
      <x:c r="T640" t="s">
        <x:v>119</x:v>
      </x:c>
      <x:c r="W640" s="26" t="n">
        <x:v>6.5959167</x:v>
      </x:c>
      <x:c r="X640" s="26" t="n">
        <x:v>-75.6536111</x:v>
      </x:c>
      <x:c r="AF640" t="s">
        <x:v>50</x:v>
      </x:c>
      <x:c r="AG640" t="s">
        <x:v>402</x:v>
      </x:c>
      <x:c r="AH640" t="s">
        <x:v>1710</x:v>
      </x:c>
      <x:c r="AI640" t="s">
        <x:v>4584</x:v>
      </x:c>
      <x:c r="AJ640">
        <x:v>689</x:v>
      </x:c>
    </x:row>
    <x:row r="641">
      <x:c r="A641" t="s">
        <x:v>4131</x:v>
      </x:c>
      <x:c r="B641" t="s">
        <x:v>4132</x:v>
      </x:c>
      <x:c r="C641" t="s">
        <x:v>4586</x:v>
      </x:c>
      <x:c r="D641" t="s">
        <x:v>4587</x:v>
      </x:c>
      <x:c r="E641" t="s">
        <x:v>4568</x:v>
      </x:c>
      <x:c r="F641">
        <x:v>2690</x:v>
      </x:c>
      <x:c r="G641">
        <x:v>2690</x:v>
      </x:c>
      <x:c r="H641">
        <x:v>2690</x:v>
      </x:c>
      <x:c r="I641" t="s">
        <x:v>4569</x:v>
      </x:c>
      <x:c r="J641" t="s">
        <x:v>4570</x:v>
      </x:c>
      <x:c r="K641" t="s">
        <x:v>4571</x:v>
      </x:c>
      <x:c r="L641" t="s">
        <x:v>4572</x:v>
      </x:c>
      <x:c r="M641" t="s">
        <x:v>4573</x:v>
      </x:c>
      <x:c r="N641" t="s">
        <x:v>4574</x:v>
      </x:c>
      <x:c r="O641" t="s">
        <x:v>4575</x:v>
      </x:c>
      <x:c r="P641" t="s">
        <x:v>4576</x:v>
      </x:c>
      <x:c r="R641" s="9">
        <x:v>37454</x:v>
      </x:c>
      <x:c r="T641" t="s">
        <x:v>119</x:v>
      </x:c>
      <x:c r="W641" s="26" t="n">
        <x:v>6.6108889</x:v>
      </x:c>
      <x:c r="X641" s="26" t="n">
        <x:v>-75.6661389</x:v>
      </x:c>
      <x:c r="AF641" t="s">
        <x:v>50</x:v>
      </x:c>
      <x:c r="AG641" t="s">
        <x:v>402</x:v>
      </x:c>
      <x:c r="AH641" t="s">
        <x:v>1710</x:v>
      </x:c>
      <x:c r="AI641" t="s">
        <x:v>4577</x:v>
      </x:c>
      <x:c r="AJ641">
        <x:v>690</x:v>
      </x:c>
    </x:row>
    <x:row r="642">
      <x:c r="A642" t="s">
        <x:v>4131</x:v>
      </x:c>
      <x:c r="B642" t="s">
        <x:v>4132</x:v>
      </x:c>
      <x:c r="C642" t="s">
        <x:v>4588</x:v>
      </x:c>
      <x:c r="D642" t="s">
        <x:v>4589</x:v>
      </x:c>
      <x:c r="E642" t="s">
        <x:v>4590</x:v>
      </x:c>
      <x:c r="F642">
        <x:v>2500</x:v>
      </x:c>
      <x:c r="G642">
        <x:v>2500</x:v>
      </x:c>
      <x:c r="H642">
        <x:v>2500</x:v>
      </x:c>
      <x:c r="I642" t="s">
        <x:v>893</x:v>
      </x:c>
      <x:c r="J642" t="s">
        <x:v>894</x:v>
      </x:c>
      <x:c r="K642" t="s">
        <x:v>895</x:v>
      </x:c>
      <x:c r="L642" t="s">
        <x:v>896</x:v>
      </x:c>
      <x:c r="M642" t="s">
        <x:v>897</x:v>
      </x:c>
      <x:c r="N642" t="s">
        <x:v>898</x:v>
      </x:c>
      <x:c r="O642" t="s">
        <x:v>899</x:v>
      </x:c>
      <x:c r="P642" t="s">
        <x:v>900</x:v>
      </x:c>
      <x:c r="R642" s="9">
        <x:v>37526</x:v>
      </x:c>
      <x:c r="T642" t="s">
        <x:v>119</x:v>
      </x:c>
      <x:c r="W642" s="26" t="n">
        <x:v>6.7727778</x:v>
      </x:c>
      <x:c r="X642" s="26" t="n">
        <x:v>-75.7920278</x:v>
      </x:c>
      <x:c r="AF642" t="s">
        <x:v>50</x:v>
      </x:c>
      <x:c r="AG642" t="s">
        <x:v>402</x:v>
      </x:c>
      <x:c r="AH642" t="s">
        <x:v>902</x:v>
      </x:c>
      <x:c r="AI642" t="s">
        <x:v>4591</x:v>
      </x:c>
      <x:c r="AJ642">
        <x:v>691</x:v>
      </x:c>
    </x:row>
    <x:row r="643">
      <x:c r="A643" t="s">
        <x:v>4131</x:v>
      </x:c>
      <x:c r="B643" t="s">
        <x:v>4132</x:v>
      </x:c>
      <x:c r="C643" t="s">
        <x:v>4592</x:v>
      </x:c>
      <x:c r="D643" t="s">
        <x:v>4593</x:v>
      </x:c>
      <x:c r="E643" t="s">
        <x:v>4594</x:v>
      </x:c>
      <x:c r="F643">
        <x:v>2500</x:v>
      </x:c>
      <x:c r="G643">
        <x:v>2500</x:v>
      </x:c>
      <x:c r="H643">
        <x:v>2500</x:v>
      </x:c>
      <x:c r="I643" t="s">
        <x:v>4595</x:v>
      </x:c>
      <x:c r="J643" t="s">
        <x:v>974</x:v>
      </x:c>
      <x:c r="K643" t="s">
        <x:v>4596</x:v>
      </x:c>
      <x:c r="L643" t="s">
        <x:v>975</x:v>
      </x:c>
      <x:c r="M643" t="s">
        <x:v>976</x:v>
      </x:c>
      <x:c r="N643" t="s">
        <x:v>977</x:v>
      </x:c>
      <x:c r="O643" t="s">
        <x:v>978</x:v>
      </x:c>
      <x:c r="P643" t="s">
        <x:v>979</x:v>
      </x:c>
      <x:c r="R643" s="9">
        <x:v>37667</x:v>
      </x:c>
      <x:c r="T643" t="s">
        <x:v>119</x:v>
      </x:c>
      <x:c r="W643" s="26" t="n">
        <x:v>6.2133333</x:v>
      </x:c>
      <x:c r="X643" s="26" t="n">
        <x:v>-75.4922778</x:v>
      </x:c>
      <x:c r="AF643" t="s">
        <x:v>50</x:v>
      </x:c>
      <x:c r="AG643" t="s">
        <x:v>402</x:v>
      </x:c>
      <x:c r="AH643" t="s">
        <x:v>855</x:v>
      </x:c>
      <x:c r="AI643" t="s">
        <x:v>4597</x:v>
      </x:c>
      <x:c r="AJ643">
        <x:v>692</x:v>
      </x:c>
    </x:row>
    <x:row r="644">
      <x:c r="A644" t="s">
        <x:v>4131</x:v>
      </x:c>
      <x:c r="B644" t="s">
        <x:v>4132</x:v>
      </x:c>
      <x:c r="C644" t="s">
        <x:v>4598</x:v>
      </x:c>
      <x:c r="D644" t="s">
        <x:v>4599</x:v>
      </x:c>
      <x:c r="E644" t="s">
        <x:v>4600</x:v>
      </x:c>
      <x:c r="F644">
        <x:v>2700</x:v>
      </x:c>
      <x:c r="G644">
        <x:v>2700</x:v>
      </x:c>
      <x:c r="H644">
        <x:v>2700</x:v>
      </x:c>
      <x:c r="I644" t="s">
        <x:v>4601</x:v>
      </x:c>
      <x:c r="J644" t="s">
        <x:v>4602</x:v>
      </x:c>
      <x:c r="K644" t="s">
        <x:v>4603</x:v>
      </x:c>
      <x:c r="L644" t="s">
        <x:v>4604</x:v>
      </x:c>
      <x:c r="M644" t="s">
        <x:v>4605</x:v>
      </x:c>
      <x:c r="N644" t="s">
        <x:v>4606</x:v>
      </x:c>
      <x:c r="O644" t="s">
        <x:v>4607</x:v>
      </x:c>
      <x:c r="P644" t="s">
        <x:v>4608</x:v>
      </x:c>
      <x:c r="R644" s="9">
        <x:v>38058</x:v>
      </x:c>
      <x:c r="T644" t="s">
        <x:v>119</x:v>
      </x:c>
      <x:c r="W644" s="26" t="n">
        <x:v>6.76799</x:v>
      </x:c>
      <x:c r="X644" s="26" t="n">
        <x:v>-75.49219</x:v>
      </x:c>
      <x:c r="Y644">
        <x:v>5268.8440000000001</x:v>
      </x:c>
      <x:c r="Z644">
        <x:v>2765</x:v>
      </x:c>
      <x:c r="AB644" t="s">
        <x:v>4609</x:v>
      </x:c>
      <x:c r="AF644" t="s">
        <x:v>50</x:v>
      </x:c>
      <x:c r="AG644" t="s">
        <x:v>402</x:v>
      </x:c>
      <x:c r="AH644" t="s">
        <x:v>887</x:v>
      </x:c>
      <x:c r="AI644" t="s">
        <x:v>4610</x:v>
      </x:c>
      <x:c r="AJ644">
        <x:v>693</x:v>
      </x:c>
    </x:row>
    <x:row r="645">
      <x:c r="A645" t="s">
        <x:v>4131</x:v>
      </x:c>
      <x:c r="B645" t="s">
        <x:v>4132</x:v>
      </x:c>
      <x:c r="C645" t="s">
        <x:v>4611</x:v>
      </x:c>
      <x:c r="D645" t="s">
        <x:v>4612</x:v>
      </x:c>
      <x:c r="E645" t="s">
        <x:v>4613</x:v>
      </x:c>
      <x:c r="F645" t="s">
        <x:v>1025</x:v>
      </x:c>
      <x:c r="G645">
        <x:v>2150</x:v>
      </x:c>
      <x:c r="H645">
        <x:v>2250</x:v>
      </x:c>
      <x:c r="I645" t="s">
        <x:v>4614</x:v>
      </x:c>
      <x:c r="J645" t="s">
        <x:v>4615</x:v>
      </x:c>
      <x:c r="K645" t="s">
        <x:v>4616</x:v>
      </x:c>
      <x:c r="L645" t="s">
        <x:v>4617</x:v>
      </x:c>
      <x:c r="M645" t="s">
        <x:v>4618</x:v>
      </x:c>
      <x:c r="N645" t="s">
        <x:v>4619</x:v>
      </x:c>
      <x:c r="O645" t="s">
        <x:v>2603</x:v>
      </x:c>
      <x:c r="P645" t="s">
        <x:v>4620</x:v>
      </x:c>
      <x:c r="R645" s="9">
        <x:v>38342</x:v>
      </x:c>
      <x:c r="W645" s="26" t="n">
        <x:v>5.9856944</x:v>
      </x:c>
      <x:c r="X645" s="26" t="n">
        <x:v>-75.6352222</x:v>
      </x:c>
      <x:c r="AF645" t="s">
        <x:v>50</x:v>
      </x:c>
      <x:c r="AG645" t="s">
        <x:v>402</x:v>
      </x:c>
      <x:c r="AH645" t="s">
        <x:v>1034</x:v>
      </x:c>
      <x:c r="AI645" t="s">
        <x:v>4621</x:v>
      </x:c>
      <x:c r="AJ645">
        <x:v>694</x:v>
      </x:c>
    </x:row>
    <x:row r="646">
      <x:c r="A646" t="s">
        <x:v>4131</x:v>
      </x:c>
      <x:c r="B646" t="s">
        <x:v>4132</x:v>
      </x:c>
      <x:c r="C646" t="s">
        <x:v>4622</x:v>
      </x:c>
      <x:c r="D646" t="s">
        <x:v>4623</x:v>
      </x:c>
      <x:c r="E646" t="s">
        <x:v>4624</x:v>
      </x:c>
      <x:c r="F646">
        <x:v>2870</x:v>
      </x:c>
      <x:c r="G646">
        <x:v>2870</x:v>
      </x:c>
      <x:c r="H646">
        <x:v>2870</x:v>
      </x:c>
      <x:c r="I646" t="s">
        <x:v>4625</x:v>
      </x:c>
      <x:c r="J646" t="s">
        <x:v>4626</x:v>
      </x:c>
      <x:c r="K646" t="s">
        <x:v>4627</x:v>
      </x:c>
      <x:c r="L646" t="s">
        <x:v>4628</x:v>
      </x:c>
      <x:c r="M646" t="s">
        <x:v>4629</x:v>
      </x:c>
      <x:c r="N646" t="s">
        <x:v>4630</x:v>
      </x:c>
      <x:c r="O646" t="s">
        <x:v>4631</x:v>
      </x:c>
      <x:c r="P646" t="s">
        <x:v>4632</x:v>
      </x:c>
      <x:c r="R646" s="9">
        <x:v>38364</x:v>
      </x:c>
      <x:c r="T646" t="s">
        <x:v>119</x:v>
      </x:c>
      <x:c r="W646" s="26" t="n">
        <x:v>5.5417778</x:v>
      </x:c>
      <x:c r="X646" s="26" t="n">
        <x:v>-75.8075278</x:v>
      </x:c>
      <x:c r="AF646" t="s">
        <x:v>50</x:v>
      </x:c>
      <x:c r="AG646" t="s">
        <x:v>402</x:v>
      </x:c>
      <x:c r="AH646" t="s">
        <x:v>627</x:v>
      </x:c>
      <x:c r="AI646" t="s">
        <x:v>4633</x:v>
      </x:c>
      <x:c r="AJ646">
        <x:v>695</x:v>
      </x:c>
    </x:row>
    <x:row r="647">
      <x:c r="A647" t="s">
        <x:v>4131</x:v>
      </x:c>
      <x:c r="B647" t="s">
        <x:v>4132</x:v>
      </x:c>
      <x:c r="C647" t="s">
        <x:v>4634</x:v>
      </x:c>
      <x:c r="D647" t="s">
        <x:v>4635</x:v>
      </x:c>
      <x:c r="E647" t="s">
        <x:v>4636</x:v>
      </x:c>
      <x:c r="F647" t="s">
        <x:v>4637</x:v>
      </x:c>
      <x:c r="G647">
        <x:v>2950</x:v>
      </x:c>
      <x:c r="H647">
        <x:v>3050</x:v>
      </x:c>
      <x:c r="I647" t="s">
        <x:v>4638</x:v>
      </x:c>
      <x:c r="J647" t="s">
        <x:v>4639</x:v>
      </x:c>
      <x:c r="K647" t="s">
        <x:v>4640</x:v>
      </x:c>
      <x:c r="L647" t="s">
        <x:v>4641</x:v>
      </x:c>
      <x:c r="M647" t="s">
        <x:v>4642</x:v>
      </x:c>
      <x:c r="N647" t="s">
        <x:v>4643</x:v>
      </x:c>
      <x:c r="O647" t="s">
        <x:v>4644</x:v>
      </x:c>
      <x:c r="P647" t="s">
        <x:v>4645</x:v>
      </x:c>
      <x:c r="R647" s="9">
        <x:v>38625</x:v>
      </x:c>
      <x:c r="T647" t="s">
        <x:v>119</x:v>
      </x:c>
      <x:c r="W647" s="26" t="n">
        <x:v>6.3416667</x:v>
      </x:c>
      <x:c r="X647" s="26" t="n">
        <x:v>-75.6472222</x:v>
      </x:c>
      <x:c r="AF647" t="s">
        <x:v>50</x:v>
      </x:c>
      <x:c r="AG647" t="s">
        <x:v>402</x:v>
      </x:c>
      <x:c r="AH647" t="s">
        <x:v>2263</x:v>
      </x:c>
      <x:c r="AI647" t="s">
        <x:v>4646</x:v>
      </x:c>
      <x:c r="AJ647">
        <x:v>696</x:v>
      </x:c>
    </x:row>
    <x:row r="648">
      <x:c r="A648" t="s">
        <x:v>4131</x:v>
      </x:c>
      <x:c r="B648" t="s">
        <x:v>4132</x:v>
      </x:c>
      <x:c r="C648" t="s">
        <x:v>4647</x:v>
      </x:c>
      <x:c r="D648" t="s">
        <x:v>4648</x:v>
      </x:c>
      <x:c r="E648" t="s">
        <x:v>4649</x:v>
      </x:c>
      <x:c r="F648" t="s">
        <x:v>2633</x:v>
      </x:c>
      <x:c r="G648">
        <x:v>2100</x:v>
      </x:c>
      <x:c r="H648">
        <x:v>2200</x:v>
      </x:c>
      <x:c r="I648" t="s">
        <x:v>4650</x:v>
      </x:c>
      <x:c r="J648" t="s">
        <x:v>4651</x:v>
      </x:c>
      <x:c r="K648" t="s">
        <x:v>4652</x:v>
      </x:c>
      <x:c r="L648" t="s">
        <x:v>4653</x:v>
      </x:c>
      <x:c r="M648" t="s">
        <x:v>4654</x:v>
      </x:c>
      <x:c r="N648" t="s">
        <x:v>2637</x:v>
      </x:c>
      <x:c r="O648" t="s">
        <x:v>2638</x:v>
      </x:c>
      <x:c r="P648" t="s">
        <x:v>2639</x:v>
      </x:c>
      <x:c r="R648" s="9">
        <x:v>38653</x:v>
      </x:c>
      <x:c r="T648" t="s">
        <x:v>119</x:v>
      </x:c>
      <x:c r="W648" s="26" t="n">
        <x:v>6.1580556</x:v>
      </x:c>
      <x:c r="X648" s="26" t="n">
        <x:v>-75.7013889</x:v>
      </x:c>
      <x:c r="AF648" t="s">
        <x:v>50</x:v>
      </x:c>
      <x:c r="AG648" t="s">
        <x:v>402</x:v>
      </x:c>
      <x:c r="AH648" t="s">
        <x:v>4655</x:v>
      </x:c>
      <x:c r="AI648" t="s">
        <x:v>4656</x:v>
      </x:c>
      <x:c r="AJ648">
        <x:v>697</x:v>
      </x:c>
    </x:row>
    <x:row r="649">
      <x:c r="A649" t="s">
        <x:v>4131</x:v>
      </x:c>
      <x:c r="B649" t="s">
        <x:v>4132</x:v>
      </x:c>
      <x:c r="C649" t="s">
        <x:v>4657</x:v>
      </x:c>
      <x:c r="D649" t="s">
        <x:v>4658</x:v>
      </x:c>
      <x:c r="E649" t="s">
        <x:v>4659</x:v>
      </x:c>
      <x:c r="F649">
        <x:v>2725</x:v>
      </x:c>
      <x:c r="G649">
        <x:v>2725</x:v>
      </x:c>
      <x:c r="H649">
        <x:v>2725</x:v>
      </x:c>
      <x:c r="I649" t="s">
        <x:v>4660</x:v>
      </x:c>
      <x:c r="J649" t="s">
        <x:v>4661</x:v>
      </x:c>
      <x:c r="K649" t="s">
        <x:v>4662</x:v>
      </x:c>
      <x:c r="L649" t="s">
        <x:v>4663</x:v>
      </x:c>
      <x:c r="M649" t="s">
        <x:v>4664</x:v>
      </x:c>
      <x:c r="N649" t="s">
        <x:v>4665</x:v>
      </x:c>
      <x:c r="O649" t="s">
        <x:v>4666</x:v>
      </x:c>
      <x:c r="P649" t="s">
        <x:v>4667</x:v>
      </x:c>
      <x:c r="R649" s="9">
        <x:v>39015</x:v>
      </x:c>
      <x:c r="W649" s="26" t="n">
        <x:v>6.2551444</x:v>
      </x:c>
      <x:c r="X649" s="26" t="n">
        <x:v>-75.7112889</x:v>
      </x:c>
      <x:c r="AF649" t="s">
        <x:v>50</x:v>
      </x:c>
      <x:c r="AG649" t="s">
        <x:v>402</x:v>
      </x:c>
      <x:c r="AH649" t="s">
        <x:v>855</x:v>
      </x:c>
      <x:c r="AI649" t="s">
        <x:v>4668</x:v>
      </x:c>
      <x:c r="AJ649">
        <x:v>698</x:v>
      </x:c>
    </x:row>
    <x:row r="650">
      <x:c r="A650" t="s">
        <x:v>4131</x:v>
      </x:c>
      <x:c r="B650" t="s">
        <x:v>4132</x:v>
      </x:c>
      <x:c r="C650" t="s">
        <x:v>4669</x:v>
      </x:c>
      <x:c r="D650" t="s">
        <x:v>4670</x:v>
      </x:c>
      <x:c r="E650" t="s">
        <x:v>4671</x:v>
      </x:c>
      <x:c r="P650" t="s">
        <x:v>80</x:v>
      </x:c>
      <x:c r="R650" s="9">
        <x:v>39203</x:v>
      </x:c>
      <x:c r="T650" t="s">
        <x:v>119</x:v>
      </x:c>
      <x:c r="W650" s="26" t="n">
        <x:v>6.21818</x:v>
      </x:c>
      <x:c r="X650" s="26" t="n">
        <x:v>-75.5003</x:v>
      </x:c>
      <x:c r="Y650">
        <x:v>1038.25</x:v>
      </x:c>
      <x:c r="Z650">
        <x:v>2504</x:v>
      </x:c>
      <x:c r="AB650" t="s">
        <x:v>4672</x:v>
      </x:c>
      <x:c r="AF650" t="s">
        <x:v>50</x:v>
      </x:c>
      <x:c r="AG650" t="s">
        <x:v>402</x:v>
      </x:c>
      <x:c r="AH650" t="s">
        <x:v>855</x:v>
      </x:c>
      <x:c r="AI650" t="s">
        <x:v>4673</x:v>
      </x:c>
      <x:c r="AJ650">
        <x:v>699</x:v>
      </x:c>
    </x:row>
    <x:row r="651">
      <x:c r="A651" t="s">
        <x:v>4131</x:v>
      </x:c>
      <x:c r="B651" t="s">
        <x:v>4132</x:v>
      </x:c>
      <x:c r="C651" t="s">
        <x:v>4674</x:v>
      </x:c>
      <x:c r="D651" t="s">
        <x:v>2657</x:v>
      </x:c>
      <x:c r="E651" t="s">
        <x:v>4675</x:v>
      </x:c>
      <x:c r="P651" t="s">
        <x:v>80</x:v>
      </x:c>
      <x:c r="R651" s="9">
        <x:v>40755</x:v>
      </x:c>
      <x:c r="T651" t="s">
        <x:v>119</x:v>
      </x:c>
      <x:c r="W651" s="26" t="n">
        <x:v>6.50788</x:v>
      </x:c>
      <x:c r="X651" s="26" t="n">
        <x:v>-76.23337</x:v>
      </x:c>
      <x:c r="Y651">
        <x:v>6554.527</x:v>
      </x:c>
      <x:c r="Z651">
        <x:v>1915</x:v>
      </x:c>
      <x:c r="AB651" t="s">
        <x:v>4676</x:v>
      </x:c>
      <x:c r="AF651" t="s">
        <x:v>50</x:v>
      </x:c>
      <x:c r="AG651" t="s">
        <x:v>402</x:v>
      </x:c>
      <x:c r="AH651" t="s">
        <x:v>1685</x:v>
      </x:c>
      <x:c r="AI651" t="s">
        <x:v>4677</x:v>
      </x:c>
      <x:c r="AJ651">
        <x:v>700</x:v>
      </x:c>
    </x:row>
    <x:row r="652">
      <x:c r="A652" t="s">
        <x:v>4131</x:v>
      </x:c>
      <x:c r="B652" t="s">
        <x:v>4132</x:v>
      </x:c>
      <x:c r="C652" t="s">
        <x:v>4678</x:v>
      </x:c>
      <x:c r="D652" t="s">
        <x:v>4679</x:v>
      </x:c>
      <x:c r="E652" t="s">
        <x:v>4680</x:v>
      </x:c>
      <x:c r="F652">
        <x:v>3100</x:v>
      </x:c>
      <x:c r="G652">
        <x:v>3100</x:v>
      </x:c>
      <x:c r="H652">
        <x:v>3100</x:v>
      </x:c>
      <x:c r="P652" t="s">
        <x:v>80</x:v>
      </x:c>
      <x:c r="R652" s="9">
        <x:v>24798</x:v>
      </x:c>
      <x:c r="T652" t="s">
        <x:v>111</x:v>
      </x:c>
      <x:c r="W652" s="26" t="n">
        <x:v>6.34918</x:v>
      </x:c>
      <x:c r="X652" s="26" t="n">
        <x:v>-72.75461</x:v>
      </x:c>
      <x:c r="Y652">
        <x:v>1982.9739999999999</x:v>
      </x:c>
      <x:c r="Z652">
        <x:v>3106</x:v>
      </x:c>
      <x:c r="AB652" t="s">
        <x:v>4681</x:v>
      </x:c>
      <x:c r="AF652" t="s">
        <x:v>50</x:v>
      </x:c>
      <x:c r="AG652" t="s">
        <x:v>90</x:v>
      </x:c>
      <x:c r="AH652" t="s">
        <x:v>4682</x:v>
      </x:c>
      <x:c r="AJ652">
        <x:v>701</x:v>
      </x:c>
    </x:row>
    <x:row r="653" s="2" customFormat="1">
      <x:c r="A653" t="s">
        <x:v>4131</x:v>
      </x:c>
      <x:c r="B653" t="s">
        <x:v>4132</x:v>
      </x:c>
      <x:c r="C653" t="s">
        <x:v>4683</x:v>
      </x:c>
      <x:c r="D653" t="s">
        <x:v>4684</x:v>
      </x:c>
      <x:c r="E653" t="s">
        <x:v>4685</x:v>
      </x:c>
      <x:c r="F653">
        <x:v>2975</x:v>
      </x:c>
      <x:c r="G653">
        <x:v>2975</x:v>
      </x:c>
      <x:c r="H653">
        <x:v>2975</x:v>
      </x:c>
      <x:c r="I653"/>
      <x:c r="J653"/>
      <x:c r="K653"/>
      <x:c r="L653"/>
      <x:c r="M653"/>
      <x:c r="N653"/>
      <x:c r="O653"/>
      <x:c r="P653" t="s">
        <x:v>80</x:v>
      </x:c>
      <x:c r="Q653"/>
      <x:c r="R653" s="9">
        <x:v>24800</x:v>
      </x:c>
      <x:c r="S653"/>
      <x:c r="T653" t="s">
        <x:v>111</x:v>
      </x:c>
      <x:c r="U653"/>
      <x:c r="V653"/>
      <x:c r="W653" s="26" t="n">
        <x:v>6.26282</x:v>
      </x:c>
      <x:c r="X653" s="26" t="n">
        <x:v>-72.55623</x:v>
      </x:c>
      <x:c r="Y653">
        <x:v>2360.8919999999998</x:v>
      </x:c>
      <x:c r="Z653">
        <x:v>2951</x:v>
      </x:c>
      <x:c r="AA653"/>
      <x:c r="AB653" t="s">
        <x:v>4686</x:v>
      </x:c>
      <x:c r="AC653"/>
      <x:c r="AD653"/>
      <x:c r="AE653"/>
      <x:c r="AF653" t="s">
        <x:v>50</x:v>
      </x:c>
      <x:c r="AG653" t="s">
        <x:v>90</x:v>
      </x:c>
      <x:c r="AH653" t="s">
        <x:v>4687</x:v>
      </x:c>
      <x:c r="AI653" t="s">
        <x:v>4688</x:v>
      </x:c>
      <x:c r="AJ653">
        <x:v>702</x:v>
      </x:c>
    </x:row>
    <x:row r="654">
      <x:c r="A654" t="s">
        <x:v>4131</x:v>
      </x:c>
      <x:c r="B654" t="s">
        <x:v>4132</x:v>
      </x:c>
      <x:c r="C654" t="s">
        <x:v>4689</x:v>
      </x:c>
      <x:c r="D654" t="s">
        <x:v>4690</x:v>
      </x:c>
      <x:c r="E654" t="s">
        <x:v>4691</x:v>
      </x:c>
      <x:c r="F654">
        <x:v>2483</x:v>
      </x:c>
      <x:c r="G654">
        <x:v>2483</x:v>
      </x:c>
      <x:c r="H654">
        <x:v>2483</x:v>
      </x:c>
      <x:c r="I654" t="s">
        <x:v>4692</x:v>
      </x:c>
      <x:c r="J654" t="s">
        <x:v>4693</x:v>
      </x:c>
      <x:c r="K654" t="s">
        <x:v>4694</x:v>
      </x:c>
      <x:c r="L654" t="s">
        <x:v>4695</x:v>
      </x:c>
      <x:c r="M654" t="s">
        <x:v>4696</x:v>
      </x:c>
      <x:c r="N654" t="s">
        <x:v>4697</x:v>
      </x:c>
      <x:c r="O654" t="s">
        <x:v>4698</x:v>
      </x:c>
      <x:c r="P654" t="s">
        <x:v>4699</x:v>
      </x:c>
      <x:c r="R654" s="9">
        <x:v>35257</x:v>
      </x:c>
      <x:c r="T654" t="s">
        <x:v>111</x:v>
      </x:c>
      <x:c r="W654" s="26" t="n">
        <x:v>5.6872222</x:v>
      </x:c>
      <x:c r="X654" s="26" t="n">
        <x:v>-73.4930556</x:v>
      </x:c>
      <x:c r="AF654" t="s">
        <x:v>50</x:v>
      </x:c>
      <x:c r="AG654" t="s">
        <x:v>90</x:v>
      </x:c>
      <x:c r="AH654" t="s">
        <x:v>2680</x:v>
      </x:c>
      <x:c r="AI654" t="s">
        <x:v>4700</x:v>
      </x:c>
      <x:c r="AJ654">
        <x:v>703</x:v>
      </x:c>
    </x:row>
    <x:row r="655">
      <x:c r="A655" t="s">
        <x:v>4131</x:v>
      </x:c>
      <x:c r="B655" t="s">
        <x:v>4132</x:v>
      </x:c>
      <x:c r="C655" t="s">
        <x:v>4701</x:v>
      </x:c>
      <x:c r="D655" t="s">
        <x:v>4702</x:v>
      </x:c>
      <x:c r="E655" t="s">
        <x:v>4703</x:v>
      </x:c>
      <x:c r="F655">
        <x:v>2400</x:v>
      </x:c>
      <x:c r="G655">
        <x:v>2400</x:v>
      </x:c>
      <x:c r="H655">
        <x:v>2400</x:v>
      </x:c>
      <x:c r="I655" t="s">
        <x:v>1133</x:v>
      </x:c>
      <x:c r="J655" t="s">
        <x:v>1134</x:v>
      </x:c>
      <x:c r="K655" t="s">
        <x:v>1135</x:v>
      </x:c>
      <x:c r="L655" t="s">
        <x:v>1136</x:v>
      </x:c>
      <x:c r="M655" t="s">
        <x:v>1137</x:v>
      </x:c>
      <x:c r="N655" t="s">
        <x:v>1138</x:v>
      </x:c>
      <x:c r="O655" t="s">
        <x:v>1139</x:v>
      </x:c>
      <x:c r="P655" t="s">
        <x:v>1140</x:v>
      </x:c>
      <x:c r="R655" s="9">
        <x:v>30143</x:v>
      </x:c>
      <x:c r="W655" s="26" t="n">
        <x:v>5.3858972</x:v>
      </x:c>
      <x:c r="X655" s="26" t="n">
        <x:v>-75.1609194</x:v>
      </x:c>
      <x:c r="AF655" t="s">
        <x:v>50</x:v>
      </x:c>
      <x:c r="AG655" t="s">
        <x:v>167</x:v>
      </x:c>
      <x:c r="AH655" t="s">
        <x:v>1142</x:v>
      </x:c>
      <x:c r="AI655" t="s">
        <x:v>4704</x:v>
      </x:c>
      <x:c r="AJ655">
        <x:v>704</x:v>
      </x:c>
    </x:row>
    <x:row r="656">
      <x:c r="A656" t="s">
        <x:v>4131</x:v>
      </x:c>
      <x:c r="B656" t="s">
        <x:v>4132</x:v>
      </x:c>
      <x:c r="C656" t="s">
        <x:v>4705</x:v>
      </x:c>
      <x:c r="D656" t="s">
        <x:v>4706</x:v>
      </x:c>
      <x:c r="E656" t="s">
        <x:v>4707</x:v>
      </x:c>
      <x:c r="F656">
        <x:v>2400</x:v>
      </x:c>
      <x:c r="G656">
        <x:v>2400</x:v>
      </x:c>
      <x:c r="H656">
        <x:v>2400</x:v>
      </x:c>
      <x:c r="I656" t="s">
        <x:v>1133</x:v>
      </x:c>
      <x:c r="J656" t="s">
        <x:v>1134</x:v>
      </x:c>
      <x:c r="K656" t="s">
        <x:v>1135</x:v>
      </x:c>
      <x:c r="L656" t="s">
        <x:v>1136</x:v>
      </x:c>
      <x:c r="M656" t="s">
        <x:v>1137</x:v>
      </x:c>
      <x:c r="N656" t="s">
        <x:v>1138</x:v>
      </x:c>
      <x:c r="O656" t="s">
        <x:v>1139</x:v>
      </x:c>
      <x:c r="P656" t="s">
        <x:v>1140</x:v>
      </x:c>
      <x:c r="R656" s="9">
        <x:v>30143</x:v>
      </x:c>
      <x:c r="T656" t="s">
        <x:v>119</x:v>
      </x:c>
      <x:c r="W656" s="26" t="n">
        <x:v>5.3858972</x:v>
      </x:c>
      <x:c r="X656" s="26" t="n">
        <x:v>-75.1609194</x:v>
      </x:c>
      <x:c r="AF656" t="s">
        <x:v>50</x:v>
      </x:c>
      <x:c r="AG656" t="s">
        <x:v>167</x:v>
      </x:c>
      <x:c r="AH656" t="s">
        <x:v>1142</x:v>
      </x:c>
      <x:c r="AI656" t="s">
        <x:v>4708</x:v>
      </x:c>
      <x:c r="AJ656">
        <x:v>705</x:v>
      </x:c>
    </x:row>
    <x:row r="657">
      <x:c r="A657" t="s">
        <x:v>4131</x:v>
      </x:c>
      <x:c r="B657" t="s">
        <x:v>4132</x:v>
      </x:c>
      <x:c r="C657" t="s">
        <x:v>4709</x:v>
      </x:c>
      <x:c r="D657" t="s">
        <x:v>4710</x:v>
      </x:c>
      <x:c r="E657" t="s">
        <x:v>4711</x:v>
      </x:c>
      <x:c r="F657">
        <x:v>2250</x:v>
      </x:c>
      <x:c r="G657">
        <x:v>2250</x:v>
      </x:c>
      <x:c r="H657">
        <x:v>2250</x:v>
      </x:c>
      <x:c r="I657" t="s">
        <x:v>572</x:v>
      </x:c>
      <x:c r="J657" t="s">
        <x:v>573</x:v>
      </x:c>
      <x:c r="K657" t="s">
        <x:v>574</x:v>
      </x:c>
      <x:c r="L657" t="s">
        <x:v>575</x:v>
      </x:c>
      <x:c r="M657" t="s">
        <x:v>576</x:v>
      </x:c>
      <x:c r="N657" t="s">
        <x:v>577</x:v>
      </x:c>
      <x:c r="O657" t="s">
        <x:v>578</x:v>
      </x:c>
      <x:c r="P657" t="s">
        <x:v>579</x:v>
      </x:c>
      <x:c r="R657" s="9">
        <x:v>31262</x:v>
      </x:c>
      <x:c r="W657" s="26" t="n">
        <x:v>5.0671333</x:v>
      </x:c>
      <x:c r="X657" s="26" t="n">
        <x:v>-75.5182889</x:v>
      </x:c>
      <x:c r="AF657" t="s">
        <x:v>50</x:v>
      </x:c>
      <x:c r="AG657" t="s">
        <x:v>167</x:v>
      </x:c>
      <x:c r="AH657" t="s">
        <x:v>168</x:v>
      </x:c>
      <x:c r="AI657" t="s">
        <x:v>4712</x:v>
      </x:c>
      <x:c r="AJ657">
        <x:v>706</x:v>
      </x:c>
    </x:row>
    <x:row r="658">
      <x:c r="A658" t="s">
        <x:v>4131</x:v>
      </x:c>
      <x:c r="B658" t="s">
        <x:v>4132</x:v>
      </x:c>
      <x:c r="C658" t="s">
        <x:v>4709</x:v>
      </x:c>
      <x:c r="D658" t="s">
        <x:v>4710</x:v>
      </x:c>
      <x:c r="E658" t="s">
        <x:v>4711</x:v>
      </x:c>
      <x:c r="F658">
        <x:v>2250</x:v>
      </x:c>
      <x:c r="G658">
        <x:v>2250</x:v>
      </x:c>
      <x:c r="H658">
        <x:v>2250</x:v>
      </x:c>
      <x:c r="I658" t="s">
        <x:v>572</x:v>
      </x:c>
      <x:c r="J658" t="s">
        <x:v>573</x:v>
      </x:c>
      <x:c r="K658" t="s">
        <x:v>574</x:v>
      </x:c>
      <x:c r="L658" t="s">
        <x:v>575</x:v>
      </x:c>
      <x:c r="M658" t="s">
        <x:v>576</x:v>
      </x:c>
      <x:c r="N658" t="s">
        <x:v>577</x:v>
      </x:c>
      <x:c r="O658" t="s">
        <x:v>578</x:v>
      </x:c>
      <x:c r="P658" t="s">
        <x:v>579</x:v>
      </x:c>
      <x:c r="R658" s="9">
        <x:v>31262</x:v>
      </x:c>
      <x:c r="T658" t="s">
        <x:v>119</x:v>
      </x:c>
      <x:c r="W658" s="26" t="n">
        <x:v>5.0671333</x:v>
      </x:c>
      <x:c r="X658" s="26" t="n">
        <x:v>-75.5182889</x:v>
      </x:c>
      <x:c r="AF658" t="s">
        <x:v>50</x:v>
      </x:c>
      <x:c r="AG658" t="s">
        <x:v>167</x:v>
      </x:c>
      <x:c r="AH658" t="s">
        <x:v>168</x:v>
      </x:c>
      <x:c r="AI658" t="s">
        <x:v>4712</x:v>
      </x:c>
      <x:c r="AJ658">
        <x:v>707</x:v>
      </x:c>
    </x:row>
    <x:row r="659">
      <x:c r="A659" t="s">
        <x:v>4131</x:v>
      </x:c>
      <x:c r="B659" t="s">
        <x:v>4132</x:v>
      </x:c>
      <x:c r="C659" t="s">
        <x:v>4709</x:v>
      </x:c>
      <x:c r="D659" t="s">
        <x:v>4713</x:v>
      </x:c>
      <x:c r="E659" t="s">
        <x:v>4711</x:v>
      </x:c>
      <x:c r="F659">
        <x:v>2250</x:v>
      </x:c>
      <x:c r="G659">
        <x:v>2250</x:v>
      </x:c>
      <x:c r="H659">
        <x:v>2250</x:v>
      </x:c>
      <x:c r="I659" t="s">
        <x:v>572</x:v>
      </x:c>
      <x:c r="J659" t="s">
        <x:v>573</x:v>
      </x:c>
      <x:c r="K659" t="s">
        <x:v>574</x:v>
      </x:c>
      <x:c r="L659" t="s">
        <x:v>575</x:v>
      </x:c>
      <x:c r="M659" t="s">
        <x:v>576</x:v>
      </x:c>
      <x:c r="N659" t="s">
        <x:v>577</x:v>
      </x:c>
      <x:c r="O659" t="s">
        <x:v>578</x:v>
      </x:c>
      <x:c r="P659" t="s">
        <x:v>579</x:v>
      </x:c>
      <x:c r="R659" s="9">
        <x:v>31262</x:v>
      </x:c>
      <x:c r="T659" t="s">
        <x:v>119</x:v>
      </x:c>
      <x:c r="W659" s="26" t="n">
        <x:v>5.0671333</x:v>
      </x:c>
      <x:c r="X659" s="26" t="n">
        <x:v>-75.5182889</x:v>
      </x:c>
      <x:c r="AF659" t="s">
        <x:v>50</x:v>
      </x:c>
      <x:c r="AG659" t="s">
        <x:v>167</x:v>
      </x:c>
      <x:c r="AH659" t="s">
        <x:v>168</x:v>
      </x:c>
      <x:c r="AI659" t="s">
        <x:v>4712</x:v>
      </x:c>
      <x:c r="AJ659">
        <x:v>708</x:v>
      </x:c>
    </x:row>
    <x:row r="660">
      <x:c r="A660" t="s">
        <x:v>4131</x:v>
      </x:c>
      <x:c r="B660" t="s">
        <x:v>4132</x:v>
      </x:c>
      <x:c r="C660" t="s">
        <x:v>4709</x:v>
      </x:c>
      <x:c r="D660" t="s">
        <x:v>4714</x:v>
      </x:c>
      <x:c r="E660" t="s">
        <x:v>4711</x:v>
      </x:c>
      <x:c r="F660">
        <x:v>2250</x:v>
      </x:c>
      <x:c r="G660">
        <x:v>2250</x:v>
      </x:c>
      <x:c r="H660">
        <x:v>2250</x:v>
      </x:c>
      <x:c r="I660" t="s">
        <x:v>572</x:v>
      </x:c>
      <x:c r="J660" t="s">
        <x:v>573</x:v>
      </x:c>
      <x:c r="K660" t="s">
        <x:v>574</x:v>
      </x:c>
      <x:c r="L660" t="s">
        <x:v>575</x:v>
      </x:c>
      <x:c r="M660" t="s">
        <x:v>576</x:v>
      </x:c>
      <x:c r="N660" t="s">
        <x:v>577</x:v>
      </x:c>
      <x:c r="O660" t="s">
        <x:v>578</x:v>
      </x:c>
      <x:c r="P660" t="s">
        <x:v>579</x:v>
      </x:c>
      <x:c r="R660" s="9">
        <x:v>31262</x:v>
      </x:c>
      <x:c r="T660" t="s">
        <x:v>119</x:v>
      </x:c>
      <x:c r="W660" s="26" t="n">
        <x:v>5.0671333</x:v>
      </x:c>
      <x:c r="X660" s="26" t="n">
        <x:v>-75.5182889</x:v>
      </x:c>
      <x:c r="AF660" t="s">
        <x:v>50</x:v>
      </x:c>
      <x:c r="AG660" t="s">
        <x:v>167</x:v>
      </x:c>
      <x:c r="AH660" t="s">
        <x:v>168</x:v>
      </x:c>
      <x:c r="AI660" t="s">
        <x:v>4712</x:v>
      </x:c>
      <x:c r="AJ660">
        <x:v>709</x:v>
      </x:c>
    </x:row>
    <x:row r="661">
      <x:c r="A661" t="s">
        <x:v>4131</x:v>
      </x:c>
      <x:c r="B661" t="s">
        <x:v>4132</x:v>
      </x:c>
      <x:c r="C661" t="s">
        <x:v>4715</x:v>
      </x:c>
      <x:c r="D661" t="s">
        <x:v>4716</x:v>
      </x:c>
      <x:c r="E661" t="s">
        <x:v>4717</x:v>
      </x:c>
      <x:c r="F661" t="s">
        <x:v>4718</x:v>
      </x:c>
      <x:c r="G661">
        <x:v>2700</x:v>
      </x:c>
      <x:c r="H661">
        <x:v>2750</x:v>
      </x:c>
      <x:c r="I661" t="s">
        <x:v>4719</x:v>
      </x:c>
      <x:c r="J661" t="s">
        <x:v>4720</x:v>
      </x:c>
      <x:c r="K661" t="s">
        <x:v>4721</x:v>
      </x:c>
      <x:c r="L661" t="s">
        <x:v>4722</x:v>
      </x:c>
      <x:c r="M661" t="s">
        <x:v>4723</x:v>
      </x:c>
      <x:c r="N661" t="s">
        <x:v>4724</x:v>
      </x:c>
      <x:c r="O661" t="s">
        <x:v>4725</x:v>
      </x:c>
      <x:c r="P661" t="s">
        <x:v>4726</x:v>
      </x:c>
      <x:c r="R661" s="9">
        <x:v>36384</x:v>
      </x:c>
      <x:c r="T661" t="s">
        <x:v>119</x:v>
      </x:c>
      <x:c r="W661" s="26" t="n">
        <x:v>5.0294444</x:v>
      </x:c>
      <x:c r="X661" s="26" t="n">
        <x:v>-75.3905556</x:v>
      </x:c>
      <x:c r="AF661" t="s">
        <x:v>50</x:v>
      </x:c>
      <x:c r="AG661" t="s">
        <x:v>167</x:v>
      </x:c>
      <x:c r="AH661" t="s">
        <x:v>168</x:v>
      </x:c>
      <x:c r="AI661" t="s">
        <x:v>4727</x:v>
      </x:c>
      <x:c r="AJ661">
        <x:v>710</x:v>
      </x:c>
    </x:row>
    <x:row r="662">
      <x:c r="A662" t="s">
        <x:v>4131</x:v>
      </x:c>
      <x:c r="B662" t="s">
        <x:v>4132</x:v>
      </x:c>
      <x:c r="C662" t="s">
        <x:v>4728</x:v>
      </x:c>
      <x:c r="D662" t="s">
        <x:v>4729</x:v>
      </x:c>
      <x:c r="E662" t="s">
        <x:v>4730</x:v>
      </x:c>
      <x:c r="F662">
        <x:v>2697</x:v>
      </x:c>
      <x:c r="G662">
        <x:v>2697</x:v>
      </x:c>
      <x:c r="H662">
        <x:v>2697</x:v>
      </x:c>
      <x:c r="I662" t="s">
        <x:v>4731</x:v>
      </x:c>
      <x:c r="J662" t="s">
        <x:v>4732</x:v>
      </x:c>
      <x:c r="K662" t="s">
        <x:v>4733</x:v>
      </x:c>
      <x:c r="L662" t="s">
        <x:v>4734</x:v>
      </x:c>
      <x:c r="M662" t="s">
        <x:v>4735</x:v>
      </x:c>
      <x:c r="N662" t="s">
        <x:v>4736</x:v>
      </x:c>
      <x:c r="O662" t="s">
        <x:v>4737</x:v>
      </x:c>
      <x:c r="P662" t="s">
        <x:v>4738</x:v>
      </x:c>
      <x:c r="R662" s="9">
        <x:v>38057</x:v>
      </x:c>
      <x:c r="T662" t="s">
        <x:v>65</x:v>
      </x:c>
      <x:c r="W662" s="26" t="n">
        <x:v>5.0821056</x:v>
      </x:c>
      <x:c r="X662" s="26" t="n">
        <x:v>-75.4633806</x:v>
      </x:c>
      <x:c r="AF662" t="s">
        <x:v>50</x:v>
      </x:c>
      <x:c r="AG662" t="s">
        <x:v>167</x:v>
      </x:c>
      <x:c r="AH662" t="s">
        <x:v>168</x:v>
      </x:c>
      <x:c r="AI662" t="s">
        <x:v>4739</x:v>
      </x:c>
      <x:c r="AJ662">
        <x:v>711</x:v>
      </x:c>
    </x:row>
    <x:row r="663">
      <x:c r="A663" t="s">
        <x:v>4131</x:v>
      </x:c>
      <x:c r="B663" t="s">
        <x:v>4132</x:v>
      </x:c>
      <x:c r="C663" t="s">
        <x:v>4740</x:v>
      </x:c>
      <x:c r="D663" t="s">
        <x:v>4741</x:v>
      </x:c>
      <x:c r="E663" t="s">
        <x:v>4742</x:v>
      </x:c>
      <x:c r="F663">
        <x:v>2530</x:v>
      </x:c>
      <x:c r="G663">
        <x:v>2530</x:v>
      </x:c>
      <x:c r="H663">
        <x:v>2530</x:v>
      </x:c>
      <x:c r="I663" t="s">
        <x:v>4743</x:v>
      </x:c>
      <x:c r="J663" t="s">
        <x:v>4744</x:v>
      </x:c>
      <x:c r="K663" t="s">
        <x:v>4745</x:v>
      </x:c>
      <x:c r="L663" t="s">
        <x:v>4746</x:v>
      </x:c>
      <x:c r="M663" t="s">
        <x:v>4747</x:v>
      </x:c>
      <x:c r="N663" t="s">
        <x:v>1003</x:v>
      </x:c>
      <x:c r="O663" t="s">
        <x:v>4748</x:v>
      </x:c>
      <x:c r="P663" t="s">
        <x:v>4749</x:v>
      </x:c>
      <x:c r="R663" s="9">
        <x:v>38239</x:v>
      </x:c>
      <x:c r="T663" t="s">
        <x:v>119</x:v>
      </x:c>
      <x:c r="W663" s="26" t="n">
        <x:v>5.1661667</x:v>
      </x:c>
      <x:c r="X663" s="26" t="n">
        <x:v>-75.4113056</x:v>
      </x:c>
      <x:c r="AF663" t="s">
        <x:v>50</x:v>
      </x:c>
      <x:c r="AG663" t="s">
        <x:v>167</x:v>
      </x:c>
      <x:c r="AH663" t="s">
        <x:v>238</x:v>
      </x:c>
      <x:c r="AI663" t="s">
        <x:v>4750</x:v>
      </x:c>
      <x:c r="AJ663">
        <x:v>712</x:v>
      </x:c>
    </x:row>
    <x:row r="664">
      <x:c r="A664" t="s">
        <x:v>4131</x:v>
      </x:c>
      <x:c r="B664" t="s">
        <x:v>4132</x:v>
      </x:c>
      <x:c r="C664" t="s">
        <x:v>4751</x:v>
      </x:c>
      <x:c r="D664" t="s">
        <x:v>4752</x:v>
      </x:c>
      <x:c r="E664" t="s">
        <x:v>4753</x:v>
      </x:c>
      <x:c r="F664" t="s">
        <x:v>96</x:v>
      </x:c>
      <x:c r="G664">
        <x:v>1500</x:v>
      </x:c>
      <x:c r="H664">
        <x:v>1800</x:v>
      </x:c>
      <x:c r="P664" t="s">
        <x:v>80</x:v>
      </x:c>
      <x:c r="R664" s="9">
        <x:v>39111</x:v>
      </x:c>
      <x:c r="T664" t="s">
        <x:v>119</x:v>
      </x:c>
      <x:c r="W664" s="26" t="n">
        <x:v>5.36289</x:v>
      </x:c>
      <x:c r="X664" s="26" t="n">
        <x:v>-75.68087</x:v>
      </x:c>
      <x:c r="Y664">
        <x:v>956.60199999999998</x:v>
      </x:c>
      <x:c r="Z664">
        <x:v>1486</x:v>
      </x:c>
      <x:c r="AA664" t="s">
        <x:v>1062</x:v>
      </x:c>
      <x:c r="AB664" t="s">
        <x:v>1063</x:v>
      </x:c>
      <x:c r="AF664" t="s">
        <x:v>50</x:v>
      </x:c>
      <x:c r="AG664" t="s">
        <x:v>167</x:v>
      </x:c>
      <x:c r="AH664" t="s">
        <x:v>1064</x:v>
      </x:c>
      <x:c r="AI664" t="s">
        <x:v>1065</x:v>
      </x:c>
      <x:c r="AJ664">
        <x:v>713</x:v>
      </x:c>
    </x:row>
    <x:row r="665">
      <x:c r="A665" t="s">
        <x:v>4131</x:v>
      </x:c>
      <x:c r="B665" t="s">
        <x:v>4132</x:v>
      </x:c>
      <x:c r="C665" t="s">
        <x:v>4754</x:v>
      </x:c>
      <x:c r="D665" t="s">
        <x:v>1060</x:v>
      </x:c>
      <x:c r="E665" t="s">
        <x:v>4755</x:v>
      </x:c>
      <x:c r="F665" t="s">
        <x:v>4756</x:v>
      </x:c>
      <x:c r="G665">
        <x:v>2500</x:v>
      </x:c>
      <x:c r="H665">
        <x:v>2800</x:v>
      </x:c>
      <x:c r="I665" t="s">
        <x:v>4757</x:v>
      </x:c>
      <x:c r="J665" t="s">
        <x:v>4758</x:v>
      </x:c>
      <x:c r="K665" t="s">
        <x:v>799</x:v>
      </x:c>
      <x:c r="L665" t="s">
        <x:v>419</x:v>
      </x:c>
      <x:c r="M665" t="s">
        <x:v>4759</x:v>
      </x:c>
      <x:c r="N665" t="s">
        <x:v>4009</x:v>
      </x:c>
      <x:c r="O665" t="s">
        <x:v>422</x:v>
      </x:c>
      <x:c r="P665" t="s">
        <x:v>4760</x:v>
      </x:c>
      <x:c r="R665" s="9">
        <x:v>39526</x:v>
      </x:c>
      <x:c r="W665" s="26" t="n">
        <x:v>5</x:v>
      </x:c>
      <x:c r="X665" s="26" t="n">
        <x:v>-75.5</x:v>
      </x:c>
      <x:c r="AF665" t="s">
        <x:v>50</x:v>
      </x:c>
      <x:c r="AG665" t="s">
        <x:v>167</x:v>
      </x:c>
      <x:c r="AH665" t="s">
        <x:v>993</x:v>
      </x:c>
      <x:c r="AI665" t="s">
        <x:v>4761</x:v>
      </x:c>
      <x:c r="AJ665">
        <x:v>714</x:v>
      </x:c>
    </x:row>
    <x:row r="666">
      <x:c r="A666" t="s">
        <x:v>4131</x:v>
      </x:c>
      <x:c r="B666" t="s">
        <x:v>4132</x:v>
      </x:c>
      <x:c r="C666" t="s">
        <x:v>4762</x:v>
      </x:c>
      <x:c r="D666" t="s">
        <x:v>1060</x:v>
      </x:c>
      <x:c r="E666" t="s">
        <x:v>4763</x:v>
      </x:c>
      <x:c r="F666">
        <x:v>2649</x:v>
      </x:c>
      <x:c r="G666">
        <x:v>2649</x:v>
      </x:c>
      <x:c r="H666">
        <x:v>2649</x:v>
      </x:c>
      <x:c r="I666" t="s">
        <x:v>4764</x:v>
      </x:c>
      <x:c r="J666" t="s">
        <x:v>4765</x:v>
      </x:c>
      <x:c r="K666" t="s">
        <x:v>4766</x:v>
      </x:c>
      <x:c r="L666" t="s">
        <x:v>4767</x:v>
      </x:c>
      <x:c r="M666" t="s">
        <x:v>4768</x:v>
      </x:c>
      <x:c r="N666" t="s">
        <x:v>4769</x:v>
      </x:c>
      <x:c r="O666" t="s">
        <x:v>4770</x:v>
      </x:c>
      <x:c r="P666" t="s">
        <x:v>4771</x:v>
      </x:c>
      <x:c r="R666" s="9">
        <x:v>40016</x:v>
      </x:c>
      <x:c r="T666" t="s">
        <x:v>119</x:v>
      </x:c>
      <x:c r="W666" s="26" t="n">
        <x:v>5.2603056</x:v>
      </x:c>
      <x:c r="X666" s="26" t="n">
        <x:v>-75.4253889</x:v>
      </x:c>
      <x:c r="AF666" t="s">
        <x:v>50</x:v>
      </x:c>
      <x:c r="AG666" t="s">
        <x:v>167</x:v>
      </x:c>
      <x:c r="AH666" t="s">
        <x:v>4772</x:v>
      </x:c>
      <x:c r="AI666" t="s">
        <x:v>4773</x:v>
      </x:c>
      <x:c r="AJ666">
        <x:v>715</x:v>
      </x:c>
    </x:row>
    <x:row r="667">
      <x:c r="A667" t="s">
        <x:v>4131</x:v>
      </x:c>
      <x:c r="B667" t="s">
        <x:v>4132</x:v>
      </x:c>
      <x:c r="C667" t="s">
        <x:v>4774</x:v>
      </x:c>
      <x:c r="D667" t="s">
        <x:v>1060</x:v>
      </x:c>
      <x:c r="E667" t="s">
        <x:v>4775</x:v>
      </x:c>
      <x:c r="F667">
        <x:v>2526</x:v>
      </x:c>
      <x:c r="G667">
        <x:v>2526</x:v>
      </x:c>
      <x:c r="H667">
        <x:v>2526</x:v>
      </x:c>
      <x:c r="I667" t="s">
        <x:v>4776</x:v>
      </x:c>
      <x:c r="J667" t="s">
        <x:v>1124</x:v>
      </x:c>
      <x:c r="K667" t="s">
        <x:v>4777</x:v>
      </x:c>
      <x:c r="L667" t="s">
        <x:v>1125</x:v>
      </x:c>
      <x:c r="M667" t="s">
        <x:v>1126</x:v>
      </x:c>
      <x:c r="N667" t="s">
        <x:v>304</x:v>
      </x:c>
      <x:c r="O667" t="s">
        <x:v>305</x:v>
      </x:c>
      <x:c r="P667" t="s">
        <x:v>306</x:v>
      </x:c>
      <x:c r="R667" s="9">
        <x:v>40032</x:v>
      </x:c>
      <x:c r="T667" t="s">
        <x:v>111</x:v>
      </x:c>
      <x:c r="W667" s="26" t="n">
        <x:v>4.9848806</x:v>
      </x:c>
      <x:c r="X667" s="26" t="n">
        <x:v>-75.4511389</x:v>
      </x:c>
      <x:c r="AF667" t="s">
        <x:v>50</x:v>
      </x:c>
      <x:c r="AG667" t="s">
        <x:v>167</x:v>
      </x:c>
      <x:c r="AH667" t="s">
        <x:v>168</x:v>
      </x:c>
      <x:c r="AI667" t="s">
        <x:v>4778</x:v>
      </x:c>
      <x:c r="AJ667">
        <x:v>716</x:v>
      </x:c>
    </x:row>
    <x:row r="668">
      <x:c r="A668" t="s">
        <x:v>4131</x:v>
      </x:c>
      <x:c r="B668" t="s">
        <x:v>4132</x:v>
      </x:c>
      <x:c r="C668" t="s">
        <x:v>4779</x:v>
      </x:c>
      <x:c r="D668" t="s">
        <x:v>1060</x:v>
      </x:c>
      <x:c r="E668" t="s">
        <x:v>4780</x:v>
      </x:c>
      <x:c r="F668">
        <x:v>2200</x:v>
      </x:c>
      <x:c r="G668">
        <x:v>2200</x:v>
      </x:c>
      <x:c r="H668">
        <x:v>2200</x:v>
      </x:c>
      <x:c r="I668" t="s">
        <x:v>4781</x:v>
      </x:c>
      <x:c r="J668" t="s">
        <x:v>4782</x:v>
      </x:c>
      <x:c r="K668" t="s">
        <x:v>4783</x:v>
      </x:c>
      <x:c r="L668" t="s">
        <x:v>4784</x:v>
      </x:c>
      <x:c r="M668" t="s">
        <x:v>4785</x:v>
      </x:c>
      <x:c r="N668" t="s">
        <x:v>4786</x:v>
      </x:c>
      <x:c r="O668" t="s">
        <x:v>4787</x:v>
      </x:c>
      <x:c r="P668" t="s">
        <x:v>4788</x:v>
      </x:c>
      <x:c r="R668" s="9">
        <x:v>41123</x:v>
      </x:c>
      <x:c r="T668" t="s">
        <x:v>119</x:v>
      </x:c>
      <x:c r="W668" s="26" t="n">
        <x:v>5.0433583</x:v>
      </x:c>
      <x:c r="X668" s="26" t="n">
        <x:v>-75.4835528</x:v>
      </x:c>
      <x:c r="AF668" t="s">
        <x:v>50</x:v>
      </x:c>
      <x:c r="AG668" t="s">
        <x:v>167</x:v>
      </x:c>
      <x:c r="AH668" t="s">
        <x:v>168</x:v>
      </x:c>
      <x:c r="AI668" t="s">
        <x:v>4789</x:v>
      </x:c>
      <x:c r="AJ668">
        <x:v>717</x:v>
      </x:c>
    </x:row>
    <x:row r="669">
      <x:c r="A669" t="s">
        <x:v>4131</x:v>
      </x:c>
      <x:c r="B669" t="s">
        <x:v>4132</x:v>
      </x:c>
      <x:c r="C669" t="s">
        <x:v>4790</x:v>
      </x:c>
      <x:c r="D669" t="s">
        <x:v>4791</x:v>
      </x:c>
      <x:c r="E669" t="s">
        <x:v>4792</x:v>
      </x:c>
      <x:c r="F669">
        <x:v>1740</x:v>
      </x:c>
      <x:c r="G669">
        <x:v>1740</x:v>
      </x:c>
      <x:c r="H669">
        <x:v>1740</x:v>
      </x:c>
      <x:c r="P669" t="s">
        <x:v>80</x:v>
      </x:c>
      <x:c r="R669" s="9">
        <x:v>16216</x:v>
      </x:c>
      <x:c r="W669" s="26" t="n">
        <x:v>2.58873</x:v>
      </x:c>
      <x:c r="X669" s="26" t="n">
        <x:v>-76.64044</x:v>
      </x:c>
      <x:c r="Y669">
        <x:v>580.51199999999994</x:v>
      </x:c>
      <x:c r="Z669">
        <x:v>1743</x:v>
      </x:c>
      <x:c r="AB669" t="s">
        <x:v>4793</x:v>
      </x:c>
      <x:c r="AF669" t="s">
        <x:v>50</x:v>
      </x:c>
      <x:c r="AG669" t="s">
        <x:v>283</x:v>
      </x:c>
      <x:c r="AH669" t="s">
        <x:v>4794</x:v>
      </x:c>
      <x:c r="AI669" t="s">
        <x:v>4795</x:v>
      </x:c>
      <x:c r="AJ669">
        <x:v>718</x:v>
      </x:c>
    </x:row>
    <x:row r="670">
      <x:c r="A670" t="s">
        <x:v>4131</x:v>
      </x:c>
      <x:c r="B670" t="s">
        <x:v>4132</x:v>
      </x:c>
      <x:c r="C670" t="s">
        <x:v>4796</x:v>
      </x:c>
      <x:c r="D670" t="s">
        <x:v>4797</x:v>
      </x:c>
      <x:c r="E670" t="s">
        <x:v>4798</x:v>
      </x:c>
      <x:c r="F670">
        <x:v>2050</x:v>
      </x:c>
      <x:c r="G670">
        <x:v>2050</x:v>
      </x:c>
      <x:c r="H670">
        <x:v>2050</x:v>
      </x:c>
      <x:c r="P670" t="s">
        <x:v>80</x:v>
      </x:c>
      <x:c r="R670" s="9">
        <x:v>16435</x:v>
      </x:c>
      <x:c r="W670" s="26" t="n">
        <x:v>2.36016</x:v>
      </x:c>
      <x:c r="X670" s="26" t="n">
        <x:v>-76.61537</x:v>
      </x:c>
      <x:c r="Y670">
        <x:v>5003.701</x:v>
      </x:c>
      <x:c r="Z670">
        <x:v>2098</x:v>
      </x:c>
      <x:c r="AB670" t="s">
        <x:v>4799</x:v>
      </x:c>
      <x:c r="AF670" t="s">
        <x:v>50</x:v>
      </x:c>
      <x:c r="AG670" t="s">
        <x:v>283</x:v>
      </x:c>
      <x:c r="AH670" t="s">
        <x:v>4800</x:v>
      </x:c>
      <x:c r="AJ670">
        <x:v>719</x:v>
      </x:c>
    </x:row>
    <x:row r="671">
      <x:c r="A671" t="s">
        <x:v>4131</x:v>
      </x:c>
      <x:c r="B671" t="s">
        <x:v>4132</x:v>
      </x:c>
      <x:c r="C671" t="s">
        <x:v>4801</x:v>
      </x:c>
      <x:c r="D671" t="s">
        <x:v>4802</x:v>
      </x:c>
      <x:c r="E671" t="s">
        <x:v>4803</x:v>
      </x:c>
      <x:c r="F671" t="s">
        <x:v>416</x:v>
      </x:c>
      <x:c r="G671">
        <x:v>2300</x:v>
      </x:c>
      <x:c r="H671">
        <x:v>2500</x:v>
      </x:c>
      <x:c r="I671" t="s">
        <x:v>4804</x:v>
      </x:c>
      <x:c r="J671" t="s">
        <x:v>4805</x:v>
      </x:c>
      <x:c r="K671" t="s">
        <x:v>4806</x:v>
      </x:c>
      <x:c r="L671" t="s">
        <x:v>4807</x:v>
      </x:c>
      <x:c r="M671" t="s">
        <x:v>4808</x:v>
      </x:c>
      <x:c r="N671" t="s">
        <x:v>4809</x:v>
      </x:c>
      <x:c r="O671" t="s">
        <x:v>4810</x:v>
      </x:c>
      <x:c r="P671" t="s">
        <x:v>4811</x:v>
      </x:c>
      <x:c r="R671" s="9">
        <x:v>31721</x:v>
      </x:c>
      <x:c r="W671" s="26" t="n">
        <x:v>2.49123</x:v>
      </x:c>
      <x:c r="X671" s="26" t="n">
        <x:v>-76.97235</x:v>
      </x:c>
      <x:c r="Y671">
        <x:v>2514.1149999999998</x:v>
      </x:c>
      <x:c r="Z671">
        <x:v>2712</x:v>
      </x:c>
      <x:c r="AB671" t="s">
        <x:v>4812</x:v>
      </x:c>
      <x:c r="AF671" t="s">
        <x:v>50</x:v>
      </x:c>
      <x:c r="AG671" t="s">
        <x:v>283</x:v>
      </x:c>
      <x:c r="AH671" t="s">
        <x:v>4813</x:v>
      </x:c>
      <x:c r="AJ671">
        <x:v>720</x:v>
      </x:c>
    </x:row>
    <x:row r="672">
      <x:c r="A672" t="s">
        <x:v>4131</x:v>
      </x:c>
      <x:c r="B672" t="s">
        <x:v>4132</x:v>
      </x:c>
      <x:c r="C672" t="s">
        <x:v>4814</x:v>
      </x:c>
      <x:c r="D672" t="s">
        <x:v>4815</x:v>
      </x:c>
      <x:c r="E672" t="s">
        <x:v>4816</x:v>
      </x:c>
      <x:c r="F672">
        <x:v>2230</x:v>
      </x:c>
      <x:c r="G672">
        <x:v>2230</x:v>
      </x:c>
      <x:c r="H672">
        <x:v>2230</x:v>
      </x:c>
      <x:c r="I672" t="s">
        <x:v>1555</x:v>
      </x:c>
      <x:c r="J672" t="s">
        <x:v>1556</x:v>
      </x:c>
      <x:c r="K672" t="s">
        <x:v>1557</x:v>
      </x:c>
      <x:c r="L672" t="s">
        <x:v>1558</x:v>
      </x:c>
      <x:c r="M672" t="s">
        <x:v>1559</x:v>
      </x:c>
      <x:c r="N672" t="s">
        <x:v>1560</x:v>
      </x:c>
      <x:c r="O672" t="s">
        <x:v>1561</x:v>
      </x:c>
      <x:c r="P672" t="s">
        <x:v>1562</x:v>
      </x:c>
      <x:c r="R672" s="9">
        <x:v>34231</x:v>
      </x:c>
      <x:c r="T672" t="s">
        <x:v>119</x:v>
      </x:c>
      <x:c r="W672" s="26" t="n">
        <x:v>2.4582083</x:v>
      </x:c>
      <x:c r="X672" s="26" t="n">
        <x:v>-76.8086611</x:v>
      </x:c>
      <x:c r="AF672" t="s">
        <x:v>50</x:v>
      </x:c>
      <x:c r="AG672" t="s">
        <x:v>283</x:v>
      </x:c>
      <x:c r="AH672" t="s">
        <x:v>4817</x:v>
      </x:c>
      <x:c r="AI672" t="s">
        <x:v>4818</x:v>
      </x:c>
      <x:c r="AJ672">
        <x:v>721</x:v>
      </x:c>
    </x:row>
    <x:row r="673">
      <x:c r="A673" t="s">
        <x:v>4131</x:v>
      </x:c>
      <x:c r="B673" t="s">
        <x:v>4132</x:v>
      </x:c>
      <x:c r="C673" t="s">
        <x:v>4819</x:v>
      </x:c>
      <x:c r="D673" t="s">
        <x:v>4820</x:v>
      </x:c>
      <x:c r="E673" t="s">
        <x:v>4821</x:v>
      </x:c>
      <x:c r="F673">
        <x:v>2600</x:v>
      </x:c>
      <x:c r="G673">
        <x:v>2600</x:v>
      </x:c>
      <x:c r="H673">
        <x:v>2600</x:v>
      </x:c>
      <x:c r="I673" t="s">
        <x:v>4822</x:v>
      </x:c>
      <x:c r="J673" t="s">
        <x:v>4823</x:v>
      </x:c>
      <x:c r="K673" t="s">
        <x:v>4824</x:v>
      </x:c>
      <x:c r="L673" t="s">
        <x:v>4825</x:v>
      </x:c>
      <x:c r="M673" t="s">
        <x:v>4826</x:v>
      </x:c>
      <x:c r="N673" t="s">
        <x:v>4827</x:v>
      </x:c>
      <x:c r="O673" t="s">
        <x:v>4828</x:v>
      </x:c>
      <x:c r="P673" t="s">
        <x:v>4829</x:v>
      </x:c>
      <x:c r="R673" s="9">
        <x:v>34551</x:v>
      </x:c>
      <x:c r="W673" s="26" t="n">
        <x:v>2.2559333</x:v>
      </x:c>
      <x:c r="X673" s="26" t="n">
        <x:v>-77.2484167</x:v>
      </x:c>
      <x:c r="AF673" t="s">
        <x:v>50</x:v>
      </x:c>
      <x:c r="AG673" t="s">
        <x:v>283</x:v>
      </x:c>
      <x:c r="AH673" t="s">
        <x:v>146</x:v>
      </x:c>
      <x:c r="AI673" t="s">
        <x:v>4830</x:v>
      </x:c>
      <x:c r="AJ673">
        <x:v>722</x:v>
      </x:c>
    </x:row>
    <x:row r="674">
      <x:c r="A674" t="s">
        <x:v>4131</x:v>
      </x:c>
      <x:c r="B674" t="s">
        <x:v>4132</x:v>
      </x:c>
      <x:c r="C674" t="s">
        <x:v>4831</x:v>
      </x:c>
      <x:c r="D674" t="s">
        <x:v>4832</x:v>
      </x:c>
      <x:c r="E674" t="s">
        <x:v>4833</x:v>
      </x:c>
      <x:c r="F674">
        <x:v>1900</x:v>
      </x:c>
      <x:c r="G674">
        <x:v>1900</x:v>
      </x:c>
      <x:c r="H674">
        <x:v>1900</x:v>
      </x:c>
      <x:c r="I674" t="s">
        <x:v>4834</x:v>
      </x:c>
      <x:c r="J674" t="s">
        <x:v>4835</x:v>
      </x:c>
      <x:c r="K674" t="s">
        <x:v>4836</x:v>
      </x:c>
      <x:c r="L674" t="s">
        <x:v>4837</x:v>
      </x:c>
      <x:c r="M674" t="s">
        <x:v>4838</x:v>
      </x:c>
      <x:c r="N674" t="s">
        <x:v>4839</x:v>
      </x:c>
      <x:c r="O674" t="s">
        <x:v>4840</x:v>
      </x:c>
      <x:c r="P674" t="s">
        <x:v>4841</x:v>
      </x:c>
      <x:c r="R674" s="9">
        <x:v>36008</x:v>
      </x:c>
      <x:c r="T674" t="s">
        <x:v>119</x:v>
      </x:c>
      <x:c r="W674" s="26" t="n">
        <x:v>2.9580556</x:v>
      </x:c>
      <x:c r="X674" s="26" t="n">
        <x:v>-76.2713889</x:v>
      </x:c>
      <x:c r="AF674" t="s">
        <x:v>50</x:v>
      </x:c>
      <x:c r="AG674" t="s">
        <x:v>283</x:v>
      </x:c>
      <x:c r="AH674" t="s">
        <x:v>4842</x:v>
      </x:c>
      <x:c r="AJ674">
        <x:v>723</x:v>
      </x:c>
    </x:row>
    <x:row r="675">
      <x:c r="A675" t="s">
        <x:v>4131</x:v>
      </x:c>
      <x:c r="B675" t="s">
        <x:v>4132</x:v>
      </x:c>
      <x:c r="C675" t="s">
        <x:v>4843</x:v>
      </x:c>
      <x:c r="D675" t="s">
        <x:v>4844</x:v>
      </x:c>
      <x:c r="E675" t="s">
        <x:v>4845</x:v>
      </x:c>
      <x:c r="F675">
        <x:v>2425</x:v>
      </x:c>
      <x:c r="G675">
        <x:v>2425</x:v>
      </x:c>
      <x:c r="H675">
        <x:v>2425</x:v>
      </x:c>
      <x:c r="P675" t="s">
        <x:v>80</x:v>
      </x:c>
      <x:c r="R675" s="9">
        <x:v>36123</x:v>
      </x:c>
      <x:c r="W675" s="26" t="n">
        <x:v>2.46374</x:v>
      </x:c>
      <x:c r="X675" s="26" t="n">
        <x:v>-76.00659</x:v>
      </x:c>
      <x:c r="Y675">
        <x:v>2936.3879999999999</x:v>
      </x:c>
      <x:c r="Z675">
        <x:v>1660</x:v>
      </x:c>
      <x:c r="AB675" t="s">
        <x:v>4846</x:v>
      </x:c>
      <x:c r="AF675" t="s">
        <x:v>50</x:v>
      </x:c>
      <x:c r="AG675" t="s">
        <x:v>283</x:v>
      </x:c>
      <x:c r="AH675" t="s">
        <x:v>4847</x:v>
      </x:c>
      <x:c r="AI675" t="s">
        <x:v>4848</x:v>
      </x:c>
      <x:c r="AJ675">
        <x:v>724</x:v>
      </x:c>
    </x:row>
    <x:row r="676">
      <x:c r="A676" t="s">
        <x:v>4131</x:v>
      </x:c>
      <x:c r="B676" t="s">
        <x:v>4132</x:v>
      </x:c>
      <x:c r="C676" t="s">
        <x:v>4849</x:v>
      </x:c>
      <x:c r="D676" t="s">
        <x:v>4850</x:v>
      </x:c>
      <x:c r="E676" t="s">
        <x:v>4851</x:v>
      </x:c>
      <x:c r="F676">
        <x:v>2710</x:v>
      </x:c>
      <x:c r="G676">
        <x:v>2710</x:v>
      </x:c>
      <x:c r="H676">
        <x:v>2710</x:v>
      </x:c>
      <x:c r="I676" t="s">
        <x:v>4852</x:v>
      </x:c>
      <x:c r="J676" t="s">
        <x:v>4853</x:v>
      </x:c>
      <x:c r="K676" t="s">
        <x:v>4854</x:v>
      </x:c>
      <x:c r="L676" t="s">
        <x:v>4855</x:v>
      </x:c>
      <x:c r="M676" t="s">
        <x:v>4856</x:v>
      </x:c>
      <x:c r="N676" t="s">
        <x:v>4857</x:v>
      </x:c>
      <x:c r="O676" t="s">
        <x:v>4858</x:v>
      </x:c>
      <x:c r="P676" t="s">
        <x:v>4859</x:v>
      </x:c>
      <x:c r="R676" s="9">
        <x:v>36324</x:v>
      </x:c>
      <x:c r="T676" t="s">
        <x:v>119</x:v>
      </x:c>
      <x:c r="W676" s="26" t="n">
        <x:v>2.3853333</x:v>
      </x:c>
      <x:c r="X676" s="26" t="n">
        <x:v>-76.4416667</x:v>
      </x:c>
      <x:c r="AF676" t="s">
        <x:v>50</x:v>
      </x:c>
      <x:c r="AG676" t="s">
        <x:v>283</x:v>
      </x:c>
      <x:c r="AH676" t="s">
        <x:v>1864</x:v>
      </x:c>
      <x:c r="AI676" t="s">
        <x:v>4860</x:v>
      </x:c>
      <x:c r="AJ676">
        <x:v>725</x:v>
      </x:c>
    </x:row>
    <x:row r="677">
      <x:c r="A677" t="s">
        <x:v>4131</x:v>
      </x:c>
      <x:c r="B677" t="s">
        <x:v>4132</x:v>
      </x:c>
      <x:c r="C677" t="s">
        <x:v>4861</x:v>
      </x:c>
      <x:c r="D677" t="s">
        <x:v>4862</x:v>
      </x:c>
      <x:c r="E677" t="s">
        <x:v>4863</x:v>
      </x:c>
      <x:c r="F677">
        <x:v>2100</x:v>
      </x:c>
      <x:c r="G677">
        <x:v>2100</x:v>
      </x:c>
      <x:c r="H677">
        <x:v>2100</x:v>
      </x:c>
      <x:c r="I677" t="s">
        <x:v>1555</x:v>
      </x:c>
      <x:c r="J677" t="s">
        <x:v>1556</x:v>
      </x:c>
      <x:c r="K677" t="s">
        <x:v>1557</x:v>
      </x:c>
      <x:c r="L677" t="s">
        <x:v>1558</x:v>
      </x:c>
      <x:c r="M677" t="s">
        <x:v>1559</x:v>
      </x:c>
      <x:c r="N677" t="s">
        <x:v>1560</x:v>
      </x:c>
      <x:c r="O677" t="s">
        <x:v>1561</x:v>
      </x:c>
      <x:c r="P677" t="s">
        <x:v>1562</x:v>
      </x:c>
      <x:c r="R677" s="9">
        <x:v>36796</x:v>
      </x:c>
      <x:c r="T677" t="s">
        <x:v>119</x:v>
      </x:c>
      <x:c r="W677" s="26" t="n">
        <x:v>2.4582083</x:v>
      </x:c>
      <x:c r="X677" s="26" t="n">
        <x:v>-76.8086611</x:v>
      </x:c>
      <x:c r="AF677" t="s">
        <x:v>50</x:v>
      </x:c>
      <x:c r="AG677" t="s">
        <x:v>283</x:v>
      </x:c>
      <x:c r="AH677" t="s">
        <x:v>4817</x:v>
      </x:c>
      <x:c r="AI677" t="s">
        <x:v>4864</x:v>
      </x:c>
      <x:c r="AJ677">
        <x:v>726</x:v>
      </x:c>
    </x:row>
    <x:row r="678">
      <x:c r="A678" t="s">
        <x:v>4131</x:v>
      </x:c>
      <x:c r="B678" t="s">
        <x:v>4132</x:v>
      </x:c>
      <x:c r="C678" t="s">
        <x:v>4865</x:v>
      </x:c>
      <x:c r="D678" t="s">
        <x:v>4866</x:v>
      </x:c>
      <x:c r="E678" t="s">
        <x:v>4867</x:v>
      </x:c>
      <x:c r="F678">
        <x:v>2980</x:v>
      </x:c>
      <x:c r="G678">
        <x:v>2980</x:v>
      </x:c>
      <x:c r="H678">
        <x:v>2980</x:v>
      </x:c>
      <x:c r="I678" t="s">
        <x:v>4868</x:v>
      </x:c>
      <x:c r="J678" t="s">
        <x:v>4869</x:v>
      </x:c>
      <x:c r="K678" t="s">
        <x:v>4870</x:v>
      </x:c>
      <x:c r="L678" t="s">
        <x:v>4871</x:v>
      </x:c>
      <x:c r="M678" t="s">
        <x:v>4872</x:v>
      </x:c>
      <x:c r="N678" t="s">
        <x:v>4873</x:v>
      </x:c>
      <x:c r="O678" t="s">
        <x:v>4874</x:v>
      </x:c>
      <x:c r="P678" t="s">
        <x:v>4875</x:v>
      </x:c>
      <x:c r="R678" s="9">
        <x:v>37391</x:v>
      </x:c>
      <x:c r="T678" t="s">
        <x:v>119</x:v>
      </x:c>
      <x:c r="W678" s="26" t="n">
        <x:v>2.4373889</x:v>
      </x:c>
      <x:c r="X678" s="26" t="n">
        <x:v>-76.4304722</x:v>
      </x:c>
      <x:c r="AF678" t="s">
        <x:v>50</x:v>
      </x:c>
      <x:c r="AG678" t="s">
        <x:v>283</x:v>
      </x:c>
      <x:c r="AH678" t="s">
        <x:v>703</x:v>
      </x:c>
      <x:c r="AI678" t="s">
        <x:v>4876</x:v>
      </x:c>
      <x:c r="AJ678">
        <x:v>727</x:v>
      </x:c>
    </x:row>
    <x:row r="679">
      <x:c r="A679" t="s">
        <x:v>4131</x:v>
      </x:c>
      <x:c r="B679" t="s">
        <x:v>4132</x:v>
      </x:c>
      <x:c r="C679" t="s">
        <x:v>4877</x:v>
      </x:c>
      <x:c r="D679" t="s">
        <x:v>4878</x:v>
      </x:c>
      <x:c r="E679" t="s">
        <x:v>4879</x:v>
      </x:c>
      <x:c r="F679" t="s">
        <x:v>4880</x:v>
      </x:c>
      <x:c r="G679">
        <x:v>2650</x:v>
      </x:c>
      <x:c r="H679">
        <x:v>3044</x:v>
      </x:c>
      <x:c r="I679" t="s">
        <x:v>4868</x:v>
      </x:c>
      <x:c r="J679" t="s">
        <x:v>4869</x:v>
      </x:c>
      <x:c r="K679" t="s">
        <x:v>4870</x:v>
      </x:c>
      <x:c r="L679" t="s">
        <x:v>4871</x:v>
      </x:c>
      <x:c r="M679" t="s">
        <x:v>4872</x:v>
      </x:c>
      <x:c r="N679" t="s">
        <x:v>4873</x:v>
      </x:c>
      <x:c r="O679" t="s">
        <x:v>4874</x:v>
      </x:c>
      <x:c r="P679" t="s">
        <x:v>4875</x:v>
      </x:c>
      <x:c r="R679" s="9">
        <x:v>37703</x:v>
      </x:c>
      <x:c r="T679" t="s">
        <x:v>119</x:v>
      </x:c>
      <x:c r="W679" s="26" t="n">
        <x:v>2.4373889</x:v>
      </x:c>
      <x:c r="X679" s="26" t="n">
        <x:v>-76.4304722</x:v>
      </x:c>
      <x:c r="AF679" t="s">
        <x:v>50</x:v>
      </x:c>
      <x:c r="AG679" t="s">
        <x:v>283</x:v>
      </x:c>
      <x:c r="AH679" t="s">
        <x:v>703</x:v>
      </x:c>
      <x:c r="AI679" t="s">
        <x:v>4881</x:v>
      </x:c>
      <x:c r="AJ679">
        <x:v>728</x:v>
      </x:c>
    </x:row>
    <x:row r="680">
      <x:c r="A680" t="s">
        <x:v>4131</x:v>
      </x:c>
      <x:c r="B680" t="s">
        <x:v>4132</x:v>
      </x:c>
      <x:c r="C680" t="s">
        <x:v>4882</x:v>
      </x:c>
      <x:c r="D680" t="s">
        <x:v>4883</x:v>
      </x:c>
      <x:c r="E680" t="s">
        <x:v>4884</x:v>
      </x:c>
      <x:c r="F680" t="s">
        <x:v>1913</x:v>
      </x:c>
      <x:c r="G680">
        <x:v>2500</x:v>
      </x:c>
      <x:c r="H680">
        <x:v>3000</x:v>
      </x:c>
      <x:c r="I680" t="s">
        <x:v>1914</x:v>
      </x:c>
      <x:c r="J680" t="s">
        <x:v>1915</x:v>
      </x:c>
      <x:c r="K680" t="s">
        <x:v>1916</x:v>
      </x:c>
      <x:c r="L680" t="s">
        <x:v>1917</x:v>
      </x:c>
      <x:c r="M680" t="s">
        <x:v>1918</x:v>
      </x:c>
      <x:c r="N680" t="s">
        <x:v>1919</x:v>
      </x:c>
      <x:c r="O680" t="s">
        <x:v>1920</x:v>
      </x:c>
      <x:c r="P680" t="s">
        <x:v>1921</x:v>
      </x:c>
      <x:c r="R680" s="9">
        <x:v>37865</x:v>
      </x:c>
      <x:c r="T680" t="s">
        <x:v>119</x:v>
      </x:c>
      <x:c r="W680" s="26" t="n">
        <x:v>1.7598611</x:v>
      </x:c>
      <x:c r="X680" s="26" t="n">
        <x:v>-76.9058333</x:v>
      </x:c>
      <x:c r="AF680" t="s">
        <x:v>50</x:v>
      </x:c>
      <x:c r="AG680" t="s">
        <x:v>283</x:v>
      </x:c>
      <x:c r="AH680" t="s">
        <x:v>1922</x:v>
      </x:c>
      <x:c r="AI680" t="s">
        <x:v>4885</x:v>
      </x:c>
      <x:c r="AJ680">
        <x:v>729</x:v>
      </x:c>
    </x:row>
    <x:row r="681">
      <x:c r="A681" t="s">
        <x:v>4131</x:v>
      </x:c>
      <x:c r="B681" t="s">
        <x:v>4132</x:v>
      </x:c>
      <x:c r="C681" t="s">
        <x:v>4886</x:v>
      </x:c>
      <x:c r="D681" t="s">
        <x:v>4887</x:v>
      </x:c>
      <x:c r="E681" t="s">
        <x:v>4888</x:v>
      </x:c>
      <x:c r="F681" t="s">
        <x:v>1445</x:v>
      </x:c>
      <x:c r="G681">
        <x:v>2700</x:v>
      </x:c>
      <x:c r="H681">
        <x:v>2800</x:v>
      </x:c>
      <x:c r="I681" t="s">
        <x:v>4889</x:v>
      </x:c>
      <x:c r="J681" t="s">
        <x:v>4890</x:v>
      </x:c>
      <x:c r="K681" t="s">
        <x:v>4891</x:v>
      </x:c>
      <x:c r="L681" t="s">
        <x:v>4892</x:v>
      </x:c>
      <x:c r="M681" t="s">
        <x:v>4893</x:v>
      </x:c>
      <x:c r="N681" t="s">
        <x:v>4894</x:v>
      </x:c>
      <x:c r="O681" t="s">
        <x:v>4895</x:v>
      </x:c>
      <x:c r="P681" t="s">
        <x:v>4896</x:v>
      </x:c>
      <x:c r="R681" s="9">
        <x:v>37882</x:v>
      </x:c>
      <x:c r="T681" t="s">
        <x:v>119</x:v>
      </x:c>
      <x:c r="W681" s="26" t="n">
        <x:v>2.55</x:v>
      </x:c>
      <x:c r="X681" s="26" t="n">
        <x:v>-76.0666667</x:v>
      </x:c>
      <x:c r="AF681" t="s">
        <x:v>50</x:v>
      </x:c>
      <x:c r="AG681" t="s">
        <x:v>283</x:v>
      </x:c>
      <x:c r="AH681" t="s">
        <x:v>4847</x:v>
      </x:c>
      <x:c r="AI681" t="s">
        <x:v>4897</x:v>
      </x:c>
      <x:c r="AJ681">
        <x:v>730</x:v>
      </x:c>
    </x:row>
    <x:row r="682">
      <x:c r="A682" t="s">
        <x:v>4131</x:v>
      </x:c>
      <x:c r="B682" t="s">
        <x:v>4132</x:v>
      </x:c>
      <x:c r="C682" t="s">
        <x:v>4898</x:v>
      </x:c>
      <x:c r="D682" t="s">
        <x:v>4899</x:v>
      </x:c>
      <x:c r="E682" t="s">
        <x:v>4900</x:v>
      </x:c>
      <x:c r="F682">
        <x:v>2100</x:v>
      </x:c>
      <x:c r="G682">
        <x:v>2100</x:v>
      </x:c>
      <x:c r="H682">
        <x:v>2100</x:v>
      </x:c>
      <x:c r="P682" t="s">
        <x:v>80</x:v>
      </x:c>
      <x:c r="R682" s="9">
        <x:v>28000</x:v>
      </x:c>
      <x:c r="T682" t="s">
        <x:v>111</x:v>
      </x:c>
      <x:c r="W682" s="26" t="n">
        <x:v>4.83538</x:v>
      </x:c>
      <x:c r="X682" s="26" t="n">
        <x:v>-76.18943</x:v>
      </x:c>
      <x:c r="Y682">
        <x:v>157.548</x:v>
      </x:c>
      <x:c r="Z682">
        <x:v>1896</x:v>
      </x:c>
      <x:c r="AB682" t="s">
        <x:v>4901</x:v>
      </x:c>
      <x:c r="AF682" t="s">
        <x:v>50</x:v>
      </x:c>
      <x:c r="AG682" t="s">
        <x:v>374</x:v>
      </x:c>
      <x:c r="AH682" t="s">
        <x:v>4902</x:v>
      </x:c>
      <x:c r="AI682" t="s">
        <x:v>4903</x:v>
      </x:c>
      <x:c r="AJ682">
        <x:v>731</x:v>
      </x:c>
    </x:row>
    <x:row r="683">
      <x:c r="A683" t="s">
        <x:v>4131</x:v>
      </x:c>
      <x:c r="B683" t="s">
        <x:v>4132</x:v>
      </x:c>
      <x:c r="C683" t="s">
        <x:v>4904</x:v>
      </x:c>
      <x:c r="D683" t="s">
        <x:v>4905</x:v>
      </x:c>
      <x:c r="E683" t="s">
        <x:v>4906</x:v>
      </x:c>
      <x:c r="F683">
        <x:v>1950</x:v>
      </x:c>
      <x:c r="G683">
        <x:v>1950</x:v>
      </x:c>
      <x:c r="H683">
        <x:v>1950</x:v>
      </x:c>
      <x:c r="P683" t="s">
        <x:v>80</x:v>
      </x:c>
      <x:c r="R683" s="9">
        <x:v>30335</x:v>
      </x:c>
      <x:c r="T683" t="s">
        <x:v>119</x:v>
      </x:c>
      <x:c r="W683" s="26" t="n">
        <x:v>4.88201</x:v>
      </x:c>
      <x:c r="X683" s="26" t="n">
        <x:v>-76.18287</x:v>
      </x:c>
      <x:c r="Y683">
        <x:v>2042.473</x:v>
      </x:c>
      <x:c r="Z683">
        <x:v>1539</x:v>
      </x:c>
      <x:c r="AB683" t="s">
        <x:v>4907</x:v>
      </x:c>
      <x:c r="AF683" t="s">
        <x:v>50</x:v>
      </x:c>
      <x:c r="AG683" t="s">
        <x:v>374</x:v>
      </x:c>
      <x:c r="AH683" t="s">
        <x:v>1447</x:v>
      </x:c>
      <x:c r="AI683" t="s">
        <x:v>4908</x:v>
      </x:c>
      <x:c r="AJ683">
        <x:v>732</x:v>
      </x:c>
    </x:row>
    <x:row r="684">
      <x:c r="A684" t="s">
        <x:v>4131</x:v>
      </x:c>
      <x:c r="B684" t="s">
        <x:v>4132</x:v>
      </x:c>
      <x:c r="C684" t="s">
        <x:v>4909</x:v>
      </x:c>
      <x:c r="D684" t="s">
        <x:v>4910</x:v>
      </x:c>
      <x:c r="E684" t="s">
        <x:v>4911</x:v>
      </x:c>
      <x:c r="F684">
        <x:v>2700</x:v>
      </x:c>
      <x:c r="G684">
        <x:v>2700</x:v>
      </x:c>
      <x:c r="H684">
        <x:v>2700</x:v>
      </x:c>
      <x:c r="P684" t="s">
        <x:v>80</x:v>
      </x:c>
      <x:c r="R684" s="9">
        <x:v>22384</x:v>
      </x:c>
      <x:c r="T684" t="s">
        <x:v>119</x:v>
      </x:c>
      <x:c r="W684" s="26" t="n">
        <x:v>4.85951</x:v>
      </x:c>
      <x:c r="X684" s="26" t="n">
        <x:v>-74.42246</x:v>
      </x:c>
      <x:c r="Y684">
        <x:v>1645.644</x:v>
      </x:c>
      <x:c r="Z684">
        <x:v>2623</x:v>
      </x:c>
      <x:c r="AA684" t="s">
        <x:v>4912</x:v>
      </x:c>
      <x:c r="AB684" t="s">
        <x:v>4913</x:v>
      </x:c>
      <x:c r="AF684" t="s">
        <x:v>50</x:v>
      </x:c>
      <x:c r="AG684" t="s">
        <x:v>98</x:v>
      </x:c>
      <x:c r="AH684" t="s">
        <x:v>2050</x:v>
      </x:c>
      <x:c r="AI684" t="s">
        <x:v>4914</x:v>
      </x:c>
      <x:c r="AJ684">
        <x:v>733</x:v>
      </x:c>
    </x:row>
    <x:row r="685">
      <x:c r="A685" t="s">
        <x:v>4131</x:v>
      </x:c>
      <x:c r="B685" t="s">
        <x:v>4132</x:v>
      </x:c>
      <x:c r="C685" t="s">
        <x:v>4915</x:v>
      </x:c>
      <x:c r="D685" t="s">
        <x:v>4916</x:v>
      </x:c>
      <x:c r="E685" t="s">
        <x:v>4917</x:v>
      </x:c>
      <x:c r="P685" t="s">
        <x:v>80</x:v>
      </x:c>
      <x:c r="R685" s="9">
        <x:v>27040</x:v>
      </x:c>
      <x:c r="T685" t="s">
        <x:v>65</x:v>
      </x:c>
      <x:c r="W685" s="26" t="n">
        <x:v>4.9428</x:v>
      </x:c>
      <x:c r="X685" s="26" t="n">
        <x:v>-74.41477</x:v>
      </x:c>
      <x:c r="Y685">
        <x:v>1700.413</x:v>
      </x:c>
      <x:c r="Z685">
        <x:v>1433</x:v>
      </x:c>
      <x:c r="AB685" t="s">
        <x:v>4918</x:v>
      </x:c>
      <x:c r="AF685" t="s">
        <x:v>50</x:v>
      </x:c>
      <x:c r="AG685" t="s">
        <x:v>98</x:v>
      </x:c>
      <x:c r="AH685" t="s">
        <x:v>1596</x:v>
      </x:c>
      <x:c r="AI685" t="s">
        <x:v>4919</x:v>
      </x:c>
      <x:c r="AJ685">
        <x:v>734</x:v>
      </x:c>
    </x:row>
    <x:row r="686">
      <x:c r="A686" t="s">
        <x:v>4131</x:v>
      </x:c>
      <x:c r="B686" t="s">
        <x:v>4132</x:v>
      </x:c>
      <x:c r="C686" t="s">
        <x:v>4920</x:v>
      </x:c>
      <x:c r="D686" t="s">
        <x:v>4921</x:v>
      </x:c>
      <x:c r="E686" t="s">
        <x:v>4922</x:v>
      </x:c>
      <x:c r="F686">
        <x:v>2700</x:v>
      </x:c>
      <x:c r="G686">
        <x:v>2700</x:v>
      </x:c>
      <x:c r="H686">
        <x:v>2700</x:v>
      </x:c>
      <x:c r="P686" t="s">
        <x:v>80</x:v>
      </x:c>
      <x:c r="R686" s="9">
        <x:v>27051</x:v>
      </x:c>
      <x:c r="W686" s="26" t="n">
        <x:v>4.84652</x:v>
      </x:c>
      <x:c r="X686" s="26" t="n">
        <x:v>-73.79624</x:v>
      </x:c>
      <x:c r="Y686">
        <x:v>2272.5300000000002</x:v>
      </x:c>
      <x:c r="Z686">
        <x:v>3312</x:v>
      </x:c>
      <x:c r="AA686" t="s">
        <x:v>2870</x:v>
      </x:c>
      <x:c r="AB686" t="s">
        <x:v>2871</x:v>
      </x:c>
      <x:c r="AF686" t="s">
        <x:v>50</x:v>
      </x:c>
      <x:c r="AG686" t="s">
        <x:v>98</x:v>
      </x:c>
      <x:c r="AH686" t="s">
        <x:v>4923</x:v>
      </x:c>
      <x:c r="AI686" t="s">
        <x:v>4924</x:v>
      </x:c>
      <x:c r="AJ686">
        <x:v>735</x:v>
      </x:c>
    </x:row>
    <x:row r="687">
      <x:c r="A687" t="s">
        <x:v>4131</x:v>
      </x:c>
      <x:c r="B687" t="s">
        <x:v>4132</x:v>
      </x:c>
      <x:c r="C687" t="s">
        <x:v>4925</x:v>
      </x:c>
      <x:c r="D687" t="s">
        <x:v>4926</x:v>
      </x:c>
      <x:c r="E687" t="s">
        <x:v>4927</x:v>
      </x:c>
      <x:c r="F687">
        <x:v>2700</x:v>
      </x:c>
      <x:c r="G687">
        <x:v>2700</x:v>
      </x:c>
      <x:c r="H687">
        <x:v>2700</x:v>
      </x:c>
      <x:c r="P687" t="s">
        <x:v>80</x:v>
      </x:c>
      <x:c r="R687" s="9">
        <x:v>27188</x:v>
      </x:c>
      <x:c r="W687" s="26" t="n">
        <x:v>4.67415</x:v>
      </x:c>
      <x:c r="X687" s="26" t="n">
        <x:v>-74.03844</x:v>
      </x:c>
      <x:c r="Y687">
        <x:v>1868.684</x:v>
      </x:c>
      <x:c r="Z687">
        <x:v>2781</x:v>
      </x:c>
      <x:c r="AB687" t="s">
        <x:v>4928</x:v>
      </x:c>
      <x:c r="AF687" t="s">
        <x:v>50</x:v>
      </x:c>
      <x:c r="AG687" t="s">
        <x:v>98</x:v>
      </x:c>
      <x:c r="AH687" t="s">
        <x:v>4929</x:v>
      </x:c>
      <x:c r="AI687" t="s">
        <x:v>4930</x:v>
      </x:c>
      <x:c r="AJ687">
        <x:v>736</x:v>
      </x:c>
    </x:row>
    <x:row r="688">
      <x:c r="A688" t="s">
        <x:v>4131</x:v>
      </x:c>
      <x:c r="B688" t="s">
        <x:v>4132</x:v>
      </x:c>
      <x:c r="C688" t="s">
        <x:v>4931</x:v>
      </x:c>
      <x:c r="D688" t="s">
        <x:v>4932</x:v>
      </x:c>
      <x:c r="E688" t="s">
        <x:v>4933</x:v>
      </x:c>
      <x:c r="F688">
        <x:v>2300</x:v>
      </x:c>
      <x:c r="G688">
        <x:v>2300</x:v>
      </x:c>
      <x:c r="H688">
        <x:v>2300</x:v>
      </x:c>
      <x:c r="P688" t="s">
        <x:v>80</x:v>
      </x:c>
      <x:c r="R688" s="9">
        <x:v>29792</x:v>
      </x:c>
      <x:c r="T688" t="s">
        <x:v>119</x:v>
      </x:c>
      <x:c r="W688" s="26" t="n">
        <x:v>4.11004</x:v>
      </x:c>
      <x:c r="X688" s="26" t="n">
        <x:v>-74.43547</x:v>
      </x:c>
      <x:c r="Y688">
        <x:v>1182.8</x:v>
      </x:c>
      <x:c r="Z688">
        <x:v>2191</x:v>
      </x:c>
      <x:c r="AB688" t="s">
        <x:v>4934</x:v>
      </x:c>
      <x:c r="AF688" t="s">
        <x:v>50</x:v>
      </x:c>
      <x:c r="AG688" t="s">
        <x:v>98</x:v>
      </x:c>
      <x:c r="AH688" t="s">
        <x:v>4935</x:v>
      </x:c>
      <x:c r="AI688" t="s">
        <x:v>4936</x:v>
      </x:c>
      <x:c r="AJ688">
        <x:v>737</x:v>
      </x:c>
    </x:row>
    <x:row r="689">
      <x:c r="A689" t="s">
        <x:v>4131</x:v>
      </x:c>
      <x:c r="B689" t="s">
        <x:v>4132</x:v>
      </x:c>
      <x:c r="C689" t="s">
        <x:v>4937</x:v>
      </x:c>
      <x:c r="D689" t="s">
        <x:v>4938</x:v>
      </x:c>
      <x:c r="E689" t="s">
        <x:v>4939</x:v>
      </x:c>
      <x:c r="F689" t="s">
        <x:v>2224</x:v>
      </x:c>
      <x:c r="G689">
        <x:v>2000</x:v>
      </x:c>
      <x:c r="H689">
        <x:v>2200</x:v>
      </x:c>
      <x:c r="P689" t="s">
        <x:v>80</x:v>
      </x:c>
      <x:c r="R689" s="9">
        <x:v>32336</x:v>
      </x:c>
      <x:c r="T689" t="s">
        <x:v>119</x:v>
      </x:c>
      <x:c r="W689" s="26" t="n">
        <x:v>3.96377</x:v>
      </x:c>
      <x:c r="X689" s="26" t="n">
        <x:v>-74.49804</x:v>
      </x:c>
      <x:c r="Y689">
        <x:v>3902.8119999999999</x:v>
      </x:c>
      <x:c r="Z689">
        <x:v>2347</x:v>
      </x:c>
      <x:c r="AB689" t="s">
        <x:v>4940</x:v>
      </x:c>
      <x:c r="AF689" t="s">
        <x:v>50</x:v>
      </x:c>
      <x:c r="AG689" t="s">
        <x:v>98</x:v>
      </x:c>
      <x:c r="AH689" t="s">
        <x:v>4941</x:v>
      </x:c>
      <x:c r="AI689" t="s">
        <x:v>4942</x:v>
      </x:c>
      <x:c r="AJ689">
        <x:v>738</x:v>
      </x:c>
    </x:row>
    <x:row r="690">
      <x:c r="A690" t="s">
        <x:v>4131</x:v>
      </x:c>
      <x:c r="B690" t="s">
        <x:v>4132</x:v>
      </x:c>
      <x:c r="C690" t="s">
        <x:v>4943</x:v>
      </x:c>
      <x:c r="D690" t="s">
        <x:v>4944</x:v>
      </x:c>
      <x:c r="E690" t="s">
        <x:v>4945</x:v>
      </x:c>
      <x:c r="F690">
        <x:v>2960</x:v>
      </x:c>
      <x:c r="G690">
        <x:v>2960</x:v>
      </x:c>
      <x:c r="H690">
        <x:v>2960</x:v>
      </x:c>
      <x:c r="P690" t="s">
        <x:v>80</x:v>
      </x:c>
      <x:c r="R690" s="9">
        <x:v>36102</x:v>
      </x:c>
      <x:c r="T690" t="s">
        <x:v>119</x:v>
      </x:c>
      <x:c r="W690" s="26" t="n">
        <x:v>4.99789</x:v>
      </x:c>
      <x:c r="X690" s="26" t="n">
        <x:v>-74.14903</x:v>
      </x:c>
      <x:c r="Y690">
        <x:v>231.68299999999999</x:v>
      </x:c>
      <x:c r="Z690">
        <x:v>2801</x:v>
      </x:c>
      <x:c r="AB690" t="s">
        <x:v>4946</x:v>
      </x:c>
      <x:c r="AF690" t="s">
        <x:v>50</x:v>
      </x:c>
      <x:c r="AG690" t="s">
        <x:v>98</x:v>
      </x:c>
      <x:c r="AH690" t="s">
        <x:v>4947</x:v>
      </x:c>
      <x:c r="AI690" t="s">
        <x:v>4948</x:v>
      </x:c>
      <x:c r="AJ690">
        <x:v>739</x:v>
      </x:c>
    </x:row>
    <x:row r="691">
      <x:c r="A691" t="s">
        <x:v>4131</x:v>
      </x:c>
      <x:c r="B691" t="s">
        <x:v>4132</x:v>
      </x:c>
      <x:c r="C691" t="s">
        <x:v>4949</x:v>
      </x:c>
      <x:c r="D691" t="s">
        <x:v>4950</x:v>
      </x:c>
      <x:c r="E691" t="s">
        <x:v>4951</x:v>
      </x:c>
      <x:c r="F691" t="s">
        <x:v>2900</x:v>
      </x:c>
      <x:c r="G691">
        <x:v>1200</x:v>
      </x:c>
      <x:c r="H691">
        <x:v>1300</x:v>
      </x:c>
      <x:c r="P691" t="s">
        <x:v>80</x:v>
      </x:c>
      <x:c r="R691" s="9">
        <x:v>27589</x:v>
      </x:c>
      <x:c r="T691" t="s">
        <x:v>119</x:v>
      </x:c>
      <x:c r="W691" s="26" t="n">
        <x:v>2.21928</x:v>
      </x:c>
      <x:c r="X691" s="26" t="n">
        <x:v>-76.11453</x:v>
      </x:c>
      <x:c r="Y691">
        <x:v>2876.982</x:v>
      </x:c>
      <x:c r="Z691">
        <x:v>2175</x:v>
      </x:c>
      <x:c r="AA691" t="s">
        <x:v>2901</x:v>
      </x:c>
      <x:c r="AB691" t="s">
        <x:v>2902</x:v>
      </x:c>
      <x:c r="AF691" t="s">
        <x:v>50</x:v>
      </x:c>
      <x:c r="AG691" t="s">
        <x:v>51</x:v>
      </x:c>
      <x:c r="AH691" t="s">
        <x:v>2903</x:v>
      </x:c>
      <x:c r="AI691" t="s">
        <x:v>4952</x:v>
      </x:c>
      <x:c r="AJ691">
        <x:v>741</x:v>
      </x:c>
    </x:row>
    <x:row r="692">
      <x:c r="A692" t="s">
        <x:v>4131</x:v>
      </x:c>
      <x:c r="B692" t="s">
        <x:v>4132</x:v>
      </x:c>
      <x:c r="C692" t="s">
        <x:v>4953</x:v>
      </x:c>
      <x:c r="D692" t="s">
        <x:v>4954</x:v>
      </x:c>
      <x:c r="E692" t="s">
        <x:v>4955</x:v>
      </x:c>
      <x:c r="I692" t="s">
        <x:v>4956</x:v>
      </x:c>
      <x:c r="J692" t="s">
        <x:v>4957</x:v>
      </x:c>
      <x:c r="K692" t="s">
        <x:v>4958</x:v>
      </x:c>
      <x:c r="L692" t="s">
        <x:v>4959</x:v>
      </x:c>
      <x:c r="M692" t="s">
        <x:v>4960</x:v>
      </x:c>
      <x:c r="N692" t="s">
        <x:v>4961</x:v>
      </x:c>
      <x:c r="O692" t="s">
        <x:v>4962</x:v>
      </x:c>
      <x:c r="P692" t="s">
        <x:v>4963</x:v>
      </x:c>
      <x:c r="R692" s="9">
        <x:v>29063</x:v>
      </x:c>
      <x:c r="T692" t="s">
        <x:v>119</x:v>
      </x:c>
      <x:c r="W692" s="26" t="n">
        <x:v>2.3971694</x:v>
      </x:c>
      <x:c r="X692" s="26" t="n">
        <x:v>-75.8931806</x:v>
      </x:c>
      <x:c r="AF692" t="s">
        <x:v>50</x:v>
      </x:c>
      <x:c r="AG692" t="s">
        <x:v>51</x:v>
      </x:c>
      <x:c r="AH692" t="s">
        <x:v>4964</x:v>
      </x:c>
      <x:c r="AJ692">
        <x:v>742</x:v>
      </x:c>
    </x:row>
    <x:row r="693">
      <x:c r="A693" t="s">
        <x:v>4131</x:v>
      </x:c>
      <x:c r="B693" t="s">
        <x:v>4132</x:v>
      </x:c>
      <x:c r="C693" t="s">
        <x:v>4965</x:v>
      </x:c>
      <x:c r="D693" t="s">
        <x:v>4966</x:v>
      </x:c>
      <x:c r="E693" t="s">
        <x:v>4967</x:v>
      </x:c>
      <x:c r="F693">
        <x:v>1300</x:v>
      </x:c>
      <x:c r="G693">
        <x:v>1300</x:v>
      </x:c>
      <x:c r="H693">
        <x:v>1300</x:v>
      </x:c>
      <x:c r="P693" t="s">
        <x:v>80</x:v>
      </x:c>
      <x:c r="R693" s="9">
        <x:v>30410</x:v>
      </x:c>
      <x:c r="T693" t="s">
        <x:v>119</x:v>
      </x:c>
      <x:c r="W693" s="26" t="n">
        <x:v>1.74723</x:v>
      </x:c>
      <x:c r="X693" s="26" t="n">
        <x:v>-75.98338</x:v>
      </x:c>
      <x:c r="Y693">
        <x:v>6145.1369999999997</x:v>
      </x:c>
      <x:c r="Z693">
        <x:v>1439</x:v>
      </x:c>
      <x:c r="AB693" t="s">
        <x:v>4968</x:v>
      </x:c>
      <x:c r="AF693" t="s">
        <x:v>50</x:v>
      </x:c>
      <x:c r="AG693" t="s">
        <x:v>51</x:v>
      </x:c>
      <x:c r="AH693" t="s">
        <x:v>1330</x:v>
      </x:c>
      <x:c r="AI693" t="s">
        <x:v>4969</x:v>
      </x:c>
      <x:c r="AJ693">
        <x:v>743</x:v>
      </x:c>
    </x:row>
    <x:row r="694">
      <x:c r="A694" t="s">
        <x:v>4131</x:v>
      </x:c>
      <x:c r="B694" t="s">
        <x:v>4132</x:v>
      </x:c>
      <x:c r="C694" t="s">
        <x:v>4970</x:v>
      </x:c>
      <x:c r="D694" t="s">
        <x:v>4971</x:v>
      </x:c>
      <x:c r="E694" t="s">
        <x:v>4972</x:v>
      </x:c>
      <x:c r="F694" t="s">
        <x:v>4973</x:v>
      </x:c>
      <x:c r="G694">
        <x:v>2100</x:v>
      </x:c>
      <x:c r="H694">
        <x:v>2320</x:v>
      </x:c>
      <x:c r="P694" t="s">
        <x:v>80</x:v>
      </x:c>
      <x:c r="R694" s="9">
        <x:v>30953</x:v>
      </x:c>
      <x:c r="W694" s="26" t="n">
        <x:v>2.21863</x:v>
      </x:c>
      <x:c r="X694" s="26" t="n">
        <x:v>-75.93424</x:v>
      </x:c>
      <x:c r="Y694">
        <x:v>1015.408</x:v>
      </x:c>
      <x:c r="Z694">
        <x:v>2035</x:v>
      </x:c>
      <x:c r="AA694" t="s">
        <x:v>4974</x:v>
      </x:c>
      <x:c r="AB694" t="s">
        <x:v>4975</x:v>
      </x:c>
      <x:c r="AF694" t="s">
        <x:v>50</x:v>
      </x:c>
      <x:c r="AG694" t="s">
        <x:v>51</x:v>
      </x:c>
      <x:c r="AH694" t="s">
        <x:v>263</x:v>
      </x:c>
      <x:c r="AI694" t="s">
        <x:v>4976</x:v>
      </x:c>
      <x:c r="AJ694">
        <x:v>744</x:v>
      </x:c>
    </x:row>
    <x:row r="695">
      <x:c r="A695" t="s">
        <x:v>4131</x:v>
      </x:c>
      <x:c r="B695" t="s">
        <x:v>4132</x:v>
      </x:c>
      <x:c r="C695" t="s">
        <x:v>4977</x:v>
      </x:c>
      <x:c r="D695" t="s">
        <x:v>4978</x:v>
      </x:c>
      <x:c r="E695" t="s">
        <x:v>4951</x:v>
      </x:c>
      <x:c r="F695">
        <x:v>2300</x:v>
      </x:c>
      <x:c r="G695">
        <x:v>2300</x:v>
      </x:c>
      <x:c r="H695">
        <x:v>2300</x:v>
      </x:c>
      <x:c r="P695" t="s">
        <x:v>80</x:v>
      </x:c>
      <x:c r="R695" s="9">
        <x:v>30955</x:v>
      </x:c>
      <x:c r="T695" t="s">
        <x:v>119</x:v>
      </x:c>
      <x:c r="W695" s="26" t="n">
        <x:v>2.21928</x:v>
      </x:c>
      <x:c r="X695" s="26" t="n">
        <x:v>-76.11453</x:v>
      </x:c>
      <x:c r="Y695">
        <x:v>2876.982</x:v>
      </x:c>
      <x:c r="Z695">
        <x:v>2175</x:v>
      </x:c>
      <x:c r="AA695" t="s">
        <x:v>2901</x:v>
      </x:c>
      <x:c r="AB695" t="s">
        <x:v>2902</x:v>
      </x:c>
      <x:c r="AF695" t="s">
        <x:v>50</x:v>
      </x:c>
      <x:c r="AG695" t="s">
        <x:v>51</x:v>
      </x:c>
      <x:c r="AH695" t="s">
        <x:v>2903</x:v>
      </x:c>
      <x:c r="AI695" t="s">
        <x:v>4952</x:v>
      </x:c>
      <x:c r="AJ695">
        <x:v>745</x:v>
      </x:c>
    </x:row>
    <x:row r="696">
      <x:c r="A696" t="s">
        <x:v>4131</x:v>
      </x:c>
      <x:c r="B696" t="s">
        <x:v>4132</x:v>
      </x:c>
      <x:c r="C696" t="s">
        <x:v>4979</x:v>
      </x:c>
      <x:c r="D696" t="s">
        <x:v>4980</x:v>
      </x:c>
      <x:c r="E696" t="s">
        <x:v>4981</x:v>
      </x:c>
      <x:c r="F696">
        <x:v>1800</x:v>
      </x:c>
      <x:c r="G696">
        <x:v>1800</x:v>
      </x:c>
      <x:c r="H696">
        <x:v>1800</x:v>
      </x:c>
      <x:c r="I696" t="s">
        <x:v>41</x:v>
      </x:c>
      <x:c r="J696" t="s">
        <x:v>42</x:v>
      </x:c>
      <x:c r="K696" t="s">
        <x:v>43</x:v>
      </x:c>
      <x:c r="L696" t="s">
        <x:v>44</x:v>
      </x:c>
      <x:c r="M696" t="s">
        <x:v>45</x:v>
      </x:c>
      <x:c r="N696" t="s">
        <x:v>46</x:v>
      </x:c>
      <x:c r="O696" t="s">
        <x:v>47</x:v>
      </x:c>
      <x:c r="P696" t="s">
        <x:v>48</x:v>
      </x:c>
      <x:c r="R696" s="9">
        <x:v>38562</x:v>
      </x:c>
      <x:c r="T696" t="s">
        <x:v>111</x:v>
      </x:c>
      <x:c r="W696" s="26" t="n">
        <x:v>1.8767333</x:v>
      </x:c>
      <x:c r="X696" s="26" t="n">
        <x:v>-76.2681861</x:v>
      </x:c>
      <x:c r="AF696" t="s">
        <x:v>50</x:v>
      </x:c>
      <x:c r="AG696" t="s">
        <x:v>51</x:v>
      </x:c>
      <x:c r="AH696" t="s">
        <x:v>296</x:v>
      </x:c>
      <x:c r="AI696" t="s">
        <x:v>4982</x:v>
      </x:c>
      <x:c r="AJ696">
        <x:v>746</x:v>
      </x:c>
    </x:row>
    <x:row r="697">
      <x:c r="A697" t="s">
        <x:v>4131</x:v>
      </x:c>
      <x:c r="B697" t="s">
        <x:v>4132</x:v>
      </x:c>
      <x:c r="C697" t="s">
        <x:v>4983</x:v>
      </x:c>
      <x:c r="D697" t="s">
        <x:v>4984</x:v>
      </x:c>
      <x:c r="E697" t="s">
        <x:v>4985</x:v>
      </x:c>
      <x:c r="F697">
        <x:v>2050</x:v>
      </x:c>
      <x:c r="G697">
        <x:v>2050</x:v>
      </x:c>
      <x:c r="H697">
        <x:v>2050</x:v>
      </x:c>
      <x:c r="I697" t="s">
        <x:v>4986</x:v>
      </x:c>
      <x:c r="J697" t="s">
        <x:v>4987</x:v>
      </x:c>
      <x:c r="K697" t="s">
        <x:v>4988</x:v>
      </x:c>
      <x:c r="L697" t="s">
        <x:v>4989</x:v>
      </x:c>
      <x:c r="M697" t="s">
        <x:v>4990</x:v>
      </x:c>
      <x:c r="N697" t="s">
        <x:v>4991</x:v>
      </x:c>
      <x:c r="O697" t="s">
        <x:v>4992</x:v>
      </x:c>
      <x:c r="P697" t="s">
        <x:v>4993</x:v>
      </x:c>
      <x:c r="R697" s="9">
        <x:v>38910</x:v>
      </x:c>
      <x:c r="T697" t="s">
        <x:v>119</x:v>
      </x:c>
      <x:c r="W697" s="26" t="n">
        <x:v>2.5451222</x:v>
      </x:c>
      <x:c r="X697" s="26" t="n">
        <x:v>-75.8083611</x:v>
      </x:c>
      <x:c r="AF697" t="s">
        <x:v>50</x:v>
      </x:c>
      <x:c r="AG697" t="s">
        <x:v>51</x:v>
      </x:c>
      <x:c r="AH697" t="s">
        <x:v>2951</x:v>
      </x:c>
      <x:c r="AI697" t="s">
        <x:v>4994</x:v>
      </x:c>
      <x:c r="AJ697">
        <x:v>747</x:v>
      </x:c>
    </x:row>
    <x:row r="698">
      <x:c r="A698" t="s">
        <x:v>4131</x:v>
      </x:c>
      <x:c r="B698" t="s">
        <x:v>4132</x:v>
      </x:c>
      <x:c r="C698" t="s">
        <x:v>4995</x:v>
      </x:c>
      <x:c r="D698" t="s">
        <x:v>4996</x:v>
      </x:c>
      <x:c r="E698" t="s">
        <x:v>4985</x:v>
      </x:c>
      <x:c r="F698">
        <x:v>2050</x:v>
      </x:c>
      <x:c r="G698">
        <x:v>2050</x:v>
      </x:c>
      <x:c r="H698">
        <x:v>2050</x:v>
      </x:c>
      <x:c r="I698" t="s">
        <x:v>4986</x:v>
      </x:c>
      <x:c r="J698" t="s">
        <x:v>4987</x:v>
      </x:c>
      <x:c r="K698" t="s">
        <x:v>4988</x:v>
      </x:c>
      <x:c r="L698" t="s">
        <x:v>4989</x:v>
      </x:c>
      <x:c r="M698" t="s">
        <x:v>4990</x:v>
      </x:c>
      <x:c r="N698" t="s">
        <x:v>4991</x:v>
      </x:c>
      <x:c r="O698" t="s">
        <x:v>4992</x:v>
      </x:c>
      <x:c r="P698" t="s">
        <x:v>4993</x:v>
      </x:c>
      <x:c r="R698" s="9">
        <x:v>38980</x:v>
      </x:c>
      <x:c r="T698" t="s">
        <x:v>119</x:v>
      </x:c>
      <x:c r="W698" s="26" t="n">
        <x:v>2.5451222</x:v>
      </x:c>
      <x:c r="X698" s="26" t="n">
        <x:v>-75.8083611</x:v>
      </x:c>
      <x:c r="AF698" t="s">
        <x:v>50</x:v>
      </x:c>
      <x:c r="AG698" t="s">
        <x:v>51</x:v>
      </x:c>
      <x:c r="AH698" t="s">
        <x:v>2951</x:v>
      </x:c>
      <x:c r="AI698" t="s">
        <x:v>4994</x:v>
      </x:c>
      <x:c r="AJ698">
        <x:v>748</x:v>
      </x:c>
    </x:row>
    <x:row r="699">
      <x:c r="A699" t="s">
        <x:v>4131</x:v>
      </x:c>
      <x:c r="B699" t="s">
        <x:v>4132</x:v>
      </x:c>
      <x:c r="C699" t="s">
        <x:v>4997</x:v>
      </x:c>
      <x:c r="D699" t="s">
        <x:v>1060</x:v>
      </x:c>
      <x:c r="E699" t="s">
        <x:v>4998</x:v>
      </x:c>
      <x:c r="F699" t="s">
        <x:v>2967</x:v>
      </x:c>
      <x:c r="G699">
        <x:v>2147</x:v>
      </x:c>
      <x:c r="H699">
        <x:v>2150</x:v>
      </x:c>
      <x:c r="I699" t="s">
        <x:v>4999</x:v>
      </x:c>
      <x:c r="J699" t="s">
        <x:v>5000</x:v>
      </x:c>
      <x:c r="K699" t="s">
        <x:v>5001</x:v>
      </x:c>
      <x:c r="L699" t="s">
        <x:v>5002</x:v>
      </x:c>
      <x:c r="M699" t="s">
        <x:v>5003</x:v>
      </x:c>
      <x:c r="N699" t="s">
        <x:v>293</x:v>
      </x:c>
      <x:c r="O699" t="s">
        <x:v>294</x:v>
      </x:c>
      <x:c r="P699" t="s">
        <x:v>295</x:v>
      </x:c>
      <x:c r="R699" s="9">
        <x:v>39995</x:v>
      </x:c>
      <x:c r="T699" t="s">
        <x:v>119</x:v>
      </x:c>
      <x:c r="W699" s="26" t="n">
        <x:v>1.9849861</x:v>
      </x:c>
      <x:c r="X699" s="26" t="n">
        <x:v>-76.2855028</x:v>
      </x:c>
      <x:c r="AF699" t="s">
        <x:v>50</x:v>
      </x:c>
      <x:c r="AG699" t="s">
        <x:v>51</x:v>
      </x:c>
      <x:c r="AH699" t="s">
        <x:v>296</x:v>
      </x:c>
      <x:c r="AI699" t="s">
        <x:v>5004</x:v>
      </x:c>
      <x:c r="AJ699">
        <x:v>749</x:v>
      </x:c>
    </x:row>
    <x:row r="700">
      <x:c r="A700" t="s">
        <x:v>4131</x:v>
      </x:c>
      <x:c r="B700" t="s">
        <x:v>4132</x:v>
      </x:c>
      <x:c r="C700" t="s">
        <x:v>5005</x:v>
      </x:c>
      <x:c r="D700" t="s">
        <x:v>1060</x:v>
      </x:c>
      <x:c r="E700" t="s">
        <x:v>5006</x:v>
      </x:c>
      <x:c r="F700">
        <x:v>1925</x:v>
      </x:c>
      <x:c r="G700">
        <x:v>1925</x:v>
      </x:c>
      <x:c r="H700">
        <x:v>1925</x:v>
      </x:c>
      <x:c r="I700" t="s">
        <x:v>5007</x:v>
      </x:c>
      <x:c r="J700" t="s">
        <x:v>5008</x:v>
      </x:c>
      <x:c r="K700" t="s">
        <x:v>5009</x:v>
      </x:c>
      <x:c r="L700" t="s">
        <x:v>5010</x:v>
      </x:c>
      <x:c r="M700" t="s">
        <x:v>5011</x:v>
      </x:c>
      <x:c r="N700" t="s">
        <x:v>2958</x:v>
      </x:c>
      <x:c r="O700" t="s">
        <x:v>329</x:v>
      </x:c>
      <x:c r="P700" t="s">
        <x:v>2959</x:v>
      </x:c>
      <x:c r="R700" s="9">
        <x:v>40022</x:v>
      </x:c>
      <x:c r="T700" t="s">
        <x:v>119</x:v>
      </x:c>
      <x:c r="W700" s="26" t="n">
        <x:v>1.7689806</x:v>
      </x:c>
      <x:c r="X700" s="26" t="n">
        <x:v>-76.0187333</x:v>
      </x:c>
      <x:c r="AF700" t="s">
        <x:v>50</x:v>
      </x:c>
      <x:c r="AG700" t="s">
        <x:v>51</x:v>
      </x:c>
      <x:c r="AH700" t="s">
        <x:v>140</x:v>
      </x:c>
      <x:c r="AI700" t="s">
        <x:v>5012</x:v>
      </x:c>
      <x:c r="AJ700">
        <x:v>750</x:v>
      </x:c>
    </x:row>
    <x:row r="701">
      <x:c r="A701" t="s">
        <x:v>4131</x:v>
      </x:c>
      <x:c r="B701" t="s">
        <x:v>4132</x:v>
      </x:c>
      <x:c r="C701" t="s">
        <x:v>5013</x:v>
      </x:c>
      <x:c r="D701" t="s">
        <x:v>5014</x:v>
      </x:c>
      <x:c r="E701" t="s">
        <x:v>5015</x:v>
      </x:c>
      <x:c r="F701">
        <x:v>2100</x:v>
      </x:c>
      <x:c r="G701">
        <x:v>2100</x:v>
      </x:c>
      <x:c r="H701">
        <x:v>2100</x:v>
      </x:c>
      <x:c r="P701" t="s">
        <x:v>80</x:v>
      </x:c>
      <x:c r="R701" s="9">
        <x:v>35228</x:v>
      </x:c>
      <x:c r="T701" t="s">
        <x:v>119</x:v>
      </x:c>
      <x:c r="W701" s="26" t="n">
        <x:v>2.80854</x:v>
      </x:c>
      <x:c r="X701" s="26" t="n">
        <x:v>-75.05777</x:v>
      </x:c>
      <x:c r="Y701">
        <x:v>1834.6510000000001</x:v>
      </x:c>
      <x:c r="Z701">
        <x:v>2133</x:v>
      </x:c>
      <x:c r="AB701" t="s">
        <x:v>5016</x:v>
      </x:c>
      <x:c r="AF701" t="s">
        <x:v>50</x:v>
      </x:c>
      <x:c r="AG701" t="s">
        <x:v>51</x:v>
      </x:c>
      <x:c r="AH701" t="s">
        <x:v>5017</x:v>
      </x:c>
      <x:c r="AI701" t="s">
        <x:v>5018</x:v>
      </x:c>
      <x:c r="AJ701">
        <x:v>751</x:v>
      </x:c>
    </x:row>
    <x:row r="702">
      <x:c r="A702" t="s">
        <x:v>4131</x:v>
      </x:c>
      <x:c r="B702" t="s">
        <x:v>4132</x:v>
      </x:c>
      <x:c r="C702" t="s">
        <x:v>5019</x:v>
      </x:c>
      <x:c r="D702" t="s">
        <x:v>5020</x:v>
      </x:c>
      <x:c r="E702" t="s">
        <x:v>5021</x:v>
      </x:c>
      <x:c r="F702">
        <x:v>2330</x:v>
      </x:c>
      <x:c r="G702">
        <x:v>2330</x:v>
      </x:c>
      <x:c r="H702">
        <x:v>2330</x:v>
      </x:c>
      <x:c r="I702" t="s">
        <x:v>5022</x:v>
      </x:c>
      <x:c r="J702" t="s">
        <x:v>5023</x:v>
      </x:c>
      <x:c r="K702" t="s">
        <x:v>5024</x:v>
      </x:c>
      <x:c r="L702" t="s">
        <x:v>5025</x:v>
      </x:c>
      <x:c r="M702" t="s">
        <x:v>5026</x:v>
      </x:c>
      <x:c r="N702" t="s">
        <x:v>5027</x:v>
      </x:c>
      <x:c r="O702" t="s">
        <x:v>5028</x:v>
      </x:c>
      <x:c r="P702" t="s">
        <x:v>5029</x:v>
      </x:c>
      <x:c r="R702" s="9">
        <x:v>37177</x:v>
      </x:c>
      <x:c r="W702" s="26" t="n">
        <x:v>2.6904806</x:v>
      </x:c>
      <x:c r="X702" s="26" t="n">
        <x:v>-75.3282694</x:v>
      </x:c>
      <x:c r="AF702" t="s">
        <x:v>50</x:v>
      </x:c>
      <x:c r="AG702" t="s">
        <x:v>5030</x:v>
      </x:c>
      <x:c r="AH702" t="s">
        <x:v>2935</x:v>
      </x:c>
      <x:c r="AI702" t="s">
        <x:v>5031</x:v>
      </x:c>
      <x:c r="AJ702">
        <x:v>752</x:v>
      </x:c>
    </x:row>
    <x:row r="703">
      <x:c r="A703" t="s">
        <x:v>4131</x:v>
      </x:c>
      <x:c r="B703" t="s">
        <x:v>4132</x:v>
      </x:c>
      <x:c r="C703" t="s">
        <x:v>5032</x:v>
      </x:c>
      <x:c r="D703" t="s">
        <x:v>5033</x:v>
      </x:c>
      <x:c r="E703" t="s">
        <x:v>5034</x:v>
      </x:c>
      <x:c r="F703" t="s">
        <x:v>5035</x:v>
      </x:c>
      <x:c r="G703">
        <x:v>2900</x:v>
      </x:c>
      <x:c r="H703">
        <x:v>3100</x:v>
      </x:c>
      <x:c r="I703" t="s">
        <x:v>5036</x:v>
      </x:c>
      <x:c r="J703" t="s">
        <x:v>5037</x:v>
      </x:c>
      <x:c r="K703" t="s">
        <x:v>5038</x:v>
      </x:c>
      <x:c r="L703" t="s">
        <x:v>5039</x:v>
      </x:c>
      <x:c r="M703" t="s">
        <x:v>5040</x:v>
      </x:c>
      <x:c r="N703" t="s">
        <x:v>5041</x:v>
      </x:c>
      <x:c r="O703" t="s">
        <x:v>5042</x:v>
      </x:c>
      <x:c r="P703" t="s">
        <x:v>5043</x:v>
      </x:c>
      <x:c r="R703" s="9">
        <x:v>36352</x:v>
      </x:c>
      <x:c r="T703" t="s">
        <x:v>119</x:v>
      </x:c>
      <x:c r="W703" s="26" t="n">
        <x:v>1.6010056</x:v>
      </x:c>
      <x:c r="X703" s="26" t="n">
        <x:v>-76.9715083</x:v>
      </x:c>
      <x:c r="AF703" t="s">
        <x:v>50</x:v>
      </x:c>
      <x:c r="AG703" t="s">
        <x:v>5044</x:v>
      </x:c>
      <x:c r="AH703" t="s">
        <x:v>5045</x:v>
      </x:c>
      <x:c r="AI703" t="s">
        <x:v>5046</x:v>
      </x:c>
      <x:c r="AJ703">
        <x:v>753</x:v>
      </x:c>
    </x:row>
    <x:row r="704">
      <x:c r="A704" t="s">
        <x:v>4131</x:v>
      </x:c>
      <x:c r="B704" t="s">
        <x:v>4132</x:v>
      </x:c>
      <x:c r="C704" t="s">
        <x:v>5047</x:v>
      </x:c>
      <x:c r="D704" t="s">
        <x:v>5048</x:v>
      </x:c>
      <x:c r="E704" t="s">
        <x:v>5049</x:v>
      </x:c>
      <x:c r="F704">
        <x:v>2400</x:v>
      </x:c>
      <x:c r="G704">
        <x:v>2400</x:v>
      </x:c>
      <x:c r="H704">
        <x:v>2400</x:v>
      </x:c>
      <x:c r="P704" t="s">
        <x:v>80</x:v>
      </x:c>
      <x:c r="R704" s="9">
        <x:v>21620</x:v>
      </x:c>
      <x:c r="T704" t="s">
        <x:v>119</x:v>
      </x:c>
      <x:c r="W704" s="26" t="n">
        <x:v>10.00286</x:v>
      </x:c>
      <x:c r="X704" s="26" t="n">
        <x:v>-73.01576</x:v>
      </x:c>
      <x:c r="Y704">
        <x:v>5650.83</x:v>
      </x:c>
      <x:c r="Z704">
        <x:v>2481</x:v>
      </x:c>
      <x:c r="AB704" t="s">
        <x:v>5050</x:v>
      </x:c>
      <x:c r="AF704" t="s">
        <x:v>50</x:v>
      </x:c>
      <x:c r="AG704" t="s">
        <x:v>1296</x:v>
      </x:c>
      <x:c r="AH704" t="s">
        <x:v>2050</x:v>
      </x:c>
      <x:c r="AI704" t="s">
        <x:v>5051</x:v>
      </x:c>
      <x:c r="AJ704">
        <x:v>754</x:v>
      </x:c>
    </x:row>
    <x:row r="705">
      <x:c r="A705" t="s">
        <x:v>4131</x:v>
      </x:c>
      <x:c r="B705" t="s">
        <x:v>4132</x:v>
      </x:c>
      <x:c r="C705" t="s">
        <x:v>5052</x:v>
      </x:c>
      <x:c r="D705" t="s">
        <x:v>5053</x:v>
      </x:c>
      <x:c r="E705" t="s">
        <x:v>5054</x:v>
      </x:c>
      <x:c r="F705" t="s">
        <x:v>2455</x:v>
      </x:c>
      <x:c r="G705">
        <x:v>1900</x:v>
      </x:c>
      <x:c r="H705">
        <x:v>2200</x:v>
      </x:c>
      <x:c r="I705" t="s">
        <x:v>5055</x:v>
      </x:c>
      <x:c r="J705" t="s">
        <x:v>5056</x:v>
      </x:c>
      <x:c r="K705" t="s">
        <x:v>5057</x:v>
      </x:c>
      <x:c r="L705" t="s">
        <x:v>5058</x:v>
      </x:c>
      <x:c r="M705" t="s">
        <x:v>5059</x:v>
      </x:c>
      <x:c r="N705" t="s">
        <x:v>5060</x:v>
      </x:c>
      <x:c r="O705" t="s">
        <x:v>5061</x:v>
      </x:c>
      <x:c r="P705" t="s">
        <x:v>5062</x:v>
      </x:c>
      <x:c r="R705" s="9">
        <x:v>26516</x:v>
      </x:c>
      <x:c r="T705" t="s">
        <x:v>111</x:v>
      </x:c>
      <x:c r="W705" s="26" t="n">
        <x:v>10.8833333</x:v>
      </x:c>
      <x:c r="X705" s="26" t="n">
        <x:v>-74.0166667</x:v>
      </x:c>
      <x:c r="AF705" t="s">
        <x:v>50</x:v>
      </x:c>
      <x:c r="AG705" t="s">
        <x:v>1296</x:v>
      </x:c>
      <x:c r="AH705" t="s">
        <x:v>1297</x:v>
      </x:c>
      <x:c r="AI705" t="s">
        <x:v>5063</x:v>
      </x:c>
      <x:c r="AJ705">
        <x:v>755</x:v>
      </x:c>
    </x:row>
    <x:row r="706">
      <x:c r="A706" t="s">
        <x:v>4131</x:v>
      </x:c>
      <x:c r="B706" t="s">
        <x:v>4132</x:v>
      </x:c>
      <x:c r="C706" t="s">
        <x:v>5064</x:v>
      </x:c>
      <x:c r="D706" t="s">
        <x:v>5065</x:v>
      </x:c>
      <x:c r="E706" t="s">
        <x:v>5066</x:v>
      </x:c>
      <x:c r="F706">
        <x:v>1700</x:v>
      </x:c>
      <x:c r="G706">
        <x:v>1700</x:v>
      </x:c>
      <x:c r="H706">
        <x:v>1700</x:v>
      </x:c>
      <x:c r="I706" t="s">
        <x:v>5067</x:v>
      </x:c>
      <x:c r="J706" t="s">
        <x:v>5068</x:v>
      </x:c>
      <x:c r="K706" t="s">
        <x:v>5069</x:v>
      </x:c>
      <x:c r="L706" t="s">
        <x:v>5070</x:v>
      </x:c>
      <x:c r="M706" t="s">
        <x:v>5071</x:v>
      </x:c>
      <x:c r="N706" t="s">
        <x:v>5072</x:v>
      </x:c>
      <x:c r="O706" t="s">
        <x:v>5073</x:v>
      </x:c>
      <x:c r="P706" t="s">
        <x:v>5074</x:v>
      </x:c>
      <x:c r="R706" s="9">
        <x:v>26543</x:v>
      </x:c>
      <x:c r="T706" t="s">
        <x:v>119</x:v>
      </x:c>
      <x:c r="W706" s="26" t="n">
        <x:v>10.9833333</x:v>
      </x:c>
      <x:c r="X706" s="26" t="n">
        <x:v>-73.9833333</x:v>
      </x:c>
      <x:c r="AF706" t="s">
        <x:v>50</x:v>
      </x:c>
      <x:c r="AG706" t="s">
        <x:v>1296</x:v>
      </x:c>
      <x:c r="AH706" t="s">
        <x:v>1297</x:v>
      </x:c>
      <x:c r="AI706" t="s">
        <x:v>5075</x:v>
      </x:c>
      <x:c r="AJ706">
        <x:v>756</x:v>
      </x:c>
    </x:row>
    <x:row r="707">
      <x:c r="A707" t="s">
        <x:v>4131</x:v>
      </x:c>
      <x:c r="B707" t="s">
        <x:v>4132</x:v>
      </x:c>
      <x:c r="C707" t="s">
        <x:v>5076</x:v>
      </x:c>
      <x:c r="D707" t="s">
        <x:v>5077</x:v>
      </x:c>
      <x:c r="E707" t="s">
        <x:v>5078</x:v>
      </x:c>
      <x:c r="F707">
        <x:v>2100</x:v>
      </x:c>
      <x:c r="G707">
        <x:v>2100</x:v>
      </x:c>
      <x:c r="H707">
        <x:v>2100</x:v>
      </x:c>
      <x:c r="P707" t="s">
        <x:v>80</x:v>
      </x:c>
      <x:c r="R707" s="9">
        <x:v>28333</x:v>
      </x:c>
      <x:c r="T707" t="s">
        <x:v>119</x:v>
      </x:c>
      <x:c r="W707" s="26" t="n">
        <x:v>10.9166</x:v>
      </x:c>
      <x:c r="X707" s="26" t="n">
        <x:v>-73.83329</x:v>
      </x:c>
      <x:c r="Y707">
        <x:v>938.23099999999999</x:v>
      </x:c>
      <x:c r="Z707">
        <x:v>2318</x:v>
      </x:c>
      <x:c r="AB707" t="s">
        <x:v>3013</x:v>
      </x:c>
      <x:c r="AF707" t="s">
        <x:v>50</x:v>
      </x:c>
      <x:c r="AG707" t="s">
        <x:v>1296</x:v>
      </x:c>
      <x:c r="AH707" t="s">
        <x:v>1297</x:v>
      </x:c>
      <x:c r="AI707" t="s">
        <x:v>5079</x:v>
      </x:c>
      <x:c r="AJ707">
        <x:v>757</x:v>
      </x:c>
    </x:row>
    <x:row r="708">
      <x:c r="A708" t="s">
        <x:v>4131</x:v>
      </x:c>
      <x:c r="B708" t="s">
        <x:v>4132</x:v>
      </x:c>
      <x:c r="C708" t="s">
        <x:v>5080</x:v>
      </x:c>
      <x:c r="D708" t="s">
        <x:v>1060</x:v>
      </x:c>
      <x:c r="E708" t="s">
        <x:v>5081</x:v>
      </x:c>
      <x:c r="F708">
        <x:v>2147</x:v>
      </x:c>
      <x:c r="G708">
        <x:v>2147</x:v>
      </x:c>
      <x:c r="H708">
        <x:v>2147</x:v>
      </x:c>
      <x:c r="I708" t="s">
        <x:v>5082</x:v>
      </x:c>
      <x:c r="J708" t="s">
        <x:v>5083</x:v>
      </x:c>
      <x:c r="K708" t="s">
        <x:v>5084</x:v>
      </x:c>
      <x:c r="L708" t="s">
        <x:v>5085</x:v>
      </x:c>
      <x:c r="M708" t="s">
        <x:v>5086</x:v>
      </x:c>
      <x:c r="N708" t="s">
        <x:v>5087</x:v>
      </x:c>
      <x:c r="O708" t="s">
        <x:v>5088</x:v>
      </x:c>
      <x:c r="P708" t="s">
        <x:v>5089</x:v>
      </x:c>
      <x:c r="R708" s="9">
        <x:v>37789</x:v>
      </x:c>
      <x:c r="T708" t="s">
        <x:v>119</x:v>
      </x:c>
      <x:c r="W708" s="26" t="n">
        <x:v>5.02952</x:v>
      </x:c>
      <x:c r="X708" s="26" t="n">
        <x:v>-75.43439</x:v>
      </x:c>
      <x:c r="Y708">
        <x:v>184.25899999999999</x:v>
      </x:c>
      <x:c r="Z708">
        <x:v>2290</x:v>
      </x:c>
      <x:c r="AB708" t="s">
        <x:v>5090</x:v>
      </x:c>
      <x:c r="AF708" t="s">
        <x:v>50</x:v>
      </x:c>
      <x:c r="AG708" t="s">
        <x:v>168</x:v>
      </x:c>
      <x:c r="AH708" t="s">
        <x:v>5091</x:v>
      </x:c>
      <x:c r="AI708" t="s">
        <x:v>5092</x:v>
      </x:c>
      <x:c r="AJ708">
        <x:v>758</x:v>
      </x:c>
    </x:row>
    <x:row r="709">
      <x:c r="A709" t="s">
        <x:v>4131</x:v>
      </x:c>
      <x:c r="B709" t="s">
        <x:v>4132</x:v>
      </x:c>
      <x:c r="C709" t="s">
        <x:v>5093</x:v>
      </x:c>
      <x:c r="D709" t="s">
        <x:v>5094</x:v>
      </x:c>
      <x:c r="E709" t="s">
        <x:v>5095</x:v>
      </x:c>
      <x:c r="F709">
        <x:v>890</x:v>
      </x:c>
      <x:c r="G709">
        <x:v>890</x:v>
      </x:c>
      <x:c r="H709">
        <x:v>890</x:v>
      </x:c>
      <x:c r="P709" t="s">
        <x:v>80</x:v>
      </x:c>
      <x:c r="R709" s="9">
        <x:v>16310</x:v>
      </x:c>
      <x:c r="T709" t="s">
        <x:v>65</x:v>
      </x:c>
      <x:c r="W709" s="26" t="n">
        <x:v>4.11235</x:v>
      </x:c>
      <x:c r="X709" s="26" t="n">
        <x:v>-73.76649</x:v>
      </x:c>
      <x:c r="Y709">
        <x:v>8489.5499999999993</x:v>
      </x:c>
      <x:c r="Z709">
        <x:v>762</x:v>
      </x:c>
      <x:c r="AA709" t="s">
        <x:v>5096</x:v>
      </x:c>
      <x:c r="AB709" t="s">
        <x:v>5097</x:v>
      </x:c>
      <x:c r="AF709" t="s">
        <x:v>50</x:v>
      </x:c>
      <x:c r="AG709" t="s">
        <x:v>1336</x:v>
      </x:c>
      <x:c r="AH709" t="s">
        <x:v>5098</x:v>
      </x:c>
      <x:c r="AI709" t="s">
        <x:v>5099</x:v>
      </x:c>
      <x:c r="AJ709">
        <x:v>759</x:v>
      </x:c>
    </x:row>
    <x:row r="710">
      <x:c r="A710" t="s">
        <x:v>4131</x:v>
      </x:c>
      <x:c r="B710" t="s">
        <x:v>4132</x:v>
      </x:c>
      <x:c r="C710" t="s">
        <x:v>5100</x:v>
      </x:c>
      <x:c r="D710" t="s">
        <x:v>5101</x:v>
      </x:c>
      <x:c r="E710" t="s">
        <x:v>5102</x:v>
      </x:c>
      <x:c r="F710">
        <x:v>890</x:v>
      </x:c>
      <x:c r="G710">
        <x:v>890</x:v>
      </x:c>
      <x:c r="H710">
        <x:v>890</x:v>
      </x:c>
      <x:c r="P710" t="s">
        <x:v>80</x:v>
      </x:c>
      <x:c r="R710" s="9">
        <x:v>16310</x:v>
      </x:c>
      <x:c r="T710" t="s">
        <x:v>65</x:v>
      </x:c>
      <x:c r="W710" s="26" t="n">
        <x:v>4.08481</x:v>
      </x:c>
      <x:c r="X710" s="26" t="n">
        <x:v>-73.76841</x:v>
      </x:c>
      <x:c r="Y710">
        <x:v>3148.5529999999999</x:v>
      </x:c>
      <x:c r="Z710">
        <x:v>836</x:v>
      </x:c>
      <x:c r="AA710" t="s">
        <x:v>5096</x:v>
      </x:c>
      <x:c r="AB710" t="s">
        <x:v>5097</x:v>
      </x:c>
      <x:c r="AF710" t="s">
        <x:v>50</x:v>
      </x:c>
      <x:c r="AG710" t="s">
        <x:v>1336</x:v>
      </x:c>
      <x:c r="AH710" t="s">
        <x:v>5103</x:v>
      </x:c>
      <x:c r="AI710" t="s">
        <x:v>5104</x:v>
      </x:c>
      <x:c r="AJ710">
        <x:v>760</x:v>
      </x:c>
    </x:row>
    <x:row r="711">
      <x:c r="A711" t="s">
        <x:v>4131</x:v>
      </x:c>
      <x:c r="B711" t="s">
        <x:v>4132</x:v>
      </x:c>
      <x:c r="C711" t="s">
        <x:v>5105</x:v>
      </x:c>
      <x:c r="D711" t="s">
        <x:v>5106</x:v>
      </x:c>
      <x:c r="E711" t="s">
        <x:v>5107</x:v>
      </x:c>
      <x:c r="F711" t="s">
        <x:v>3018</x:v>
      </x:c>
      <x:c r="G711">
        <x:v>1300</x:v>
      </x:c>
      <x:c r="H711">
        <x:v>1900</x:v>
      </x:c>
      <x:c r="P711" t="s">
        <x:v>80</x:v>
      </x:c>
      <x:c r="R711" s="9">
        <x:v>18634</x:v>
      </x:c>
      <x:c r="T711" t="s">
        <x:v>119</x:v>
      </x:c>
      <x:c r="W711" s="26" t="n">
        <x:v>2.9627</x:v>
      </x:c>
      <x:c r="X711" s="26" t="n">
        <x:v>-73.88673</x:v>
      </x:c>
      <x:c r="Y711">
        <x:v>4935.0150000000003</x:v>
      </x:c>
      <x:c r="Z711">
        <x:v>1289</x:v>
      </x:c>
      <x:c r="AB711" t="s">
        <x:v>3019</x:v>
      </x:c>
      <x:c r="AF711" t="s">
        <x:v>50</x:v>
      </x:c>
      <x:c r="AG711" t="s">
        <x:v>1336</x:v>
      </x:c>
      <x:c r="AH711" t="s">
        <x:v>5108</x:v>
      </x:c>
      <x:c r="AI711" t="s">
        <x:v>5109</x:v>
      </x:c>
      <x:c r="AJ711">
        <x:v>761</x:v>
      </x:c>
    </x:row>
    <x:row r="712">
      <x:c r="A712" t="s">
        <x:v>4131</x:v>
      </x:c>
      <x:c r="B712" t="s">
        <x:v>4132</x:v>
      </x:c>
      <x:c r="C712" t="s">
        <x:v>5110</x:v>
      </x:c>
      <x:c r="D712" t="s">
        <x:v>5111</x:v>
      </x:c>
      <x:c r="E712" t="s">
        <x:v>5112</x:v>
      </x:c>
      <x:c r="F712">
        <x:v>1700</x:v>
      </x:c>
      <x:c r="G712">
        <x:v>1700</x:v>
      </x:c>
      <x:c r="H712">
        <x:v>1700</x:v>
      </x:c>
      <x:c r="P712" t="s">
        <x:v>80</x:v>
      </x:c>
      <x:c r="R712" s="9">
        <x:v>29804</x:v>
      </x:c>
      <x:c r="T712" t="s">
        <x:v>119</x:v>
      </x:c>
      <x:c r="W712" s="26" t="n">
        <x:v>4.02519</x:v>
      </x:c>
      <x:c r="X712" s="26" t="n">
        <x:v>-73.8265</x:v>
      </x:c>
      <x:c r="Y712">
        <x:v>3368.5990000000002</x:v>
      </x:c>
      <x:c r="Z712">
        <x:v>1221</x:v>
      </x:c>
      <x:c r="AB712" t="s">
        <x:v>5113</x:v>
      </x:c>
      <x:c r="AF712" t="s">
        <x:v>50</x:v>
      </x:c>
      <x:c r="AG712" t="s">
        <x:v>1336</x:v>
      </x:c>
      <x:c r="AH712" t="s">
        <x:v>3026</x:v>
      </x:c>
      <x:c r="AI712" t="s">
        <x:v>5114</x:v>
      </x:c>
      <x:c r="AJ712">
        <x:v>762</x:v>
      </x:c>
    </x:row>
    <x:row r="713">
      <x:c r="A713" t="s">
        <x:v>4131</x:v>
      </x:c>
      <x:c r="B713" t="s">
        <x:v>4132</x:v>
      </x:c>
      <x:c r="C713" t="s">
        <x:v>5115</x:v>
      </x:c>
      <x:c r="D713" t="s">
        <x:v>5116</x:v>
      </x:c>
      <x:c r="E713" t="s">
        <x:v>5112</x:v>
      </x:c>
      <x:c r="F713">
        <x:v>1700</x:v>
      </x:c>
      <x:c r="G713">
        <x:v>1700</x:v>
      </x:c>
      <x:c r="H713">
        <x:v>1700</x:v>
      </x:c>
      <x:c r="P713" t="s">
        <x:v>80</x:v>
      </x:c>
      <x:c r="R713" s="9">
        <x:v>29804</x:v>
      </x:c>
      <x:c r="T713" t="s">
        <x:v>119</x:v>
      </x:c>
      <x:c r="W713" s="26" t="n">
        <x:v>4.02519</x:v>
      </x:c>
      <x:c r="X713" s="26" t="n">
        <x:v>-73.8265</x:v>
      </x:c>
      <x:c r="Y713">
        <x:v>3368.5990000000002</x:v>
      </x:c>
      <x:c r="Z713">
        <x:v>1221</x:v>
      </x:c>
      <x:c r="AB713" t="s">
        <x:v>5113</x:v>
      </x:c>
      <x:c r="AF713" t="s">
        <x:v>50</x:v>
      </x:c>
      <x:c r="AG713" t="s">
        <x:v>1336</x:v>
      </x:c>
      <x:c r="AH713" t="s">
        <x:v>3026</x:v>
      </x:c>
      <x:c r="AI713" t="s">
        <x:v>5114</x:v>
      </x:c>
      <x:c r="AJ713">
        <x:v>763</x:v>
      </x:c>
    </x:row>
    <x:row r="714">
      <x:c r="A714" t="s">
        <x:v>4131</x:v>
      </x:c>
      <x:c r="B714" t="s">
        <x:v>4132</x:v>
      </x:c>
      <x:c r="C714" t="s">
        <x:v>5117</x:v>
      </x:c>
      <x:c r="D714" t="s">
        <x:v>5118</x:v>
      </x:c>
      <x:c r="E714" t="s">
        <x:v>5119</x:v>
      </x:c>
      <x:c r="I714" t="s">
        <x:v>1988</x:v>
      </x:c>
      <x:c r="J714" t="s">
        <x:v>1989</x:v>
      </x:c>
      <x:c r="K714" t="s">
        <x:v>1990</x:v>
      </x:c>
      <x:c r="L714" t="s">
        <x:v>1991</x:v>
      </x:c>
      <x:c r="M714" t="s">
        <x:v>1992</x:v>
      </x:c>
      <x:c r="N714" t="s">
        <x:v>1993</x:v>
      </x:c>
      <x:c r="O714" t="s">
        <x:v>1994</x:v>
      </x:c>
      <x:c r="P714" t="s">
        <x:v>1995</x:v>
      </x:c>
      <x:c r="R714" s="9">
        <x:v>21020</x:v>
      </x:c>
      <x:c r="W714" s="26" t="n">
        <x:v>1.2136917</x:v>
      </x:c>
      <x:c r="X714" s="26" t="n">
        <x:v>-77.2726361</x:v>
      </x:c>
      <x:c r="AF714" t="s">
        <x:v>50</x:v>
      </x:c>
      <x:c r="AG714" t="s">
        <x:v>127</x:v>
      </x:c>
      <x:c r="AH714" t="s">
        <x:v>5120</x:v>
      </x:c>
      <x:c r="AI714" t="s">
        <x:v>5121</x:v>
      </x:c>
      <x:c r="AJ714">
        <x:v>764</x:v>
      </x:c>
    </x:row>
    <x:row r="715">
      <x:c r="A715" t="s">
        <x:v>4131</x:v>
      </x:c>
      <x:c r="B715" t="s">
        <x:v>4132</x:v>
      </x:c>
      <x:c r="C715" t="s">
        <x:v>5122</x:v>
      </x:c>
      <x:c r="D715" t="s">
        <x:v>5123</x:v>
      </x:c>
      <x:c r="E715" t="s">
        <x:v>5124</x:v>
      </x:c>
      <x:c r="F715">
        <x:v>3100</x:v>
      </x:c>
      <x:c r="G715">
        <x:v>3100</x:v>
      </x:c>
      <x:c r="H715">
        <x:v>3100</x:v>
      </x:c>
      <x:c r="I715" t="s">
        <x:v>5125</x:v>
      </x:c>
      <x:c r="J715" t="s">
        <x:v>5126</x:v>
      </x:c>
      <x:c r="K715" t="s">
        <x:v>5127</x:v>
      </x:c>
      <x:c r="L715" t="s">
        <x:v>5128</x:v>
      </x:c>
      <x:c r="M715" t="s">
        <x:v>5129</x:v>
      </x:c>
      <x:c r="N715" t="s">
        <x:v>5130</x:v>
      </x:c>
      <x:c r="O715" t="s">
        <x:v>5131</x:v>
      </x:c>
      <x:c r="P715" t="s">
        <x:v>5132</x:v>
      </x:c>
      <x:c r="R715" s="9">
        <x:v>26547</x:v>
      </x:c>
      <x:c r="W715" s="26" t="n">
        <x:v>0.8217611</x:v>
      </x:c>
      <x:c r="X715" s="26" t="n">
        <x:v>-77.6416778</x:v>
      </x:c>
      <x:c r="AF715" t="s">
        <x:v>50</x:v>
      </x:c>
      <x:c r="AG715" t="s">
        <x:v>127</x:v>
      </x:c>
      <x:c r="AH715" t="s">
        <x:v>1440</x:v>
      </x:c>
      <x:c r="AI715" t="s">
        <x:v>5133</x:v>
      </x:c>
      <x:c r="AJ715">
        <x:v>765</x:v>
      </x:c>
    </x:row>
    <x:row r="716">
      <x:c r="A716" t="s">
        <x:v>4131</x:v>
      </x:c>
      <x:c r="B716" t="s">
        <x:v>4132</x:v>
      </x:c>
      <x:c r="C716" t="s">
        <x:v>5134</x:v>
      </x:c>
      <x:c r="D716" t="s">
        <x:v>5135</x:v>
      </x:c>
      <x:c r="E716" t="s">
        <x:v>5136</x:v>
      </x:c>
      <x:c r="F716">
        <x:v>2500</x:v>
      </x:c>
      <x:c r="G716">
        <x:v>2500</x:v>
      </x:c>
      <x:c r="H716">
        <x:v>2500</x:v>
      </x:c>
      <x:c r="I716" t="s">
        <x:v>5125</x:v>
      </x:c>
      <x:c r="J716" t="s">
        <x:v>5126</x:v>
      </x:c>
      <x:c r="K716" t="s">
        <x:v>5127</x:v>
      </x:c>
      <x:c r="L716" t="s">
        <x:v>5128</x:v>
      </x:c>
      <x:c r="M716" t="s">
        <x:v>5129</x:v>
      </x:c>
      <x:c r="N716" t="s">
        <x:v>5130</x:v>
      </x:c>
      <x:c r="O716" t="s">
        <x:v>5131</x:v>
      </x:c>
      <x:c r="P716" t="s">
        <x:v>5132</x:v>
      </x:c>
      <x:c r="R716" s="9">
        <x:v>26674</x:v>
      </x:c>
      <x:c r="T716" t="s">
        <x:v>119</x:v>
      </x:c>
      <x:c r="W716" s="26" t="n">
        <x:v>0.8217611</x:v>
      </x:c>
      <x:c r="X716" s="26" t="n">
        <x:v>-77.6416778</x:v>
      </x:c>
      <x:c r="AF716" t="s">
        <x:v>50</x:v>
      </x:c>
      <x:c r="AG716" t="s">
        <x:v>127</x:v>
      </x:c>
      <x:c r="AH716" t="s">
        <x:v>1440</x:v>
      </x:c>
      <x:c r="AI716" t="s">
        <x:v>5137</x:v>
      </x:c>
      <x:c r="AJ716">
        <x:v>766</x:v>
      </x:c>
    </x:row>
    <x:row r="717">
      <x:c r="A717" t="s">
        <x:v>4131</x:v>
      </x:c>
      <x:c r="B717" t="s">
        <x:v>4132</x:v>
      </x:c>
      <x:c r="C717" t="s">
        <x:v>5134</x:v>
      </x:c>
      <x:c r="D717" t="s">
        <x:v>5138</x:v>
      </x:c>
      <x:c r="E717" t="s">
        <x:v>5136</x:v>
      </x:c>
      <x:c r="F717">
        <x:v>2500</x:v>
      </x:c>
      <x:c r="G717">
        <x:v>2500</x:v>
      </x:c>
      <x:c r="H717">
        <x:v>2500</x:v>
      </x:c>
      <x:c r="I717" t="s">
        <x:v>5125</x:v>
      </x:c>
      <x:c r="J717" t="s">
        <x:v>5126</x:v>
      </x:c>
      <x:c r="K717" t="s">
        <x:v>5127</x:v>
      </x:c>
      <x:c r="L717" t="s">
        <x:v>5128</x:v>
      </x:c>
      <x:c r="M717" t="s">
        <x:v>5129</x:v>
      </x:c>
      <x:c r="N717" t="s">
        <x:v>5130</x:v>
      </x:c>
      <x:c r="O717" t="s">
        <x:v>5131</x:v>
      </x:c>
      <x:c r="P717" t="s">
        <x:v>5132</x:v>
      </x:c>
      <x:c r="R717" s="9">
        <x:v>26674</x:v>
      </x:c>
      <x:c r="T717" t="s">
        <x:v>119</x:v>
      </x:c>
      <x:c r="W717" s="26" t="n">
        <x:v>0.8217611</x:v>
      </x:c>
      <x:c r="X717" s="26" t="n">
        <x:v>-77.6416778</x:v>
      </x:c>
      <x:c r="AF717" t="s">
        <x:v>50</x:v>
      </x:c>
      <x:c r="AG717" t="s">
        <x:v>127</x:v>
      </x:c>
      <x:c r="AH717" t="s">
        <x:v>1440</x:v>
      </x:c>
      <x:c r="AI717" t="s">
        <x:v>5137</x:v>
      </x:c>
      <x:c r="AJ717">
        <x:v>767</x:v>
      </x:c>
    </x:row>
    <x:row r="718" s="2" customFormat="1">
      <x:c r="A718" t="s">
        <x:v>4131</x:v>
      </x:c>
      <x:c r="B718" t="s">
        <x:v>4132</x:v>
      </x:c>
      <x:c r="C718" t="s">
        <x:v>5139</x:v>
      </x:c>
      <x:c r="D718" t="s">
        <x:v>5140</x:v>
      </x:c>
      <x:c r="E718" t="s">
        <x:v>5141</x:v>
      </x:c>
      <x:c r="F718">
        <x:v>2800</x:v>
      </x:c>
      <x:c r="G718">
        <x:v>2800</x:v>
      </x:c>
      <x:c r="H718">
        <x:v>2800</x:v>
      </x:c>
      <x:c r="I718" t="s">
        <x:v>1988</x:v>
      </x:c>
      <x:c r="J718" t="s">
        <x:v>1989</x:v>
      </x:c>
      <x:c r="K718" t="s">
        <x:v>1990</x:v>
      </x:c>
      <x:c r="L718" t="s">
        <x:v>1991</x:v>
      </x:c>
      <x:c r="M718" t="s">
        <x:v>1992</x:v>
      </x:c>
      <x:c r="N718" t="s">
        <x:v>1993</x:v>
      </x:c>
      <x:c r="O718" t="s">
        <x:v>1994</x:v>
      </x:c>
      <x:c r="P718" t="s">
        <x:v>1995</x:v>
      </x:c>
      <x:c r="Q718"/>
      <x:c r="R718" s="9">
        <x:v>27143</x:v>
      </x:c>
      <x:c r="S718"/>
      <x:c r="T718"/>
      <x:c r="U718"/>
      <x:c r="V718"/>
      <x:c r="W718" s="26" t="n">
        <x:v>1.12957</x:v>
      </x:c>
      <x:c r="X718" s="26" t="n">
        <x:v>-77.14944</x:v>
      </x:c>
      <x:c r="Y718">
        <x:v>345.22699999999998</x:v>
      </x:c>
      <x:c r="Z718">
        <x:v>2792</x:v>
      </x:c>
      <x:c r="AA718"/>
      <x:c r="AB718" t="s">
        <x:v>5142</x:v>
      </x:c>
      <x:c r="AC718"/>
      <x:c r="AD718"/>
      <x:c r="AE718"/>
      <x:c r="AF718" t="s">
        <x:v>50</x:v>
      </x:c>
      <x:c r="AG718" t="s">
        <x:v>127</x:v>
      </x:c>
      <x:c r="AH718" t="s">
        <x:v>5143</x:v>
      </x:c>
      <x:c r="AI718" t="s">
        <x:v>5144</x:v>
      </x:c>
      <x:c r="AJ718">
        <x:v>768</x:v>
      </x:c>
    </x:row>
    <x:row r="719">
      <x:c r="A719" t="s">
        <x:v>4131</x:v>
      </x:c>
      <x:c r="B719" t="s">
        <x:v>4132</x:v>
      </x:c>
      <x:c r="C719" t="s">
        <x:v>5145</x:v>
      </x:c>
      <x:c r="D719" t="s">
        <x:v>5146</x:v>
      </x:c>
      <x:c r="E719" t="s">
        <x:v>5141</x:v>
      </x:c>
      <x:c r="F719">
        <x:v>2800</x:v>
      </x:c>
      <x:c r="G719">
        <x:v>2800</x:v>
      </x:c>
      <x:c r="H719">
        <x:v>2800</x:v>
      </x:c>
      <x:c r="I719" t="s">
        <x:v>1988</x:v>
      </x:c>
      <x:c r="J719" t="s">
        <x:v>1989</x:v>
      </x:c>
      <x:c r="K719" t="s">
        <x:v>1990</x:v>
      </x:c>
      <x:c r="L719" t="s">
        <x:v>1991</x:v>
      </x:c>
      <x:c r="M719" t="s">
        <x:v>1992</x:v>
      </x:c>
      <x:c r="N719" t="s">
        <x:v>1993</x:v>
      </x:c>
      <x:c r="O719" t="s">
        <x:v>1994</x:v>
      </x:c>
      <x:c r="P719" t="s">
        <x:v>1995</x:v>
      </x:c>
      <x:c r="R719" s="9">
        <x:v>27143</x:v>
      </x:c>
      <x:c r="W719" s="26" t="n">
        <x:v>1.12957</x:v>
      </x:c>
      <x:c r="X719" s="26" t="n">
        <x:v>-77.14944</x:v>
      </x:c>
      <x:c r="Y719">
        <x:v>345.22699999999998</x:v>
      </x:c>
      <x:c r="Z719">
        <x:v>2792</x:v>
      </x:c>
      <x:c r="AB719" t="s">
        <x:v>5142</x:v>
      </x:c>
      <x:c r="AF719" t="s">
        <x:v>50</x:v>
      </x:c>
      <x:c r="AG719" t="s">
        <x:v>127</x:v>
      </x:c>
      <x:c r="AH719" t="s">
        <x:v>5143</x:v>
      </x:c>
      <x:c r="AI719" t="s">
        <x:v>5144</x:v>
      </x:c>
      <x:c r="AJ719">
        <x:v>769</x:v>
      </x:c>
    </x:row>
    <x:row r="720">
      <x:c r="A720" t="s">
        <x:v>4131</x:v>
      </x:c>
      <x:c r="B720" t="s">
        <x:v>4132</x:v>
      </x:c>
      <x:c r="C720" t="s">
        <x:v>5147</x:v>
      </x:c>
      <x:c r="D720" t="s">
        <x:v>5148</x:v>
      </x:c>
      <x:c r="E720" t="s">
        <x:v>5141</x:v>
      </x:c>
      <x:c r="F720">
        <x:v>2800</x:v>
      </x:c>
      <x:c r="G720">
        <x:v>2800</x:v>
      </x:c>
      <x:c r="H720">
        <x:v>2800</x:v>
      </x:c>
      <x:c r="I720" t="s">
        <x:v>1988</x:v>
      </x:c>
      <x:c r="J720" t="s">
        <x:v>1989</x:v>
      </x:c>
      <x:c r="K720" t="s">
        <x:v>1990</x:v>
      </x:c>
      <x:c r="L720" t="s">
        <x:v>1991</x:v>
      </x:c>
      <x:c r="M720" t="s">
        <x:v>1992</x:v>
      </x:c>
      <x:c r="N720" t="s">
        <x:v>1993</x:v>
      </x:c>
      <x:c r="O720" t="s">
        <x:v>1994</x:v>
      </x:c>
      <x:c r="P720" t="s">
        <x:v>1995</x:v>
      </x:c>
      <x:c r="R720" s="9">
        <x:v>27143</x:v>
      </x:c>
      <x:c r="W720" s="26" t="n">
        <x:v>1.12957</x:v>
      </x:c>
      <x:c r="X720" s="26" t="n">
        <x:v>-77.14944</x:v>
      </x:c>
      <x:c r="Y720">
        <x:v>345.22699999999998</x:v>
      </x:c>
      <x:c r="Z720">
        <x:v>2792</x:v>
      </x:c>
      <x:c r="AB720" t="s">
        <x:v>5142</x:v>
      </x:c>
      <x:c r="AF720" t="s">
        <x:v>50</x:v>
      </x:c>
      <x:c r="AG720" t="s">
        <x:v>127</x:v>
      </x:c>
      <x:c r="AH720" t="s">
        <x:v>5143</x:v>
      </x:c>
      <x:c r="AI720" t="s">
        <x:v>5144</x:v>
      </x:c>
      <x:c r="AJ720">
        <x:v>770</x:v>
      </x:c>
    </x:row>
    <x:row r="721">
      <x:c r="A721" t="s">
        <x:v>4131</x:v>
      </x:c>
      <x:c r="B721" t="s">
        <x:v>4132</x:v>
      </x:c>
      <x:c r="C721" t="s">
        <x:v>5149</x:v>
      </x:c>
      <x:c r="D721" t="s">
        <x:v>5150</x:v>
      </x:c>
      <x:c r="E721" t="s">
        <x:v>5141</x:v>
      </x:c>
      <x:c r="F721">
        <x:v>2800</x:v>
      </x:c>
      <x:c r="G721">
        <x:v>2800</x:v>
      </x:c>
      <x:c r="H721">
        <x:v>2800</x:v>
      </x:c>
      <x:c r="I721" t="s">
        <x:v>1988</x:v>
      </x:c>
      <x:c r="J721" t="s">
        <x:v>1989</x:v>
      </x:c>
      <x:c r="K721" t="s">
        <x:v>1990</x:v>
      </x:c>
      <x:c r="L721" t="s">
        <x:v>1991</x:v>
      </x:c>
      <x:c r="M721" t="s">
        <x:v>1992</x:v>
      </x:c>
      <x:c r="N721" t="s">
        <x:v>1993</x:v>
      </x:c>
      <x:c r="O721" t="s">
        <x:v>1994</x:v>
      </x:c>
      <x:c r="P721" t="s">
        <x:v>1995</x:v>
      </x:c>
      <x:c r="R721" s="9">
        <x:v>27143</x:v>
      </x:c>
      <x:c r="W721" s="26" t="n">
        <x:v>1.12957</x:v>
      </x:c>
      <x:c r="X721" s="26" t="n">
        <x:v>-77.14944</x:v>
      </x:c>
      <x:c r="Y721">
        <x:v>345.22699999999998</x:v>
      </x:c>
      <x:c r="Z721">
        <x:v>2792</x:v>
      </x:c>
      <x:c r="AB721" t="s">
        <x:v>5142</x:v>
      </x:c>
      <x:c r="AF721" t="s">
        <x:v>50</x:v>
      </x:c>
      <x:c r="AG721" t="s">
        <x:v>127</x:v>
      </x:c>
      <x:c r="AH721" t="s">
        <x:v>5143</x:v>
      </x:c>
      <x:c r="AI721" t="s">
        <x:v>5144</x:v>
      </x:c>
      <x:c r="AJ721">
        <x:v>771</x:v>
      </x:c>
    </x:row>
    <x:row r="722">
      <x:c r="A722" t="s">
        <x:v>4131</x:v>
      </x:c>
      <x:c r="B722" t="s">
        <x:v>4132</x:v>
      </x:c>
      <x:c r="C722" t="s">
        <x:v>5151</x:v>
      </x:c>
      <x:c r="D722" t="s">
        <x:v>5152</x:v>
      </x:c>
      <x:c r="E722" t="s">
        <x:v>5153</x:v>
      </x:c>
      <x:c r="F722">
        <x:v>2700</x:v>
      </x:c>
      <x:c r="G722">
        <x:v>2700</x:v>
      </x:c>
      <x:c r="H722">
        <x:v>2700</x:v>
      </x:c>
      <x:c r="P722" t="s">
        <x:v>80</x:v>
      </x:c>
      <x:c r="R722" s="9">
        <x:v>29167</x:v>
      </x:c>
      <x:c r="T722" t="s">
        <x:v>119</x:v>
      </x:c>
      <x:c r="W722" s="26" t="n">
        <x:v>1.12957</x:v>
      </x:c>
      <x:c r="X722" s="26" t="n">
        <x:v>-77.14944</x:v>
      </x:c>
      <x:c r="Y722">
        <x:v>345.22699999999998</x:v>
      </x:c>
      <x:c r="Z722">
        <x:v>2792</x:v>
      </x:c>
      <x:c r="AB722" t="s">
        <x:v>5142</x:v>
      </x:c>
      <x:c r="AF722" t="s">
        <x:v>50</x:v>
      </x:c>
      <x:c r="AG722" t="s">
        <x:v>127</x:v>
      </x:c>
      <x:c r="AH722" t="s">
        <x:v>1996</x:v>
      </x:c>
      <x:c r="AI722" t="s">
        <x:v>5144</x:v>
      </x:c>
      <x:c r="AJ722">
        <x:v>772</x:v>
      </x:c>
    </x:row>
    <x:row r="723">
      <x:c r="A723" t="s">
        <x:v>4131</x:v>
      </x:c>
      <x:c r="B723" t="s">
        <x:v>4132</x:v>
      </x:c>
      <x:c r="C723" t="s">
        <x:v>5154</x:v>
      </x:c>
      <x:c r="D723" t="s">
        <x:v>5152</x:v>
      </x:c>
      <x:c r="E723" t="s">
        <x:v>5141</x:v>
      </x:c>
      <x:c r="F723">
        <x:v>2700</x:v>
      </x:c>
      <x:c r="G723">
        <x:v>2700</x:v>
      </x:c>
      <x:c r="H723">
        <x:v>2700</x:v>
      </x:c>
      <x:c r="I723" t="s">
        <x:v>1988</x:v>
      </x:c>
      <x:c r="J723" t="s">
        <x:v>1989</x:v>
      </x:c>
      <x:c r="K723" t="s">
        <x:v>1990</x:v>
      </x:c>
      <x:c r="L723" t="s">
        <x:v>1991</x:v>
      </x:c>
      <x:c r="M723" t="s">
        <x:v>1992</x:v>
      </x:c>
      <x:c r="N723" t="s">
        <x:v>1993</x:v>
      </x:c>
      <x:c r="O723" t="s">
        <x:v>1994</x:v>
      </x:c>
      <x:c r="P723" t="s">
        <x:v>1995</x:v>
      </x:c>
      <x:c r="R723" s="9">
        <x:v>29167</x:v>
      </x:c>
      <x:c r="W723" s="26" t="n">
        <x:v>1.12957</x:v>
      </x:c>
      <x:c r="X723" s="26" t="n">
        <x:v>-77.14944</x:v>
      </x:c>
      <x:c r="Y723">
        <x:v>345.22699999999998</x:v>
      </x:c>
      <x:c r="Z723">
        <x:v>2792</x:v>
      </x:c>
      <x:c r="AB723" t="s">
        <x:v>5142</x:v>
      </x:c>
      <x:c r="AF723" t="s">
        <x:v>50</x:v>
      </x:c>
      <x:c r="AG723" t="s">
        <x:v>127</x:v>
      </x:c>
      <x:c r="AH723" t="s">
        <x:v>5143</x:v>
      </x:c>
      <x:c r="AI723" t="s">
        <x:v>5144</x:v>
      </x:c>
      <x:c r="AJ723">
        <x:v>773</x:v>
      </x:c>
    </x:row>
    <x:row r="724">
      <x:c r="A724" t="s">
        <x:v>4131</x:v>
      </x:c>
      <x:c r="B724" t="s">
        <x:v>4132</x:v>
      </x:c>
      <x:c r="C724" t="s">
        <x:v>5155</x:v>
      </x:c>
      <x:c r="D724" t="s">
        <x:v>5156</x:v>
      </x:c>
      <x:c r="E724" t="s">
        <x:v>5157</x:v>
      </x:c>
      <x:c r="F724" t="s">
        <x:v>5158</x:v>
      </x:c>
      <x:c r="G724">
        <x:v>2000</x:v>
      </x:c>
      <x:c r="H724">
        <x:v>2400</x:v>
      </x:c>
      <x:c r="I724" t="s">
        <x:v>5159</x:v>
      </x:c>
      <x:c r="J724" t="s">
        <x:v>5160</x:v>
      </x:c>
      <x:c r="K724" t="s">
        <x:v>5161</x:v>
      </x:c>
      <x:c r="L724" t="s">
        <x:v>5162</x:v>
      </x:c>
      <x:c r="M724" t="s">
        <x:v>5163</x:v>
      </x:c>
      <x:c r="N724" t="s">
        <x:v>5164</x:v>
      </x:c>
      <x:c r="O724" t="s">
        <x:v>5165</x:v>
      </x:c>
      <x:c r="P724" t="s">
        <x:v>5166</x:v>
      </x:c>
      <x:c r="R724" s="9">
        <x:v>33340</x:v>
      </x:c>
      <x:c r="T724" t="s">
        <x:v>119</x:v>
      </x:c>
      <x:c r="W724" s="26" t="n">
        <x:v>1.6051556</x:v>
      </x:c>
      <x:c r="X724" s="26" t="n">
        <x:v>-77.1336361</x:v>
      </x:c>
      <x:c r="AF724" t="s">
        <x:v>50</x:v>
      </x:c>
      <x:c r="AG724" t="s">
        <x:v>127</x:v>
      </x:c>
      <x:c r="AH724" t="s">
        <x:v>614</x:v>
      </x:c>
      <x:c r="AI724" t="s">
        <x:v>5167</x:v>
      </x:c>
      <x:c r="AJ724">
        <x:v>774</x:v>
      </x:c>
    </x:row>
    <x:row r="725">
      <x:c r="A725" t="s">
        <x:v>4131</x:v>
      </x:c>
      <x:c r="B725" t="s">
        <x:v>4132</x:v>
      </x:c>
      <x:c r="C725" t="s">
        <x:v>5168</x:v>
      </x:c>
      <x:c r="D725" t="s">
        <x:v>5169</x:v>
      </x:c>
      <x:c r="E725" t="s">
        <x:v>5170</x:v>
      </x:c>
      <x:c r="F725">
        <x:v>2400</x:v>
      </x:c>
      <x:c r="G725">
        <x:v>2400</x:v>
      </x:c>
      <x:c r="H725">
        <x:v>2400</x:v>
      </x:c>
      <x:c r="I725" t="s">
        <x:v>1988</x:v>
      </x:c>
      <x:c r="J725" t="s">
        <x:v>1989</x:v>
      </x:c>
      <x:c r="K725" t="s">
        <x:v>1990</x:v>
      </x:c>
      <x:c r="L725" t="s">
        <x:v>1991</x:v>
      </x:c>
      <x:c r="M725" t="s">
        <x:v>1992</x:v>
      </x:c>
      <x:c r="N725" t="s">
        <x:v>1993</x:v>
      </x:c>
      <x:c r="O725" t="s">
        <x:v>1994</x:v>
      </x:c>
      <x:c r="P725" t="s">
        <x:v>1995</x:v>
      </x:c>
      <x:c r="R725" s="9">
        <x:v>33439</x:v>
      </x:c>
      <x:c r="T725" t="s">
        <x:v>119</x:v>
      </x:c>
      <x:c r="W725" s="26" t="n">
        <x:v>1.32669</x:v>
      </x:c>
      <x:c r="X725" s="26" t="n">
        <x:v>-77.25978</x:v>
      </x:c>
      <x:c r="Y725">
        <x:v>1337.0219999999999</x:v>
      </x:c>
      <x:c r="Z725">
        <x:v>2422</x:v>
      </x:c>
      <x:c r="AB725" t="s">
        <x:v>5171</x:v>
      </x:c>
      <x:c r="AF725" t="s">
        <x:v>50</x:v>
      </x:c>
      <x:c r="AG725" t="s">
        <x:v>127</x:v>
      </x:c>
      <x:c r="AH725" t="s">
        <x:v>1996</x:v>
      </x:c>
      <x:c r="AI725" t="s">
        <x:v>5172</x:v>
      </x:c>
      <x:c r="AJ725">
        <x:v>775</x:v>
      </x:c>
    </x:row>
    <x:row r="726">
      <x:c r="A726" t="s">
        <x:v>4131</x:v>
      </x:c>
      <x:c r="B726" t="s">
        <x:v>4132</x:v>
      </x:c>
      <x:c r="C726" t="s">
        <x:v>5173</x:v>
      </x:c>
      <x:c r="D726" t="s">
        <x:v>5174</x:v>
      </x:c>
      <x:c r="E726" t="s">
        <x:v>5175</x:v>
      </x:c>
      <x:c r="F726">
        <x:v>2200</x:v>
      </x:c>
      <x:c r="G726">
        <x:v>2200</x:v>
      </x:c>
      <x:c r="H726">
        <x:v>2200</x:v>
      </x:c>
      <x:c r="I726" t="s">
        <x:v>5176</x:v>
      </x:c>
      <x:c r="J726" t="s">
        <x:v>5177</x:v>
      </x:c>
      <x:c r="K726" t="s">
        <x:v>5178</x:v>
      </x:c>
      <x:c r="L726" t="s">
        <x:v>5179</x:v>
      </x:c>
      <x:c r="M726" t="s">
        <x:v>5180</x:v>
      </x:c>
      <x:c r="N726" t="s">
        <x:v>5181</x:v>
      </x:c>
      <x:c r="O726" t="s">
        <x:v>5182</x:v>
      </x:c>
      <x:c r="P726" t="s">
        <x:v>5183</x:v>
      </x:c>
      <x:c r="R726" s="9">
        <x:v>33670</x:v>
      </x:c>
      <x:c r="T726" t="s">
        <x:v>119</x:v>
      </x:c>
      <x:c r="W726" s="26" t="n">
        <x:v>1.2862778</x:v>
      </x:c>
      <x:c r="X726" s="26" t="n">
        <x:v>-77.4710528</x:v>
      </x:c>
      <x:c r="AF726" t="s">
        <x:v>50</x:v>
      </x:c>
      <x:c r="AG726" t="s">
        <x:v>127</x:v>
      </x:c>
      <x:c r="AH726" t="s">
        <x:v>5184</x:v>
      </x:c>
      <x:c r="AI726" t="s">
        <x:v>5185</x:v>
      </x:c>
      <x:c r="AJ726">
        <x:v>776</x:v>
      </x:c>
    </x:row>
    <x:row r="727">
      <x:c r="A727" t="s">
        <x:v>4131</x:v>
      </x:c>
      <x:c r="B727" t="s">
        <x:v>4132</x:v>
      </x:c>
      <x:c r="C727" t="s">
        <x:v>5186</x:v>
      </x:c>
      <x:c r="D727" t="s">
        <x:v>5187</x:v>
      </x:c>
      <x:c r="E727" t="s">
        <x:v>5170</x:v>
      </x:c>
      <x:c r="F727">
        <x:v>2450</x:v>
      </x:c>
      <x:c r="G727">
        <x:v>2450</x:v>
      </x:c>
      <x:c r="H727">
        <x:v>2450</x:v>
      </x:c>
      <x:c r="I727" t="s">
        <x:v>5188</x:v>
      </x:c>
      <x:c r="J727" t="s">
        <x:v>5189</x:v>
      </x:c>
      <x:c r="K727" t="s">
        <x:v>5190</x:v>
      </x:c>
      <x:c r="L727" t="s">
        <x:v>5191</x:v>
      </x:c>
      <x:c r="M727" t="s">
        <x:v>5192</x:v>
      </x:c>
      <x:c r="N727" t="s">
        <x:v>5193</x:v>
      </x:c>
      <x:c r="O727" t="s">
        <x:v>5194</x:v>
      </x:c>
      <x:c r="P727" t="s">
        <x:v>5195</x:v>
      </x:c>
      <x:c r="R727" s="9">
        <x:v>34405</x:v>
      </x:c>
      <x:c r="T727" t="s">
        <x:v>119</x:v>
      </x:c>
      <x:c r="W727" s="26" t="n">
        <x:v>1.32669</x:v>
      </x:c>
      <x:c r="X727" s="26" t="n">
        <x:v>-77.25978</x:v>
      </x:c>
      <x:c r="Y727">
        <x:v>1337.0219999999999</x:v>
      </x:c>
      <x:c r="Z727">
        <x:v>2422</x:v>
      </x:c>
      <x:c r="AB727" t="s">
        <x:v>5171</x:v>
      </x:c>
      <x:c r="AF727" t="s">
        <x:v>50</x:v>
      </x:c>
      <x:c r="AG727" t="s">
        <x:v>127</x:v>
      </x:c>
      <x:c r="AH727" t="s">
        <x:v>1996</x:v>
      </x:c>
      <x:c r="AI727" t="s">
        <x:v>5172</x:v>
      </x:c>
      <x:c r="AJ727">
        <x:v>777</x:v>
      </x:c>
    </x:row>
    <x:row r="728">
      <x:c r="A728" t="s">
        <x:v>4131</x:v>
      </x:c>
      <x:c r="B728" t="s">
        <x:v>4132</x:v>
      </x:c>
      <x:c r="C728" t="s">
        <x:v>5196</x:v>
      </x:c>
      <x:c r="D728" t="s">
        <x:v>5197</x:v>
      </x:c>
      <x:c r="E728" t="s">
        <x:v>5198</x:v>
      </x:c>
      <x:c r="F728">
        <x:v>2770</x:v>
      </x:c>
      <x:c r="G728">
        <x:v>2770</x:v>
      </x:c>
      <x:c r="H728">
        <x:v>2770</x:v>
      </x:c>
      <x:c r="I728" t="s">
        <x:v>5199</x:v>
      </x:c>
      <x:c r="J728" t="s">
        <x:v>5200</x:v>
      </x:c>
      <x:c r="K728" t="s">
        <x:v>5201</x:v>
      </x:c>
      <x:c r="L728" t="s">
        <x:v>5202</x:v>
      </x:c>
      <x:c r="M728" t="s">
        <x:v>5203</x:v>
      </x:c>
      <x:c r="N728" t="s">
        <x:v>5204</x:v>
      </x:c>
      <x:c r="O728" t="s">
        <x:v>5205</x:v>
      </x:c>
      <x:c r="P728" t="s">
        <x:v>5206</x:v>
      </x:c>
      <x:c r="R728" s="9">
        <x:v>35402</x:v>
      </x:c>
      <x:c r="T728" t="s">
        <x:v>119</x:v>
      </x:c>
      <x:c r="W728" s="26" t="n">
        <x:v>1.26251</x:v>
      </x:c>
      <x:c r="X728" s="26" t="n">
        <x:v>-77.2602</x:v>
      </x:c>
      <x:c r="Y728">
        <x:v>2359.998</x:v>
      </x:c>
      <x:c r="Z728">
        <x:v>2864</x:v>
      </x:c>
      <x:c r="AB728" t="s">
        <x:v>5207</x:v>
      </x:c>
      <x:c r="AF728" t="s">
        <x:v>50</x:v>
      </x:c>
      <x:c r="AG728" t="s">
        <x:v>127</x:v>
      </x:c>
      <x:c r="AH728" t="s">
        <x:v>5208</x:v>
      </x:c>
      <x:c r="AI728" t="s">
        <x:v>5209</x:v>
      </x:c>
      <x:c r="AJ728">
        <x:v>778</x:v>
      </x:c>
    </x:row>
    <x:row r="729">
      <x:c r="A729" t="s">
        <x:v>4131</x:v>
      </x:c>
      <x:c r="B729" t="s">
        <x:v>4132</x:v>
      </x:c>
      <x:c r="C729" t="s">
        <x:v>5210</x:v>
      </x:c>
      <x:c r="D729" t="s">
        <x:v>5211</x:v>
      </x:c>
      <x:c r="E729" t="s">
        <x:v>5212</x:v>
      </x:c>
      <x:c r="F729">
        <x:v>2900</x:v>
      </x:c>
      <x:c r="G729">
        <x:v>2900</x:v>
      </x:c>
      <x:c r="H729">
        <x:v>2900</x:v>
      </x:c>
      <x:c r="I729" t="s">
        <x:v>5036</x:v>
      </x:c>
      <x:c r="J729" t="s">
        <x:v>5037</x:v>
      </x:c>
      <x:c r="K729" t="s">
        <x:v>5038</x:v>
      </x:c>
      <x:c r="L729" t="s">
        <x:v>5039</x:v>
      </x:c>
      <x:c r="M729" t="s">
        <x:v>5040</x:v>
      </x:c>
      <x:c r="N729" t="s">
        <x:v>5041</x:v>
      </x:c>
      <x:c r="O729" t="s">
        <x:v>5042</x:v>
      </x:c>
      <x:c r="P729" t="s">
        <x:v>5043</x:v>
      </x:c>
      <x:c r="R729" s="9">
        <x:v>36352</x:v>
      </x:c>
      <x:c r="T729" t="s">
        <x:v>119</x:v>
      </x:c>
      <x:c r="W729" s="26" t="n">
        <x:v>1.6010056</x:v>
      </x:c>
      <x:c r="X729" s="26" t="n">
        <x:v>-76.9715083</x:v>
      </x:c>
      <x:c r="AF729" t="s">
        <x:v>50</x:v>
      </x:c>
      <x:c r="AG729" t="s">
        <x:v>127</x:v>
      </x:c>
      <x:c r="AH729" t="s">
        <x:v>5044</x:v>
      </x:c>
      <x:c r="AI729" t="s">
        <x:v>5213</x:v>
      </x:c>
      <x:c r="AJ729">
        <x:v>779</x:v>
      </x:c>
    </x:row>
    <x:row r="730">
      <x:c r="A730" t="s">
        <x:v>4131</x:v>
      </x:c>
      <x:c r="B730" t="s">
        <x:v>4132</x:v>
      </x:c>
      <x:c r="C730" t="s">
        <x:v>5214</x:v>
      </x:c>
      <x:c r="D730" t="s">
        <x:v>5215</x:v>
      </x:c>
      <x:c r="E730" t="s">
        <x:v>5157</x:v>
      </x:c>
      <x:c r="F730" t="s">
        <x:v>5216</x:v>
      </x:c>
      <x:c r="G730">
        <x:v>1990</x:v>
      </x:c>
      <x:c r="H730">
        <x:v>2440</x:v>
      </x:c>
      <x:c r="I730" t="s">
        <x:v>5159</x:v>
      </x:c>
      <x:c r="J730" t="s">
        <x:v>5160</x:v>
      </x:c>
      <x:c r="K730" t="s">
        <x:v>5161</x:v>
      </x:c>
      <x:c r="L730" t="s">
        <x:v>5162</x:v>
      </x:c>
      <x:c r="M730" t="s">
        <x:v>5163</x:v>
      </x:c>
      <x:c r="N730" t="s">
        <x:v>5164</x:v>
      </x:c>
      <x:c r="O730" t="s">
        <x:v>5165</x:v>
      </x:c>
      <x:c r="P730" t="s">
        <x:v>5166</x:v>
      </x:c>
      <x:c r="R730" s="9" t="s">
        <x:v>5217</x:v>
      </x:c>
      <x:c r="T730" t="s">
        <x:v>119</x:v>
      </x:c>
      <x:c r="W730" s="26" t="n">
        <x:v>1.6051556</x:v>
      </x:c>
      <x:c r="X730" s="26" t="n">
        <x:v>-77.1336361</x:v>
      </x:c>
      <x:c r="AF730" t="s">
        <x:v>50</x:v>
      </x:c>
      <x:c r="AG730" t="s">
        <x:v>127</x:v>
      </x:c>
      <x:c r="AH730" t="s">
        <x:v>614</x:v>
      </x:c>
      <x:c r="AI730" t="s">
        <x:v>5167</x:v>
      </x:c>
      <x:c r="AJ730">
        <x:v>780</x:v>
      </x:c>
    </x:row>
    <x:row r="731">
      <x:c r="A731" t="s">
        <x:v>4131</x:v>
      </x:c>
      <x:c r="B731" t="s">
        <x:v>4132</x:v>
      </x:c>
      <x:c r="C731" t="s">
        <x:v>5218</x:v>
      </x:c>
      <x:c r="D731" t="s">
        <x:v>5219</x:v>
      </x:c>
      <x:c r="E731" t="s">
        <x:v>5220</x:v>
      </x:c>
      <x:c r="F731" t="s">
        <x:v>5221</x:v>
      </x:c>
      <x:c r="G731">
        <x:v>1300</x:v>
      </x:c>
      <x:c r="H731">
        <x:v>1600</x:v>
      </x:c>
      <x:c r="P731" t="s">
        <x:v>80</x:v>
      </x:c>
      <x:c r="R731" s="9">
        <x:v>21633</x:v>
      </x:c>
      <x:c r="T731" t="s">
        <x:v>119</x:v>
      </x:c>
      <x:c r="W731" s="26" t="n">
        <x:v>7.02477</x:v>
      </x:c>
      <x:c r="X731" s="26" t="n">
        <x:v>-72.03329</x:v>
      </x:c>
      <x:c r="Y731">
        <x:v>851.68499999999995</x:v>
      </x:c>
      <x:c r="Z731">
        <x:v>282</x:v>
      </x:c>
      <x:c r="AB731" t="s">
        <x:v>5222</x:v>
      </x:c>
      <x:c r="AF731" t="s">
        <x:v>50</x:v>
      </x:c>
      <x:c r="AG731" t="s">
        <x:v>1306</x:v>
      </x:c>
      <x:c r="AH731" t="s">
        <x:v>1307</x:v>
      </x:c>
      <x:c r="AI731" t="s">
        <x:v>5223</x:v>
      </x:c>
      <x:c r="AJ731">
        <x:v>781</x:v>
      </x:c>
    </x:row>
    <x:row r="732">
      <x:c r="A732" t="s">
        <x:v>4131</x:v>
      </x:c>
      <x:c r="B732" t="s">
        <x:v>4132</x:v>
      </x:c>
      <x:c r="C732" t="s">
        <x:v>5224</x:v>
      </x:c>
      <x:c r="D732" t="s">
        <x:v>5225</x:v>
      </x:c>
      <x:c r="E732" t="s">
        <x:v>5226</x:v>
      </x:c>
      <x:c r="F732" t="s">
        <x:v>5227</x:v>
      </x:c>
      <x:c r="G732">
        <x:v>2000</x:v>
      </x:c>
      <x:c r="H732">
        <x:v>2550</x:v>
      </x:c>
      <x:c r="P732" t="s">
        <x:v>80</x:v>
      </x:c>
      <x:c r="R732" s="9">
        <x:v>25060</x:v>
      </x:c>
      <x:c r="T732" t="s">
        <x:v>119</x:v>
      </x:c>
      <x:c r="W732" s="26" t="n">
        <x:v>7.2752</x:v>
      </x:c>
      <x:c r="X732" s="26" t="n">
        <x:v>-72.55276</x:v>
      </x:c>
      <x:c r="Y732">
        <x:v>8150.28</x:v>
      </x:c>
      <x:c r="Z732">
        <x:v>2000</x:v>
      </x:c>
      <x:c r="AB732" t="s">
        <x:v>5228</x:v>
      </x:c>
      <x:c r="AF732" t="s">
        <x:v>50</x:v>
      </x:c>
      <x:c r="AG732" t="s">
        <x:v>1306</x:v>
      </x:c>
      <x:c r="AH732" t="s">
        <x:v>5229</x:v>
      </x:c>
      <x:c r="AJ732">
        <x:v>782</x:v>
      </x:c>
    </x:row>
    <x:row r="733">
      <x:c r="A733" t="s">
        <x:v>4131</x:v>
      </x:c>
      <x:c r="B733" t="s">
        <x:v>4132</x:v>
      </x:c>
      <x:c r="C733" t="s">
        <x:v>5230</x:v>
      </x:c>
      <x:c r="D733" t="s">
        <x:v>5231</x:v>
      </x:c>
      <x:c r="E733" t="s">
        <x:v>5232</x:v>
      </x:c>
      <x:c r="F733">
        <x:v>2580</x:v>
      </x:c>
      <x:c r="G733">
        <x:v>2580</x:v>
      </x:c>
      <x:c r="H733">
        <x:v>2580</x:v>
      </x:c>
      <x:c r="I733" t="s">
        <x:v>5233</x:v>
      </x:c>
      <x:c r="J733" t="s">
        <x:v>5234</x:v>
      </x:c>
      <x:c r="K733" t="s">
        <x:v>5235</x:v>
      </x:c>
      <x:c r="L733" t="s">
        <x:v>5236</x:v>
      </x:c>
      <x:c r="M733" t="s">
        <x:v>5237</x:v>
      </x:c>
      <x:c r="N733" t="s">
        <x:v>5238</x:v>
      </x:c>
      <x:c r="O733" t="s">
        <x:v>5239</x:v>
      </x:c>
      <x:c r="P733" t="s">
        <x:v>5240</x:v>
      </x:c>
      <x:c r="R733" s="9">
        <x:v>30440</x:v>
      </x:c>
      <x:c r="W733" s="26" t="n">
        <x:v>7.3666667</x:v>
      </x:c>
      <x:c r="X733" s="26" t="n">
        <x:v>-72.6333333</x:v>
      </x:c>
      <x:c r="AF733" t="s">
        <x:v>50</x:v>
      </x:c>
      <x:c r="AG733" t="s">
        <x:v>1306</x:v>
      </x:c>
      <x:c r="AH733" t="s">
        <x:v>5241</x:v>
      </x:c>
      <x:c r="AI733" t="s">
        <x:v>5242</x:v>
      </x:c>
      <x:c r="AJ733">
        <x:v>783</x:v>
      </x:c>
    </x:row>
    <x:row r="734">
      <x:c r="A734" t="s">
        <x:v>4131</x:v>
      </x:c>
      <x:c r="B734" t="s">
        <x:v>4132</x:v>
      </x:c>
      <x:c r="C734" t="s">
        <x:v>5243</x:v>
      </x:c>
      <x:c r="D734" t="s">
        <x:v>5244</x:v>
      </x:c>
      <x:c r="E734" t="s">
        <x:v>5245</x:v>
      </x:c>
      <x:c r="F734">
        <x:v>1900</x:v>
      </x:c>
      <x:c r="G734">
        <x:v>1900</x:v>
      </x:c>
      <x:c r="H734">
        <x:v>1900</x:v>
      </x:c>
      <x:c r="P734" t="s">
        <x:v>80</x:v>
      </x:c>
      <x:c r="R734" s="9">
        <x:v>37028</x:v>
      </x:c>
      <x:c r="T734" t="s">
        <x:v>111</x:v>
      </x:c>
      <x:c r="W734" s="26" t="n">
        <x:v>8.24997</x:v>
      </x:c>
      <x:c r="X734" s="26" t="n">
        <x:v>-73.24998</x:v>
      </x:c>
      <x:c r="Y734">
        <x:v>1197.203</x:v>
      </x:c>
      <x:c r="Z734">
        <x:v>1746</x:v>
      </x:c>
      <x:c r="AB734" t="s">
        <x:v>5246</x:v>
      </x:c>
      <x:c r="AF734" t="s">
        <x:v>50</x:v>
      </x:c>
      <x:c r="AG734" t="s">
        <x:v>1306</x:v>
      </x:c>
      <x:c r="AH734" t="s">
        <x:v>5247</x:v>
      </x:c>
      <x:c r="AI734" t="s">
        <x:v>5248</x:v>
      </x:c>
      <x:c r="AJ734">
        <x:v>784</x:v>
      </x:c>
    </x:row>
    <x:row r="735">
      <x:c r="A735" t="s">
        <x:v>4131</x:v>
      </x:c>
      <x:c r="B735" t="s">
        <x:v>4132</x:v>
      </x:c>
      <x:c r="C735" t="s">
        <x:v>5249</x:v>
      </x:c>
      <x:c r="D735" t="s">
        <x:v>5250</x:v>
      </x:c>
      <x:c r="E735" t="s">
        <x:v>5251</x:v>
      </x:c>
      <x:c r="F735">
        <x:v>2200</x:v>
      </x:c>
      <x:c r="G735">
        <x:v>2200</x:v>
      </x:c>
      <x:c r="H735">
        <x:v>2200</x:v>
      </x:c>
      <x:c r="P735" t="s">
        <x:v>80</x:v>
      </x:c>
      <x:c r="R735" s="9">
        <x:v>14979</x:v>
      </x:c>
      <x:c r="W735" s="26" t="n">
        <x:v>1.11202</x:v>
      </x:c>
      <x:c r="X735" s="26" t="n">
        <x:v>-76.96968</x:v>
      </x:c>
      <x:c r="Y735">
        <x:v>1039.55</x:v>
      </x:c>
      <x:c r="Z735">
        <x:v>2204</x:v>
      </x:c>
      <x:c r="AB735" t="s">
        <x:v>5252</x:v>
      </x:c>
      <x:c r="AF735" t="s">
        <x:v>50</x:v>
      </x:c>
      <x:c r="AG735" t="s">
        <x:v>67</x:v>
      </x:c>
      <x:c r="AH735" t="s">
        <x:v>5253</x:v>
      </x:c>
      <x:c r="AI735" t="s">
        <x:v>5254</x:v>
      </x:c>
      <x:c r="AJ735">
        <x:v>785</x:v>
      </x:c>
    </x:row>
    <x:row r="736">
      <x:c r="A736" t="s">
        <x:v>4131</x:v>
      </x:c>
      <x:c r="B736" t="s">
        <x:v>4132</x:v>
      </x:c>
      <x:c r="C736" t="s">
        <x:v>5255</x:v>
      </x:c>
      <x:c r="D736" t="s">
        <x:v>5256</x:v>
      </x:c>
      <x:c r="E736" t="s">
        <x:v>5257</x:v>
      </x:c>
      <x:c r="F736">
        <x:v>2316</x:v>
      </x:c>
      <x:c r="G736">
        <x:v>2316</x:v>
      </x:c>
      <x:c r="H736">
        <x:v>2316</x:v>
      </x:c>
      <x:c r="I736" t="s">
        <x:v>5258</x:v>
      </x:c>
      <x:c r="J736" t="s">
        <x:v>5259</x:v>
      </x:c>
      <x:c r="K736" t="s">
        <x:v>5260</x:v>
      </x:c>
      <x:c r="L736" t="s">
        <x:v>5261</x:v>
      </x:c>
      <x:c r="M736" t="s">
        <x:v>5262</x:v>
      </x:c>
      <x:c r="N736" t="s">
        <x:v>5263</x:v>
      </x:c>
      <x:c r="O736" t="s">
        <x:v>5264</x:v>
      </x:c>
      <x:c r="P736" t="s">
        <x:v>5265</x:v>
      </x:c>
      <x:c r="R736" s="9">
        <x:v>17103</x:v>
      </x:c>
      <x:c r="W736" s="26" t="n">
        <x:v>1.2017417</x:v>
      </x:c>
      <x:c r="X736" s="26" t="n">
        <x:v>-76.9153278</x:v>
      </x:c>
      <x:c r="AF736" t="s">
        <x:v>50</x:v>
      </x:c>
      <x:c r="AG736" t="s">
        <x:v>67</x:v>
      </x:c>
      <x:c r="AH736" t="s">
        <x:v>5266</x:v>
      </x:c>
      <x:c r="AJ736">
        <x:v>786</x:v>
      </x:c>
    </x:row>
    <x:row r="737" s="2" customFormat="1">
      <x:c r="A737" t="s">
        <x:v>4131</x:v>
      </x:c>
      <x:c r="B737" t="s">
        <x:v>4132</x:v>
      </x:c>
      <x:c r="C737" t="s">
        <x:v>5267</x:v>
      </x:c>
      <x:c r="D737" t="s">
        <x:v>5268</x:v>
      </x:c>
      <x:c r="E737" t="s">
        <x:v>5257</x:v>
      </x:c>
      <x:c r="F737">
        <x:v>2200</x:v>
      </x:c>
      <x:c r="G737">
        <x:v>2200</x:v>
      </x:c>
      <x:c r="H737">
        <x:v>2200</x:v>
      </x:c>
      <x:c r="I737" t="s">
        <x:v>5258</x:v>
      </x:c>
      <x:c r="J737" t="s">
        <x:v>5259</x:v>
      </x:c>
      <x:c r="K737" t="s">
        <x:v>5260</x:v>
      </x:c>
      <x:c r="L737" t="s">
        <x:v>5261</x:v>
      </x:c>
      <x:c r="M737" t="s">
        <x:v>5262</x:v>
      </x:c>
      <x:c r="N737" t="s">
        <x:v>5263</x:v>
      </x:c>
      <x:c r="O737" t="s">
        <x:v>5264</x:v>
      </x:c>
      <x:c r="P737" t="s">
        <x:v>5265</x:v>
      </x:c>
      <x:c r="Q737"/>
      <x:c r="R737" s="9">
        <x:v>22985</x:v>
      </x:c>
      <x:c r="S737"/>
      <x:c r="T737" t="s">
        <x:v>119</x:v>
      </x:c>
      <x:c r="U737"/>
      <x:c r="V737"/>
      <x:c r="W737" s="26" t="n">
        <x:v>1.2017417</x:v>
      </x:c>
      <x:c r="X737" s="26" t="n">
        <x:v>-76.9153278</x:v>
      </x:c>
      <x:c r="Y737"/>
      <x:c r="Z737"/>
      <x:c r="AA737"/>
      <x:c r="AB737"/>
      <x:c r="AC737"/>
      <x:c r="AD737"/>
      <x:c r="AE737"/>
      <x:c r="AF737" t="s">
        <x:v>50</x:v>
      </x:c>
      <x:c r="AG737" t="s">
        <x:v>67</x:v>
      </x:c>
      <x:c r="AH737" t="s">
        <x:v>5266</x:v>
      </x:c>
      <x:c r="AI737"/>
      <x:c r="AJ737">
        <x:v>787</x:v>
      </x:c>
    </x:row>
    <x:row r="738">
      <x:c r="A738" t="s">
        <x:v>4131</x:v>
      </x:c>
      <x:c r="B738" t="s">
        <x:v>4132</x:v>
      </x:c>
      <x:c r="C738" t="s">
        <x:v>5267</x:v>
      </x:c>
      <x:c r="D738" t="s">
        <x:v>5269</x:v>
      </x:c>
      <x:c r="E738" t="s">
        <x:v>5257</x:v>
      </x:c>
      <x:c r="F738">
        <x:v>2200</x:v>
      </x:c>
      <x:c r="G738">
        <x:v>2200</x:v>
      </x:c>
      <x:c r="H738">
        <x:v>2200</x:v>
      </x:c>
      <x:c r="I738" t="s">
        <x:v>5258</x:v>
      </x:c>
      <x:c r="J738" t="s">
        <x:v>5259</x:v>
      </x:c>
      <x:c r="K738" t="s">
        <x:v>5260</x:v>
      </x:c>
      <x:c r="L738" t="s">
        <x:v>5261</x:v>
      </x:c>
      <x:c r="M738" t="s">
        <x:v>5262</x:v>
      </x:c>
      <x:c r="N738" t="s">
        <x:v>5263</x:v>
      </x:c>
      <x:c r="O738" t="s">
        <x:v>5264</x:v>
      </x:c>
      <x:c r="P738" t="s">
        <x:v>5265</x:v>
      </x:c>
      <x:c r="R738" s="9">
        <x:v>22985</x:v>
      </x:c>
      <x:c r="W738" s="26" t="n">
        <x:v>1.2017417</x:v>
      </x:c>
      <x:c r="X738" s="26" t="n">
        <x:v>-76.9153278</x:v>
      </x:c>
      <x:c r="AF738" t="s">
        <x:v>50</x:v>
      </x:c>
      <x:c r="AG738" t="s">
        <x:v>67</x:v>
      </x:c>
      <x:c r="AH738" t="s">
        <x:v>5266</x:v>
      </x:c>
      <x:c r="AJ738">
        <x:v>788</x:v>
      </x:c>
    </x:row>
    <x:row r="739">
      <x:c r="A739" t="s">
        <x:v>4131</x:v>
      </x:c>
      <x:c r="B739" t="s">
        <x:v>4132</x:v>
      </x:c>
      <x:c r="C739" t="s">
        <x:v>5270</x:v>
      </x:c>
      <x:c r="D739" t="s">
        <x:v>5271</x:v>
      </x:c>
      <x:c r="E739" t="s">
        <x:v>5257</x:v>
      </x:c>
      <x:c r="F739">
        <x:v>2200</x:v>
      </x:c>
      <x:c r="G739">
        <x:v>2200</x:v>
      </x:c>
      <x:c r="H739">
        <x:v>2200</x:v>
      </x:c>
      <x:c r="I739" t="s">
        <x:v>5258</x:v>
      </x:c>
      <x:c r="J739" t="s">
        <x:v>5259</x:v>
      </x:c>
      <x:c r="K739" t="s">
        <x:v>5260</x:v>
      </x:c>
      <x:c r="L739" t="s">
        <x:v>5261</x:v>
      </x:c>
      <x:c r="M739" t="s">
        <x:v>5262</x:v>
      </x:c>
      <x:c r="N739" t="s">
        <x:v>5263</x:v>
      </x:c>
      <x:c r="O739" t="s">
        <x:v>5264</x:v>
      </x:c>
      <x:c r="P739" t="s">
        <x:v>5265</x:v>
      </x:c>
      <x:c r="R739" s="9">
        <x:v>23008</x:v>
      </x:c>
      <x:c r="W739" s="26" t="n">
        <x:v>1.2017417</x:v>
      </x:c>
      <x:c r="X739" s="26" t="n">
        <x:v>-76.9153278</x:v>
      </x:c>
      <x:c r="AF739" t="s">
        <x:v>50</x:v>
      </x:c>
      <x:c r="AG739" t="s">
        <x:v>67</x:v>
      </x:c>
      <x:c r="AH739" t="s">
        <x:v>5266</x:v>
      </x:c>
      <x:c r="AJ739">
        <x:v>789</x:v>
      </x:c>
    </x:row>
    <x:row r="740">
      <x:c r="A740" t="s">
        <x:v>4131</x:v>
      </x:c>
      <x:c r="B740" t="s">
        <x:v>4132</x:v>
      </x:c>
      <x:c r="C740" t="s">
        <x:v>5270</x:v>
      </x:c>
      <x:c r="D740" t="s">
        <x:v>5272</x:v>
      </x:c>
      <x:c r="E740" t="s">
        <x:v>5257</x:v>
      </x:c>
      <x:c r="F740">
        <x:v>2200</x:v>
      </x:c>
      <x:c r="G740">
        <x:v>2200</x:v>
      </x:c>
      <x:c r="H740">
        <x:v>2200</x:v>
      </x:c>
      <x:c r="I740" t="s">
        <x:v>5258</x:v>
      </x:c>
      <x:c r="J740" t="s">
        <x:v>5259</x:v>
      </x:c>
      <x:c r="K740" t="s">
        <x:v>5260</x:v>
      </x:c>
      <x:c r="L740" t="s">
        <x:v>5261</x:v>
      </x:c>
      <x:c r="M740" t="s">
        <x:v>5262</x:v>
      </x:c>
      <x:c r="N740" t="s">
        <x:v>5263</x:v>
      </x:c>
      <x:c r="O740" t="s">
        <x:v>5264</x:v>
      </x:c>
      <x:c r="P740" t="s">
        <x:v>5265</x:v>
      </x:c>
      <x:c r="R740" s="9">
        <x:v>23008</x:v>
      </x:c>
      <x:c r="W740" s="26" t="n">
        <x:v>1.2017417</x:v>
      </x:c>
      <x:c r="X740" s="26" t="n">
        <x:v>-76.9153278</x:v>
      </x:c>
      <x:c r="AF740" t="s">
        <x:v>50</x:v>
      </x:c>
      <x:c r="AG740" t="s">
        <x:v>67</x:v>
      </x:c>
      <x:c r="AH740" t="s">
        <x:v>5266</x:v>
      </x:c>
      <x:c r="AJ740">
        <x:v>790</x:v>
      </x:c>
    </x:row>
    <x:row r="741">
      <x:c r="A741" t="s">
        <x:v>4131</x:v>
      </x:c>
      <x:c r="B741" t="s">
        <x:v>4132</x:v>
      </x:c>
      <x:c r="C741" t="s">
        <x:v>5273</x:v>
      </x:c>
      <x:c r="D741" t="s">
        <x:v>5274</x:v>
      </x:c>
      <x:c r="E741" t="s">
        <x:v>5275</x:v>
      </x:c>
      <x:c r="P741" t="s">
        <x:v>80</x:v>
      </x:c>
      <x:c r="R741" s="9">
        <x:v>23247</x:v>
      </x:c>
      <x:c r="W741" s="26" t="n">
        <x:v>1.14918</x:v>
      </x:c>
      <x:c r="X741" s="26" t="n">
        <x:v>-77.00543</x:v>
      </x:c>
      <x:c r="Y741">
        <x:v>975.42100000000005</x:v>
      </x:c>
      <x:c r="Z741">
        <x:v>2130</x:v>
      </x:c>
      <x:c r="AB741" t="s">
        <x:v>5276</x:v>
      </x:c>
      <x:c r="AF741" t="s">
        <x:v>50</x:v>
      </x:c>
      <x:c r="AG741" t="s">
        <x:v>67</x:v>
      </x:c>
      <x:c r="AH741" t="s">
        <x:v>5253</x:v>
      </x:c>
      <x:c r="AI741" t="s">
        <x:v>5277</x:v>
      </x:c>
      <x:c r="AJ741">
        <x:v>791</x:v>
      </x:c>
    </x:row>
    <x:row r="742">
      <x:c r="A742" t="s">
        <x:v>4131</x:v>
      </x:c>
      <x:c r="B742" t="s">
        <x:v>4132</x:v>
      </x:c>
      <x:c r="C742" t="s">
        <x:v>5278</x:v>
      </x:c>
      <x:c r="D742" t="s">
        <x:v>5279</x:v>
      </x:c>
      <x:c r="E742" t="s">
        <x:v>5280</x:v>
      </x:c>
      <x:c r="F742">
        <x:v>2050</x:v>
      </x:c>
      <x:c r="G742">
        <x:v>2050</x:v>
      </x:c>
      <x:c r="H742">
        <x:v>2050</x:v>
      </x:c>
      <x:c r="P742" t="s">
        <x:v>80</x:v>
      </x:c>
      <x:c r="R742" s="9">
        <x:v>26623</x:v>
      </x:c>
      <x:c r="T742" t="s">
        <x:v>65</x:v>
      </x:c>
      <x:c r="W742" s="26" t="n">
        <x:v>1.08259</x:v>
      </x:c>
      <x:c r="X742" s="26" t="n">
        <x:v>-76.66412</x:v>
      </x:c>
      <x:c r="Y742">
        <x:v>2639.5639999999999</x:v>
      </x:c>
      <x:c r="Z742">
        <x:v>696</x:v>
      </x:c>
      <x:c r="AB742" t="s">
        <x:v>66</x:v>
      </x:c>
      <x:c r="AF742" t="s">
        <x:v>50</x:v>
      </x:c>
      <x:c r="AG742" t="s">
        <x:v>67</x:v>
      </x:c>
      <x:c r="AH742" t="s">
        <x:v>5281</x:v>
      </x:c>
      <x:c r="AJ742">
        <x:v>792</x:v>
      </x:c>
    </x:row>
    <x:row r="743">
      <x:c r="A743" t="s">
        <x:v>4131</x:v>
      </x:c>
      <x:c r="B743" t="s">
        <x:v>4132</x:v>
      </x:c>
      <x:c r="C743" t="s">
        <x:v>5154</x:v>
      </x:c>
      <x:c r="D743" t="s">
        <x:v>5282</x:v>
      </x:c>
      <x:c r="E743" t="s">
        <x:v>5283</x:v>
      </x:c>
      <x:c r="F743">
        <x:v>3200</x:v>
      </x:c>
      <x:c r="G743">
        <x:v>3200</x:v>
      </x:c>
      <x:c r="H743">
        <x:v>3200</x:v>
      </x:c>
      <x:c r="I743" t="s">
        <x:v>5284</x:v>
      </x:c>
      <x:c r="J743" t="s">
        <x:v>5285</x:v>
      </x:c>
      <x:c r="K743" t="s">
        <x:v>5286</x:v>
      </x:c>
      <x:c r="L743" t="s">
        <x:v>5287</x:v>
      </x:c>
      <x:c r="M743" t="s">
        <x:v>5288</x:v>
      </x:c>
      <x:c r="N743" t="s">
        <x:v>5289</x:v>
      </x:c>
      <x:c r="O743" t="s">
        <x:v>5290</x:v>
      </x:c>
      <x:c r="P743" t="s">
        <x:v>5291</x:v>
      </x:c>
      <x:c r="R743" s="9">
        <x:v>29181</x:v>
      </x:c>
      <x:c r="W743" s="26" t="n">
        <x:v>1.1436</x:v>
      </x:c>
      <x:c r="X743" s="26" t="n">
        <x:v>-76.78623</x:v>
      </x:c>
      <x:c r="Y743">
        <x:v>5369.4530000000004</x:v>
      </x:c>
      <x:c r="Z743">
        <x:v>3372</x:v>
      </x:c>
      <x:c r="AB743" t="s">
        <x:v>5292</x:v>
      </x:c>
      <x:c r="AF743" t="s">
        <x:v>50</x:v>
      </x:c>
      <x:c r="AG743" t="s">
        <x:v>67</x:v>
      </x:c>
      <x:c r="AH743" t="s">
        <x:v>5293</x:v>
      </x:c>
      <x:c r="AJ743">
        <x:v>793</x:v>
      </x:c>
    </x:row>
    <x:row r="744">
      <x:c r="A744" t="s">
        <x:v>4131</x:v>
      </x:c>
      <x:c r="B744" t="s">
        <x:v>4132</x:v>
      </x:c>
      <x:c r="C744" t="s">
        <x:v>5294</x:v>
      </x:c>
      <x:c r="D744" t="s">
        <x:v>5295</x:v>
      </x:c>
      <x:c r="E744" t="s">
        <x:v>5296</x:v>
      </x:c>
      <x:c r="F744">
        <x:v>2250</x:v>
      </x:c>
      <x:c r="G744">
        <x:v>2250</x:v>
      </x:c>
      <x:c r="H744">
        <x:v>2250</x:v>
      </x:c>
      <x:c r="P744" t="s">
        <x:v>80</x:v>
      </x:c>
      <x:c r="R744" s="9">
        <x:v>30584</x:v>
      </x:c>
      <x:c r="W744" s="26" t="n">
        <x:v>4.47808</x:v>
      </x:c>
      <x:c r="X744" s="26" t="n">
        <x:v>-75.62875</x:v>
      </x:c>
      <x:c r="Y744">
        <x:v>1283.905</x:v>
      </x:c>
      <x:c r="Z744">
        <x:v>2222</x:v>
      </x:c>
      <x:c r="AB744" t="s">
        <x:v>5297</x:v>
      </x:c>
      <x:c r="AF744" t="s">
        <x:v>50</x:v>
      </x:c>
      <x:c r="AG744" t="s">
        <x:v>182</x:v>
      </x:c>
      <x:c r="AH744" t="s">
        <x:v>3079</x:v>
      </x:c>
      <x:c r="AI744" t="s">
        <x:v>5298</x:v>
      </x:c>
      <x:c r="AJ744">
        <x:v>794</x:v>
      </x:c>
    </x:row>
    <x:row r="745">
      <x:c r="A745" t="s">
        <x:v>4131</x:v>
      </x:c>
      <x:c r="B745" t="s">
        <x:v>4132</x:v>
      </x:c>
      <x:c r="C745" t="s">
        <x:v>5299</x:v>
      </x:c>
      <x:c r="D745" t="s">
        <x:v>5300</x:v>
      </x:c>
      <x:c r="E745" t="s">
        <x:v>5301</x:v>
      </x:c>
      <x:c r="F745">
        <x:v>2270</x:v>
      </x:c>
      <x:c r="G745">
        <x:v>2270</x:v>
      </x:c>
      <x:c r="H745">
        <x:v>2270</x:v>
      </x:c>
      <x:c r="I745" t="s">
        <x:v>5302</x:v>
      </x:c>
      <x:c r="J745" t="s">
        <x:v>2444</x:v>
      </x:c>
      <x:c r="K745" t="s">
        <x:v>4228</x:v>
      </x:c>
      <x:c r="L745" t="s">
        <x:v>4229</x:v>
      </x:c>
      <x:c r="M745" t="s">
        <x:v>5303</x:v>
      </x:c>
      <x:c r="N745" t="s">
        <x:v>2447</x:v>
      </x:c>
      <x:c r="O745" t="s">
        <x:v>2437</x:v>
      </x:c>
      <x:c r="P745" t="s">
        <x:v>5304</x:v>
      </x:c>
      <x:c r="R745" s="9">
        <x:v>31293</x:v>
      </x:c>
      <x:c r="W745" s="26" t="n">
        <x:v>4.68718</x:v>
      </x:c>
      <x:c r="X745" s="26" t="n">
        <x:v>-75.61751</x:v>
      </x:c>
      <x:c r="Y745">
        <x:v>4102.8419999999996</x:v>
      </x:c>
      <x:c r="Z745">
        <x:v>1968</x:v>
      </x:c>
      <x:c r="AA745" t="s">
        <x:v>3049</x:v>
      </x:c>
      <x:c r="AB745" t="s">
        <x:v>3050</x:v>
      </x:c>
      <x:c r="AF745" t="s">
        <x:v>50</x:v>
      </x:c>
      <x:c r="AG745" t="s">
        <x:v>182</x:v>
      </x:c>
      <x:c r="AH745" t="s">
        <x:v>320</x:v>
      </x:c>
      <x:c r="AI745" t="s">
        <x:v>5305</x:v>
      </x:c>
      <x:c r="AJ745">
        <x:v>795</x:v>
      </x:c>
    </x:row>
    <x:row r="746">
      <x:c r="A746" t="s">
        <x:v>4131</x:v>
      </x:c>
      <x:c r="B746" t="s">
        <x:v>4132</x:v>
      </x:c>
      <x:c r="C746" t="s">
        <x:v>5299</x:v>
      </x:c>
      <x:c r="D746" t="s">
        <x:v>5306</x:v>
      </x:c>
      <x:c r="E746" t="s">
        <x:v>5301</x:v>
      </x:c>
      <x:c r="F746">
        <x:v>2270</x:v>
      </x:c>
      <x:c r="G746">
        <x:v>2270</x:v>
      </x:c>
      <x:c r="H746">
        <x:v>2270</x:v>
      </x:c>
      <x:c r="I746" t="s">
        <x:v>5302</x:v>
      </x:c>
      <x:c r="J746" t="s">
        <x:v>2444</x:v>
      </x:c>
      <x:c r="K746" t="s">
        <x:v>4228</x:v>
      </x:c>
      <x:c r="L746" t="s">
        <x:v>4229</x:v>
      </x:c>
      <x:c r="M746" t="s">
        <x:v>5303</x:v>
      </x:c>
      <x:c r="N746" t="s">
        <x:v>2447</x:v>
      </x:c>
      <x:c r="O746" t="s">
        <x:v>2437</x:v>
      </x:c>
      <x:c r="P746" t="s">
        <x:v>5304</x:v>
      </x:c>
      <x:c r="R746" s="9">
        <x:v>31293</x:v>
      </x:c>
      <x:c r="T746" t="s">
        <x:v>119</x:v>
      </x:c>
      <x:c r="W746" s="26" t="n">
        <x:v>4.68718</x:v>
      </x:c>
      <x:c r="X746" s="26" t="n">
        <x:v>-75.61751</x:v>
      </x:c>
      <x:c r="Y746">
        <x:v>4102.8419999999996</x:v>
      </x:c>
      <x:c r="Z746">
        <x:v>1968</x:v>
      </x:c>
      <x:c r="AA746" t="s">
        <x:v>3049</x:v>
      </x:c>
      <x:c r="AB746" t="s">
        <x:v>3050</x:v>
      </x:c>
      <x:c r="AF746" t="s">
        <x:v>50</x:v>
      </x:c>
      <x:c r="AG746" t="s">
        <x:v>182</x:v>
      </x:c>
      <x:c r="AH746" t="s">
        <x:v>320</x:v>
      </x:c>
      <x:c r="AI746" t="s">
        <x:v>5305</x:v>
      </x:c>
      <x:c r="AJ746">
        <x:v>796</x:v>
      </x:c>
    </x:row>
    <x:row r="747">
      <x:c r="A747" t="s">
        <x:v>4131</x:v>
      </x:c>
      <x:c r="B747" t="s">
        <x:v>4132</x:v>
      </x:c>
      <x:c r="C747" t="s">
        <x:v>5307</x:v>
      </x:c>
      <x:c r="D747" t="s">
        <x:v>5308</x:v>
      </x:c>
      <x:c r="E747" t="s">
        <x:v>5309</x:v>
      </x:c>
      <x:c r="F747">
        <x:v>2590</x:v>
      </x:c>
      <x:c r="G747">
        <x:v>2590</x:v>
      </x:c>
      <x:c r="H747">
        <x:v>2590</x:v>
      </x:c>
      <x:c r="I747" t="s">
        <x:v>797</x:v>
      </x:c>
      <x:c r="J747" t="s">
        <x:v>798</x:v>
      </x:c>
      <x:c r="K747" t="s">
        <x:v>799</x:v>
      </x:c>
      <x:c r="L747" t="s">
        <x:v>419</x:v>
      </x:c>
      <x:c r="M747" t="s">
        <x:v>800</x:v>
      </x:c>
      <x:c r="N747" t="s">
        <x:v>801</x:v>
      </x:c>
      <x:c r="O747" t="s">
        <x:v>422</x:v>
      </x:c>
      <x:c r="P747" t="s">
        <x:v>802</x:v>
      </x:c>
      <x:c r="R747" s="9">
        <x:v>31393</x:v>
      </x:c>
      <x:c r="W747" s="26" t="n">
        <x:v>4.6666667</x:v>
      </x:c>
      <x:c r="X747" s="26" t="n">
        <x:v>-75.5</x:v>
      </x:c>
      <x:c r="AF747" t="s">
        <x:v>50</x:v>
      </x:c>
      <x:c r="AG747" t="s">
        <x:v>182</x:v>
      </x:c>
      <x:c r="AH747" t="s">
        <x:v>803</x:v>
      </x:c>
      <x:c r="AI747" t="s">
        <x:v>5310</x:v>
      </x:c>
      <x:c r="AJ747">
        <x:v>797</x:v>
      </x:c>
    </x:row>
    <x:row r="748">
      <x:c r="A748" t="s">
        <x:v>4131</x:v>
      </x:c>
      <x:c r="B748" t="s">
        <x:v>4132</x:v>
      </x:c>
      <x:c r="C748" t="s">
        <x:v>5307</x:v>
      </x:c>
      <x:c r="D748" t="s">
        <x:v>5311</x:v>
      </x:c>
      <x:c r="E748" t="s">
        <x:v>5309</x:v>
      </x:c>
      <x:c r="F748">
        <x:v>2590</x:v>
      </x:c>
      <x:c r="G748">
        <x:v>2590</x:v>
      </x:c>
      <x:c r="H748">
        <x:v>2590</x:v>
      </x:c>
      <x:c r="I748" t="s">
        <x:v>797</x:v>
      </x:c>
      <x:c r="J748" t="s">
        <x:v>798</x:v>
      </x:c>
      <x:c r="K748" t="s">
        <x:v>799</x:v>
      </x:c>
      <x:c r="L748" t="s">
        <x:v>419</x:v>
      </x:c>
      <x:c r="M748" t="s">
        <x:v>800</x:v>
      </x:c>
      <x:c r="N748" t="s">
        <x:v>801</x:v>
      </x:c>
      <x:c r="O748" t="s">
        <x:v>422</x:v>
      </x:c>
      <x:c r="P748" t="s">
        <x:v>802</x:v>
      </x:c>
      <x:c r="R748" s="9">
        <x:v>31393</x:v>
      </x:c>
      <x:c r="W748" s="26" t="n">
        <x:v>4.6666667</x:v>
      </x:c>
      <x:c r="X748" s="26" t="n">
        <x:v>-75.5</x:v>
      </x:c>
      <x:c r="AF748" t="s">
        <x:v>50</x:v>
      </x:c>
      <x:c r="AG748" t="s">
        <x:v>182</x:v>
      </x:c>
      <x:c r="AH748" t="s">
        <x:v>803</x:v>
      </x:c>
      <x:c r="AI748" t="s">
        <x:v>5310</x:v>
      </x:c>
      <x:c r="AJ748">
        <x:v>798</x:v>
      </x:c>
    </x:row>
    <x:row r="749">
      <x:c r="A749" t="s">
        <x:v>4131</x:v>
      </x:c>
      <x:c r="B749" t="s">
        <x:v>4132</x:v>
      </x:c>
      <x:c r="C749" t="s">
        <x:v>5312</x:v>
      </x:c>
      <x:c r="D749" t="s">
        <x:v>5313</x:v>
      </x:c>
      <x:c r="E749" t="s">
        <x:v>5309</x:v>
      </x:c>
      <x:c r="F749">
        <x:v>2880</x:v>
      </x:c>
      <x:c r="G749">
        <x:v>2880</x:v>
      </x:c>
      <x:c r="H749">
        <x:v>2880</x:v>
      </x:c>
      <x:c r="I749" t="s">
        <x:v>797</x:v>
      </x:c>
      <x:c r="J749" t="s">
        <x:v>798</x:v>
      </x:c>
      <x:c r="K749" t="s">
        <x:v>799</x:v>
      </x:c>
      <x:c r="L749" t="s">
        <x:v>419</x:v>
      </x:c>
      <x:c r="M749" t="s">
        <x:v>800</x:v>
      </x:c>
      <x:c r="N749" t="s">
        <x:v>801</x:v>
      </x:c>
      <x:c r="O749" t="s">
        <x:v>422</x:v>
      </x:c>
      <x:c r="P749" t="s">
        <x:v>802</x:v>
      </x:c>
      <x:c r="R749" s="9">
        <x:v>31741</x:v>
      </x:c>
      <x:c r="T749" t="s">
        <x:v>119</x:v>
      </x:c>
      <x:c r="W749" s="26" t="n">
        <x:v>4.6666667</x:v>
      </x:c>
      <x:c r="X749" s="26" t="n">
        <x:v>-75.5</x:v>
      </x:c>
      <x:c r="AF749" t="s">
        <x:v>50</x:v>
      </x:c>
      <x:c r="AG749" t="s">
        <x:v>182</x:v>
      </x:c>
      <x:c r="AH749" t="s">
        <x:v>803</x:v>
      </x:c>
      <x:c r="AI749" t="s">
        <x:v>5310</x:v>
      </x:c>
      <x:c r="AJ749">
        <x:v>799</x:v>
      </x:c>
    </x:row>
    <x:row r="750">
      <x:c r="A750" t="s">
        <x:v>4131</x:v>
      </x:c>
      <x:c r="B750" t="s">
        <x:v>4132</x:v>
      </x:c>
      <x:c r="C750" t="s">
        <x:v>5314</x:v>
      </x:c>
      <x:c r="D750" t="s">
        <x:v>5315</x:v>
      </x:c>
      <x:c r="E750" t="s">
        <x:v>5316</x:v>
      </x:c>
      <x:c r="F750">
        <x:v>2390</x:v>
      </x:c>
      <x:c r="G750">
        <x:v>2390</x:v>
      </x:c>
      <x:c r="H750">
        <x:v>2390</x:v>
      </x:c>
      <x:c r="I750" t="s">
        <x:v>5317</x:v>
      </x:c>
      <x:c r="J750" t="s">
        <x:v>5318</x:v>
      </x:c>
      <x:c r="K750" t="s">
        <x:v>5319</x:v>
      </x:c>
      <x:c r="L750" t="s">
        <x:v>5320</x:v>
      </x:c>
      <x:c r="M750" t="s">
        <x:v>5321</x:v>
      </x:c>
      <x:c r="N750" t="s">
        <x:v>5322</x:v>
      </x:c>
      <x:c r="O750" t="s">
        <x:v>5323</x:v>
      </x:c>
      <x:c r="P750" t="s">
        <x:v>5324</x:v>
      </x:c>
      <x:c r="R750" s="9">
        <x:v>31905</x:v>
      </x:c>
      <x:c r="W750" s="26" t="n">
        <x:v>4.30167</x:v>
      </x:c>
      <x:c r="X750" s="26" t="n">
        <x:v>-75.68655</x:v>
      </x:c>
      <x:c r="Y750">
        <x:v>9373.0360000000001</x:v>
      </x:c>
      <x:c r="Z750">
        <x:v>2375</x:v>
      </x:c>
      <x:c r="AB750" t="s">
        <x:v>5325</x:v>
      </x:c>
      <x:c r="AF750" t="s">
        <x:v>50</x:v>
      </x:c>
      <x:c r="AG750" t="s">
        <x:v>182</x:v>
      </x:c>
      <x:c r="AH750" t="s">
        <x:v>3060</x:v>
      </x:c>
      <x:c r="AI750" t="s">
        <x:v>5326</x:v>
      </x:c>
      <x:c r="AJ750">
        <x:v>800</x:v>
      </x:c>
    </x:row>
    <x:row r="751">
      <x:c r="A751" t="s">
        <x:v>4131</x:v>
      </x:c>
      <x:c r="B751" t="s">
        <x:v>4132</x:v>
      </x:c>
      <x:c r="C751" t="s">
        <x:v>5327</x:v>
      </x:c>
      <x:c r="D751" t="s">
        <x:v>5328</x:v>
      </x:c>
      <x:c r="E751" t="s">
        <x:v>5329</x:v>
      </x:c>
      <x:c r="F751">
        <x:v>2680</x:v>
      </x:c>
      <x:c r="G751">
        <x:v>2680</x:v>
      </x:c>
      <x:c r="H751">
        <x:v>2680</x:v>
      </x:c>
      <x:c r="I751" t="s">
        <x:v>797</x:v>
      </x:c>
      <x:c r="J751" t="s">
        <x:v>798</x:v>
      </x:c>
      <x:c r="K751" t="s">
        <x:v>799</x:v>
      </x:c>
      <x:c r="L751" t="s">
        <x:v>419</x:v>
      </x:c>
      <x:c r="M751" t="s">
        <x:v>800</x:v>
      </x:c>
      <x:c r="N751" t="s">
        <x:v>801</x:v>
      </x:c>
      <x:c r="O751" t="s">
        <x:v>422</x:v>
      </x:c>
      <x:c r="P751" t="s">
        <x:v>802</x:v>
      </x:c>
      <x:c r="R751" s="9">
        <x:v>33369</x:v>
      </x:c>
      <x:c r="W751" s="26" t="n">
        <x:v>4.6666667</x:v>
      </x:c>
      <x:c r="X751" s="26" t="n">
        <x:v>-75.5</x:v>
      </x:c>
      <x:c r="AF751" t="s">
        <x:v>50</x:v>
      </x:c>
      <x:c r="AG751" t="s">
        <x:v>182</x:v>
      </x:c>
      <x:c r="AH751" t="s">
        <x:v>803</x:v>
      </x:c>
      <x:c r="AI751" t="s">
        <x:v>5330</x:v>
      </x:c>
      <x:c r="AJ751">
        <x:v>801</x:v>
      </x:c>
    </x:row>
    <x:row r="752">
      <x:c r="A752" t="s">
        <x:v>4131</x:v>
      </x:c>
      <x:c r="B752" t="s">
        <x:v>4132</x:v>
      </x:c>
      <x:c r="C752" t="s">
        <x:v>5331</x:v>
      </x:c>
      <x:c r="D752" t="s">
        <x:v>5332</x:v>
      </x:c>
      <x:c r="E752" t="s">
        <x:v>5333</x:v>
      </x:c>
      <x:c r="F752">
        <x:v>2900</x:v>
      </x:c>
      <x:c r="G752">
        <x:v>2900</x:v>
      </x:c>
      <x:c r="H752">
        <x:v>2900</x:v>
      </x:c>
      <x:c r="I752" t="s">
        <x:v>5334</x:v>
      </x:c>
      <x:c r="J752" t="s">
        <x:v>5335</x:v>
      </x:c>
      <x:c r="K752" t="s">
        <x:v>5336</x:v>
      </x:c>
      <x:c r="L752" t="s">
        <x:v>5337</x:v>
      </x:c>
      <x:c r="M752" t="s">
        <x:v>5338</x:v>
      </x:c>
      <x:c r="N752" t="s">
        <x:v>5339</x:v>
      </x:c>
      <x:c r="O752" t="s">
        <x:v>5340</x:v>
      </x:c>
      <x:c r="P752" t="s">
        <x:v>5341</x:v>
      </x:c>
      <x:c r="R752" s="9">
        <x:v>34232</x:v>
      </x:c>
      <x:c r="W752" s="26" t="n">
        <x:v>4.534825</x:v>
      </x:c>
      <x:c r="X752" s="26" t="n">
        <x:v>-75.6315222</x:v>
      </x:c>
      <x:c r="AF752" t="s">
        <x:v>50</x:v>
      </x:c>
      <x:c r="AG752" t="s">
        <x:v>182</x:v>
      </x:c>
      <x:c r="AH752" t="s">
        <x:v>3079</x:v>
      </x:c>
      <x:c r="AI752" t="s">
        <x:v>5342</x:v>
      </x:c>
      <x:c r="AJ752">
        <x:v>802</x:v>
      </x:c>
    </x:row>
    <x:row r="753">
      <x:c r="A753" t="s">
        <x:v>4131</x:v>
      </x:c>
      <x:c r="B753" t="s">
        <x:v>4132</x:v>
      </x:c>
      <x:c r="C753" t="s">
        <x:v>5343</x:v>
      </x:c>
      <x:c r="D753" t="s">
        <x:v>5344</x:v>
      </x:c>
      <x:c r="E753" t="s">
        <x:v>5345</x:v>
      </x:c>
      <x:c r="F753">
        <x:v>2800</x:v>
      </x:c>
      <x:c r="G753">
        <x:v>2800</x:v>
      </x:c>
      <x:c r="H753">
        <x:v>2800</x:v>
      </x:c>
      <x:c r="I753" t="s">
        <x:v>173</x:v>
      </x:c>
      <x:c r="J753" t="s">
        <x:v>174</x:v>
      </x:c>
      <x:c r="K753" t="s">
        <x:v>175</x:v>
      </x:c>
      <x:c r="L753" t="s">
        <x:v>176</x:v>
      </x:c>
      <x:c r="M753" t="s">
        <x:v>177</x:v>
      </x:c>
      <x:c r="N753" t="s">
        <x:v>178</x:v>
      </x:c>
      <x:c r="O753" t="s">
        <x:v>179</x:v>
      </x:c>
      <x:c r="P753" t="s">
        <x:v>180</x:v>
      </x:c>
      <x:c r="R753" s="9">
        <x:v>34317</x:v>
      </x:c>
      <x:c r="W753" s="26" t="n">
        <x:v>4.40125</x:v>
      </x:c>
      <x:c r="X753" s="26" t="n">
        <x:v>-75.60015</x:v>
      </x:c>
      <x:c r="Y753">
        <x:v>4545.8310000000001</x:v>
      </x:c>
      <x:c r="Z753">
        <x:v>2938</x:v>
      </x:c>
      <x:c r="AB753" t="s">
        <x:v>181</x:v>
      </x:c>
      <x:c r="AF753" t="s">
        <x:v>50</x:v>
      </x:c>
      <x:c r="AG753" t="s">
        <x:v>182</x:v>
      </x:c>
      <x:c r="AH753" t="s">
        <x:v>183</x:v>
      </x:c>
      <x:c r="AI753" t="s">
        <x:v>5346</x:v>
      </x:c>
      <x:c r="AJ753">
        <x:v>803</x:v>
      </x:c>
    </x:row>
    <x:row r="754">
      <x:c r="A754" t="s">
        <x:v>4131</x:v>
      </x:c>
      <x:c r="B754" t="s">
        <x:v>4132</x:v>
      </x:c>
      <x:c r="C754" t="s">
        <x:v>5347</x:v>
      </x:c>
      <x:c r="D754" t="s">
        <x:v>5348</x:v>
      </x:c>
      <x:c r="E754" t="s">
        <x:v>5349</x:v>
      </x:c>
      <x:c r="F754" t="s">
        <x:v>3084</x:v>
      </x:c>
      <x:c r="G754">
        <x:v>2500</x:v>
      </x:c>
      <x:c r="H754">
        <x:v>2780</x:v>
      </x:c>
      <x:c r="I754" t="s">
        <x:v>5350</x:v>
      </x:c>
      <x:c r="J754" t="s">
        <x:v>5351</x:v>
      </x:c>
      <x:c r="K754" t="s">
        <x:v>5352</x:v>
      </x:c>
      <x:c r="L754" t="s">
        <x:v>5353</x:v>
      </x:c>
      <x:c r="M754" t="s">
        <x:v>5354</x:v>
      </x:c>
      <x:c r="N754" t="s">
        <x:v>5355</x:v>
      </x:c>
      <x:c r="O754" t="s">
        <x:v>5356</x:v>
      </x:c>
      <x:c r="P754" t="s">
        <x:v>5357</x:v>
      </x:c>
      <x:c r="R754" s="9">
        <x:v>34777</x:v>
      </x:c>
      <x:c r="W754" s="26" t="n">
        <x:v>4.10998</x:v>
      </x:c>
      <x:c r="X754" s="26" t="n">
        <x:v>-75.80861</x:v>
      </x:c>
      <x:c r="Y754">
        <x:v>641.95100000000002</x:v>
      </x:c>
      <x:c r="Z754">
        <x:v>2501</x:v>
      </x:c>
      <x:c r="AB754" t="s">
        <x:v>3085</x:v>
      </x:c>
      <x:c r="AF754" t="s">
        <x:v>50</x:v>
      </x:c>
      <x:c r="AG754" t="s">
        <x:v>182</x:v>
      </x:c>
      <x:c r="AH754" t="s">
        <x:v>3067</x:v>
      </x:c>
      <x:c r="AI754" t="s">
        <x:v>5358</x:v>
      </x:c>
      <x:c r="AJ754">
        <x:v>804</x:v>
      </x:c>
    </x:row>
    <x:row r="755">
      <x:c r="A755" t="s">
        <x:v>4131</x:v>
      </x:c>
      <x:c r="B755" t="s">
        <x:v>4132</x:v>
      </x:c>
      <x:c r="C755" t="s">
        <x:v>5359</x:v>
      </x:c>
      <x:c r="D755" t="s">
        <x:v>5360</x:v>
      </x:c>
      <x:c r="E755" t="s">
        <x:v>5361</x:v>
      </x:c>
      <x:c r="F755">
        <x:v>3000</x:v>
      </x:c>
      <x:c r="G755">
        <x:v>3000</x:v>
      </x:c>
      <x:c r="H755">
        <x:v>3000</x:v>
      </x:c>
      <x:c r="I755" t="s">
        <x:v>5350</x:v>
      </x:c>
      <x:c r="J755" t="s">
        <x:v>5351</x:v>
      </x:c>
      <x:c r="K755" t="s">
        <x:v>5352</x:v>
      </x:c>
      <x:c r="L755" t="s">
        <x:v>5353</x:v>
      </x:c>
      <x:c r="M755" t="s">
        <x:v>5354</x:v>
      </x:c>
      <x:c r="N755" t="s">
        <x:v>5355</x:v>
      </x:c>
      <x:c r="O755" t="s">
        <x:v>5356</x:v>
      </x:c>
      <x:c r="P755" t="s">
        <x:v>5357</x:v>
      </x:c>
      <x:c r="R755" s="9">
        <x:v>35015</x:v>
      </x:c>
      <x:c r="W755" s="26" t="n">
        <x:v>4.1435</x:v>
      </x:c>
      <x:c r="X755" s="26" t="n">
        <x:v>-75.75188</x:v>
      </x:c>
      <x:c r="Y755">
        <x:v>6483.99</x:v>
      </x:c>
      <x:c r="Z755">
        <x:v>2417</x:v>
      </x:c>
      <x:c r="AB755" t="s">
        <x:v>5362</x:v>
      </x:c>
      <x:c r="AF755" t="s">
        <x:v>50</x:v>
      </x:c>
      <x:c r="AG755" t="s">
        <x:v>182</x:v>
      </x:c>
      <x:c r="AH755" t="s">
        <x:v>3067</x:v>
      </x:c>
      <x:c r="AI755" t="s">
        <x:v>5363</x:v>
      </x:c>
      <x:c r="AJ755">
        <x:v>805</x:v>
      </x:c>
    </x:row>
    <x:row r="756">
      <x:c r="A756" t="s">
        <x:v>4131</x:v>
      </x:c>
      <x:c r="B756" t="s">
        <x:v>4132</x:v>
      </x:c>
      <x:c r="C756" t="s">
        <x:v>5359</x:v>
      </x:c>
      <x:c r="D756" t="s">
        <x:v>5364</x:v>
      </x:c>
      <x:c r="E756" t="s">
        <x:v>5361</x:v>
      </x:c>
      <x:c r="F756">
        <x:v>3000</x:v>
      </x:c>
      <x:c r="G756">
        <x:v>3000</x:v>
      </x:c>
      <x:c r="H756">
        <x:v>3000</x:v>
      </x:c>
      <x:c r="I756" t="s">
        <x:v>5350</x:v>
      </x:c>
      <x:c r="J756" t="s">
        <x:v>5351</x:v>
      </x:c>
      <x:c r="K756" t="s">
        <x:v>5352</x:v>
      </x:c>
      <x:c r="L756" t="s">
        <x:v>5353</x:v>
      </x:c>
      <x:c r="M756" t="s">
        <x:v>5354</x:v>
      </x:c>
      <x:c r="N756" t="s">
        <x:v>5355</x:v>
      </x:c>
      <x:c r="O756" t="s">
        <x:v>5356</x:v>
      </x:c>
      <x:c r="P756" t="s">
        <x:v>5357</x:v>
      </x:c>
      <x:c r="R756" s="9">
        <x:v>35015</x:v>
      </x:c>
      <x:c r="W756" s="26" t="n">
        <x:v>4.1435</x:v>
      </x:c>
      <x:c r="X756" s="26" t="n">
        <x:v>-75.75188</x:v>
      </x:c>
      <x:c r="Y756">
        <x:v>6483.99</x:v>
      </x:c>
      <x:c r="Z756">
        <x:v>2417</x:v>
      </x:c>
      <x:c r="AB756" t="s">
        <x:v>5362</x:v>
      </x:c>
      <x:c r="AF756" t="s">
        <x:v>50</x:v>
      </x:c>
      <x:c r="AG756" t="s">
        <x:v>182</x:v>
      </x:c>
      <x:c r="AH756" t="s">
        <x:v>3067</x:v>
      </x:c>
      <x:c r="AI756" t="s">
        <x:v>5363</x:v>
      </x:c>
      <x:c r="AJ756">
        <x:v>806</x:v>
      </x:c>
    </x:row>
    <x:row r="757">
      <x:c r="A757" t="s">
        <x:v>4131</x:v>
      </x:c>
      <x:c r="B757" t="s">
        <x:v>4132</x:v>
      </x:c>
      <x:c r="C757" t="s">
        <x:v>5365</x:v>
      </x:c>
      <x:c r="D757" t="s">
        <x:v>5366</x:v>
      </x:c>
      <x:c r="E757" t="s">
        <x:v>5361</x:v>
      </x:c>
      <x:c r="F757">
        <x:v>2450</x:v>
      </x:c>
      <x:c r="G757">
        <x:v>2450</x:v>
      </x:c>
      <x:c r="H757">
        <x:v>2450</x:v>
      </x:c>
      <x:c r="I757" t="s">
        <x:v>5350</x:v>
      </x:c>
      <x:c r="J757" t="s">
        <x:v>5351</x:v>
      </x:c>
      <x:c r="K757" t="s">
        <x:v>5352</x:v>
      </x:c>
      <x:c r="L757" t="s">
        <x:v>5353</x:v>
      </x:c>
      <x:c r="M757" t="s">
        <x:v>5354</x:v>
      </x:c>
      <x:c r="N757" t="s">
        <x:v>5355</x:v>
      </x:c>
      <x:c r="O757" t="s">
        <x:v>5356</x:v>
      </x:c>
      <x:c r="P757" t="s">
        <x:v>5357</x:v>
      </x:c>
      <x:c r="R757" s="9">
        <x:v>35547</x:v>
      </x:c>
      <x:c r="T757" t="s">
        <x:v>119</x:v>
      </x:c>
      <x:c r="W757" s="26" t="n">
        <x:v>4.1435</x:v>
      </x:c>
      <x:c r="X757" s="26" t="n">
        <x:v>-75.75188</x:v>
      </x:c>
      <x:c r="Y757">
        <x:v>6483.99</x:v>
      </x:c>
      <x:c r="Z757">
        <x:v>2417</x:v>
      </x:c>
      <x:c r="AB757" t="s">
        <x:v>5362</x:v>
      </x:c>
      <x:c r="AF757" t="s">
        <x:v>50</x:v>
      </x:c>
      <x:c r="AG757" t="s">
        <x:v>182</x:v>
      </x:c>
      <x:c r="AH757" t="s">
        <x:v>3067</x:v>
      </x:c>
      <x:c r="AI757" t="s">
        <x:v>5363</x:v>
      </x:c>
      <x:c r="AJ757">
        <x:v>807</x:v>
      </x:c>
    </x:row>
    <x:row r="758">
      <x:c r="A758" t="s">
        <x:v>4131</x:v>
      </x:c>
      <x:c r="B758" t="s">
        <x:v>4132</x:v>
      </x:c>
      <x:c r="C758" t="s">
        <x:v>5367</x:v>
      </x:c>
      <x:c r="D758" t="s">
        <x:v>5368</x:v>
      </x:c>
      <x:c r="E758" t="s">
        <x:v>5369</x:v>
      </x:c>
      <x:c r="F758">
        <x:v>1980</x:v>
      </x:c>
      <x:c r="G758">
        <x:v>1980</x:v>
      </x:c>
      <x:c r="H758">
        <x:v>1980</x:v>
      </x:c>
      <x:c r="I758" t="s">
        <x:v>5370</x:v>
      </x:c>
      <x:c r="J758" t="s">
        <x:v>5371</x:v>
      </x:c>
      <x:c r="K758" t="s">
        <x:v>5372</x:v>
      </x:c>
      <x:c r="L758" t="s">
        <x:v>5373</x:v>
      </x:c>
      <x:c r="M758" t="s">
        <x:v>5374</x:v>
      </x:c>
      <x:c r="N758" t="s">
        <x:v>5375</x:v>
      </x:c>
      <x:c r="O758" t="s">
        <x:v>5376</x:v>
      </x:c>
      <x:c r="P758" t="s">
        <x:v>5377</x:v>
      </x:c>
      <x:c r="R758" s="9">
        <x:v>40016</x:v>
      </x:c>
      <x:c r="T758" t="s">
        <x:v>119</x:v>
      </x:c>
      <x:c r="W758" s="26" t="n">
        <x:v>4.68573</x:v>
      </x:c>
      <x:c r="X758" s="26" t="n">
        <x:v>-75.57803</x:v>
      </x:c>
      <x:c r="Y758">
        <x:v>5540.5119999999997</x:v>
      </x:c>
      <x:c r="Z758">
        <x:v>2087</x:v>
      </x:c>
      <x:c r="AB758" t="s">
        <x:v>1153</x:v>
      </x:c>
      <x:c r="AF758" t="s">
        <x:v>50</x:v>
      </x:c>
      <x:c r="AG758" t="s">
        <x:v>182</x:v>
      </x:c>
      <x:c r="AH758" t="s">
        <x:v>803</x:v>
      </x:c>
      <x:c r="AI758" t="s">
        <x:v>5378</x:v>
      </x:c>
      <x:c r="AJ758">
        <x:v>808</x:v>
      </x:c>
    </x:row>
    <x:row r="759">
      <x:c r="A759" t="s">
        <x:v>4131</x:v>
      </x:c>
      <x:c r="B759" t="s">
        <x:v>4132</x:v>
      </x:c>
      <x:c r="C759" t="s">
        <x:v>5379</x:v>
      </x:c>
      <x:c r="D759" t="s">
        <x:v>1060</x:v>
      </x:c>
      <x:c r="E759" t="s">
        <x:v>5380</x:v>
      </x:c>
      <x:c r="F759" t="s">
        <x:v>2073</x:v>
      </x:c>
      <x:c r="G759">
        <x:v>2430</x:v>
      </x:c>
      <x:c r="H759">
        <x:v>3200</x:v>
      </x:c>
      <x:c r="I759" t="s">
        <x:v>2074</x:v>
      </x:c>
      <x:c r="J759" t="s">
        <x:v>2075</x:v>
      </x:c>
      <x:c r="K759" t="s">
        <x:v>2076</x:v>
      </x:c>
      <x:c r="L759" t="s">
        <x:v>2077</x:v>
      </x:c>
      <x:c r="M759" t="s">
        <x:v>2078</x:v>
      </x:c>
      <x:c r="N759" t="s">
        <x:v>2079</x:v>
      </x:c>
      <x:c r="O759" t="s">
        <x:v>2080</x:v>
      </x:c>
      <x:c r="P759" t="s">
        <x:v>2081</x:v>
      </x:c>
      <x:c r="R759" s="9">
        <x:v>40021</x:v>
      </x:c>
      <x:c r="T759" t="s">
        <x:v>119</x:v>
      </x:c>
      <x:c r="W759" s="26" t="n">
        <x:v>4.6415</x:v>
      </x:c>
      <x:c r="X759" s="26" t="n">
        <x:v>-75.4867778</x:v>
      </x:c>
      <x:c r="AF759" t="s">
        <x:v>50</x:v>
      </x:c>
      <x:c r="AG759" t="s">
        <x:v>1671</x:v>
      </x:c>
      <x:c r="AH759" t="s">
        <x:v>803</x:v>
      </x:c>
      <x:c r="AI759" t="s">
        <x:v>5381</x:v>
      </x:c>
      <x:c r="AJ759">
        <x:v>809</x:v>
      </x:c>
    </x:row>
    <x:row r="760">
      <x:c r="A760" t="s">
        <x:v>4131</x:v>
      </x:c>
      <x:c r="B760" t="s">
        <x:v>4132</x:v>
      </x:c>
      <x:c r="C760" t="s">
        <x:v>5382</x:v>
      </x:c>
      <x:c r="D760" t="s">
        <x:v>5383</x:v>
      </x:c>
      <x:c r="E760" t="s">
        <x:v>5384</x:v>
      </x:c>
      <x:c r="F760">
        <x:v>2300</x:v>
      </x:c>
      <x:c r="G760">
        <x:v>2300</x:v>
      </x:c>
      <x:c r="H760">
        <x:v>2300</x:v>
      </x:c>
      <x:c r="I760" t="s">
        <x:v>5385</x:v>
      </x:c>
      <x:c r="J760" t="s">
        <x:v>5386</x:v>
      </x:c>
      <x:c r="K760" t="s">
        <x:v>4138</x:v>
      </x:c>
      <x:c r="L760" t="s">
        <x:v>530</x:v>
      </x:c>
      <x:c r="M760" t="s">
        <x:v>5387</x:v>
      </x:c>
      <x:c r="N760" t="s">
        <x:v>5388</x:v>
      </x:c>
      <x:c r="O760" t="s">
        <x:v>533</x:v>
      </x:c>
      <x:c r="P760" t="s">
        <x:v>5389</x:v>
      </x:c>
      <x:c r="R760" s="9">
        <x:v>32159</x:v>
      </x:c>
      <x:c r="W760" s="26" t="n">
        <x:v>4.85</x:v>
      </x:c>
      <x:c r="X760" s="26" t="n">
        <x:v>-75.5333333</x:v>
      </x:c>
      <x:c r="AF760" t="s">
        <x:v>50</x:v>
      </x:c>
      <x:c r="AG760" t="s">
        <x:v>360</x:v>
      </x:c>
      <x:c r="AH760" t="s">
        <x:v>2116</x:v>
      </x:c>
      <x:c r="AI760" t="s">
        <x:v>5390</x:v>
      </x:c>
      <x:c r="AJ760">
        <x:v>810</x:v>
      </x:c>
    </x:row>
    <x:row r="761">
      <x:c r="A761" t="s">
        <x:v>4131</x:v>
      </x:c>
      <x:c r="B761" t="s">
        <x:v>4132</x:v>
      </x:c>
      <x:c r="C761" t="s">
        <x:v>5391</x:v>
      </x:c>
      <x:c r="D761" t="s">
        <x:v>5392</x:v>
      </x:c>
      <x:c r="E761" t="s">
        <x:v>5393</x:v>
      </x:c>
      <x:c r="F761">
        <x:v>2070</x:v>
      </x:c>
      <x:c r="G761">
        <x:v>2070</x:v>
      </x:c>
      <x:c r="H761">
        <x:v>2070</x:v>
      </x:c>
      <x:c r="I761" t="s">
        <x:v>5394</x:v>
      </x:c>
      <x:c r="J761" t="s">
        <x:v>5395</x:v>
      </x:c>
      <x:c r="K761" t="s">
        <x:v>5396</x:v>
      </x:c>
      <x:c r="L761" t="s">
        <x:v>5397</x:v>
      </x:c>
      <x:c r="M761" t="s">
        <x:v>5398</x:v>
      </x:c>
      <x:c r="N761" t="s">
        <x:v>5399</x:v>
      </x:c>
      <x:c r="O761" t="s">
        <x:v>5400</x:v>
      </x:c>
      <x:c r="P761" t="s">
        <x:v>5401</x:v>
      </x:c>
      <x:c r="R761" s="9">
        <x:v>32429</x:v>
      </x:c>
      <x:c r="T761" t="s">
        <x:v>119</x:v>
      </x:c>
      <x:c r="W761" s="26" t="n">
        <x:v>4.9637833</x:v>
      </x:c>
      <x:c r="X761" s="26" t="n">
        <x:v>-75.7269722</x:v>
      </x:c>
      <x:c r="AF761" t="s">
        <x:v>50</x:v>
      </x:c>
      <x:c r="AG761" t="s">
        <x:v>360</x:v>
      </x:c>
      <x:c r="AH761" t="s">
        <x:v>5402</x:v>
      </x:c>
      <x:c r="AI761" t="s">
        <x:v>5403</x:v>
      </x:c>
      <x:c r="AJ761">
        <x:v>811</x:v>
      </x:c>
    </x:row>
    <x:row r="762" s="2" customFormat="1">
      <x:c r="A762" t="s">
        <x:v>4131</x:v>
      </x:c>
      <x:c r="B762" t="s">
        <x:v>4132</x:v>
      </x:c>
      <x:c r="C762" t="s">
        <x:v>5404</x:v>
      </x:c>
      <x:c r="D762" t="s">
        <x:v>5405</x:v>
      </x:c>
      <x:c r="E762" t="s">
        <x:v>5406</x:v>
      </x:c>
      <x:c r="F762">
        <x:v>1900</x:v>
      </x:c>
      <x:c r="G762">
        <x:v>1900</x:v>
      </x:c>
      <x:c r="H762">
        <x:v>1900</x:v>
      </x:c>
      <x:c r="I762" t="s">
        <x:v>5407</x:v>
      </x:c>
      <x:c r="J762" t="s">
        <x:v>5408</x:v>
      </x:c>
      <x:c r="K762" t="s">
        <x:v>799</x:v>
      </x:c>
      <x:c r="L762" t="s">
        <x:v>419</x:v>
      </x:c>
      <x:c r="M762" t="s">
        <x:v>5409</x:v>
      </x:c>
      <x:c r="N762" t="s">
        <x:v>5410</x:v>
      </x:c>
      <x:c r="O762" t="s">
        <x:v>422</x:v>
      </x:c>
      <x:c r="P762" t="s">
        <x:v>5411</x:v>
      </x:c>
      <x:c r="Q762"/>
      <x:c r="R762" s="9">
        <x:v>32923</x:v>
      </x:c>
      <x:c r="S762"/>
      <x:c r="T762" t="s">
        <x:v>119</x:v>
      </x:c>
      <x:c r="U762"/>
      <x:c r="V762"/>
      <x:c r="W762" s="26" t="n">
        <x:v>4.70767</x:v>
      </x:c>
      <x:c r="X762" s="26" t="n">
        <x:v>-75.49291</x:v>
      </x:c>
      <x:c r="Y762">
        <x:v>3245.4160000000002</x:v>
      </x:c>
      <x:c r="Z762">
        <x:v>2543</x:v>
      </x:c>
      <x:c r="AA762"/>
      <x:c r="AB762" t="s">
        <x:v>3118</x:v>
      </x:c>
      <x:c r="AC762"/>
      <x:c r="AD762"/>
      <x:c r="AE762"/>
      <x:c r="AF762" t="s">
        <x:v>50</x:v>
      </x:c>
      <x:c r="AG762" t="s">
        <x:v>360</x:v>
      </x:c>
      <x:c r="AH762" t="s">
        <x:v>5412</x:v>
      </x:c>
      <x:c r="AI762" t="s">
        <x:v>5413</x:v>
      </x:c>
      <x:c r="AJ762">
        <x:v>812</x:v>
      </x:c>
    </x:row>
    <x:row r="763" s="2" customFormat="1">
      <x:c r="A763" t="s">
        <x:v>4131</x:v>
      </x:c>
      <x:c r="B763" t="s">
        <x:v>4132</x:v>
      </x:c>
      <x:c r="C763" t="s">
        <x:v>5414</x:v>
      </x:c>
      <x:c r="D763" t="s">
        <x:v>5415</x:v>
      </x:c>
      <x:c r="E763" t="s">
        <x:v>5416</x:v>
      </x:c>
      <x:c r="F763" t="s">
        <x:v>5417</x:v>
      </x:c>
      <x:c r="G763">
        <x:v>1400</x:v>
      </x:c>
      <x:c r="H763">
        <x:v>1600</x:v>
      </x:c>
      <x:c r="I763" t="s">
        <x:v>5418</x:v>
      </x:c>
      <x:c r="J763" t="s">
        <x:v>5419</x:v>
      </x:c>
      <x:c r="K763" t="s">
        <x:v>5420</x:v>
      </x:c>
      <x:c r="L763" t="s">
        <x:v>5421</x:v>
      </x:c>
      <x:c r="M763" t="s">
        <x:v>5422</x:v>
      </x:c>
      <x:c r="N763" t="s">
        <x:v>5423</x:v>
      </x:c>
      <x:c r="O763" t="s">
        <x:v>5424</x:v>
      </x:c>
      <x:c r="P763" t="s">
        <x:v>5425</x:v>
      </x:c>
      <x:c r="Q763"/>
      <x:c r="R763" s="9">
        <x:v>35478</x:v>
      </x:c>
      <x:c r="S763"/>
      <x:c r="T763" t="s">
        <x:v>119</x:v>
      </x:c>
      <x:c r="U763"/>
      <x:c r="V763"/>
      <x:c r="W763" s="26" t="n">
        <x:v>4.71453</x:v>
      </x:c>
      <x:c r="X763" s="26" t="n">
        <x:v>-75.67197</x:v>
      </x:c>
      <x:c r="Y763">
        <x:v>2123.4540000000002</x:v>
      </x:c>
      <x:c r="Z763">
        <x:v>1678</x:v>
      </x:c>
      <x:c r="AA763"/>
      <x:c r="AB763" t="s">
        <x:v>5426</x:v>
      </x:c>
      <x:c r="AC763"/>
      <x:c r="AD763"/>
      <x:c r="AE763"/>
      <x:c r="AF763" t="s">
        <x:v>50</x:v>
      </x:c>
      <x:c r="AG763" t="s">
        <x:v>360</x:v>
      </x:c>
      <x:c r="AH763" t="s">
        <x:v>361</x:v>
      </x:c>
      <x:c r="AI763" t="s">
        <x:v>5427</x:v>
      </x:c>
      <x:c r="AJ763">
        <x:v>813</x:v>
      </x:c>
    </x:row>
    <x:row r="764">
      <x:c r="A764" t="s">
        <x:v>4131</x:v>
      </x:c>
      <x:c r="B764" t="s">
        <x:v>4132</x:v>
      </x:c>
      <x:c r="C764" t="s">
        <x:v>5428</x:v>
      </x:c>
      <x:c r="D764" t="s">
        <x:v>5429</x:v>
      </x:c>
      <x:c r="E764" t="s">
        <x:v>5430</x:v>
      </x:c>
      <x:c r="F764">
        <x:v>2710</x:v>
      </x:c>
      <x:c r="G764">
        <x:v>2710</x:v>
      </x:c>
      <x:c r="H764">
        <x:v>2710</x:v>
      </x:c>
      <x:c r="P764" t="s">
        <x:v>80</x:v>
      </x:c>
      <x:c r="R764" s="9">
        <x:v>37440</x:v>
      </x:c>
      <x:c r="T764" t="s">
        <x:v>119</x:v>
      </x:c>
      <x:c r="W764" s="26" t="n">
        <x:v>5.11358</x:v>
      </x:c>
      <x:c r="X764" s="26" t="n">
        <x:v>-76.05836</x:v>
      </x:c>
      <x:c r="Y764">
        <x:v>946.33100000000002</x:v>
      </x:c>
      <x:c r="Z764">
        <x:v>3520</x:v>
      </x:c>
      <x:c r="AB764" t="s">
        <x:v>5431</x:v>
      </x:c>
      <x:c r="AF764" t="s">
        <x:v>50</x:v>
      </x:c>
      <x:c r="AG764" t="s">
        <x:v>360</x:v>
      </x:c>
      <x:c r="AH764" t="s">
        <x:v>367</x:v>
      </x:c>
      <x:c r="AI764" t="s">
        <x:v>5432</x:v>
      </x:c>
      <x:c r="AJ764">
        <x:v>814</x:v>
      </x:c>
    </x:row>
    <x:row r="765">
      <x:c r="A765" t="s">
        <x:v>4131</x:v>
      </x:c>
      <x:c r="B765" t="s">
        <x:v>4132</x:v>
      </x:c>
      <x:c r="C765" t="s">
        <x:v>5433</x:v>
      </x:c>
      <x:c r="D765" t="s">
        <x:v>2736</x:v>
      </x:c>
      <x:c r="E765" t="s">
        <x:v>3133</x:v>
      </x:c>
      <x:c r="F765">
        <x:v>1897</x:v>
      </x:c>
      <x:c r="G765">
        <x:v>1897</x:v>
      </x:c>
      <x:c r="H765">
        <x:v>1897</x:v>
      </x:c>
      <x:c r="I765" t="s">
        <x:v>5434</x:v>
      </x:c>
      <x:c r="J765" t="s">
        <x:v>5435</x:v>
      </x:c>
      <x:c r="K765" t="s">
        <x:v>5436</x:v>
      </x:c>
      <x:c r="L765" t="s">
        <x:v>5437</x:v>
      </x:c>
      <x:c r="M765" t="s">
        <x:v>5438</x:v>
      </x:c>
      <x:c r="N765" t="s">
        <x:v>5439</x:v>
      </x:c>
      <x:c r="O765" t="s">
        <x:v>5440</x:v>
      </x:c>
      <x:c r="P765" t="s">
        <x:v>5441</x:v>
      </x:c>
      <x:c r="R765" s="9">
        <x:v>40006</x:v>
      </x:c>
      <x:c r="T765" t="s">
        <x:v>119</x:v>
      </x:c>
      <x:c r="W765" s="26" t="n">
        <x:v>4.72879</x:v>
      </x:c>
      <x:c r="X765" s="26" t="n">
        <x:v>-75.5779</x:v>
      </x:c>
      <x:c r="Y765">
        <x:v>611.64800000000002</x:v>
      </x:c>
      <x:c r="Z765">
        <x:v>1864</x:v>
      </x:c>
      <x:c r="AB765" t="s">
        <x:v>359</x:v>
      </x:c>
      <x:c r="AF765" t="s">
        <x:v>50</x:v>
      </x:c>
      <x:c r="AG765" t="s">
        <x:v>360</x:v>
      </x:c>
      <x:c r="AH765" t="s">
        <x:v>361</x:v>
      </x:c>
      <x:c r="AI765" t="s">
        <x:v>3139</x:v>
      </x:c>
      <x:c r="AJ765">
        <x:v>815</x:v>
      </x:c>
    </x:row>
    <x:row r="766">
      <x:c r="A766" t="s">
        <x:v>4131</x:v>
      </x:c>
      <x:c r="B766" t="s">
        <x:v>4132</x:v>
      </x:c>
      <x:c r="C766" t="s">
        <x:v>5442</x:v>
      </x:c>
      <x:c r="D766" t="s">
        <x:v>5368</x:v>
      </x:c>
      <x:c r="E766" t="s">
        <x:v>5443</x:v>
      </x:c>
      <x:c r="F766" t="s">
        <x:v>5444</x:v>
      </x:c>
      <x:c r="G766">
        <x:v>2122</x:v>
      </x:c>
      <x:c r="H766">
        <x:v>2611</x:v>
      </x:c>
      <x:c r="I766" t="s">
        <x:v>5445</x:v>
      </x:c>
      <x:c r="J766" t="s">
        <x:v>5446</x:v>
      </x:c>
      <x:c r="K766" t="s">
        <x:v>5447</x:v>
      </x:c>
      <x:c r="L766" t="s">
        <x:v>5448</x:v>
      </x:c>
      <x:c r="M766" t="s">
        <x:v>5449</x:v>
      </x:c>
      <x:c r="N766" t="s">
        <x:v>5450</x:v>
      </x:c>
      <x:c r="O766" t="s">
        <x:v>5451</x:v>
      </x:c>
      <x:c r="P766" t="s">
        <x:v>5452</x:v>
      </x:c>
      <x:c r="R766" s="9">
        <x:v>40010</x:v>
      </x:c>
      <x:c r="T766" t="s">
        <x:v>119</x:v>
      </x:c>
      <x:c r="W766" s="26" t="n">
        <x:v>4.802236111</x:v>
      </x:c>
      <x:c r="X766" s="26" t="n">
        <x:v>-75.53600833</x:v>
      </x:c>
      <x:c r="AF766" t="s">
        <x:v>50</x:v>
      </x:c>
      <x:c r="AG766" t="s">
        <x:v>360</x:v>
      </x:c>
      <x:c r="AH766" t="s">
        <x:v>2116</x:v>
      </x:c>
      <x:c r="AI766" t="s">
        <x:v>5453</x:v>
      </x:c>
      <x:c r="AJ766">
        <x:v>816</x:v>
      </x:c>
    </x:row>
    <x:row r="767">
      <x:c r="A767" t="s">
        <x:v>4131</x:v>
      </x:c>
      <x:c r="B767" t="s">
        <x:v>4132</x:v>
      </x:c>
      <x:c r="C767" t="s">
        <x:v>5454</x:v>
      </x:c>
      <x:c r="D767" t="s">
        <x:v>1060</x:v>
      </x:c>
      <x:c r="E767" t="s">
        <x:v>3161</x:v>
      </x:c>
      <x:c r="F767">
        <x:v>2824</x:v>
      </x:c>
      <x:c r="G767">
        <x:v>2824</x:v>
      </x:c>
      <x:c r="H767">
        <x:v>2824</x:v>
      </x:c>
      <x:c r="I767" t="s">
        <x:v>5455</x:v>
      </x:c>
      <x:c r="J767" t="s">
        <x:v>3162</x:v>
      </x:c>
      <x:c r="K767" t="s">
        <x:v>5456</x:v>
      </x:c>
      <x:c r="L767" t="s">
        <x:v>5457</x:v>
      </x:c>
      <x:c r="M767" t="s">
        <x:v>5458</x:v>
      </x:c>
      <x:c r="P767" t="s">
        <x:v>80</x:v>
      </x:c>
      <x:c r="R767" s="9">
        <x:v>40744</x:v>
      </x:c>
      <x:c r="T767" t="s">
        <x:v>119</x:v>
      </x:c>
      <x:c r="W767" s="26" t="n">
        <x:v>5.1244244</x:v>
      </x:c>
      <x:c r="X767" s="26" t="n">
        <x:v>-76.0416654</x:v>
      </x:c>
      <x:c r="AF767" t="s">
        <x:v>50</x:v>
      </x:c>
      <x:c r="AG767" t="s">
        <x:v>360</x:v>
      </x:c>
      <x:c r="AH767" t="s">
        <x:v>367</x:v>
      </x:c>
      <x:c r="AI767" t="s">
        <x:v>3165</x:v>
      </x:c>
      <x:c r="AJ767">
        <x:v>817</x:v>
      </x:c>
    </x:row>
    <x:row r="768">
      <x:c r="A768" t="s">
        <x:v>4131</x:v>
      </x:c>
      <x:c r="B768" t="s">
        <x:v>4132</x:v>
      </x:c>
      <x:c r="C768" t="s">
        <x:v>5459</x:v>
      </x:c>
      <x:c r="D768" t="s">
        <x:v>1529</x:v>
      </x:c>
      <x:c r="E768" t="s">
        <x:v>3161</x:v>
      </x:c>
      <x:c r="F768">
        <x:v>2840</x:v>
      </x:c>
      <x:c r="G768">
        <x:v>2840</x:v>
      </x:c>
      <x:c r="H768">
        <x:v>2840</x:v>
      </x:c>
      <x:c r="I768" t="s">
        <x:v>5455</x:v>
      </x:c>
      <x:c r="J768" t="s">
        <x:v>3162</x:v>
      </x:c>
      <x:c r="K768" t="s">
        <x:v>5460</x:v>
      </x:c>
      <x:c r="L768" t="s">
        <x:v>3163</x:v>
      </x:c>
      <x:c r="M768" t="s">
        <x:v>3164</x:v>
      </x:c>
      <x:c r="P768" t="s">
        <x:v>80</x:v>
      </x:c>
      <x:c r="R768" s="9">
        <x:v>40744</x:v>
      </x:c>
      <x:c r="T768" t="s">
        <x:v>119</x:v>
      </x:c>
      <x:c r="W768" s="26" t="n">
        <x:v>5.1244244</x:v>
      </x:c>
      <x:c r="X768" s="26" t="n">
        <x:v>-76.0416654</x:v>
      </x:c>
      <x:c r="AF768" t="s">
        <x:v>50</x:v>
      </x:c>
      <x:c r="AG768" t="s">
        <x:v>360</x:v>
      </x:c>
      <x:c r="AH768" t="s">
        <x:v>367</x:v>
      </x:c>
      <x:c r="AI768" t="s">
        <x:v>3165</x:v>
      </x:c>
      <x:c r="AJ768">
        <x:v>818</x:v>
      </x:c>
    </x:row>
    <x:row r="769">
      <x:c r="A769" t="s">
        <x:v>4131</x:v>
      </x:c>
      <x:c r="B769" t="s">
        <x:v>4132</x:v>
      </x:c>
      <x:c r="C769" t="s">
        <x:v>5461</x:v>
      </x:c>
      <x:c r="D769" t="s">
        <x:v>5462</x:v>
      </x:c>
      <x:c r="E769" t="s">
        <x:v>5463</x:v>
      </x:c>
      <x:c r="F769">
        <x:v>1500</x:v>
      </x:c>
      <x:c r="G769">
        <x:v>1500</x:v>
      </x:c>
      <x:c r="H769">
        <x:v>1500</x:v>
      </x:c>
      <x:c r="P769" t="s">
        <x:v>80</x:v>
      </x:c>
      <x:c r="R769" s="9">
        <x:v>9842</x:v>
      </x:c>
      <x:c r="W769" s="26" t="n">
        <x:v>6.78619</x:v>
      </x:c>
      <x:c r="X769" s="26" t="n">
        <x:v>-73.05688</x:v>
      </x:c>
      <x:c r="Y769">
        <x:v>1056.7460000000001</x:v>
      </x:c>
      <x:c r="Z769">
        <x:v>1630</x:v>
      </x:c>
      <x:c r="AB769" t="s">
        <x:v>5464</x:v>
      </x:c>
      <x:c r="AF769" t="s">
        <x:v>50</x:v>
      </x:c>
      <x:c r="AG769" t="s">
        <x:v>224</x:v>
      </x:c>
      <x:c r="AH769" t="s">
        <x:v>5465</x:v>
      </x:c>
      <x:c r="AJ769">
        <x:v>819</x:v>
      </x:c>
    </x:row>
    <x:row r="770">
      <x:c r="A770" t="s">
        <x:v>4131</x:v>
      </x:c>
      <x:c r="B770" t="s">
        <x:v>4132</x:v>
      </x:c>
      <x:c r="C770" t="s">
        <x:v>5466</x:v>
      </x:c>
      <x:c r="D770" t="s">
        <x:v>5467</x:v>
      </x:c>
      <x:c r="E770" t="s">
        <x:v>5468</x:v>
      </x:c>
      <x:c r="F770">
        <x:v>2500</x:v>
      </x:c>
      <x:c r="G770">
        <x:v>2500</x:v>
      </x:c>
      <x:c r="H770">
        <x:v>2500</x:v>
      </x:c>
      <x:c r="P770" t="s">
        <x:v>80</x:v>
      </x:c>
      <x:c r="R770" s="9">
        <x:v>25512</x:v>
      </x:c>
      <x:c r="W770" s="26" t="n">
        <x:v>7.14189</x:v>
      </x:c>
      <x:c r="X770" s="26" t="n">
        <x:v>-73.02469</x:v>
      </x:c>
      <x:c r="Y770">
        <x:v>2437.4490000000001</x:v>
      </x:c>
      <x:c r="Z770">
        <x:v>1848</x:v>
      </x:c>
      <x:c r="AB770" t="s">
        <x:v>223</x:v>
      </x:c>
      <x:c r="AF770" t="s">
        <x:v>50</x:v>
      </x:c>
      <x:c r="AG770" t="s">
        <x:v>224</x:v>
      </x:c>
      <x:c r="AH770" t="s">
        <x:v>5469</x:v>
      </x:c>
      <x:c r="AI770" t="s">
        <x:v>5470</x:v>
      </x:c>
      <x:c r="AJ770">
        <x:v>820</x:v>
      </x:c>
    </x:row>
    <x:row r="771">
      <x:c r="A771" t="s">
        <x:v>4131</x:v>
      </x:c>
      <x:c r="B771" t="s">
        <x:v>4132</x:v>
      </x:c>
      <x:c r="C771" t="s">
        <x:v>5471</x:v>
      </x:c>
      <x:c r="D771" t="s">
        <x:v>5472</x:v>
      </x:c>
      <x:c r="E771" t="s">
        <x:v>5473</x:v>
      </x:c>
      <x:c r="F771">
        <x:v>3077</x:v>
      </x:c>
      <x:c r="G771">
        <x:v>3077</x:v>
      </x:c>
      <x:c r="H771">
        <x:v>3077</x:v>
      </x:c>
      <x:c r="I771" t="s">
        <x:v>5474</x:v>
      </x:c>
      <x:c r="J771" t="s">
        <x:v>5475</x:v>
      </x:c>
      <x:c r="K771" t="s">
        <x:v>5476</x:v>
      </x:c>
      <x:c r="L771" t="s">
        <x:v>5477</x:v>
      </x:c>
      <x:c r="M771" t="s">
        <x:v>5478</x:v>
      </x:c>
      <x:c r="N771" t="s">
        <x:v>5479</x:v>
      </x:c>
      <x:c r="O771" t="s">
        <x:v>5480</x:v>
      </x:c>
      <x:c r="P771" t="s">
        <x:v>5481</x:v>
      </x:c>
      <x:c r="R771" s="9">
        <x:v>16912</x:v>
      </x:c>
      <x:c r="W771" s="26" t="n">
        <x:v>4.5959167</x:v>
      </x:c>
      <x:c r="X771" s="26" t="n">
        <x:v>-75.1615306</x:v>
      </x:c>
      <x:c r="AF771" t="s">
        <x:v>50</x:v>
      </x:c>
      <x:c r="AG771" t="s">
        <x:v>133</x:v>
      </x:c>
      <x:c r="AH771" t="s">
        <x:v>5482</x:v>
      </x:c>
      <x:c r="AJ771">
        <x:v>821</x:v>
      </x:c>
    </x:row>
    <x:row r="772">
      <x:c r="A772" t="s">
        <x:v>4131</x:v>
      </x:c>
      <x:c r="B772" t="s">
        <x:v>4132</x:v>
      </x:c>
      <x:c r="C772" t="s">
        <x:v>5483</x:v>
      </x:c>
      <x:c r="D772" t="s">
        <x:v>5484</x:v>
      </x:c>
      <x:c r="E772" t="s">
        <x:v>5485</x:v>
      </x:c>
      <x:c r="F772">
        <x:v>2540</x:v>
      </x:c>
      <x:c r="G772">
        <x:v>2540</x:v>
      </x:c>
      <x:c r="H772">
        <x:v>2540</x:v>
      </x:c>
      <x:c r="P772" t="s">
        <x:v>80</x:v>
      </x:c>
      <x:c r="R772" s="9">
        <x:v>29434</x:v>
      </x:c>
      <x:c r="W772" s="26" t="n">
        <x:v>4.71771</x:v>
      </x:c>
      <x:c r="X772" s="26" t="n">
        <x:v>-75.10414</x:v>
      </x:c>
      <x:c r="Y772">
        <x:v>2997.92</x:v>
      </x:c>
      <x:c r="Z772">
        <x:v>2367</x:v>
      </x:c>
      <x:c r="AB772" t="s">
        <x:v>3227</x:v>
      </x:c>
      <x:c r="AF772" t="s">
        <x:v>50</x:v>
      </x:c>
      <x:c r="AG772" t="s">
        <x:v>133</x:v>
      </x:c>
      <x:c r="AH772" t="s">
        <x:v>134</x:v>
      </x:c>
      <x:c r="AI772" t="s">
        <x:v>5486</x:v>
      </x:c>
      <x:c r="AJ772">
        <x:v>822</x:v>
      </x:c>
    </x:row>
    <x:row r="773">
      <x:c r="A773" t="s">
        <x:v>4131</x:v>
      </x:c>
      <x:c r="B773" t="s">
        <x:v>4132</x:v>
      </x:c>
      <x:c r="C773" t="s">
        <x:v>5483</x:v>
      </x:c>
      <x:c r="D773" t="s">
        <x:v>5487</x:v>
      </x:c>
      <x:c r="E773" t="s">
        <x:v>5488</x:v>
      </x:c>
      <x:c r="F773">
        <x:v>2340</x:v>
      </x:c>
      <x:c r="G773">
        <x:v>2340</x:v>
      </x:c>
      <x:c r="H773">
        <x:v>2340</x:v>
      </x:c>
      <x:c r="I773" t="s">
        <x:v>2144</x:v>
      </x:c>
      <x:c r="J773" t="s">
        <x:v>2145</x:v>
      </x:c>
      <x:c r="K773" t="s">
        <x:v>2146</x:v>
      </x:c>
      <x:c r="L773" t="s">
        <x:v>2147</x:v>
      </x:c>
      <x:c r="M773" t="s">
        <x:v>2148</x:v>
      </x:c>
      <x:c r="N773" t="s">
        <x:v>2149</x:v>
      </x:c>
      <x:c r="O773" t="s">
        <x:v>2150</x:v>
      </x:c>
      <x:c r="P773" t="s">
        <x:v>2151</x:v>
      </x:c>
      <x:c r="R773" s="9">
        <x:v>29435</x:v>
      </x:c>
      <x:c r="W773" s="26" t="n">
        <x:v>4.7189417</x:v>
      </x:c>
      <x:c r="X773" s="26" t="n">
        <x:v>-75.1007306</x:v>
      </x:c>
      <x:c r="AF773" t="s">
        <x:v>50</x:v>
      </x:c>
      <x:c r="AG773" t="s">
        <x:v>133</x:v>
      </x:c>
      <x:c r="AH773" t="s">
        <x:v>134</x:v>
      </x:c>
      <x:c r="AI773" t="s">
        <x:v>5489</x:v>
      </x:c>
      <x:c r="AJ773">
        <x:v>823</x:v>
      </x:c>
    </x:row>
    <x:row r="774">
      <x:c r="A774" t="s">
        <x:v>4131</x:v>
      </x:c>
      <x:c r="B774" t="s">
        <x:v>4132</x:v>
      </x:c>
      <x:c r="C774" t="s">
        <x:v>5490</x:v>
      </x:c>
      <x:c r="D774" t="s">
        <x:v>5491</x:v>
      </x:c>
      <x:c r="E774" t="s">
        <x:v>5492</x:v>
      </x:c>
      <x:c r="F774">
        <x:v>2320</x:v>
      </x:c>
      <x:c r="G774">
        <x:v>2320</x:v>
      </x:c>
      <x:c r="H774">
        <x:v>2320</x:v>
      </x:c>
      <x:c r="I774" t="s">
        <x:v>2164</x:v>
      </x:c>
      <x:c r="J774" t="s">
        <x:v>2165</x:v>
      </x:c>
      <x:c r="K774" t="s">
        <x:v>2166</x:v>
      </x:c>
      <x:c r="L774" t="s">
        <x:v>952</x:v>
      </x:c>
      <x:c r="M774" t="s">
        <x:v>2167</x:v>
      </x:c>
      <x:c r="N774" t="s">
        <x:v>2168</x:v>
      </x:c>
      <x:c r="O774" t="s">
        <x:v>955</x:v>
      </x:c>
      <x:c r="P774" t="s">
        <x:v>2169</x:v>
      </x:c>
      <x:c r="R774" s="9">
        <x:v>30780</x:v>
      </x:c>
      <x:c r="W774" s="26" t="n">
        <x:v>4.8697778</x:v>
      </x:c>
      <x:c r="X774" s="26" t="n">
        <x:v>-75.1773528</x:v>
      </x:c>
      <x:c r="AF774" t="s">
        <x:v>50</x:v>
      </x:c>
      <x:c r="AG774" t="s">
        <x:v>133</x:v>
      </x:c>
      <x:c r="AH774" t="s">
        <x:v>5493</x:v>
      </x:c>
      <x:c r="AJ774">
        <x:v>824</x:v>
      </x:c>
    </x:row>
    <x:row r="775">
      <x:c r="A775" t="s">
        <x:v>4131</x:v>
      </x:c>
      <x:c r="B775" t="s">
        <x:v>4132</x:v>
      </x:c>
      <x:c r="C775" t="s">
        <x:v>5494</x:v>
      </x:c>
      <x:c r="D775" t="s">
        <x:v>5495</x:v>
      </x:c>
      <x:c r="E775" t="s">
        <x:v>5496</x:v>
      </x:c>
      <x:c r="F775">
        <x:v>2780</x:v>
      </x:c>
      <x:c r="G775">
        <x:v>2780</x:v>
      </x:c>
      <x:c r="H775">
        <x:v>2780</x:v>
      </x:c>
      <x:c r="I775" t="s">
        <x:v>5497</x:v>
      </x:c>
      <x:c r="J775" t="s">
        <x:v>5498</x:v>
      </x:c>
      <x:c r="K775" t="s">
        <x:v>4317</x:v>
      </x:c>
      <x:c r="L775" t="s">
        <x:v>2307</x:v>
      </x:c>
      <x:c r="M775" t="s">
        <x:v>5499</x:v>
      </x:c>
      <x:c r="N775" t="s">
        <x:v>5500</x:v>
      </x:c>
      <x:c r="O775" t="s">
        <x:v>2310</x:v>
      </x:c>
      <x:c r="P775" t="s">
        <x:v>5501</x:v>
      </x:c>
      <x:c r="R775" s="9">
        <x:v>35243</x:v>
      </x:c>
      <x:c r="T775" t="s">
        <x:v>119</x:v>
      </x:c>
      <x:c r="W775" s="26" t="n">
        <x:v>4.53037</x:v>
      </x:c>
      <x:c r="X775" s="26" t="n">
        <x:v>-75.44538</x:v>
      </x:c>
      <x:c r="Y775">
        <x:v>4917.2030000000004</x:v>
      </x:c>
      <x:c r="Z775">
        <x:v>2542</x:v>
      </x:c>
      <x:c r="AB775" t="s">
        <x:v>5502</x:v>
      </x:c>
      <x:c r="AF775" t="s">
        <x:v>50</x:v>
      </x:c>
      <x:c r="AG775" t="s">
        <x:v>133</x:v>
      </x:c>
      <x:c r="AH775" t="s">
        <x:v>874</x:v>
      </x:c>
      <x:c r="AI775" t="s">
        <x:v>5503</x:v>
      </x:c>
      <x:c r="AJ775">
        <x:v>825</x:v>
      </x:c>
    </x:row>
    <x:row r="776">
      <x:c r="A776" t="s">
        <x:v>4131</x:v>
      </x:c>
      <x:c r="B776" t="s">
        <x:v>4132</x:v>
      </x:c>
      <x:c r="C776" t="s">
        <x:v>5504</x:v>
      </x:c>
      <x:c r="D776" t="s">
        <x:v>5505</x:v>
      </x:c>
      <x:c r="E776" t="s">
        <x:v>5506</x:v>
      </x:c>
      <x:c r="F776" t="s">
        <x:v>5507</x:v>
      </x:c>
      <x:c r="G776">
        <x:v>2600</x:v>
      </x:c>
      <x:c r="H776">
        <x:v>2900</x:v>
      </x:c>
      <x:c r="I776" t="s">
        <x:v>5508</x:v>
      </x:c>
      <x:c r="J776" t="s">
        <x:v>5509</x:v>
      </x:c>
      <x:c r="K776" t="s">
        <x:v>4317</x:v>
      </x:c>
      <x:c r="L776" t="s">
        <x:v>2307</x:v>
      </x:c>
      <x:c r="M776" t="s">
        <x:v>5510</x:v>
      </x:c>
      <x:c r="N776" t="s">
        <x:v>5500</x:v>
      </x:c>
      <x:c r="O776" t="s">
        <x:v>2310</x:v>
      </x:c>
      <x:c r="P776" t="s">
        <x:v>5501</x:v>
      </x:c>
      <x:c r="R776" s="9">
        <x:v>35635</x:v>
      </x:c>
      <x:c r="T776" t="s">
        <x:v>119</x:v>
      </x:c>
      <x:c r="W776" s="26" t="n">
        <x:v>4.53679</x:v>
      </x:c>
      <x:c r="X776" s="26" t="n">
        <x:v>-75.45058</x:v>
      </x:c>
      <x:c r="Y776">
        <x:v>1057.4179999999999</x:v>
      </x:c>
      <x:c r="Z776">
        <x:v>2940</x:v>
      </x:c>
      <x:c r="AB776" t="s">
        <x:v>5511</x:v>
      </x:c>
      <x:c r="AF776" t="s">
        <x:v>50</x:v>
      </x:c>
      <x:c r="AG776" t="s">
        <x:v>133</x:v>
      </x:c>
      <x:c r="AH776" t="s">
        <x:v>874</x:v>
      </x:c>
      <x:c r="AI776" t="s">
        <x:v>5512</x:v>
      </x:c>
      <x:c r="AJ776">
        <x:v>826</x:v>
      </x:c>
    </x:row>
    <x:row r="777">
      <x:c r="A777" t="s">
        <x:v>4131</x:v>
      </x:c>
      <x:c r="B777" t="s">
        <x:v>4132</x:v>
      </x:c>
      <x:c r="C777" t="s">
        <x:v>5513</x:v>
      </x:c>
      <x:c r="D777" t="s">
        <x:v>5514</x:v>
      </x:c>
      <x:c r="E777" t="s">
        <x:v>5515</x:v>
      </x:c>
      <x:c r="I777" t="s">
        <x:v>5516</x:v>
      </x:c>
      <x:c r="J777" t="s">
        <x:v>5517</x:v>
      </x:c>
      <x:c r="K777" t="s">
        <x:v>5518</x:v>
      </x:c>
      <x:c r="L777" t="s">
        <x:v>5519</x:v>
      </x:c>
      <x:c r="M777" t="s">
        <x:v>5520</x:v>
      </x:c>
      <x:c r="N777" t="s">
        <x:v>5521</x:v>
      </x:c>
      <x:c r="O777" t="s">
        <x:v>5522</x:v>
      </x:c>
      <x:c r="P777" t="s">
        <x:v>5523</x:v>
      </x:c>
      <x:c r="R777" s="9">
        <x:v>37434</x:v>
      </x:c>
      <x:c r="W777" s="26" t="n">
        <x:v>4.55835</x:v>
      </x:c>
      <x:c r="X777" s="26" t="n">
        <x:v>-75.32021</x:v>
      </x:c>
      <x:c r="Y777">
        <x:v>714.47500000000002</x:v>
      </x:c>
      <x:c r="Z777">
        <x:v>2033</x:v>
      </x:c>
      <x:c r="AB777" t="s">
        <x:v>350</x:v>
      </x:c>
      <x:c r="AF777" t="s">
        <x:v>50</x:v>
      </x:c>
      <x:c r="AG777" t="s">
        <x:v>133</x:v>
      </x:c>
      <x:c r="AH777" t="s">
        <x:v>874</x:v>
      </x:c>
      <x:c r="AI777" t="s">
        <x:v>5524</x:v>
      </x:c>
      <x:c r="AJ777">
        <x:v>827</x:v>
      </x:c>
    </x:row>
    <x:row r="778">
      <x:c r="A778" t="s">
        <x:v>4131</x:v>
      </x:c>
      <x:c r="B778" t="s">
        <x:v>4132</x:v>
      </x:c>
      <x:c r="C778" t="s">
        <x:v>5525</x:v>
      </x:c>
      <x:c r="D778" t="s">
        <x:v>1060</x:v>
      </x:c>
      <x:c r="E778" t="s">
        <x:v>5526</x:v>
      </x:c>
      <x:c r="F778">
        <x:v>3696</x:v>
      </x:c>
      <x:c r="G778">
        <x:v>3696</x:v>
      </x:c>
      <x:c r="H778">
        <x:v>3696</x:v>
      </x:c>
      <x:c r="I778" t="s">
        <x:v>5527</x:v>
      </x:c>
      <x:c r="J778" t="s">
        <x:v>5528</x:v>
      </x:c>
      <x:c r="K778" t="s">
        <x:v>2190</x:v>
      </x:c>
      <x:c r="L778" t="s">
        <x:v>2191</x:v>
      </x:c>
      <x:c r="M778" t="s">
        <x:v>5529</x:v>
      </x:c>
      <x:c r="N778" t="s">
        <x:v>347</x:v>
      </x:c>
      <x:c r="O778" t="s">
        <x:v>348</x:v>
      </x:c>
      <x:c r="P778" t="s">
        <x:v>349</x:v>
      </x:c>
      <x:c r="R778" s="9">
        <x:v>40022</x:v>
      </x:c>
      <x:c r="T778" t="s">
        <x:v>119</x:v>
      </x:c>
      <x:c r="W778" s="26" t="n">
        <x:v>4.55835</x:v>
      </x:c>
      <x:c r="X778" s="26" t="n">
        <x:v>-75.32021</x:v>
      </x:c>
      <x:c r="Y778">
        <x:v>714.47500000000002</x:v>
      </x:c>
      <x:c r="Z778">
        <x:v>2033</x:v>
      </x:c>
      <x:c r="AB778" t="s">
        <x:v>350</x:v>
      </x:c>
      <x:c r="AF778" t="s">
        <x:v>50</x:v>
      </x:c>
      <x:c r="AG778" t="s">
        <x:v>133</x:v>
      </x:c>
      <x:c r="AH778" t="s">
        <x:v>874</x:v>
      </x:c>
      <x:c r="AI778" t="s">
        <x:v>5530</x:v>
      </x:c>
      <x:c r="AJ778">
        <x:v>828</x:v>
      </x:c>
    </x:row>
    <x:row r="779">
      <x:c r="A779" t="s">
        <x:v>4131</x:v>
      </x:c>
      <x:c r="B779" t="s">
        <x:v>4132</x:v>
      </x:c>
      <x:c r="C779" t="s">
        <x:v>5531</x:v>
      </x:c>
      <x:c r="D779" t="s">
        <x:v>5532</x:v>
      </x:c>
      <x:c r="E779" t="s">
        <x:v>5533</x:v>
      </x:c>
      <x:c r="F779">
        <x:v>2550</x:v>
      </x:c>
      <x:c r="G779">
        <x:v>2550</x:v>
      </x:c>
      <x:c r="H779">
        <x:v>2550</x:v>
      </x:c>
      <x:c r="I779" t="s">
        <x:v>5534</x:v>
      </x:c>
      <x:c r="J779" t="s">
        <x:v>5535</x:v>
      </x:c>
      <x:c r="K779" t="s">
        <x:v>5536</x:v>
      </x:c>
      <x:c r="L779" t="s">
        <x:v>5537</x:v>
      </x:c>
      <x:c r="M779" t="s">
        <x:v>5538</x:v>
      </x:c>
      <x:c r="N779" t="s">
        <x:v>5539</x:v>
      </x:c>
      <x:c r="O779" t="s">
        <x:v>5540</x:v>
      </x:c>
      <x:c r="P779" t="s">
        <x:v>5541</x:v>
      </x:c>
      <x:c r="R779" s="9">
        <x:v>33018</x:v>
      </x:c>
      <x:c r="T779" t="s">
        <x:v>119</x:v>
      </x:c>
      <x:c r="W779" s="26" t="n">
        <x:v>3.55349</x:v>
      </x:c>
      <x:c r="X779" s="26" t="n">
        <x:v>-76.11423</x:v>
      </x:c>
      <x:c r="Y779">
        <x:v>1063.8399999999999</x:v>
      </x:c>
      <x:c r="Z779">
        <x:v>2456</x:v>
      </x:c>
      <x:c r="AB779" t="s">
        <x:v>5542</x:v>
      </x:c>
      <x:c r="AF779" t="s">
        <x:v>50</x:v>
      </x:c>
      <x:c r="AG779" t="s">
        <x:v>3251</x:v>
      </x:c>
      <x:c r="AH779" t="s">
        <x:v>3287</x:v>
      </x:c>
      <x:c r="AI779" t="s">
        <x:v>5543</x:v>
      </x:c>
      <x:c r="AJ779">
        <x:v>829</x:v>
      </x:c>
    </x:row>
    <x:row r="780">
      <x:c r="A780" t="s">
        <x:v>4131</x:v>
      </x:c>
      <x:c r="B780" t="s">
        <x:v>4132</x:v>
      </x:c>
      <x:c r="C780" t="s">
        <x:v>5544</x:v>
      </x:c>
      <x:c r="D780" t="s">
        <x:v>5545</x:v>
      </x:c>
      <x:c r="E780" t="s">
        <x:v>5546</x:v>
      </x:c>
      <x:c r="F780">
        <x:v>2425</x:v>
      </x:c>
      <x:c r="G780">
        <x:v>2425</x:v>
      </x:c>
      <x:c r="H780">
        <x:v>2425</x:v>
      </x:c>
      <x:c r="I780" t="s">
        <x:v>5547</x:v>
      </x:c>
      <x:c r="J780" t="s">
        <x:v>5548</x:v>
      </x:c>
      <x:c r="K780" t="s">
        <x:v>5549</x:v>
      </x:c>
      <x:c r="L780" t="s">
        <x:v>5550</x:v>
      </x:c>
      <x:c r="M780" t="s">
        <x:v>5551</x:v>
      </x:c>
      <x:c r="N780" t="s">
        <x:v>5552</x:v>
      </x:c>
      <x:c r="O780" t="s">
        <x:v>5553</x:v>
      </x:c>
      <x:c r="P780" t="s">
        <x:v>5554</x:v>
      </x:c>
      <x:c r="R780" s="9">
        <x:v>33551</x:v>
      </x:c>
      <x:c r="W780" s="26" t="n">
        <x:v>3.86054</x:v>
      </x:c>
      <x:c r="X780" s="26" t="n">
        <x:v>-76.13128</x:v>
      </x:c>
      <x:c r="Y780">
        <x:v>4469.9790000000003</x:v>
      </x:c>
      <x:c r="Z780">
        <x:v>2577</x:v>
      </x:c>
      <x:c r="AB780" t="s">
        <x:v>5555</x:v>
      </x:c>
      <x:c r="AF780" t="s">
        <x:v>50</x:v>
      </x:c>
      <x:c r="AG780" t="s">
        <x:v>3251</x:v>
      </x:c>
      <x:c r="AH780" t="s">
        <x:v>5556</x:v>
      </x:c>
      <x:c r="AI780" t="s">
        <x:v>5557</x:v>
      </x:c>
      <x:c r="AJ780">
        <x:v>830</x:v>
      </x:c>
    </x:row>
    <x:row r="781">
      <x:c r="A781" t="s">
        <x:v>4131</x:v>
      </x:c>
      <x:c r="B781" t="s">
        <x:v>4132</x:v>
      </x:c>
      <x:c r="C781" t="s">
        <x:v>5558</x:v>
      </x:c>
      <x:c r="D781" t="s">
        <x:v>5559</x:v>
      </x:c>
      <x:c r="E781" t="s">
        <x:v>5560</x:v>
      </x:c>
      <x:c r="F781">
        <x:v>2000</x:v>
      </x:c>
      <x:c r="G781">
        <x:v>2000</x:v>
      </x:c>
      <x:c r="H781">
        <x:v>2000</x:v>
      </x:c>
      <x:c r="I781" t="s">
        <x:v>5561</x:v>
      </x:c>
      <x:c r="J781" t="s">
        <x:v>5562</x:v>
      </x:c>
      <x:c r="K781" t="s">
        <x:v>5563</x:v>
      </x:c>
      <x:c r="L781" t="s">
        <x:v>5564</x:v>
      </x:c>
      <x:c r="M781" t="s">
        <x:v>5565</x:v>
      </x:c>
      <x:c r="N781" t="s">
        <x:v>5566</x:v>
      </x:c>
      <x:c r="O781" t="s">
        <x:v>5567</x:v>
      </x:c>
      <x:c r="P781" t="s">
        <x:v>5568</x:v>
      </x:c>
      <x:c r="R781" s="9">
        <x:v>16216</x:v>
      </x:c>
      <x:c r="W781" s="26" t="n">
        <x:v>3.46144</x:v>
      </x:c>
      <x:c r="X781" s="26" t="n">
        <x:v>-76.63748</x:v>
      </x:c>
      <x:c r="Y781">
        <x:v>4256.1009999999997</x:v>
      </x:c>
      <x:c r="Z781">
        <x:v>1800</x:v>
      </x:c>
      <x:c r="AB781" t="s">
        <x:v>3268</x:v>
      </x:c>
      <x:c r="AF781" t="s">
        <x:v>50</x:v>
      </x:c>
      <x:c r="AG781" t="s">
        <x:v>83</x:v>
      </x:c>
      <x:c r="AH781" t="s">
        <x:v>3269</x:v>
      </x:c>
      <x:c r="AI781" t="s">
        <x:v>3270</x:v>
      </x:c>
      <x:c r="AJ781">
        <x:v>831</x:v>
      </x:c>
    </x:row>
    <x:row r="782">
      <x:c r="A782" t="s">
        <x:v>4131</x:v>
      </x:c>
      <x:c r="B782" t="s">
        <x:v>4132</x:v>
      </x:c>
      <x:c r="C782" t="s">
        <x:v>5569</x:v>
      </x:c>
      <x:c r="D782" t="s">
        <x:v>5570</x:v>
      </x:c>
      <x:c r="E782" t="s">
        <x:v>5571</x:v>
      </x:c>
      <x:c r="F782">
        <x:v>2500</x:v>
      </x:c>
      <x:c r="G782">
        <x:v>2500</x:v>
      </x:c>
      <x:c r="H782">
        <x:v>2500</x:v>
      </x:c>
      <x:c r="P782" t="s">
        <x:v>80</x:v>
      </x:c>
      <x:c r="R782" s="9">
        <x:v>33086</x:v>
      </x:c>
      <x:c r="T782" t="s">
        <x:v>119</x:v>
      </x:c>
      <x:c r="W782" s="26" t="n">
        <x:v>3.22768</x:v>
      </x:c>
      <x:c r="X782" s="26" t="n">
        <x:v>-76.13953</x:v>
      </x:c>
      <x:c r="Y782">
        <x:v>1943.84</x:v>
      </x:c>
      <x:c r="Z782">
        <x:v>2455</x:v>
      </x:c>
      <x:c r="AB782" t="s">
        <x:v>5572</x:v>
      </x:c>
      <x:c r="AF782" t="s">
        <x:v>50</x:v>
      </x:c>
      <x:c r="AG782" t="s">
        <x:v>83</x:v>
      </x:c>
      <x:c r="AH782" t="s">
        <x:v>5573</x:v>
      </x:c>
      <x:c r="AI782" t="s">
        <x:v>5574</x:v>
      </x:c>
      <x:c r="AJ782">
        <x:v>832</x:v>
      </x:c>
    </x:row>
    <x:row r="783">
      <x:c r="A783" t="s">
        <x:v>4131</x:v>
      </x:c>
      <x:c r="B783" t="s">
        <x:v>4132</x:v>
      </x:c>
      <x:c r="C783" t="s">
        <x:v>5575</x:v>
      </x:c>
      <x:c r="D783" t="s">
        <x:v>2736</x:v>
      </x:c>
      <x:c r="E783" t="s">
        <x:v>3295</x:v>
      </x:c>
      <x:c r="F783" t="s">
        <x:v>1913</x:v>
      </x:c>
      <x:c r="G783">
        <x:v>2500</x:v>
      </x:c>
      <x:c r="H783">
        <x:v>3000</x:v>
      </x:c>
      <x:c r="P783" t="s">
        <x:v>80</x:v>
      </x:c>
      <x:c r="R783" s="9">
        <x:v>39834</x:v>
      </x:c>
      <x:c r="W783" s="26" t="n">
        <x:v>3.34415</x:v>
      </x:c>
      <x:c r="X783" s="26" t="n">
        <x:v>-76.69581</x:v>
      </x:c>
      <x:c r="Y783">
        <x:v>916.18299999999999</x:v>
      </x:c>
      <x:c r="Z783">
        <x:v>3944</x:v>
      </x:c>
      <x:c r="AB783" t="s">
        <x:v>3291</x:v>
      </x:c>
      <x:c r="AF783" t="s">
        <x:v>50</x:v>
      </x:c>
      <x:c r="AG783" t="s">
        <x:v>83</x:v>
      </x:c>
      <x:c r="AH783" t="s">
        <x:v>3296</x:v>
      </x:c>
      <x:c r="AI783" t="s">
        <x:v>3297</x:v>
      </x:c>
      <x:c r="AJ783">
        <x:v>834</x:v>
      </x:c>
    </x:row>
    <x:row r="784">
      <x:c r="A784" t="s">
        <x:v>5576</x:v>
      </x:c>
      <x:c r="B784" t="s">
        <x:v>5577</x:v>
      </x:c>
      <x:c r="C784" t="s">
        <x:v>5578</x:v>
      </x:c>
      <x:c r="D784" t="s">
        <x:v>3420</x:v>
      </x:c>
      <x:c r="E784" t="s">
        <x:v>5579</x:v>
      </x:c>
      <x:c r="F784">
        <x:v>2340</x:v>
      </x:c>
      <x:c r="G784">
        <x:v>2340</x:v>
      </x:c>
      <x:c r="H784">
        <x:v>2340</x:v>
      </x:c>
      <x:c r="I784" t="s">
        <x:v>3413</x:v>
      </x:c>
      <x:c r="J784" t="s">
        <x:v>3413</x:v>
      </x:c>
      <x:c r="K784" t="s">
        <x:v>3415</x:v>
      </x:c>
      <x:c r="L784" t="s">
        <x:v>3415</x:v>
      </x:c>
      <x:c r="M784" t="s">
        <x:v>3416</x:v>
      </x:c>
      <x:c r="N784" t="s">
        <x:v>610</x:v>
      </x:c>
      <x:c r="O784" t="s">
        <x:v>611</x:v>
      </x:c>
      <x:c r="P784" t="s">
        <x:v>612</x:v>
      </x:c>
      <x:c r="R784" s="9">
        <x:v>31963</x:v>
      </x:c>
      <x:c r="W784" s="26" t="n">
        <x:v>5.92288</x:v>
      </x:c>
      <x:c r="X784" s="26" t="n">
        <x:v>-75.30358</x:v>
      </x:c>
      <x:c r="Y784">
        <x:v>2835.0059999999999</x:v>
      </x:c>
      <x:c r="Z784">
        <x:v>2431</x:v>
      </x:c>
      <x:c r="AB784" t="s">
        <x:v>613</x:v>
      </x:c>
      <x:c r="AF784" t="s">
        <x:v>50</x:v>
      </x:c>
      <x:c r="AG784" t="s">
        <x:v>402</x:v>
      </x:c>
      <x:c r="AH784" t="s">
        <x:v>614</x:v>
      </x:c>
      <x:c r="AI784" t="s">
        <x:v>5580</x:v>
      </x:c>
      <x:c r="AJ784">
        <x:v>837</x:v>
      </x:c>
    </x:row>
    <x:row r="785">
      <x:c r="A785" t="s">
        <x:v>5576</x:v>
      </x:c>
      <x:c r="B785" t="s">
        <x:v>5577</x:v>
      </x:c>
      <x:c r="C785" t="s">
        <x:v>5581</x:v>
      </x:c>
      <x:c r="D785" t="s">
        <x:v>5582</x:v>
      </x:c>
      <x:c r="E785" t="s">
        <x:v>5583</x:v>
      </x:c>
      <x:c r="P785" t="s">
        <x:v>80</x:v>
      </x:c>
      <x:c r="R785" s="9">
        <x:v>32119</x:v>
      </x:c>
      <x:c r="T785" t="s">
        <x:v>111</x:v>
      </x:c>
      <x:c r="W785" s="26" t="n">
        <x:v>4.97597</x:v>
      </x:c>
      <x:c r="X785" s="26" t="n">
        <x:v>-73.77301</x:v>
      </x:c>
      <x:c r="Y785">
        <x:v>240.83500000000001</x:v>
      </x:c>
      <x:c r="Z785">
        <x:v>2992</x:v>
      </x:c>
      <x:c r="AB785" t="s">
        <x:v>5584</x:v>
      </x:c>
      <x:c r="AF785" t="s">
        <x:v>50</x:v>
      </x:c>
      <x:c r="AG785" t="s">
        <x:v>98</x:v>
      </x:c>
      <x:c r="AH785" t="s">
        <x:v>5585</x:v>
      </x:c>
      <x:c r="AJ785">
        <x:v>838</x:v>
      </x:c>
    </x:row>
    <x:row r="786">
      <x:c r="A786" t="s">
        <x:v>5576</x:v>
      </x:c>
      <x:c r="B786" t="s">
        <x:v>5577</x:v>
      </x:c>
      <x:c r="C786" t="s">
        <x:v>5586</x:v>
      </x:c>
      <x:c r="D786" t="s">
        <x:v>5587</x:v>
      </x:c>
      <x:c r="E786" t="s">
        <x:v>5588</x:v>
      </x:c>
      <x:c r="F786" t="s">
        <x:v>5589</x:v>
      </x:c>
      <x:c r="G786">
        <x:v>2800</x:v>
      </x:c>
      <x:c r="H786">
        <x:v>32000</x:v>
      </x:c>
      <x:c r="P786" t="s">
        <x:v>80</x:v>
      </x:c>
      <x:c r="R786" s="9">
        <x:v>35739</x:v>
      </x:c>
      <x:c r="W786" s="26" t="n">
        <x:v>7.04334</x:v>
      </x:c>
      <x:c r="X786" s="26" t="n">
        <x:v>-73.00302</x:v>
      </x:c>
      <x:c r="Y786">
        <x:v>7176.0649999999996</x:v>
      </x:c>
      <x:c r="Z786">
        <x:v>2462</x:v>
      </x:c>
      <x:c r="AB786" t="s">
        <x:v>5587</x:v>
      </x:c>
      <x:c r="AF786" t="s">
        <x:v>50</x:v>
      </x:c>
      <x:c r="AG786" t="s">
        <x:v>402</x:v>
      </x:c>
      <x:c r="AH786" t="s">
        <x:v>224</x:v>
      </x:c>
      <x:c r="AI786" t="s">
        <x:v>5590</x:v>
      </x:c>
      <x:c r="AJ786">
        <x:v>839</x:v>
      </x:c>
    </x:row>
    <x:row r="787">
      <x:c r="A787" t="s">
        <x:v>5576</x:v>
      </x:c>
      <x:c r="B787" t="s">
        <x:v>5577</x:v>
      </x:c>
      <x:c r="C787" t="s">
        <x:v>5591</x:v>
      </x:c>
      <x:c r="D787" t="s">
        <x:v>228</x:v>
      </x:c>
      <x:c r="E787" t="s">
        <x:v>5592</x:v>
      </x:c>
      <x:c r="F787">
        <x:v>1925</x:v>
      </x:c>
      <x:c r="G787">
        <x:v>1925</x:v>
      </x:c>
      <x:c r="H787">
        <x:v>1925</x:v>
      </x:c>
      <x:c r="I787" t="s">
        <x:v>5007</x:v>
      </x:c>
      <x:c r="J787" t="s">
        <x:v>5008</x:v>
      </x:c>
      <x:c r="K787" t="s">
        <x:v>5009</x:v>
      </x:c>
      <x:c r="L787" t="s">
        <x:v>5010</x:v>
      </x:c>
      <x:c r="M787" t="s">
        <x:v>5011</x:v>
      </x:c>
      <x:c r="N787" t="s">
        <x:v>2958</x:v>
      </x:c>
      <x:c r="O787" t="s">
        <x:v>329</x:v>
      </x:c>
      <x:c r="P787" t="s">
        <x:v>2959</x:v>
      </x:c>
      <x:c r="R787" s="9">
        <x:v>40022</x:v>
      </x:c>
      <x:c r="T787" t="s">
        <x:v>119</x:v>
      </x:c>
      <x:c r="W787" s="26" t="n">
        <x:v>1.7689806</x:v>
      </x:c>
      <x:c r="X787" s="26" t="n">
        <x:v>-76.0187333</x:v>
      </x:c>
      <x:c r="AF787" t="s">
        <x:v>50</x:v>
      </x:c>
      <x:c r="AG787" t="s">
        <x:v>51</x:v>
      </x:c>
      <x:c r="AH787" t="s">
        <x:v>140</x:v>
      </x:c>
      <x:c r="AI787" t="s">
        <x:v>5593</x:v>
      </x:c>
      <x:c r="AJ787">
        <x:v>840</x:v>
      </x:c>
    </x:row>
    <x:row r="788">
      <x:c r="A788" t="s">
        <x:v>5576</x:v>
      </x:c>
      <x:c r="B788" t="s">
        <x:v>5577</x:v>
      </x:c>
      <x:c r="C788" t="s">
        <x:v>5591</x:v>
      </x:c>
      <x:c r="D788" t="s">
        <x:v>228</x:v>
      </x:c>
      <x:c r="E788" t="s">
        <x:v>5592</x:v>
      </x:c>
      <x:c r="F788">
        <x:v>1925</x:v>
      </x:c>
      <x:c r="G788">
        <x:v>1925</x:v>
      </x:c>
      <x:c r="H788">
        <x:v>1925</x:v>
      </x:c>
      <x:c r="I788" t="s">
        <x:v>5007</x:v>
      </x:c>
      <x:c r="J788" t="s">
        <x:v>5008</x:v>
      </x:c>
      <x:c r="K788" t="s">
        <x:v>5009</x:v>
      </x:c>
      <x:c r="L788" t="s">
        <x:v>5010</x:v>
      </x:c>
      <x:c r="M788" t="s">
        <x:v>5011</x:v>
      </x:c>
      <x:c r="N788" t="s">
        <x:v>2958</x:v>
      </x:c>
      <x:c r="O788" t="s">
        <x:v>329</x:v>
      </x:c>
      <x:c r="P788" t="s">
        <x:v>2959</x:v>
      </x:c>
      <x:c r="R788" s="9">
        <x:v>40022</x:v>
      </x:c>
      <x:c r="T788" t="s">
        <x:v>119</x:v>
      </x:c>
      <x:c r="W788" s="26" t="n">
        <x:v>1.7689806</x:v>
      </x:c>
      <x:c r="X788" s="26" t="n">
        <x:v>-76.0187333</x:v>
      </x:c>
      <x:c r="AF788" t="s">
        <x:v>50</x:v>
      </x:c>
      <x:c r="AG788" t="s">
        <x:v>51</x:v>
      </x:c>
      <x:c r="AH788" t="s">
        <x:v>140</x:v>
      </x:c>
      <x:c r="AI788" t="s">
        <x:v>5593</x:v>
      </x:c>
      <x:c r="AJ788">
        <x:v>841</x:v>
      </x:c>
    </x:row>
    <x:row r="789">
      <x:c r="A789" t="s">
        <x:v>5576</x:v>
      </x:c>
      <x:c r="B789" t="s">
        <x:v>5577</x:v>
      </x:c>
      <x:c r="C789" t="s">
        <x:v>5594</x:v>
      </x:c>
      <x:c r="D789" t="s">
        <x:v>228</x:v>
      </x:c>
      <x:c r="E789" t="s">
        <x:v>5592</x:v>
      </x:c>
      <x:c r="F789">
        <x:v>1925</x:v>
      </x:c>
      <x:c r="G789">
        <x:v>1925</x:v>
      </x:c>
      <x:c r="H789">
        <x:v>1925</x:v>
      </x:c>
      <x:c r="I789" t="s">
        <x:v>5007</x:v>
      </x:c>
      <x:c r="J789" t="s">
        <x:v>5008</x:v>
      </x:c>
      <x:c r="K789" t="s">
        <x:v>5009</x:v>
      </x:c>
      <x:c r="L789" t="s">
        <x:v>5010</x:v>
      </x:c>
      <x:c r="M789" t="s">
        <x:v>5011</x:v>
      </x:c>
      <x:c r="N789" t="s">
        <x:v>2958</x:v>
      </x:c>
      <x:c r="O789" t="s">
        <x:v>329</x:v>
      </x:c>
      <x:c r="P789" t="s">
        <x:v>2959</x:v>
      </x:c>
      <x:c r="R789" s="9">
        <x:v>40022</x:v>
      </x:c>
      <x:c r="T789" t="s">
        <x:v>119</x:v>
      </x:c>
      <x:c r="W789" s="26" t="n">
        <x:v>1.7689806</x:v>
      </x:c>
      <x:c r="X789" s="26" t="n">
        <x:v>-76.0187333</x:v>
      </x:c>
      <x:c r="AF789" t="s">
        <x:v>50</x:v>
      </x:c>
      <x:c r="AG789" t="s">
        <x:v>51</x:v>
      </x:c>
      <x:c r="AH789" t="s">
        <x:v>140</x:v>
      </x:c>
      <x:c r="AI789" t="s">
        <x:v>5593</x:v>
      </x:c>
      <x:c r="AJ789">
        <x:v>842</x:v>
      </x:c>
    </x:row>
    <x:row r="790">
      <x:c r="A790" t="s">
        <x:v>5576</x:v>
      </x:c>
      <x:c r="B790" t="s">
        <x:v>5577</x:v>
      </x:c>
      <x:c r="C790" t="s">
        <x:v>5595</x:v>
      </x:c>
      <x:c r="D790" t="s">
        <x:v>3160</x:v>
      </x:c>
      <x:c r="E790" t="s">
        <x:v>5596</x:v>
      </x:c>
      <x:c r="F790" t="s">
        <x:v>5597</x:v>
      </x:c>
      <x:c r="G790">
        <x:v>1000</x:v>
      </x:c>
      <x:c r="H790">
        <x:v>1300</x:v>
      </x:c>
      <x:c r="I790" t="s">
        <x:v>5598</x:v>
      </x:c>
      <x:c r="J790" t="s">
        <x:v>5599</x:v>
      </x:c>
      <x:c r="K790" t="s">
        <x:v>5600</x:v>
      </x:c>
      <x:c r="L790" t="s">
        <x:v>5601</x:v>
      </x:c>
      <x:c r="M790" t="s">
        <x:v>5602</x:v>
      </x:c>
      <x:c r="N790" t="s">
        <x:v>5603</x:v>
      </x:c>
      <x:c r="O790" t="s">
        <x:v>5604</x:v>
      </x:c>
      <x:c r="P790" t="s">
        <x:v>5605</x:v>
      </x:c>
      <x:c r="R790" s="9">
        <x:v>40751</x:v>
      </x:c>
      <x:c r="T790" t="s">
        <x:v>318</x:v>
      </x:c>
      <x:c r="W790" s="26" t="n">
        <x:v>6.5397222</x:v>
      </x:c>
      <x:c r="X790" s="26" t="n">
        <x:v>-76.2997222</x:v>
      </x:c>
      <x:c r="AF790" t="s">
        <x:v>50</x:v>
      </x:c>
      <x:c r="AG790" t="s">
        <x:v>402</x:v>
      </x:c>
      <x:c r="AH790" t="s">
        <x:v>1356</x:v>
      </x:c>
      <x:c r="AI790" t="s">
        <x:v>5606</x:v>
      </x:c>
      <x:c r="AJ790">
        <x:v>843</x:v>
      </x:c>
    </x:row>
    <x:row r="791">
      <x:c r="A791" t="s">
        <x:v>5576</x:v>
      </x:c>
      <x:c r="B791" t="s">
        <x:v>5577</x:v>
      </x:c>
      <x:c r="C791" t="s">
        <x:v>5607</x:v>
      </x:c>
      <x:c r="D791" t="s">
        <x:v>5608</x:v>
      </x:c>
      <x:c r="E791" t="s">
        <x:v>5609</x:v>
      </x:c>
      <x:c r="F791" t="s">
        <x:v>5610</x:v>
      </x:c>
      <x:c r="G791">
        <x:v>2650</x:v>
      </x:c>
      <x:c r="H791">
        <x:v>3020</x:v>
      </x:c>
      <x:c r="P791" t="s">
        <x:v>80</x:v>
      </x:c>
      <x:c r="R791" s="9">
        <x:v>31869</x:v>
      </x:c>
      <x:c r="T791" t="s">
        <x:v>119</x:v>
      </x:c>
      <x:c r="W791" s="26" t="n">
        <x:v>7.43993</x:v>
      </x:c>
      <x:c r="X791" s="26" t="n">
        <x:v>-72.45095</x:v>
      </x:c>
      <x:c r="Y791">
        <x:v>840.05700000000002</x:v>
      </x:c>
      <x:c r="Z791">
        <x:v>2492</x:v>
      </x:c>
      <x:c r="AB791" t="s">
        <x:v>3401</x:v>
      </x:c>
      <x:c r="AF791" t="s">
        <x:v>50</x:v>
      </x:c>
      <x:c r="AG791" t="s">
        <x:v>1306</x:v>
      </x:c>
      <x:c r="AH791" t="s">
        <x:v>3402</x:v>
      </x:c>
      <x:c r="AI791" t="s">
        <x:v>5611</x:v>
      </x:c>
      <x:c r="AJ791">
        <x:v>844</x:v>
      </x:c>
    </x:row>
    <x:row r="792">
      <x:c r="A792" t="s">
        <x:v>5576</x:v>
      </x:c>
      <x:c r="B792" t="s">
        <x:v>5577</x:v>
      </x:c>
      <x:c r="C792" t="s">
        <x:v>5612</x:v>
      </x:c>
      <x:c r="D792" t="s">
        <x:v>5613</x:v>
      </x:c>
      <x:c r="E792" t="s">
        <x:v>5614</x:v>
      </x:c>
      <x:c r="F792">
        <x:v>2000</x:v>
      </x:c>
      <x:c r="G792">
        <x:v>2000</x:v>
      </x:c>
      <x:c r="H792">
        <x:v>2000</x:v>
      </x:c>
      <x:c r="P792" t="s">
        <x:v>80</x:v>
      </x:c>
      <x:c r="R792" s="9">
        <x:v>29558</x:v>
      </x:c>
      <x:c r="T792" t="s">
        <x:v>119</x:v>
      </x:c>
      <x:c r="W792" s="26" t="n">
        <x:v>1.08283</x:v>
      </x:c>
      <x:c r="X792" s="26" t="n">
        <x:v>-76.82111</x:v>
      </x:c>
      <x:c r="Y792">
        <x:v>958.05200000000002</x:v>
      </x:c>
      <x:c r="Z792">
        <x:v>2045</x:v>
      </x:c>
      <x:c r="AB792" t="s">
        <x:v>5615</x:v>
      </x:c>
      <x:c r="AF792" t="s">
        <x:v>50</x:v>
      </x:c>
      <x:c r="AG792" t="s">
        <x:v>67</x:v>
      </x:c>
      <x:c r="AH792" t="s">
        <x:v>5616</x:v>
      </x:c>
      <x:c r="AJ792">
        <x:v>845</x:v>
      </x:c>
    </x:row>
    <x:row r="793">
      <x:c r="A793" t="s">
        <x:v>5617</x:v>
      </x:c>
      <x:c r="B793" t="s">
        <x:v>5618</x:v>
      </x:c>
      <x:c r="C793" t="s">
        <x:v>5619</x:v>
      </x:c>
      <x:c r="D793" t="s">
        <x:v>5620</x:v>
      </x:c>
      <x:c r="E793" t="s">
        <x:v>5621</x:v>
      </x:c>
      <x:c r="F793" t="s">
        <x:v>5622</x:v>
      </x:c>
      <x:c r="G793">
        <x:v>70</x:v>
      </x:c>
      <x:c r="H793">
        <x:v>100</x:v>
      </x:c>
      <x:c r="P793" t="s">
        <x:v>80</x:v>
      </x:c>
      <x:c r="R793" s="9">
        <x:v>14355</x:v>
      </x:c>
      <x:c r="W793" s="26" t="n">
        <x:v>5.09902</x:v>
      </x:c>
      <x:c r="X793" s="26" t="n">
        <x:v>-76.70063</x:v>
      </x:c>
      <x:c r="Y793">
        <x:v>2064.3470000000002</x:v>
      </x:c>
      <x:c r="Z793">
        <x:v>79</x:v>
      </x:c>
      <x:c r="AB793" t="s">
        <x:v>5623</x:v>
      </x:c>
      <x:c r="AF793" t="s">
        <x:v>50</x:v>
      </x:c>
      <x:c r="AG793" t="s">
        <x:v>374</x:v>
      </x:c>
      <x:c r="AH793" t="s">
        <x:v>5624</x:v>
      </x:c>
      <x:c r="AJ793">
        <x:v>846</x:v>
      </x:c>
    </x:row>
    <x:row r="794">
      <x:c r="A794" t="s">
        <x:v>5617</x:v>
      </x:c>
      <x:c r="B794" t="s">
        <x:v>5618</x:v>
      </x:c>
      <x:c r="C794" t="s">
        <x:v>5625</x:v>
      </x:c>
      <x:c r="D794" t="s">
        <x:v>5626</x:v>
      </x:c>
      <x:c r="E794" t="s">
        <x:v>5627</x:v>
      </x:c>
      <x:c r="F794">
        <x:v>1066</x:v>
      </x:c>
      <x:c r="G794">
        <x:v>1066</x:v>
      </x:c>
      <x:c r="H794">
        <x:v>1066</x:v>
      </x:c>
      <x:c r="I794" t="s">
        <x:v>4075</x:v>
      </x:c>
      <x:c r="J794" t="s">
        <x:v>4076</x:v>
      </x:c>
      <x:c r="K794" t="s">
        <x:v>4077</x:v>
      </x:c>
      <x:c r="L794" t="s">
        <x:v>4078</x:v>
      </x:c>
      <x:c r="M794" t="s">
        <x:v>4079</x:v>
      </x:c>
      <x:c r="N794" t="s">
        <x:v>4080</x:v>
      </x:c>
      <x:c r="O794" t="s">
        <x:v>4081</x:v>
      </x:c>
      <x:c r="P794" t="s">
        <x:v>4082</x:v>
      </x:c>
      <x:c r="R794" s="9">
        <x:v>17116</x:v>
      </x:c>
      <x:c r="W794" s="26" t="n">
        <x:v>1.25</x:v>
      </x:c>
      <x:c r="X794" s="26" t="n">
        <x:v>-78.1166667</x:v>
      </x:c>
      <x:c r="AF794" t="s">
        <x:v>50</x:v>
      </x:c>
      <x:c r="AG794" t="s">
        <x:v>127</x:v>
      </x:c>
      <x:c r="AH794" t="s">
        <x:v>5628</x:v>
      </x:c>
      <x:c r="AJ794">
        <x:v>847</x:v>
      </x:c>
    </x:row>
    <x:row r="795">
      <x:c r="A795" t="s">
        <x:v>5617</x:v>
      </x:c>
      <x:c r="B795" t="s">
        <x:v>5618</x:v>
      </x:c>
      <x:c r="C795" t="s">
        <x:v>5629</x:v>
      </x:c>
      <x:c r="D795" t="s">
        <x:v>5630</x:v>
      </x:c>
      <x:c r="E795" t="s">
        <x:v>5631</x:v>
      </x:c>
      <x:c r="F795">
        <x:v>400</x:v>
      </x:c>
      <x:c r="G795">
        <x:v>400</x:v>
      </x:c>
      <x:c r="H795">
        <x:v>400</x:v>
      </x:c>
      <x:c r="P795" t="s">
        <x:v>80</x:v>
      </x:c>
      <x:c r="R795" s="9">
        <x:v>26608</x:v>
      </x:c>
      <x:c r="W795" s="26" t="n">
        <x:v>3.61633</x:v>
      </x:c>
      <x:c r="X795" s="26" t="n">
        <x:v>-76.89806</x:v>
      </x:c>
      <x:c r="Y795">
        <x:v>690.23800000000006</x:v>
      </x:c>
      <x:c r="Z795">
        <x:v>330</x:v>
      </x:c>
      <x:c r="AB795" t="s">
        <x:v>5632</x:v>
      </x:c>
      <x:c r="AF795" t="s">
        <x:v>50</x:v>
      </x:c>
      <x:c r="AG795" t="s">
        <x:v>83</x:v>
      </x:c>
      <x:c r="AH795" t="s">
        <x:v>5633</x:v>
      </x:c>
      <x:c r="AJ795">
        <x:v>848</x:v>
      </x:c>
    </x:row>
    <x:row r="796">
      <x:c r="A796" t="s">
        <x:v>5617</x:v>
      </x:c>
      <x:c r="B796" t="s">
        <x:v>5618</x:v>
      </x:c>
      <x:c r="C796" t="s">
        <x:v>5634</x:v>
      </x:c>
      <x:c r="D796" t="s">
        <x:v>5635</x:v>
      </x:c>
      <x:c r="E796" t="s">
        <x:v>5636</x:v>
      </x:c>
      <x:c r="F796">
        <x:v>900</x:v>
      </x:c>
      <x:c r="G796">
        <x:v>900</x:v>
      </x:c>
      <x:c r="H796">
        <x:v>900</x:v>
      </x:c>
      <x:c r="P796" t="s">
        <x:v>80</x:v>
      </x:c>
      <x:c r="R796" s="9">
        <x:v>26649</x:v>
      </x:c>
      <x:c r="W796" s="26" t="n">
        <x:v>1.36416</x:v>
      </x:c>
      <x:c r="X796" s="26" t="n">
        <x:v>-78.10056</x:v>
      </x:c>
      <x:c r="Y796">
        <x:v>4999.3969999999999</x:v>
      </x:c>
      <x:c r="Z796">
        <x:v>1048</x:v>
      </x:c>
      <x:c r="AB796" t="s">
        <x:v>5637</x:v>
      </x:c>
      <x:c r="AF796" t="s">
        <x:v>50</x:v>
      </x:c>
      <x:c r="AG796" t="s">
        <x:v>127</x:v>
      </x:c>
      <x:c r="AH796" t="s">
        <x:v>5638</x:v>
      </x:c>
      <x:c r="AI796" t="s">
        <x:v>5639</x:v>
      </x:c>
      <x:c r="AJ796">
        <x:v>850</x:v>
      </x:c>
    </x:row>
    <x:row r="797">
      <x:c r="A797" t="s">
        <x:v>5617</x:v>
      </x:c>
      <x:c r="B797" t="s">
        <x:v>5618</x:v>
      </x:c>
      <x:c r="C797" t="s">
        <x:v>5640</x:v>
      </x:c>
      <x:c r="D797" t="s">
        <x:v>5641</x:v>
      </x:c>
      <x:c r="E797" t="s">
        <x:v>5642</x:v>
      </x:c>
      <x:c r="F797">
        <x:v>1000</x:v>
      </x:c>
      <x:c r="G797">
        <x:v>1000</x:v>
      </x:c>
      <x:c r="H797">
        <x:v>1000</x:v>
      </x:c>
      <x:c r="P797" t="s">
        <x:v>80</x:v>
      </x:c>
      <x:c r="R797" s="9">
        <x:v>26653</x:v>
      </x:c>
      <x:c r="W797" s="26" t="n">
        <x:v>1.36416</x:v>
      </x:c>
      <x:c r="X797" s="26" t="n">
        <x:v>-78.10056</x:v>
      </x:c>
      <x:c r="Y797">
        <x:v>4999.3969999999999</x:v>
      </x:c>
      <x:c r="Z797">
        <x:v>1048</x:v>
      </x:c>
      <x:c r="AB797" t="s">
        <x:v>5637</x:v>
      </x:c>
      <x:c r="AF797" t="s">
        <x:v>50</x:v>
      </x:c>
      <x:c r="AG797" t="s">
        <x:v>127</x:v>
      </x:c>
      <x:c r="AH797" t="s">
        <x:v>5643</x:v>
      </x:c>
      <x:c r="AJ797">
        <x:v>851</x:v>
      </x:c>
    </x:row>
    <x:row r="798">
      <x:c r="A798" t="s">
        <x:v>5617</x:v>
      </x:c>
      <x:c r="B798" t="s">
        <x:v>5618</x:v>
      </x:c>
      <x:c r="C798" t="s">
        <x:v>5644</x:v>
      </x:c>
      <x:c r="D798" t="s">
        <x:v>5645</x:v>
      </x:c>
      <x:c r="E798" t="s">
        <x:v>5646</x:v>
      </x:c>
      <x:c r="F798">
        <x:v>350</x:v>
      </x:c>
      <x:c r="G798">
        <x:v>350</x:v>
      </x:c>
      <x:c r="H798">
        <x:v>350</x:v>
      </x:c>
      <x:c r="P798" t="s">
        <x:v>80</x:v>
      </x:c>
      <x:c r="R798" s="9">
        <x:v>26787</x:v>
      </x:c>
      <x:c r="W798" s="26" t="n">
        <x:v>1.53403</x:v>
      </x:c>
      <x:c r="X798" s="26" t="n">
        <x:v>-78.06769</x:v>
      </x:c>
      <x:c r="Y798">
        <x:v>996.47500000000002</x:v>
      </x:c>
      <x:c r="Z798">
        <x:v>411</x:v>
      </x:c>
      <x:c r="AB798" t="s">
        <x:v>126</x:v>
      </x:c>
      <x:c r="AF798" t="s">
        <x:v>50</x:v>
      </x:c>
      <x:c r="AG798" t="s">
        <x:v>127</x:v>
      </x:c>
      <x:c r="AH798" t="s">
        <x:v>5638</x:v>
      </x:c>
      <x:c r="AI798" t="s">
        <x:v>5647</x:v>
      </x:c>
      <x:c r="AJ798">
        <x:v>852</x:v>
      </x:c>
    </x:row>
    <x:row r="799">
      <x:c r="A799" t="s">
        <x:v>5617</x:v>
      </x:c>
      <x:c r="B799" t="s">
        <x:v>5618</x:v>
      </x:c>
      <x:c r="C799" t="s">
        <x:v>5648</x:v>
      </x:c>
      <x:c r="D799" t="s">
        <x:v>5649</x:v>
      </x:c>
      <x:c r="E799" t="s">
        <x:v>5650</x:v>
      </x:c>
      <x:c r="F799">
        <x:v>600</x:v>
      </x:c>
      <x:c r="G799">
        <x:v>600</x:v>
      </x:c>
      <x:c r="H799">
        <x:v>600</x:v>
      </x:c>
      <x:c r="P799" t="s">
        <x:v>80</x:v>
      </x:c>
      <x:c r="R799" s="9">
        <x:v>27609</x:v>
      </x:c>
      <x:c r="W799" s="26" t="n">
        <x:v>12.13776</x:v>
      </x:c>
      <x:c r="X799" s="26" t="n">
        <x:v>-71.33838</x:v>
      </x:c>
      <x:c r="Y799">
        <x:v>3462.114</x:v>
      </x:c>
      <x:c r="Z799">
        <x:v>324</x:v>
      </x:c>
      <x:c r="AB799" t="s">
        <x:v>5651</x:v>
      </x:c>
      <x:c r="AF799" t="s">
        <x:v>50</x:v>
      </x:c>
      <x:c r="AG799" t="s">
        <x:v>5652</x:v>
      </x:c>
      <x:c r="AH799" t="s">
        <x:v>5653</x:v>
      </x:c>
      <x:c r="AJ799">
        <x:v>853</x:v>
      </x:c>
    </x:row>
    <x:row r="800">
      <x:c r="A800" t="s">
        <x:v>5617</x:v>
      </x:c>
      <x:c r="B800" t="s">
        <x:v>5618</x:v>
      </x:c>
      <x:c r="C800" t="s">
        <x:v>5648</x:v>
      </x:c>
      <x:c r="D800" t="s">
        <x:v>5654</x:v>
      </x:c>
      <x:c r="E800" t="s">
        <x:v>5650</x:v>
      </x:c>
      <x:c r="F800">
        <x:v>600</x:v>
      </x:c>
      <x:c r="G800">
        <x:v>600</x:v>
      </x:c>
      <x:c r="H800">
        <x:v>600</x:v>
      </x:c>
      <x:c r="P800" t="s">
        <x:v>80</x:v>
      </x:c>
      <x:c r="R800" s="9">
        <x:v>27609</x:v>
      </x:c>
      <x:c r="W800" s="26" t="n">
        <x:v>12.13776</x:v>
      </x:c>
      <x:c r="X800" s="26" t="n">
        <x:v>-71.33838</x:v>
      </x:c>
      <x:c r="Y800">
        <x:v>3462.114</x:v>
      </x:c>
      <x:c r="Z800">
        <x:v>324</x:v>
      </x:c>
      <x:c r="AB800" t="s">
        <x:v>5651</x:v>
      </x:c>
      <x:c r="AF800" t="s">
        <x:v>50</x:v>
      </x:c>
      <x:c r="AG800" t="s">
        <x:v>5652</x:v>
      </x:c>
      <x:c r="AH800" t="s">
        <x:v>5653</x:v>
      </x:c>
      <x:c r="AJ800">
        <x:v>854</x:v>
      </x:c>
    </x:row>
    <x:row r="801">
      <x:c r="A801" t="s">
        <x:v>5617</x:v>
      </x:c>
      <x:c r="B801" t="s">
        <x:v>5618</x:v>
      </x:c>
      <x:c r="C801" t="s">
        <x:v>5655</x:v>
      </x:c>
      <x:c r="D801" t="s">
        <x:v>5656</x:v>
      </x:c>
      <x:c r="E801" t="s">
        <x:v>5657</x:v>
      </x:c>
      <x:c r="I801" t="s">
        <x:v>4016</x:v>
      </x:c>
      <x:c r="J801" t="s">
        <x:v>4017</x:v>
      </x:c>
      <x:c r="K801" t="s">
        <x:v>5658</x:v>
      </x:c>
      <x:c r="L801" t="s">
        <x:v>5659</x:v>
      </x:c>
      <x:c r="M801" t="s">
        <x:v>5660</x:v>
      </x:c>
      <x:c r="N801" t="s">
        <x:v>4021</x:v>
      </x:c>
      <x:c r="O801" t="s">
        <x:v>5661</x:v>
      </x:c>
      <x:c r="P801" t="s">
        <x:v>5662</x:v>
      </x:c>
      <x:c r="R801" s="9">
        <x:v>28959</x:v>
      </x:c>
      <x:c r="W801" s="26" t="n">
        <x:v>5.1</x:v>
      </x:c>
      <x:c r="X801" s="26" t="n">
        <x:v>-76.6666667</x:v>
      </x:c>
      <x:c r="AF801" t="s">
        <x:v>50</x:v>
      </x:c>
      <x:c r="AG801" t="s">
        <x:v>5663</x:v>
      </x:c>
      <x:c r="AH801" t="s">
        <x:v>1324</x:v>
      </x:c>
      <x:c r="AI801" t="s">
        <x:v>5664</x:v>
      </x:c>
      <x:c r="AJ801">
        <x:v>856</x:v>
      </x:c>
    </x:row>
    <x:row r="802">
      <x:c r="A802" t="s">
        <x:v>5617</x:v>
      </x:c>
      <x:c r="B802" t="s">
        <x:v>5618</x:v>
      </x:c>
      <x:c r="C802" t="s">
        <x:v>5665</x:v>
      </x:c>
      <x:c r="D802" t="s">
        <x:v>5666</x:v>
      </x:c>
      <x:c r="E802" t="s">
        <x:v>5667</x:v>
      </x:c>
      <x:c r="F802" t="s">
        <x:v>5668</x:v>
      </x:c>
      <x:c r="G802">
        <x:v>400</x:v>
      </x:c>
      <x:c r="H802">
        <x:v>550</x:v>
      </x:c>
      <x:c r="P802" t="s">
        <x:v>80</x:v>
      </x:c>
      <x:c r="R802" s="9">
        <x:v>30328</x:v>
      </x:c>
      <x:c r="T802" t="s">
        <x:v>119</x:v>
      </x:c>
      <x:c r="W802" s="26" t="n">
        <x:v>4.87585</x:v>
      </x:c>
      <x:c r="X802" s="26" t="n">
        <x:v>-76.44222</x:v>
      </x:c>
      <x:c r="Y802">
        <x:v>3728.3809999999999</x:v>
      </x:c>
      <x:c r="Z802">
        <x:v>429</x:v>
      </x:c>
      <x:c r="AA802" t="s">
        <x:v>5669</x:v>
      </x:c>
      <x:c r="AB802" t="s">
        <x:v>5670</x:v>
      </x:c>
      <x:c r="AF802" t="s">
        <x:v>50</x:v>
      </x:c>
      <x:c r="AG802" t="s">
        <x:v>374</x:v>
      </x:c>
      <x:c r="AH802" t="s">
        <x:v>5671</x:v>
      </x:c>
      <x:c r="AI802" t="s">
        <x:v>5672</x:v>
      </x:c>
      <x:c r="AJ802">
        <x:v>857</x:v>
      </x:c>
    </x:row>
    <x:row r="803">
      <x:c r="A803" t="s">
        <x:v>5617</x:v>
      </x:c>
      <x:c r="B803" t="s">
        <x:v>5618</x:v>
      </x:c>
      <x:c r="C803" t="s">
        <x:v>5673</x:v>
      </x:c>
      <x:c r="D803" t="s">
        <x:v>5674</x:v>
      </x:c>
      <x:c r="E803" t="s">
        <x:v>5675</x:v>
      </x:c>
      <x:c r="F803">
        <x:v>900</x:v>
      </x:c>
      <x:c r="G803">
        <x:v>900</x:v>
      </x:c>
      <x:c r="H803">
        <x:v>900</x:v>
      </x:c>
      <x:c r="P803" t="s">
        <x:v>80</x:v>
      </x:c>
      <x:c r="R803" s="9">
        <x:v>30340</x:v>
      </x:c>
      <x:c r="W803" s="26" t="n">
        <x:v>4.89255</x:v>
      </x:c>
      <x:c r="X803" s="26" t="n">
        <x:v>-76.27434</x:v>
      </x:c>
      <x:c r="Y803">
        <x:v>2002.374</x:v>
      </x:c>
      <x:c r="Z803">
        <x:v>826</x:v>
      </x:c>
      <x:c r="AB803" t="s">
        <x:v>5676</x:v>
      </x:c>
      <x:c r="AF803" t="s">
        <x:v>50</x:v>
      </x:c>
      <x:c r="AG803" t="s">
        <x:v>374</x:v>
      </x:c>
      <x:c r="AH803" t="s">
        <x:v>375</x:v>
      </x:c>
      <x:c r="AI803" t="s">
        <x:v>5677</x:v>
      </x:c>
      <x:c r="AJ803">
        <x:v>858</x:v>
      </x:c>
    </x:row>
    <x:row r="804">
      <x:c r="A804" t="s">
        <x:v>5617</x:v>
      </x:c>
      <x:c r="B804" t="s">
        <x:v>5618</x:v>
      </x:c>
      <x:c r="C804" t="s">
        <x:v>5678</x:v>
      </x:c>
      <x:c r="D804" t="s">
        <x:v>5679</x:v>
      </x:c>
      <x:c r="E804" t="s">
        <x:v>5680</x:v>
      </x:c>
      <x:c r="F804">
        <x:v>700</x:v>
      </x:c>
      <x:c r="G804">
        <x:v>700</x:v>
      </x:c>
      <x:c r="H804">
        <x:v>700</x:v>
      </x:c>
      <x:c r="P804" t="s">
        <x:v>80</x:v>
      </x:c>
      <x:c r="R804" s="9">
        <x:v>30496</x:v>
      </x:c>
      <x:c r="T804" t="s">
        <x:v>119</x:v>
      </x:c>
      <x:c r="W804" s="26" t="n">
        <x:v>11.29186</x:v>
      </x:c>
      <x:c r="X804" s="26" t="n">
        <x:v>-74.05682</x:v>
      </x:c>
      <x:c r="Y804">
        <x:v>2292.5010000000002</x:v>
      </x:c>
      <x:c r="Z804">
        <x:v>573</x:v>
      </x:c>
      <x:c r="AB804" t="s">
        <x:v>5681</x:v>
      </x:c>
      <x:c r="AF804" t="s">
        <x:v>50</x:v>
      </x:c>
      <x:c r="AG804" t="s">
        <x:v>1296</x:v>
      </x:c>
      <x:c r="AH804" t="s">
        <x:v>5682</x:v>
      </x:c>
      <x:c r="AJ804">
        <x:v>859</x:v>
      </x:c>
    </x:row>
    <x:row r="805">
      <x:c r="A805" t="s">
        <x:v>5617</x:v>
      </x:c>
      <x:c r="B805" t="s">
        <x:v>5618</x:v>
      </x:c>
      <x:c r="C805" t="s">
        <x:v>5683</x:v>
      </x:c>
      <x:c r="D805" t="s">
        <x:v>5684</x:v>
      </x:c>
      <x:c r="E805" t="s">
        <x:v>5685</x:v>
      </x:c>
      <x:c r="F805">
        <x:v>1300</x:v>
      </x:c>
      <x:c r="G805">
        <x:v>1300</x:v>
      </x:c>
      <x:c r="H805">
        <x:v>1300</x:v>
      </x:c>
      <x:c r="I805" t="s">
        <x:v>5686</x:v>
      </x:c>
      <x:c r="J805" t="s">
        <x:v>3257</x:v>
      </x:c>
      <x:c r="K805" t="s">
        <x:v>5687</x:v>
      </x:c>
      <x:c r="L805" t="s">
        <x:v>5688</x:v>
      </x:c>
      <x:c r="M805" t="s">
        <x:v>5689</x:v>
      </x:c>
      <x:c r="N805" t="s">
        <x:v>3260</x:v>
      </x:c>
      <x:c r="O805" t="s">
        <x:v>5690</x:v>
      </x:c>
      <x:c r="P805" t="s">
        <x:v>5691</x:v>
      </x:c>
      <x:c r="R805" s="9">
        <x:v>30718</x:v>
      </x:c>
      <x:c r="W805" s="26" t="n">
        <x:v>3.5</x:v>
      </x:c>
      <x:c r="X805" s="26" t="n">
        <x:v>-76.75</x:v>
      </x:c>
      <x:c r="AF805" t="s">
        <x:v>50</x:v>
      </x:c>
      <x:c r="AG805" t="s">
        <x:v>83</x:v>
      </x:c>
      <x:c r="AH805" t="s">
        <x:v>5692</x:v>
      </x:c>
      <x:c r="AI805" t="s">
        <x:v>5693</x:v>
      </x:c>
      <x:c r="AJ805">
        <x:v>860</x:v>
      </x:c>
    </x:row>
    <x:row r="806">
      <x:c r="A806" t="s">
        <x:v>5617</x:v>
      </x:c>
      <x:c r="B806" t="s">
        <x:v>5618</x:v>
      </x:c>
      <x:c r="C806" t="s">
        <x:v>5683</x:v>
      </x:c>
      <x:c r="D806" t="s">
        <x:v>5694</x:v>
      </x:c>
      <x:c r="E806" t="s">
        <x:v>5685</x:v>
      </x:c>
      <x:c r="F806">
        <x:v>1300</x:v>
      </x:c>
      <x:c r="G806">
        <x:v>1300</x:v>
      </x:c>
      <x:c r="H806">
        <x:v>1300</x:v>
      </x:c>
      <x:c r="I806" t="s">
        <x:v>5686</x:v>
      </x:c>
      <x:c r="J806" t="s">
        <x:v>3257</x:v>
      </x:c>
      <x:c r="K806" t="s">
        <x:v>5687</x:v>
      </x:c>
      <x:c r="L806" t="s">
        <x:v>5688</x:v>
      </x:c>
      <x:c r="M806" t="s">
        <x:v>5689</x:v>
      </x:c>
      <x:c r="N806" t="s">
        <x:v>3260</x:v>
      </x:c>
      <x:c r="O806" t="s">
        <x:v>5690</x:v>
      </x:c>
      <x:c r="P806" t="s">
        <x:v>5691</x:v>
      </x:c>
      <x:c r="R806" s="9">
        <x:v>30718</x:v>
      </x:c>
      <x:c r="W806" s="26" t="n">
        <x:v>3.5</x:v>
      </x:c>
      <x:c r="X806" s="26" t="n">
        <x:v>-76.75</x:v>
      </x:c>
      <x:c r="AF806" t="s">
        <x:v>50</x:v>
      </x:c>
      <x:c r="AG806" t="s">
        <x:v>83</x:v>
      </x:c>
      <x:c r="AH806" t="s">
        <x:v>5692</x:v>
      </x:c>
      <x:c r="AI806" t="s">
        <x:v>5693</x:v>
      </x:c>
      <x:c r="AJ806">
        <x:v>861</x:v>
      </x:c>
    </x:row>
    <x:row r="807">
      <x:c r="A807" t="s">
        <x:v>5617</x:v>
      </x:c>
      <x:c r="B807" t="s">
        <x:v>5618</x:v>
      </x:c>
      <x:c r="C807" t="s">
        <x:v>5695</x:v>
      </x:c>
      <x:c r="D807" t="s">
        <x:v>5696</x:v>
      </x:c>
      <x:c r="E807" t="s">
        <x:v>5697</x:v>
      </x:c>
      <x:c r="I807" t="s">
        <x:v>5698</x:v>
      </x:c>
      <x:c r="J807" t="s">
        <x:v>5699</x:v>
      </x:c>
      <x:c r="K807" t="s">
        <x:v>5700</x:v>
      </x:c>
      <x:c r="L807" t="s">
        <x:v>5701</x:v>
      </x:c>
      <x:c r="M807" t="s">
        <x:v>5702</x:v>
      </x:c>
      <x:c r="N807" t="s">
        <x:v>5703</x:v>
      </x:c>
      <x:c r="O807" t="s">
        <x:v>5704</x:v>
      </x:c>
      <x:c r="P807" t="s">
        <x:v>5705</x:v>
      </x:c>
      <x:c r="R807" s="9">
        <x:v>32149</x:v>
      </x:c>
      <x:c r="T807" t="s">
        <x:v>119</x:v>
      </x:c>
      <x:c r="W807" s="26" t="n">
        <x:v>1.0833333</x:v>
      </x:c>
      <x:c r="X807" s="26" t="n">
        <x:v>-78.0166667</x:v>
      </x:c>
      <x:c r="AF807" t="s">
        <x:v>50</x:v>
      </x:c>
      <x:c r="AG807" t="s">
        <x:v>127</x:v>
      </x:c>
      <x:c r="AH807" t="s">
        <x:v>5706</x:v>
      </x:c>
      <x:c r="AI807" t="s">
        <x:v>5707</x:v>
      </x:c>
      <x:c r="AJ807">
        <x:v>862</x:v>
      </x:c>
    </x:row>
    <x:row r="808">
      <x:c r="A808" t="s">
        <x:v>5617</x:v>
      </x:c>
      <x:c r="B808" t="s">
        <x:v>5618</x:v>
      </x:c>
      <x:c r="C808" t="s">
        <x:v>5708</x:v>
      </x:c>
      <x:c r="D808" t="s">
        <x:v>3607</x:v>
      </x:c>
      <x:c r="E808" t="s">
        <x:v>5709</x:v>
      </x:c>
      <x:c r="F808" t="s">
        <x:v>3609</x:v>
      </x:c>
      <x:c r="G808">
        <x:v>1000</x:v>
      </x:c>
      <x:c r="H808">
        <x:v>1280</x:v>
      </x:c>
      <x:c r="I808" t="s">
        <x:v>3610</x:v>
      </x:c>
      <x:c r="J808" t="s">
        <x:v>3611</x:v>
      </x:c>
      <x:c r="K808" t="s">
        <x:v>5710</x:v>
      </x:c>
      <x:c r="L808" t="s">
        <x:v>5711</x:v>
      </x:c>
      <x:c r="M808" t="s">
        <x:v>5712</x:v>
      </x:c>
      <x:c r="N808" t="s">
        <x:v>3615</x:v>
      </x:c>
      <x:c r="O808" t="s">
        <x:v>3616</x:v>
      </x:c>
      <x:c r="P808" t="s">
        <x:v>3617</x:v>
      </x:c>
      <x:c r="R808" s="9">
        <x:v>40746</x:v>
      </x:c>
      <x:c r="T808" t="s">
        <x:v>119</x:v>
      </x:c>
      <x:c r="W808" s="26" t="n">
        <x:v>6.5125556</x:v>
      </x:c>
      <x:c r="X808" s="26" t="n">
        <x:v>-76.2615</x:v>
      </x:c>
      <x:c r="AF808" t="s">
        <x:v>50</x:v>
      </x:c>
      <x:c r="AG808" t="s">
        <x:v>402</x:v>
      </x:c>
      <x:c r="AH808" t="s">
        <x:v>1685</x:v>
      </x:c>
      <x:c r="AI808" t="s">
        <x:v>5713</x:v>
      </x:c>
      <x:c r="AJ808">
        <x:v>863</x:v>
      </x:c>
    </x:row>
    <x:row r="809">
      <x:c r="A809" t="s">
        <x:v>5617</x:v>
      </x:c>
      <x:c r="B809" t="s">
        <x:v>5618</x:v>
      </x:c>
      <x:c r="C809" t="s">
        <x:v>5644</x:v>
      </x:c>
      <x:c r="D809" t="s">
        <x:v>5714</x:v>
      </x:c>
      <x:c r="E809" t="s">
        <x:v>5715</x:v>
      </x:c>
      <x:c r="F809">
        <x:v>350</x:v>
      </x:c>
      <x:c r="G809">
        <x:v>350</x:v>
      </x:c>
      <x:c r="H809">
        <x:v>350</x:v>
      </x:c>
      <x:c r="P809" t="s">
        <x:v>80</x:v>
      </x:c>
      <x:c r="R809" s="9">
        <x:v>26818</x:v>
      </x:c>
      <x:c r="W809" s="26" t="n">
        <x:v>1.53403</x:v>
      </x:c>
      <x:c r="X809" s="26" t="n">
        <x:v>-78.06769</x:v>
      </x:c>
      <x:c r="Y809">
        <x:v>996.47500000000002</x:v>
      </x:c>
      <x:c r="Z809">
        <x:v>411</x:v>
      </x:c>
      <x:c r="AB809" t="s">
        <x:v>126</x:v>
      </x:c>
      <x:c r="AF809" t="s">
        <x:v>50</x:v>
      </x:c>
      <x:c r="AG809" t="s">
        <x:v>127</x:v>
      </x:c>
      <x:c r="AH809" t="s">
        <x:v>5647</x:v>
      </x:c>
      <x:c r="AJ809">
        <x:v>864</x:v>
      </x:c>
    </x:row>
    <x:row r="810">
      <x:c r="A810" t="s">
        <x:v>5716</x:v>
      </x:c>
      <x:c r="B810" t="s">
        <x:v>5717</x:v>
      </x:c>
      <x:c r="C810" t="s">
        <x:v>5718</x:v>
      </x:c>
      <x:c r="D810" t="s">
        <x:v>5719</x:v>
      </x:c>
      <x:c r="E810" t="s">
        <x:v>5720</x:v>
      </x:c>
      <x:c r="F810">
        <x:v>2650</x:v>
      </x:c>
      <x:c r="G810">
        <x:v>2650</x:v>
      </x:c>
      <x:c r="H810">
        <x:v>2650</x:v>
      </x:c>
      <x:c r="I810" t="s">
        <x:v>5721</x:v>
      </x:c>
      <x:c r="J810" t="s">
        <x:v>5722</x:v>
      </x:c>
      <x:c r="K810" t="s">
        <x:v>5723</x:v>
      </x:c>
      <x:c r="L810" t="s">
        <x:v>5724</x:v>
      </x:c>
      <x:c r="M810" t="s">
        <x:v>5725</x:v>
      </x:c>
      <x:c r="N810" t="s">
        <x:v>5726</x:v>
      </x:c>
      <x:c r="O810" t="s">
        <x:v>5727</x:v>
      </x:c>
      <x:c r="P810" t="s">
        <x:v>5728</x:v>
      </x:c>
      <x:c r="R810" s="9">
        <x:v>30510</x:v>
      </x:c>
      <x:c r="T810" t="s">
        <x:v>119</x:v>
      </x:c>
      <x:c r="W810" s="26" t="n">
        <x:v>6.6073444</x:v>
      </x:c>
      <x:c r="X810" s="26" t="n">
        <x:v>-75.6659028</x:v>
      </x:c>
      <x:c r="AF810" t="s">
        <x:v>50</x:v>
      </x:c>
      <x:c r="AG810" t="s">
        <x:v>402</x:v>
      </x:c>
      <x:c r="AH810" t="s">
        <x:v>1710</x:v>
      </x:c>
      <x:c r="AI810" t="s">
        <x:v>5729</x:v>
      </x:c>
      <x:c r="AJ810">
        <x:v>865</x:v>
      </x:c>
    </x:row>
    <x:row r="811">
      <x:c r="A811" t="s">
        <x:v>5716</x:v>
      </x:c>
      <x:c r="B811" t="s">
        <x:v>5717</x:v>
      </x:c>
      <x:c r="C811" t="s">
        <x:v>5730</x:v>
      </x:c>
      <x:c r="D811" t="s">
        <x:v>5731</x:v>
      </x:c>
      <x:c r="E811" t="s">
        <x:v>5732</x:v>
      </x:c>
      <x:c r="F811">
        <x:v>2560</x:v>
      </x:c>
      <x:c r="G811">
        <x:v>2560</x:v>
      </x:c>
      <x:c r="H811">
        <x:v>2560</x:v>
      </x:c>
      <x:c r="I811" t="s">
        <x:v>4396</x:v>
      </x:c>
      <x:c r="J811" t="s">
        <x:v>4397</x:v>
      </x:c>
      <x:c r="K811" t="s">
        <x:v>4191</x:v>
      </x:c>
      <x:c r="L811" t="s">
        <x:v>4192</x:v>
      </x:c>
      <x:c r="M811" t="s">
        <x:v>4398</x:v>
      </x:c>
      <x:c r="N811" t="s">
        <x:v>5733</x:v>
      </x:c>
      <x:c r="O811" t="s">
        <x:v>4194</x:v>
      </x:c>
      <x:c r="P811" t="s">
        <x:v>5734</x:v>
      </x:c>
      <x:c r="R811" s="9">
        <x:v>32285</x:v>
      </x:c>
      <x:c r="T811" t="s">
        <x:v>111</x:v>
      </x:c>
      <x:c r="W811" s="26" t="n">
        <x:v>6.3166667</x:v>
      </x:c>
      <x:c r="X811" s="26" t="n">
        <x:v>-75.6833333</x:v>
      </x:c>
      <x:c r="AF811" t="s">
        <x:v>50</x:v>
      </x:c>
      <x:c r="AG811" t="s">
        <x:v>402</x:v>
      </x:c>
      <x:c r="AH811" t="s">
        <x:v>855</x:v>
      </x:c>
      <x:c r="AI811" t="s">
        <x:v>5735</x:v>
      </x:c>
      <x:c r="AJ811">
        <x:v>867</x:v>
      </x:c>
    </x:row>
    <x:row r="812">
      <x:c r="A812" t="s">
        <x:v>5716</x:v>
      </x:c>
      <x:c r="B812" t="s">
        <x:v>5717</x:v>
      </x:c>
      <x:c r="C812" t="s">
        <x:v>5736</x:v>
      </x:c>
      <x:c r="D812" t="s">
        <x:v>5737</x:v>
      </x:c>
      <x:c r="E812" t="s">
        <x:v>5738</x:v>
      </x:c>
      <x:c r="F812">
        <x:v>2440</x:v>
      </x:c>
      <x:c r="G812">
        <x:v>2440</x:v>
      </x:c>
      <x:c r="H812">
        <x:v>2440</x:v>
      </x:c>
      <x:c r="I812" t="s">
        <x:v>5739</x:v>
      </x:c>
      <x:c r="J812" t="s">
        <x:v>5740</x:v>
      </x:c>
      <x:c r="K812" t="s">
        <x:v>557</x:v>
      </x:c>
      <x:c r="L812" t="s">
        <x:v>558</x:v>
      </x:c>
      <x:c r="M812" t="s">
        <x:v>5741</x:v>
      </x:c>
      <x:c r="N812" t="s">
        <x:v>560</x:v>
      </x:c>
      <x:c r="O812" t="s">
        <x:v>561</x:v>
      </x:c>
      <x:c r="P812" t="s">
        <x:v>562</x:v>
      </x:c>
      <x:c r="R812" s="9">
        <x:v>32295</x:v>
      </x:c>
      <x:c r="T812" t="s">
        <x:v>119</x:v>
      </x:c>
      <x:c r="W812" s="26" t="n">
        <x:v>6.09</x:v>
      </x:c>
      <x:c r="X812" s="26" t="n">
        <x:v>-75.638</x:v>
      </x:c>
      <x:c r="AF812" t="s">
        <x:v>50</x:v>
      </x:c>
      <x:c r="AG812" t="s">
        <x:v>402</x:v>
      </x:c>
      <x:c r="AH812" t="s">
        <x:v>167</x:v>
      </x:c>
      <x:c r="AI812" t="s">
        <x:v>5742</x:v>
      </x:c>
      <x:c r="AJ812">
        <x:v>868</x:v>
      </x:c>
    </x:row>
    <x:row r="813">
      <x:c r="A813" t="s">
        <x:v>5716</x:v>
      </x:c>
      <x:c r="B813" t="s">
        <x:v>5717</x:v>
      </x:c>
      <x:c r="C813" t="s">
        <x:v>5743</x:v>
      </x:c>
      <x:c r="D813" t="s">
        <x:v>5744</x:v>
      </x:c>
      <x:c r="E813" t="s">
        <x:v>5745</x:v>
      </x:c>
      <x:c r="F813">
        <x:v>2885</x:v>
      </x:c>
      <x:c r="G813">
        <x:v>2885</x:v>
      </x:c>
      <x:c r="H813">
        <x:v>2885</x:v>
      </x:c>
      <x:c r="I813" t="s">
        <x:v>5746</x:v>
      </x:c>
      <x:c r="J813" t="s">
        <x:v>5747</x:v>
      </x:c>
      <x:c r="K813" t="s">
        <x:v>5748</x:v>
      </x:c>
      <x:c r="L813" t="s">
        <x:v>5749</x:v>
      </x:c>
      <x:c r="M813" t="s">
        <x:v>5750</x:v>
      </x:c>
      <x:c r="N813" t="s">
        <x:v>5751</x:v>
      </x:c>
      <x:c r="O813" t="s">
        <x:v>5752</x:v>
      </x:c>
      <x:c r="P813" t="s">
        <x:v>5753</x:v>
      </x:c>
      <x:c r="R813" s="9">
        <x:v>37424</x:v>
      </x:c>
      <x:c r="T813" t="s">
        <x:v>119</x:v>
      </x:c>
      <x:c r="W813" s="26" t="n">
        <x:v>6.6218611</x:v>
      </x:c>
      <x:c r="X813" s="26" t="n">
        <x:v>-75.675</x:v>
      </x:c>
      <x:c r="AF813" t="s">
        <x:v>50</x:v>
      </x:c>
      <x:c r="AG813" t="s">
        <x:v>402</x:v>
      </x:c>
      <x:c r="AH813" t="s">
        <x:v>1710</x:v>
      </x:c>
      <x:c r="AI813" t="s">
        <x:v>5754</x:v>
      </x:c>
      <x:c r="AJ813">
        <x:v>870</x:v>
      </x:c>
    </x:row>
    <x:row r="814">
      <x:c r="A814" t="s">
        <x:v>5716</x:v>
      </x:c>
      <x:c r="B814" t="s">
        <x:v>5717</x:v>
      </x:c>
      <x:c r="C814" t="s">
        <x:v>5755</x:v>
      </x:c>
      <x:c r="D814" t="s">
        <x:v>5756</x:v>
      </x:c>
      <x:c r="E814" t="s">
        <x:v>5757</x:v>
      </x:c>
      <x:c r="F814">
        <x:v>2900</x:v>
      </x:c>
      <x:c r="G814">
        <x:v>2900</x:v>
      </x:c>
      <x:c r="H814">
        <x:v>2900</x:v>
      </x:c>
      <x:c r="I814" t="s">
        <x:v>5758</x:v>
      </x:c>
      <x:c r="J814" t="s">
        <x:v>5759</x:v>
      </x:c>
      <x:c r="K814" t="s">
        <x:v>5760</x:v>
      </x:c>
      <x:c r="L814" t="s">
        <x:v>5761</x:v>
      </x:c>
      <x:c r="M814" t="s">
        <x:v>5762</x:v>
      </x:c>
      <x:c r="N814" t="s">
        <x:v>2612</x:v>
      </x:c>
      <x:c r="O814" t="s">
        <x:v>5763</x:v>
      </x:c>
      <x:c r="P814" t="s">
        <x:v>5764</x:v>
      </x:c>
      <x:c r="R814" s="9">
        <x:v>37438</x:v>
      </x:c>
      <x:c r="W814" s="26" t="n">
        <x:v>5.487</x:v>
      </x:c>
      <x:c r="X814" s="26" t="n">
        <x:v>-75.8979444</x:v>
      </x:c>
      <x:c r="AF814" t="s">
        <x:v>50</x:v>
      </x:c>
      <x:c r="AG814" t="s">
        <x:v>402</x:v>
      </x:c>
      <x:c r="AH814" t="s">
        <x:v>627</x:v>
      </x:c>
      <x:c r="AI814" t="s">
        <x:v>5765</x:v>
      </x:c>
      <x:c r="AJ814">
        <x:v>871</x:v>
      </x:c>
    </x:row>
    <x:row r="815">
      <x:c r="A815" t="s">
        <x:v>5716</x:v>
      </x:c>
      <x:c r="B815" t="s">
        <x:v>5717</x:v>
      </x:c>
      <x:c r="C815" t="s">
        <x:v>5766</x:v>
      </x:c>
      <x:c r="D815" t="s">
        <x:v>5767</x:v>
      </x:c>
      <x:c r="E815" t="s">
        <x:v>5768</x:v>
      </x:c>
      <x:c r="F815">
        <x:v>2525</x:v>
      </x:c>
      <x:c r="G815">
        <x:v>2525</x:v>
      </x:c>
      <x:c r="H815">
        <x:v>2525</x:v>
      </x:c>
      <x:c r="I815" t="s">
        <x:v>5769</x:v>
      </x:c>
      <x:c r="J815" t="s">
        <x:v>5770</x:v>
      </x:c>
      <x:c r="K815" t="s">
        <x:v>5771</x:v>
      </x:c>
      <x:c r="L815" t="s">
        <x:v>5772</x:v>
      </x:c>
      <x:c r="M815" t="s">
        <x:v>5773</x:v>
      </x:c>
      <x:c r="N815" t="s">
        <x:v>5774</x:v>
      </x:c>
      <x:c r="O815" t="s">
        <x:v>5775</x:v>
      </x:c>
      <x:c r="P815" t="s">
        <x:v>5776</x:v>
      </x:c>
      <x:c r="R815" s="9">
        <x:v>37537</x:v>
      </x:c>
      <x:c r="W815" s="26" t="n">
        <x:v>6.5999444</x:v>
      </x:c>
      <x:c r="X815" s="26" t="n">
        <x:v>-75.6906111</x:v>
      </x:c>
      <x:c r="AF815" t="s">
        <x:v>50</x:v>
      </x:c>
      <x:c r="AG815" t="s">
        <x:v>402</x:v>
      </x:c>
      <x:c r="AH815" t="s">
        <x:v>1710</x:v>
      </x:c>
      <x:c r="AI815" t="s">
        <x:v>5777</x:v>
      </x:c>
      <x:c r="AJ815">
        <x:v>872</x:v>
      </x:c>
    </x:row>
    <x:row r="816">
      <x:c r="A816" t="s">
        <x:v>5716</x:v>
      </x:c>
      <x:c r="B816" t="s">
        <x:v>5717</x:v>
      </x:c>
      <x:c r="C816" t="s">
        <x:v>5766</x:v>
      </x:c>
      <x:c r="D816" t="s">
        <x:v>5778</x:v>
      </x:c>
      <x:c r="E816" t="s">
        <x:v>5768</x:v>
      </x:c>
      <x:c r="F816">
        <x:v>2525</x:v>
      </x:c>
      <x:c r="G816">
        <x:v>2525</x:v>
      </x:c>
      <x:c r="H816">
        <x:v>2525</x:v>
      </x:c>
      <x:c r="I816" t="s">
        <x:v>5769</x:v>
      </x:c>
      <x:c r="J816" t="s">
        <x:v>5770</x:v>
      </x:c>
      <x:c r="K816" t="s">
        <x:v>5771</x:v>
      </x:c>
      <x:c r="L816" t="s">
        <x:v>5772</x:v>
      </x:c>
      <x:c r="M816" t="s">
        <x:v>5773</x:v>
      </x:c>
      <x:c r="N816" t="s">
        <x:v>5774</x:v>
      </x:c>
      <x:c r="O816" t="s">
        <x:v>5775</x:v>
      </x:c>
      <x:c r="P816" t="s">
        <x:v>5776</x:v>
      </x:c>
      <x:c r="R816" s="9">
        <x:v>37537</x:v>
      </x:c>
      <x:c r="W816" s="26" t="n">
        <x:v>6.5999444</x:v>
      </x:c>
      <x:c r="X816" s="26" t="n">
        <x:v>-75.6906111</x:v>
      </x:c>
      <x:c r="AF816" t="s">
        <x:v>50</x:v>
      </x:c>
      <x:c r="AG816" t="s">
        <x:v>402</x:v>
      </x:c>
      <x:c r="AH816" t="s">
        <x:v>1710</x:v>
      </x:c>
      <x:c r="AI816" t="s">
        <x:v>5777</x:v>
      </x:c>
      <x:c r="AJ816">
        <x:v>873</x:v>
      </x:c>
    </x:row>
    <x:row r="817">
      <x:c r="A817" t="s">
        <x:v>5716</x:v>
      </x:c>
      <x:c r="B817" t="s">
        <x:v>5717</x:v>
      </x:c>
      <x:c r="C817" t="s">
        <x:v>5766</x:v>
      </x:c>
      <x:c r="D817" t="s">
        <x:v>5779</x:v>
      </x:c>
      <x:c r="E817" t="s">
        <x:v>5768</x:v>
      </x:c>
      <x:c r="F817">
        <x:v>2525</x:v>
      </x:c>
      <x:c r="G817">
        <x:v>2525</x:v>
      </x:c>
      <x:c r="H817">
        <x:v>2525</x:v>
      </x:c>
      <x:c r="I817" t="s">
        <x:v>5769</x:v>
      </x:c>
      <x:c r="J817" t="s">
        <x:v>5770</x:v>
      </x:c>
      <x:c r="K817" t="s">
        <x:v>5771</x:v>
      </x:c>
      <x:c r="L817" t="s">
        <x:v>5772</x:v>
      </x:c>
      <x:c r="M817" t="s">
        <x:v>5773</x:v>
      </x:c>
      <x:c r="N817" t="s">
        <x:v>5774</x:v>
      </x:c>
      <x:c r="O817" t="s">
        <x:v>5775</x:v>
      </x:c>
      <x:c r="P817" t="s">
        <x:v>5776</x:v>
      </x:c>
      <x:c r="R817" s="9">
        <x:v>37537</x:v>
      </x:c>
      <x:c r="T817" t="s">
        <x:v>119</x:v>
      </x:c>
      <x:c r="W817" s="26" t="n">
        <x:v>6.5999444</x:v>
      </x:c>
      <x:c r="X817" s="26" t="n">
        <x:v>-75.6906111</x:v>
      </x:c>
      <x:c r="AF817" t="s">
        <x:v>50</x:v>
      </x:c>
      <x:c r="AG817" t="s">
        <x:v>402</x:v>
      </x:c>
      <x:c r="AH817" t="s">
        <x:v>1710</x:v>
      </x:c>
      <x:c r="AI817" t="s">
        <x:v>5777</x:v>
      </x:c>
      <x:c r="AJ817">
        <x:v>874</x:v>
      </x:c>
    </x:row>
    <x:row r="818">
      <x:c r="A818" t="s">
        <x:v>5716</x:v>
      </x:c>
      <x:c r="B818" t="s">
        <x:v>5717</x:v>
      </x:c>
      <x:c r="C818" t="s">
        <x:v>5780</x:v>
      </x:c>
      <x:c r="D818" t="s">
        <x:v>5781</x:v>
      </x:c>
      <x:c r="E818" t="s">
        <x:v>5782</x:v>
      </x:c>
      <x:c r="F818">
        <x:v>2920</x:v>
      </x:c>
      <x:c r="G818">
        <x:v>2920</x:v>
      </x:c>
      <x:c r="H818">
        <x:v>2920</x:v>
      </x:c>
      <x:c r="I818" t="s">
        <x:v>5783</x:v>
      </x:c>
      <x:c r="J818" t="s">
        <x:v>5784</x:v>
      </x:c>
      <x:c r="K818" t="s">
        <x:v>5785</x:v>
      </x:c>
      <x:c r="L818" t="s">
        <x:v>5786</x:v>
      </x:c>
      <x:c r="M818" t="s">
        <x:v>5787</x:v>
      </x:c>
      <x:c r="N818" t="s">
        <x:v>5788</x:v>
      </x:c>
      <x:c r="O818" t="s">
        <x:v>5789</x:v>
      </x:c>
      <x:c r="P818" t="s">
        <x:v>5790</x:v>
      </x:c>
      <x:c r="R818" s="9">
        <x:v>37539</x:v>
      </x:c>
      <x:c r="W818" s="26" t="n">
        <x:v>6.49881</x:v>
      </x:c>
      <x:c r="X818" s="26" t="n">
        <x:v>-75.63637</x:v>
      </x:c>
      <x:c r="Y818">
        <x:v>1715.8679999999999</x:v>
      </x:c>
      <x:c r="Z818">
        <x:v>2964</x:v>
      </x:c>
      <x:c r="AB818" t="s">
        <x:v>5791</x:v>
      </x:c>
      <x:c r="AF818" t="s">
        <x:v>50</x:v>
      </x:c>
      <x:c r="AG818" t="s">
        <x:v>402</x:v>
      </x:c>
      <x:c r="AH818" t="s">
        <x:v>1710</x:v>
      </x:c>
      <x:c r="AI818" t="s">
        <x:v>5792</x:v>
      </x:c>
      <x:c r="AJ818">
        <x:v>876</x:v>
      </x:c>
    </x:row>
    <x:row r="819">
      <x:c r="A819" t="s">
        <x:v>5716</x:v>
      </x:c>
      <x:c r="B819" t="s">
        <x:v>5717</x:v>
      </x:c>
      <x:c r="C819" t="s">
        <x:v>5780</x:v>
      </x:c>
      <x:c r="D819" t="s">
        <x:v>5793</x:v>
      </x:c>
      <x:c r="E819" t="s">
        <x:v>5782</x:v>
      </x:c>
      <x:c r="F819">
        <x:v>2920</x:v>
      </x:c>
      <x:c r="G819">
        <x:v>2920</x:v>
      </x:c>
      <x:c r="H819">
        <x:v>2920</x:v>
      </x:c>
      <x:c r="I819" t="s">
        <x:v>5783</x:v>
      </x:c>
      <x:c r="J819" t="s">
        <x:v>5784</x:v>
      </x:c>
      <x:c r="K819" t="s">
        <x:v>5785</x:v>
      </x:c>
      <x:c r="L819" t="s">
        <x:v>5786</x:v>
      </x:c>
      <x:c r="M819" t="s">
        <x:v>5787</x:v>
      </x:c>
      <x:c r="N819" t="s">
        <x:v>5788</x:v>
      </x:c>
      <x:c r="O819" t="s">
        <x:v>5789</x:v>
      </x:c>
      <x:c r="P819" t="s">
        <x:v>5790</x:v>
      </x:c>
      <x:c r="R819" s="9">
        <x:v>37539</x:v>
      </x:c>
      <x:c r="T819" t="s">
        <x:v>119</x:v>
      </x:c>
      <x:c r="W819" s="26" t="n">
        <x:v>6.49881</x:v>
      </x:c>
      <x:c r="X819" s="26" t="n">
        <x:v>-75.63637</x:v>
      </x:c>
      <x:c r="Y819">
        <x:v>1715.8679999999999</x:v>
      </x:c>
      <x:c r="Z819">
        <x:v>2964</x:v>
      </x:c>
      <x:c r="AB819" t="s">
        <x:v>5791</x:v>
      </x:c>
      <x:c r="AF819" t="s">
        <x:v>50</x:v>
      </x:c>
      <x:c r="AG819" t="s">
        <x:v>402</x:v>
      </x:c>
      <x:c r="AH819" t="s">
        <x:v>1710</x:v>
      </x:c>
      <x:c r="AI819" t="s">
        <x:v>5792</x:v>
      </x:c>
      <x:c r="AJ819">
        <x:v>877</x:v>
      </x:c>
    </x:row>
    <x:row r="820">
      <x:c r="A820" t="s">
        <x:v>5716</x:v>
      </x:c>
      <x:c r="B820" t="s">
        <x:v>5717</x:v>
      </x:c>
      <x:c r="C820" t="s">
        <x:v>5794</x:v>
      </x:c>
      <x:c r="D820" t="s">
        <x:v>5795</x:v>
      </x:c>
      <x:c r="E820" t="s">
        <x:v>5782</x:v>
      </x:c>
      <x:c r="F820">
        <x:v>2920</x:v>
      </x:c>
      <x:c r="G820">
        <x:v>2920</x:v>
      </x:c>
      <x:c r="H820">
        <x:v>2920</x:v>
      </x:c>
      <x:c r="I820" t="s">
        <x:v>5783</x:v>
      </x:c>
      <x:c r="J820" t="s">
        <x:v>5784</x:v>
      </x:c>
      <x:c r="K820" t="s">
        <x:v>5785</x:v>
      </x:c>
      <x:c r="L820" t="s">
        <x:v>5786</x:v>
      </x:c>
      <x:c r="M820" t="s">
        <x:v>5787</x:v>
      </x:c>
      <x:c r="N820" t="s">
        <x:v>5788</x:v>
      </x:c>
      <x:c r="O820" t="s">
        <x:v>5789</x:v>
      </x:c>
      <x:c r="P820" t="s">
        <x:v>5790</x:v>
      </x:c>
      <x:c r="R820" s="9">
        <x:v>37539</x:v>
      </x:c>
      <x:c r="T820" t="s">
        <x:v>119</x:v>
      </x:c>
      <x:c r="W820" s="26" t="n">
        <x:v>6.49881</x:v>
      </x:c>
      <x:c r="X820" s="26" t="n">
        <x:v>-75.63637</x:v>
      </x:c>
      <x:c r="Y820">
        <x:v>1715.8679999999999</x:v>
      </x:c>
      <x:c r="Z820">
        <x:v>2964</x:v>
      </x:c>
      <x:c r="AB820" t="s">
        <x:v>5791</x:v>
      </x:c>
      <x:c r="AF820" t="s">
        <x:v>50</x:v>
      </x:c>
      <x:c r="AG820" t="s">
        <x:v>402</x:v>
      </x:c>
      <x:c r="AH820" t="s">
        <x:v>1710</x:v>
      </x:c>
      <x:c r="AI820" t="s">
        <x:v>5792</x:v>
      </x:c>
      <x:c r="AJ820">
        <x:v>878</x:v>
      </x:c>
    </x:row>
    <x:row r="821">
      <x:c r="A821" t="s">
        <x:v>5716</x:v>
      </x:c>
      <x:c r="B821" t="s">
        <x:v>5717</x:v>
      </x:c>
      <x:c r="C821" t="s">
        <x:v>5796</x:v>
      </x:c>
      <x:c r="D821" t="s">
        <x:v>5797</x:v>
      </x:c>
      <x:c r="E821" t="s">
        <x:v>5798</x:v>
      </x:c>
      <x:c r="F821" t="s">
        <x:v>2608</x:v>
      </x:c>
      <x:c r="G821">
        <x:v>2280</x:v>
      </x:c>
      <x:c r="H821">
        <x:v>2560</x:v>
      </x:c>
      <x:c r="I821" t="s">
        <x:v>5758</x:v>
      </x:c>
      <x:c r="J821" t="s">
        <x:v>5759</x:v>
      </x:c>
      <x:c r="K821" t="s">
        <x:v>5760</x:v>
      </x:c>
      <x:c r="L821" t="s">
        <x:v>5761</x:v>
      </x:c>
      <x:c r="M821" t="s">
        <x:v>5762</x:v>
      </x:c>
      <x:c r="N821" t="s">
        <x:v>2612</x:v>
      </x:c>
      <x:c r="O821" t="s">
        <x:v>5763</x:v>
      </x:c>
      <x:c r="P821" t="s">
        <x:v>5764</x:v>
      </x:c>
      <x:c r="R821" s="9">
        <x:v>38361</x:v>
      </x:c>
      <x:c r="T821" t="s">
        <x:v>119</x:v>
      </x:c>
      <x:c r="W821" s="26" t="n">
        <x:v>5.487</x:v>
      </x:c>
      <x:c r="X821" s="26" t="n">
        <x:v>-75.8979444</x:v>
      </x:c>
      <x:c r="AF821" t="s">
        <x:v>50</x:v>
      </x:c>
      <x:c r="AG821" t="s">
        <x:v>402</x:v>
      </x:c>
      <x:c r="AH821" t="s">
        <x:v>627</x:v>
      </x:c>
      <x:c r="AI821" t="s">
        <x:v>5799</x:v>
      </x:c>
      <x:c r="AJ821">
        <x:v>879</x:v>
      </x:c>
    </x:row>
    <x:row r="822">
      <x:c r="A822" t="s">
        <x:v>5716</x:v>
      </x:c>
      <x:c r="B822" t="s">
        <x:v>5717</x:v>
      </x:c>
      <x:c r="C822" t="s">
        <x:v>5800</x:v>
      </x:c>
      <x:c r="D822" t="s">
        <x:v>5801</x:v>
      </x:c>
      <x:c r="E822" t="s">
        <x:v>4624</x:v>
      </x:c>
      <x:c r="F822">
        <x:v>2870</x:v>
      </x:c>
      <x:c r="G822">
        <x:v>2870</x:v>
      </x:c>
      <x:c r="H822">
        <x:v>2870</x:v>
      </x:c>
      <x:c r="I822" t="s">
        <x:v>4625</x:v>
      </x:c>
      <x:c r="J822" t="s">
        <x:v>4626</x:v>
      </x:c>
      <x:c r="K822" t="s">
        <x:v>4627</x:v>
      </x:c>
      <x:c r="L822" t="s">
        <x:v>4628</x:v>
      </x:c>
      <x:c r="M822" t="s">
        <x:v>4629</x:v>
      </x:c>
      <x:c r="N822" t="s">
        <x:v>4630</x:v>
      </x:c>
      <x:c r="O822" t="s">
        <x:v>4631</x:v>
      </x:c>
      <x:c r="P822" t="s">
        <x:v>4632</x:v>
      </x:c>
      <x:c r="R822" s="9">
        <x:v>38364</x:v>
      </x:c>
      <x:c r="T822" t="s">
        <x:v>119</x:v>
      </x:c>
      <x:c r="W822" s="26" t="n">
        <x:v>5.5417778</x:v>
      </x:c>
      <x:c r="X822" s="26" t="n">
        <x:v>-75.8075278</x:v>
      </x:c>
      <x:c r="AF822" t="s">
        <x:v>50</x:v>
      </x:c>
      <x:c r="AG822" t="s">
        <x:v>402</x:v>
      </x:c>
      <x:c r="AH822" t="s">
        <x:v>627</x:v>
      </x:c>
      <x:c r="AI822" t="s">
        <x:v>4633</x:v>
      </x:c>
      <x:c r="AJ822">
        <x:v>880</x:v>
      </x:c>
    </x:row>
    <x:row r="823">
      <x:c r="A823" t="s">
        <x:v>5716</x:v>
      </x:c>
      <x:c r="B823" t="s">
        <x:v>5717</x:v>
      </x:c>
      <x:c r="C823" t="s">
        <x:v>5802</x:v>
      </x:c>
      <x:c r="D823" t="s">
        <x:v>5803</x:v>
      </x:c>
      <x:c r="E823" t="s">
        <x:v>4624</x:v>
      </x:c>
      <x:c r="F823">
        <x:v>2870</x:v>
      </x:c>
      <x:c r="G823">
        <x:v>2870</x:v>
      </x:c>
      <x:c r="H823">
        <x:v>2870</x:v>
      </x:c>
      <x:c r="I823" t="s">
        <x:v>4625</x:v>
      </x:c>
      <x:c r="J823" t="s">
        <x:v>4626</x:v>
      </x:c>
      <x:c r="K823" t="s">
        <x:v>4627</x:v>
      </x:c>
      <x:c r="L823" t="s">
        <x:v>4628</x:v>
      </x:c>
      <x:c r="M823" t="s">
        <x:v>4629</x:v>
      </x:c>
      <x:c r="N823" t="s">
        <x:v>4630</x:v>
      </x:c>
      <x:c r="O823" t="s">
        <x:v>4631</x:v>
      </x:c>
      <x:c r="P823" t="s">
        <x:v>4632</x:v>
      </x:c>
      <x:c r="R823" s="9">
        <x:v>38364</x:v>
      </x:c>
      <x:c r="W823" s="26" t="n">
        <x:v>5.5417778</x:v>
      </x:c>
      <x:c r="X823" s="26" t="n">
        <x:v>-75.8075278</x:v>
      </x:c>
      <x:c r="AF823" t="s">
        <x:v>50</x:v>
      </x:c>
      <x:c r="AG823" t="s">
        <x:v>402</x:v>
      </x:c>
      <x:c r="AH823" t="s">
        <x:v>627</x:v>
      </x:c>
      <x:c r="AI823" t="s">
        <x:v>4633</x:v>
      </x:c>
      <x:c r="AJ823">
        <x:v>881</x:v>
      </x:c>
    </x:row>
    <x:row r="824">
      <x:c r="A824" t="s">
        <x:v>5716</x:v>
      </x:c>
      <x:c r="B824" t="s">
        <x:v>5717</x:v>
      </x:c>
      <x:c r="C824" t="s">
        <x:v>5804</x:v>
      </x:c>
      <x:c r="D824" t="s">
        <x:v>5805</x:v>
      </x:c>
      <x:c r="E824" t="s">
        <x:v>5806</x:v>
      </x:c>
      <x:c r="F824" t="s">
        <x:v>4637</x:v>
      </x:c>
      <x:c r="G824">
        <x:v>2950</x:v>
      </x:c>
      <x:c r="H824">
        <x:v>3050</x:v>
      </x:c>
      <x:c r="I824" t="s">
        <x:v>4638</x:v>
      </x:c>
      <x:c r="J824" t="s">
        <x:v>4639</x:v>
      </x:c>
      <x:c r="K824" t="s">
        <x:v>4640</x:v>
      </x:c>
      <x:c r="L824" t="s">
        <x:v>4641</x:v>
      </x:c>
      <x:c r="M824" t="s">
        <x:v>4642</x:v>
      </x:c>
      <x:c r="N824" t="s">
        <x:v>4643</x:v>
      </x:c>
      <x:c r="O824" t="s">
        <x:v>4644</x:v>
      </x:c>
      <x:c r="P824" t="s">
        <x:v>4645</x:v>
      </x:c>
      <x:c r="R824" s="9">
        <x:v>38625</x:v>
      </x:c>
      <x:c r="T824" t="s">
        <x:v>119</x:v>
      </x:c>
      <x:c r="W824" s="26" t="n">
        <x:v>6.3416667</x:v>
      </x:c>
      <x:c r="X824" s="26" t="n">
        <x:v>-75.6472222</x:v>
      </x:c>
      <x:c r="AF824" t="s">
        <x:v>50</x:v>
      </x:c>
      <x:c r="AG824" t="s">
        <x:v>402</x:v>
      </x:c>
      <x:c r="AH824" t="s">
        <x:v>2263</x:v>
      </x:c>
      <x:c r="AI824" t="s">
        <x:v>5807</x:v>
      </x:c>
      <x:c r="AJ824">
        <x:v>882</x:v>
      </x:c>
    </x:row>
    <x:row r="825">
      <x:c r="A825" t="s">
        <x:v>5716</x:v>
      </x:c>
      <x:c r="B825" t="s">
        <x:v>5717</x:v>
      </x:c>
      <x:c r="C825" t="s">
        <x:v>5808</x:v>
      </x:c>
      <x:c r="D825" t="s">
        <x:v>5809</x:v>
      </x:c>
      <x:c r="E825" t="s">
        <x:v>5810</x:v>
      </x:c>
      <x:c r="F825">
        <x:v>2725</x:v>
      </x:c>
      <x:c r="G825">
        <x:v>2725</x:v>
      </x:c>
      <x:c r="H825">
        <x:v>2725</x:v>
      </x:c>
      <x:c r="I825" t="s">
        <x:v>5811</x:v>
      </x:c>
      <x:c r="J825" t="s">
        <x:v>5812</x:v>
      </x:c>
      <x:c r="K825" t="s">
        <x:v>5813</x:v>
      </x:c>
      <x:c r="L825" t="s">
        <x:v>5814</x:v>
      </x:c>
      <x:c r="M825" t="s">
        <x:v>5815</x:v>
      </x:c>
      <x:c r="N825" t="s">
        <x:v>5816</x:v>
      </x:c>
      <x:c r="O825" t="s">
        <x:v>5817</x:v>
      </x:c>
      <x:c r="P825" t="s">
        <x:v>5818</x:v>
      </x:c>
      <x:c r="R825" s="9">
        <x:v>39016</x:v>
      </x:c>
      <x:c r="T825" t="s">
        <x:v>119</x:v>
      </x:c>
      <x:c r="W825" s="26" t="n">
        <x:v>6.2546472</x:v>
      </x:c>
      <x:c r="X825" s="26" t="n">
        <x:v>-75.7113861</x:v>
      </x:c>
      <x:c r="AF825" t="s">
        <x:v>50</x:v>
      </x:c>
      <x:c r="AG825" t="s">
        <x:v>402</x:v>
      </x:c>
      <x:c r="AH825" t="s">
        <x:v>855</x:v>
      </x:c>
      <x:c r="AI825" t="s">
        <x:v>5819</x:v>
      </x:c>
      <x:c r="AJ825">
        <x:v>883</x:v>
      </x:c>
    </x:row>
    <x:row r="826">
      <x:c r="A826" t="s">
        <x:v>5716</x:v>
      </x:c>
      <x:c r="B826" t="s">
        <x:v>5717</x:v>
      </x:c>
      <x:c r="C826" t="s">
        <x:v>5820</x:v>
      </x:c>
      <x:c r="D826" t="s">
        <x:v>5821</x:v>
      </x:c>
      <x:c r="E826" t="s">
        <x:v>5822</x:v>
      </x:c>
      <x:c r="F826">
        <x:v>2725</x:v>
      </x:c>
      <x:c r="G826">
        <x:v>2725</x:v>
      </x:c>
      <x:c r="H826">
        <x:v>2725</x:v>
      </x:c>
      <x:c r="I826" t="s">
        <x:v>5811</x:v>
      </x:c>
      <x:c r="J826" t="s">
        <x:v>5812</x:v>
      </x:c>
      <x:c r="K826" t="s">
        <x:v>5813</x:v>
      </x:c>
      <x:c r="L826" t="s">
        <x:v>5814</x:v>
      </x:c>
      <x:c r="M826" t="s">
        <x:v>5815</x:v>
      </x:c>
      <x:c r="N826" t="s">
        <x:v>5816</x:v>
      </x:c>
      <x:c r="O826" t="s">
        <x:v>5817</x:v>
      </x:c>
      <x:c r="P826" t="s">
        <x:v>5818</x:v>
      </x:c>
      <x:c r="R826" s="9">
        <x:v>39016</x:v>
      </x:c>
      <x:c r="T826" t="s">
        <x:v>119</x:v>
      </x:c>
      <x:c r="W826" s="26" t="n">
        <x:v>6.2546472</x:v>
      </x:c>
      <x:c r="X826" s="26" t="n">
        <x:v>-75.7113861</x:v>
      </x:c>
      <x:c r="AF826" t="s">
        <x:v>50</x:v>
      </x:c>
      <x:c r="AG826" t="s">
        <x:v>402</x:v>
      </x:c>
      <x:c r="AH826" t="s">
        <x:v>855</x:v>
      </x:c>
      <x:c r="AI826" t="s">
        <x:v>5823</x:v>
      </x:c>
      <x:c r="AJ826">
        <x:v>884</x:v>
      </x:c>
    </x:row>
    <x:row r="827">
      <x:c r="A827" t="s">
        <x:v>5716</x:v>
      </x:c>
      <x:c r="B827" t="s">
        <x:v>5717</x:v>
      </x:c>
      <x:c r="C827" t="s">
        <x:v>5824</x:v>
      </x:c>
      <x:c r="D827" t="s">
        <x:v>1529</x:v>
      </x:c>
      <x:c r="E827" t="s">
        <x:v>5825</x:v>
      </x:c>
      <x:c r="F827">
        <x:v>3126</x:v>
      </x:c>
      <x:c r="G827">
        <x:v>3126</x:v>
      </x:c>
      <x:c r="H827">
        <x:v>3126</x:v>
      </x:c>
      <x:c r="I827" t="s">
        <x:v>5826</x:v>
      </x:c>
      <x:c r="J827" t="s">
        <x:v>5827</x:v>
      </x:c>
      <x:c r="K827" t="s">
        <x:v>5828</x:v>
      </x:c>
      <x:c r="L827" t="s">
        <x:v>5829</x:v>
      </x:c>
      <x:c r="M827" t="s">
        <x:v>5830</x:v>
      </x:c>
      <x:c r="P827" t="s">
        <x:v>80</x:v>
      </x:c>
      <x:c r="R827" s="9">
        <x:v>40948</x:v>
      </x:c>
      <x:c r="T827" t="s">
        <x:v>119</x:v>
      </x:c>
      <x:c r="W827" s="26" t="n">
        <x:v>6.621966667</x:v>
      </x:c>
      <x:c r="X827" s="26" t="n">
        <x:v>-75.64495</x:v>
      </x:c>
      <x:c r="AF827" t="s">
        <x:v>50</x:v>
      </x:c>
      <x:c r="AG827" t="s">
        <x:v>402</x:v>
      </x:c>
      <x:c r="AH827" t="s">
        <x:v>1710</x:v>
      </x:c>
      <x:c r="AI827" t="s">
        <x:v>5831</x:v>
      </x:c>
      <x:c r="AJ827">
        <x:v>885</x:v>
      </x:c>
    </x:row>
    <x:row r="828">
      <x:c r="A828" t="s">
        <x:v>5716</x:v>
      </x:c>
      <x:c r="B828" t="s">
        <x:v>5717</x:v>
      </x:c>
      <x:c r="C828" t="s">
        <x:v>5832</x:v>
      </x:c>
      <x:c r="D828" t="s">
        <x:v>1837</x:v>
      </x:c>
      <x:c r="E828" t="s">
        <x:v>5825</x:v>
      </x:c>
      <x:c r="F828">
        <x:v>3126</x:v>
      </x:c>
      <x:c r="G828">
        <x:v>3126</x:v>
      </x:c>
      <x:c r="H828">
        <x:v>3126</x:v>
      </x:c>
      <x:c r="I828" t="s">
        <x:v>5826</x:v>
      </x:c>
      <x:c r="J828" t="s">
        <x:v>5827</x:v>
      </x:c>
      <x:c r="K828" t="s">
        <x:v>5828</x:v>
      </x:c>
      <x:c r="L828" t="s">
        <x:v>5829</x:v>
      </x:c>
      <x:c r="M828" t="s">
        <x:v>5830</x:v>
      </x:c>
      <x:c r="P828" t="s">
        <x:v>80</x:v>
      </x:c>
      <x:c r="R828" s="9">
        <x:v>40948</x:v>
      </x:c>
      <x:c r="T828" t="s">
        <x:v>111</x:v>
      </x:c>
      <x:c r="W828" s="26" t="n">
        <x:v>6.621966667</x:v>
      </x:c>
      <x:c r="X828" s="26" t="n">
        <x:v>-75.64495</x:v>
      </x:c>
      <x:c r="AF828" t="s">
        <x:v>50</x:v>
      </x:c>
      <x:c r="AG828" t="s">
        <x:v>402</x:v>
      </x:c>
      <x:c r="AH828" t="s">
        <x:v>1710</x:v>
      </x:c>
      <x:c r="AI828" t="s">
        <x:v>5831</x:v>
      </x:c>
      <x:c r="AJ828">
        <x:v>886</x:v>
      </x:c>
    </x:row>
    <x:row r="829">
      <x:c r="A829" t="s">
        <x:v>5716</x:v>
      </x:c>
      <x:c r="B829" t="s">
        <x:v>5717</x:v>
      </x:c>
      <x:c r="C829" t="s">
        <x:v>5833</x:v>
      </x:c>
      <x:c r="D829" t="s">
        <x:v>5834</x:v>
      </x:c>
      <x:c r="E829" t="s">
        <x:v>5835</x:v>
      </x:c>
      <x:c r="F829">
        <x:v>2500</x:v>
      </x:c>
      <x:c r="G829">
        <x:v>2500</x:v>
      </x:c>
      <x:c r="H829">
        <x:v>2500</x:v>
      </x:c>
      <x:c r="P829" t="s">
        <x:v>80</x:v>
      </x:c>
      <x:c r="R829" s="9">
        <x:v>24757</x:v>
      </x:c>
      <x:c r="W829" s="26" t="n">
        <x:v>5.64016</x:v>
      </x:c>
      <x:c r="X829" s="26" t="n">
        <x:v>-72.79209</x:v>
      </x:c>
      <x:c r="Y829">
        <x:v>1973.1220000000001</x:v>
      </x:c>
      <x:c r="Z829">
        <x:v>3684</x:v>
      </x:c>
      <x:c r="AA829" t="s">
        <x:v>5836</x:v>
      </x:c>
      <x:c r="AB829" t="s">
        <x:v>5837</x:v>
      </x:c>
      <x:c r="AF829" t="s">
        <x:v>50</x:v>
      </x:c>
      <x:c r="AG829" t="s">
        <x:v>90</x:v>
      </x:c>
      <x:c r="AH829" t="s">
        <x:v>5838</x:v>
      </x:c>
      <x:c r="AJ829">
        <x:v>887</x:v>
      </x:c>
    </x:row>
    <x:row r="830">
      <x:c r="A830" t="s">
        <x:v>5716</x:v>
      </x:c>
      <x:c r="B830" t="s">
        <x:v>5717</x:v>
      </x:c>
      <x:c r="C830" t="s">
        <x:v>5839</x:v>
      </x:c>
      <x:c r="D830" t="s">
        <x:v>5840</x:v>
      </x:c>
      <x:c r="E830" t="s">
        <x:v>2678</x:v>
      </x:c>
      <x:c r="F830">
        <x:v>2700</x:v>
      </x:c>
      <x:c r="G830">
        <x:v>2700</x:v>
      </x:c>
      <x:c r="H830">
        <x:v>2700</x:v>
      </x:c>
      <x:c r="P830" t="s">
        <x:v>80</x:v>
      </x:c>
      <x:c r="R830" s="9">
        <x:v>37051</x:v>
      </x:c>
      <x:c r="T830" t="s">
        <x:v>111</x:v>
      </x:c>
      <x:c r="W830" s="26" t="n">
        <x:v>5.7076</x:v>
      </x:c>
      <x:c r="X830" s="26" t="n">
        <x:v>-73.46126</x:v>
      </x:c>
      <x:c r="Y830">
        <x:v>1286.856</x:v>
      </x:c>
      <x:c r="Z830">
        <x:v>2969</x:v>
      </x:c>
      <x:c r="AB830" t="s">
        <x:v>2679</x:v>
      </x:c>
      <x:c r="AF830" t="s">
        <x:v>50</x:v>
      </x:c>
      <x:c r="AG830" t="s">
        <x:v>90</x:v>
      </x:c>
      <x:c r="AH830" t="s">
        <x:v>2680</x:v>
      </x:c>
      <x:c r="AI830" t="s">
        <x:v>2681</x:v>
      </x:c>
      <x:c r="AJ830">
        <x:v>888</x:v>
      </x:c>
    </x:row>
    <x:row r="831">
      <x:c r="A831" t="s">
        <x:v>5716</x:v>
      </x:c>
      <x:c r="B831" t="s">
        <x:v>5717</x:v>
      </x:c>
      <x:c r="C831" t="s">
        <x:v>5841</x:v>
      </x:c>
      <x:c r="D831" t="s">
        <x:v>5842</x:v>
      </x:c>
      <x:c r="E831" t="s">
        <x:v>5843</x:v>
      </x:c>
      <x:c r="F831" t="s">
        <x:v>1445</x:v>
      </x:c>
      <x:c r="G831">
        <x:v>2700</x:v>
      </x:c>
      <x:c r="H831">
        <x:v>2800</x:v>
      </x:c>
      <x:c r="I831" t="s">
        <x:v>4889</x:v>
      </x:c>
      <x:c r="J831" t="s">
        <x:v>4890</x:v>
      </x:c>
      <x:c r="K831" t="s">
        <x:v>4891</x:v>
      </x:c>
      <x:c r="L831" t="s">
        <x:v>4892</x:v>
      </x:c>
      <x:c r="M831" t="s">
        <x:v>4893</x:v>
      </x:c>
      <x:c r="N831" t="s">
        <x:v>4894</x:v>
      </x:c>
      <x:c r="O831" t="s">
        <x:v>4895</x:v>
      </x:c>
      <x:c r="P831" t="s">
        <x:v>4896</x:v>
      </x:c>
      <x:c r="R831" s="9">
        <x:v>37838</x:v>
      </x:c>
      <x:c r="T831" t="s">
        <x:v>119</x:v>
      </x:c>
      <x:c r="W831" s="26" t="n">
        <x:v>2.55</x:v>
      </x:c>
      <x:c r="X831" s="26" t="n">
        <x:v>-76.0666667</x:v>
      </x:c>
      <x:c r="AF831" t="s">
        <x:v>50</x:v>
      </x:c>
      <x:c r="AG831" t="s">
        <x:v>283</x:v>
      </x:c>
      <x:c r="AH831" t="s">
        <x:v>4847</x:v>
      </x:c>
      <x:c r="AI831" t="s">
        <x:v>5844</x:v>
      </x:c>
      <x:c r="AJ831">
        <x:v>889</x:v>
      </x:c>
    </x:row>
    <x:row r="832">
      <x:c r="A832" t="s">
        <x:v>5716</x:v>
      </x:c>
      <x:c r="B832" t="s">
        <x:v>5717</x:v>
      </x:c>
      <x:c r="C832" t="s">
        <x:v>5845</x:v>
      </x:c>
      <x:c r="D832" t="s">
        <x:v>5846</x:v>
      </x:c>
      <x:c r="E832" t="s">
        <x:v>5847</x:v>
      </x:c>
      <x:c r="F832">
        <x:v>2800</x:v>
      </x:c>
      <x:c r="G832">
        <x:v>2800</x:v>
      </x:c>
      <x:c r="H832">
        <x:v>2800</x:v>
      </x:c>
      <x:c r="P832" t="s">
        <x:v>80</x:v>
      </x:c>
      <x:c r="R832" s="9">
        <x:v>24736</x:v>
      </x:c>
      <x:c r="T832" t="s">
        <x:v>111</x:v>
      </x:c>
      <x:c r="W832" s="26" t="n">
        <x:v>4.4642</x:v>
      </x:c>
      <x:c r="X832" s="26" t="n">
        <x:v>-74.29754</x:v>
      </x:c>
      <x:c r="Y832">
        <x:v>2218.2809999999999</x:v>
      </x:c>
      <x:c r="Z832">
        <x:v>2804</x:v>
      </x:c>
      <x:c r="AB832" t="s">
        <x:v>5848</x:v>
      </x:c>
      <x:c r="AF832" t="s">
        <x:v>50</x:v>
      </x:c>
      <x:c r="AG832" t="s">
        <x:v>98</x:v>
      </x:c>
      <x:c r="AH832" t="s">
        <x:v>5849</x:v>
      </x:c>
      <x:c r="AI832" t="s">
        <x:v>5850</x:v>
      </x:c>
      <x:c r="AJ832">
        <x:v>890</x:v>
      </x:c>
    </x:row>
    <x:row r="833">
      <x:c r="A833" t="s">
        <x:v>5716</x:v>
      </x:c>
      <x:c r="B833" t="s">
        <x:v>5717</x:v>
      </x:c>
      <x:c r="C833" t="s">
        <x:v>5851</x:v>
      </x:c>
      <x:c r="D833" t="s">
        <x:v>5852</x:v>
      </x:c>
      <x:c r="E833" t="s">
        <x:v>5847</x:v>
      </x:c>
      <x:c r="F833">
        <x:v>2800</x:v>
      </x:c>
      <x:c r="G833">
        <x:v>2800</x:v>
      </x:c>
      <x:c r="H833">
        <x:v>2800</x:v>
      </x:c>
      <x:c r="P833" t="s">
        <x:v>80</x:v>
      </x:c>
      <x:c r="R833" s="9">
        <x:v>24736</x:v>
      </x:c>
      <x:c r="W833" s="26" t="n">
        <x:v>4.4642</x:v>
      </x:c>
      <x:c r="X833" s="26" t="n">
        <x:v>-74.29754</x:v>
      </x:c>
      <x:c r="Y833">
        <x:v>2218.2809999999999</x:v>
      </x:c>
      <x:c r="Z833">
        <x:v>2804</x:v>
      </x:c>
      <x:c r="AB833" t="s">
        <x:v>5848</x:v>
      </x:c>
      <x:c r="AF833" t="s">
        <x:v>50</x:v>
      </x:c>
      <x:c r="AG833" t="s">
        <x:v>98</x:v>
      </x:c>
      <x:c r="AH833" t="s">
        <x:v>5849</x:v>
      </x:c>
      <x:c r="AI833" t="s">
        <x:v>5850</x:v>
      </x:c>
      <x:c r="AJ833">
        <x:v>891</x:v>
      </x:c>
    </x:row>
    <x:row r="834">
      <x:c r="A834" t="s">
        <x:v>5716</x:v>
      </x:c>
      <x:c r="B834" t="s">
        <x:v>5717</x:v>
      </x:c>
      <x:c r="C834" t="s">
        <x:v>5853</x:v>
      </x:c>
      <x:c r="D834" t="s">
        <x:v>5854</x:v>
      </x:c>
      <x:c r="E834" t="s">
        <x:v>5855</x:v>
      </x:c>
      <x:c r="F834">
        <x:v>3000</x:v>
      </x:c>
      <x:c r="G834">
        <x:v>3000</x:v>
      </x:c>
      <x:c r="H834">
        <x:v>3000</x:v>
      </x:c>
      <x:c r="P834" t="s">
        <x:v>80</x:v>
      </x:c>
      <x:c r="R834" s="9">
        <x:v>32737</x:v>
      </x:c>
      <x:c r="T834" t="s">
        <x:v>119</x:v>
      </x:c>
      <x:c r="W834" s="26" t="n">
        <x:v>4.93365</x:v>
      </x:c>
      <x:c r="X834" s="26" t="n">
        <x:v>-74.0504</x:v>
      </x:c>
      <x:c r="Y834">
        <x:v>2604.62</x:v>
      </x:c>
      <x:c r="Z834">
        <x:v>2767</x:v>
      </x:c>
      <x:c r="AB834" t="s">
        <x:v>5856</x:v>
      </x:c>
      <x:c r="AF834" t="s">
        <x:v>50</x:v>
      </x:c>
      <x:c r="AG834" t="s">
        <x:v>98</x:v>
      </x:c>
      <x:c r="AH834" t="s">
        <x:v>5857</x:v>
      </x:c>
      <x:c r="AJ834">
        <x:v>892</x:v>
      </x:c>
    </x:row>
    <x:row r="835">
      <x:c r="A835" t="s">
        <x:v>5716</x:v>
      </x:c>
      <x:c r="B835" t="s">
        <x:v>5717</x:v>
      </x:c>
      <x:c r="C835" t="s">
        <x:v>5858</x:v>
      </x:c>
      <x:c r="D835" t="s">
        <x:v>5859</x:v>
      </x:c>
      <x:c r="E835" t="s">
        <x:v>5860</x:v>
      </x:c>
      <x:c r="F835">
        <x:v>2700</x:v>
      </x:c>
      <x:c r="G835">
        <x:v>2700</x:v>
      </x:c>
      <x:c r="H835">
        <x:v>2700</x:v>
      </x:c>
      <x:c r="P835" t="s">
        <x:v>80</x:v>
      </x:c>
      <x:c r="R835" s="9">
        <x:v>22573</x:v>
      </x:c>
      <x:c r="W835" s="26" t="n">
        <x:v>4.44382</x:v>
      </x:c>
      <x:c r="X835" s="26" t="n">
        <x:v>-74.30207</x:v>
      </x:c>
      <x:c r="Y835">
        <x:v>919.07399999999996</x:v>
      </x:c>
      <x:c r="Z835">
        <x:v>2740</x:v>
      </x:c>
      <x:c r="AA835" t="s">
        <x:v>5861</x:v>
      </x:c>
      <x:c r="AB835" t="s">
        <x:v>5862</x:v>
      </x:c>
      <x:c r="AF835" t="s">
        <x:v>50</x:v>
      </x:c>
      <x:c r="AG835" t="s">
        <x:v>98</x:v>
      </x:c>
      <x:c r="AH835" t="s">
        <x:v>5863</x:v>
      </x:c>
      <x:c r="AI835" t="s">
        <x:v>5864</x:v>
      </x:c>
      <x:c r="AJ835">
        <x:v>893</x:v>
      </x:c>
    </x:row>
    <x:row r="836">
      <x:c r="A836" t="s">
        <x:v>5716</x:v>
      </x:c>
      <x:c r="B836" t="s">
        <x:v>5717</x:v>
      </x:c>
      <x:c r="C836" t="s">
        <x:v>5865</x:v>
      </x:c>
      <x:c r="D836" t="s">
        <x:v>5866</x:v>
      </x:c>
      <x:c r="E836" t="s">
        <x:v>5867</x:v>
      </x:c>
      <x:c r="F836">
        <x:v>2500</x:v>
      </x:c>
      <x:c r="G836">
        <x:v>2500</x:v>
      </x:c>
      <x:c r="H836">
        <x:v>2500</x:v>
      </x:c>
      <x:c r="I836" t="s">
        <x:v>5868</x:v>
      </x:c>
      <x:c r="J836" t="s">
        <x:v>5869</x:v>
      </x:c>
      <x:c r="K836" t="s">
        <x:v>5870</x:v>
      </x:c>
      <x:c r="L836" t="s">
        <x:v>5871</x:v>
      </x:c>
      <x:c r="M836" t="s">
        <x:v>5872</x:v>
      </x:c>
      <x:c r="N836" t="s">
        <x:v>5873</x:v>
      </x:c>
      <x:c r="O836" t="s">
        <x:v>5874</x:v>
      </x:c>
      <x:c r="P836" t="s">
        <x:v>5875</x:v>
      </x:c>
      <x:c r="R836" s="9">
        <x:v>26674</x:v>
      </x:c>
      <x:c r="T836" t="s">
        <x:v>119</x:v>
      </x:c>
      <x:c r="W836" s="26" t="n">
        <x:v>1.1213</x:v>
      </x:c>
      <x:c r="X836" s="26" t="n">
        <x:v>-77.18953</x:v>
      </x:c>
      <x:c r="Y836">
        <x:v>1709.0160000000001</x:v>
      </x:c>
      <x:c r="Z836">
        <x:v>3012</x:v>
      </x:c>
      <x:c r="AB836" t="s">
        <x:v>5876</x:v>
      </x:c>
      <x:c r="AF836" t="s">
        <x:v>50</x:v>
      </x:c>
      <x:c r="AG836" t="s">
        <x:v>127</x:v>
      </x:c>
      <x:c r="AH836" t="s">
        <x:v>5877</x:v>
      </x:c>
      <x:c r="AI836" t="s">
        <x:v>5878</x:v>
      </x:c>
      <x:c r="AJ836">
        <x:v>894</x:v>
      </x:c>
    </x:row>
    <x:row r="837">
      <x:c r="A837" t="s">
        <x:v>5716</x:v>
      </x:c>
      <x:c r="B837" t="s">
        <x:v>5717</x:v>
      </x:c>
      <x:c r="C837" t="s">
        <x:v>5865</x:v>
      </x:c>
      <x:c r="D837" t="s">
        <x:v>5879</x:v>
      </x:c>
      <x:c r="E837" t="s">
        <x:v>5867</x:v>
      </x:c>
      <x:c r="F837">
        <x:v>2500</x:v>
      </x:c>
      <x:c r="G837">
        <x:v>2500</x:v>
      </x:c>
      <x:c r="H837">
        <x:v>2500</x:v>
      </x:c>
      <x:c r="I837" t="s">
        <x:v>5868</x:v>
      </x:c>
      <x:c r="J837" t="s">
        <x:v>5869</x:v>
      </x:c>
      <x:c r="K837" t="s">
        <x:v>5870</x:v>
      </x:c>
      <x:c r="L837" t="s">
        <x:v>5871</x:v>
      </x:c>
      <x:c r="M837" t="s">
        <x:v>5872</x:v>
      </x:c>
      <x:c r="N837" t="s">
        <x:v>5873</x:v>
      </x:c>
      <x:c r="O837" t="s">
        <x:v>5874</x:v>
      </x:c>
      <x:c r="P837" t="s">
        <x:v>5875</x:v>
      </x:c>
      <x:c r="R837" s="9">
        <x:v>26674</x:v>
      </x:c>
      <x:c r="T837" t="s">
        <x:v>119</x:v>
      </x:c>
      <x:c r="W837" s="26" t="n">
        <x:v>1.1213</x:v>
      </x:c>
      <x:c r="X837" s="26" t="n">
        <x:v>-77.18953</x:v>
      </x:c>
      <x:c r="Y837">
        <x:v>1709.0160000000001</x:v>
      </x:c>
      <x:c r="Z837">
        <x:v>3012</x:v>
      </x:c>
      <x:c r="AB837" t="s">
        <x:v>5876</x:v>
      </x:c>
      <x:c r="AF837" t="s">
        <x:v>50</x:v>
      </x:c>
      <x:c r="AG837" t="s">
        <x:v>127</x:v>
      </x:c>
      <x:c r="AH837" t="s">
        <x:v>5877</x:v>
      </x:c>
      <x:c r="AI837" t="s">
        <x:v>5878</x:v>
      </x:c>
      <x:c r="AJ837">
        <x:v>895</x:v>
      </x:c>
    </x:row>
    <x:row r="838">
      <x:c r="A838" t="s">
        <x:v>5716</x:v>
      </x:c>
      <x:c r="B838" t="s">
        <x:v>5717</x:v>
      </x:c>
      <x:c r="C838" t="s">
        <x:v>5880</x:v>
      </x:c>
      <x:c r="D838" t="s">
        <x:v>5881</x:v>
      </x:c>
      <x:c r="E838" t="s">
        <x:v>5882</x:v>
      </x:c>
      <x:c r="F838" t="s">
        <x:v>5883</x:v>
      </x:c>
      <x:c r="G838">
        <x:v>2800</x:v>
      </x:c>
      <x:c r="H838">
        <x:v>3000</x:v>
      </x:c>
      <x:c r="P838" t="s">
        <x:v>80</x:v>
      </x:c>
      <x:c r="R838" s="9">
        <x:v>9920</x:v>
      </x:c>
      <x:c r="T838" t="s">
        <x:v>2842</x:v>
      </x:c>
      <x:c r="W838" s="26" t="n">
        <x:v>7.51532</x:v>
      </x:c>
      <x:c r="X838" s="26" t="n">
        <x:v>-72.47675</x:v>
      </x:c>
      <x:c r="Y838">
        <x:v>1749.7940000000001</x:v>
      </x:c>
      <x:c r="Z838">
        <x:v>1808</x:v>
      </x:c>
      <x:c r="AA838" t="s">
        <x:v>5884</x:v>
      </x:c>
      <x:c r="AB838" t="s">
        <x:v>5885</x:v>
      </x:c>
      <x:c r="AF838" t="s">
        <x:v>50</x:v>
      </x:c>
      <x:c r="AG838" t="s">
        <x:v>1306</x:v>
      </x:c>
      <x:c r="AH838" t="s">
        <x:v>5886</x:v>
      </x:c>
      <x:c r="AI838" t="s">
        <x:v>5887</x:v>
      </x:c>
      <x:c r="AJ838">
        <x:v>896</x:v>
      </x:c>
    </x:row>
    <x:row r="839">
      <x:c r="A839" t="s">
        <x:v>5716</x:v>
      </x:c>
      <x:c r="B839" t="s">
        <x:v>5717</x:v>
      </x:c>
      <x:c r="C839" t="s">
        <x:v>5888</x:v>
      </x:c>
      <x:c r="D839" t="s">
        <x:v>5889</x:v>
      </x:c>
      <x:c r="E839" t="s">
        <x:v>5890</x:v>
      </x:c>
      <x:c r="F839">
        <x:v>2600</x:v>
      </x:c>
      <x:c r="G839">
        <x:v>2600</x:v>
      </x:c>
      <x:c r="H839">
        <x:v>2600</x:v>
      </x:c>
      <x:c r="P839" t="s">
        <x:v>80</x:v>
      </x:c>
      <x:c r="R839" s="9">
        <x:v>31868</x:v>
      </x:c>
      <x:c r="T839" t="s">
        <x:v>119</x:v>
      </x:c>
      <x:c r="W839" s="26" t="n">
        <x:v>7.43993</x:v>
      </x:c>
      <x:c r="X839" s="26" t="n">
        <x:v>-72.45095</x:v>
      </x:c>
      <x:c r="Y839">
        <x:v>840.05700000000002</x:v>
      </x:c>
      <x:c r="Z839">
        <x:v>2492</x:v>
      </x:c>
      <x:c r="AB839" t="s">
        <x:v>3401</x:v>
      </x:c>
      <x:c r="AF839" t="s">
        <x:v>50</x:v>
      </x:c>
      <x:c r="AG839" t="s">
        <x:v>1306</x:v>
      </x:c>
      <x:c r="AH839" t="s">
        <x:v>3402</x:v>
      </x:c>
      <x:c r="AI839" t="s">
        <x:v>5891</x:v>
      </x:c>
      <x:c r="AJ839">
        <x:v>897</x:v>
      </x:c>
    </x:row>
    <x:row r="840">
      <x:c r="A840" t="s">
        <x:v>5716</x:v>
      </x:c>
      <x:c r="B840" t="s">
        <x:v>5717</x:v>
      </x:c>
      <x:c r="C840" t="s">
        <x:v>5892</x:v>
      </x:c>
      <x:c r="D840" t="s">
        <x:v>5893</x:v>
      </x:c>
      <x:c r="E840" t="s">
        <x:v>5894</x:v>
      </x:c>
      <x:c r="F840">
        <x:v>2650</x:v>
      </x:c>
      <x:c r="G840">
        <x:v>2650</x:v>
      </x:c>
      <x:c r="H840">
        <x:v>2650</x:v>
      </x:c>
      <x:c r="P840" t="s">
        <x:v>80</x:v>
      </x:c>
      <x:c r="R840" s="9">
        <x:v>33432</x:v>
      </x:c>
      <x:c r="W840" s="26" t="n">
        <x:v>7.43993</x:v>
      </x:c>
      <x:c r="X840" s="26" t="n">
        <x:v>-72.45095</x:v>
      </x:c>
      <x:c r="Y840">
        <x:v>840.05700000000002</x:v>
      </x:c>
      <x:c r="Z840">
        <x:v>2492</x:v>
      </x:c>
      <x:c r="AA840" t="s">
        <x:v>5895</x:v>
      </x:c>
      <x:c r="AB840" t="s">
        <x:v>3401</x:v>
      </x:c>
      <x:c r="AF840" t="s">
        <x:v>50</x:v>
      </x:c>
      <x:c r="AG840" t="s">
        <x:v>1306</x:v>
      </x:c>
      <x:c r="AH840" t="s">
        <x:v>3402</x:v>
      </x:c>
      <x:c r="AI840" t="s">
        <x:v>5896</x:v>
      </x:c>
      <x:c r="AJ840">
        <x:v>898</x:v>
      </x:c>
    </x:row>
    <x:row r="841">
      <x:c r="A841" t="s">
        <x:v>5716</x:v>
      </x:c>
      <x:c r="B841" t="s">
        <x:v>5717</x:v>
      </x:c>
      <x:c r="C841" t="s">
        <x:v>5897</x:v>
      </x:c>
      <x:c r="D841" t="s">
        <x:v>5879</x:v>
      </x:c>
      <x:c r="E841" t="s">
        <x:v>5898</x:v>
      </x:c>
      <x:c r="F841">
        <x:v>2475</x:v>
      </x:c>
      <x:c r="G841">
        <x:v>2475</x:v>
      </x:c>
      <x:c r="H841">
        <x:v>2475</x:v>
      </x:c>
      <x:c r="P841" t="s">
        <x:v>80</x:v>
      </x:c>
      <x:c r="R841" s="9">
        <x:v>23080</x:v>
      </x:c>
      <x:c r="W841" s="26" t="n">
        <x:v>1.23373</x:v>
      </x:c>
      <x:c r="X841" s="26" t="n">
        <x:v>-76.92627</x:v>
      </x:c>
      <x:c r="Y841">
        <x:v>3125.1779999999999</x:v>
      </x:c>
      <x:c r="Z841">
        <x:v>2475</x:v>
      </x:c>
      <x:c r="AB841" t="s">
        <x:v>5899</x:v>
      </x:c>
      <x:c r="AF841" t="s">
        <x:v>50</x:v>
      </x:c>
      <x:c r="AG841" t="s">
        <x:v>67</x:v>
      </x:c>
      <x:c r="AH841" t="s">
        <x:v>5253</x:v>
      </x:c>
      <x:c r="AI841" t="s">
        <x:v>5900</x:v>
      </x:c>
      <x:c r="AJ841">
        <x:v>899</x:v>
      </x:c>
    </x:row>
    <x:row r="842">
      <x:c r="A842" t="s">
        <x:v>5716</x:v>
      </x:c>
      <x:c r="B842" t="s">
        <x:v>5717</x:v>
      </x:c>
      <x:c r="C842" t="s">
        <x:v>5897</x:v>
      </x:c>
      <x:c r="D842" t="s">
        <x:v>5901</x:v>
      </x:c>
      <x:c r="E842" t="s">
        <x:v>5898</x:v>
      </x:c>
      <x:c r="F842">
        <x:v>2475</x:v>
      </x:c>
      <x:c r="G842">
        <x:v>2475</x:v>
      </x:c>
      <x:c r="H842">
        <x:v>2475</x:v>
      </x:c>
      <x:c r="P842" t="s">
        <x:v>80</x:v>
      </x:c>
      <x:c r="R842" s="9">
        <x:v>23080</x:v>
      </x:c>
      <x:c r="W842" s="26" t="n">
        <x:v>1.23373</x:v>
      </x:c>
      <x:c r="X842" s="26" t="n">
        <x:v>-76.92627</x:v>
      </x:c>
      <x:c r="Y842">
        <x:v>3125.1779999999999</x:v>
      </x:c>
      <x:c r="Z842">
        <x:v>2475</x:v>
      </x:c>
      <x:c r="AB842" t="s">
        <x:v>5899</x:v>
      </x:c>
      <x:c r="AF842" t="s">
        <x:v>50</x:v>
      </x:c>
      <x:c r="AG842" t="s">
        <x:v>67</x:v>
      </x:c>
      <x:c r="AH842" t="s">
        <x:v>5253</x:v>
      </x:c>
      <x:c r="AI842" t="s">
        <x:v>5900</x:v>
      </x:c>
      <x:c r="AJ842">
        <x:v>900</x:v>
      </x:c>
    </x:row>
    <x:row r="843">
      <x:c r="A843" t="s">
        <x:v>5716</x:v>
      </x:c>
      <x:c r="B843" t="s">
        <x:v>5717</x:v>
      </x:c>
      <x:c r="C843" t="s">
        <x:v>5902</x:v>
      </x:c>
      <x:c r="D843" t="s">
        <x:v>5903</x:v>
      </x:c>
      <x:c r="E843" t="s">
        <x:v>5904</x:v>
      </x:c>
      <x:c r="F843" t="s">
        <x:v>3084</x:v>
      </x:c>
      <x:c r="G843">
        <x:v>2500</x:v>
      </x:c>
      <x:c r="H843">
        <x:v>2780</x:v>
      </x:c>
      <x:c r="I843" t="s">
        <x:v>5350</x:v>
      </x:c>
      <x:c r="J843" t="s">
        <x:v>5351</x:v>
      </x:c>
      <x:c r="K843" t="s">
        <x:v>5352</x:v>
      </x:c>
      <x:c r="L843" t="s">
        <x:v>5353</x:v>
      </x:c>
      <x:c r="M843" t="s">
        <x:v>5354</x:v>
      </x:c>
      <x:c r="N843" t="s">
        <x:v>5355</x:v>
      </x:c>
      <x:c r="O843" t="s">
        <x:v>5356</x:v>
      </x:c>
      <x:c r="P843" t="s">
        <x:v>5357</x:v>
      </x:c>
      <x:c r="R843" s="9">
        <x:v>34777</x:v>
      </x:c>
      <x:c r="T843" t="s">
        <x:v>111</x:v>
      </x:c>
      <x:c r="W843" s="26" t="n">
        <x:v>4.10998</x:v>
      </x:c>
      <x:c r="X843" s="26" t="n">
        <x:v>-75.80861</x:v>
      </x:c>
      <x:c r="Y843">
        <x:v>641.95100000000002</x:v>
      </x:c>
      <x:c r="Z843">
        <x:v>2501</x:v>
      </x:c>
      <x:c r="AB843" t="s">
        <x:v>3085</x:v>
      </x:c>
      <x:c r="AF843" t="s">
        <x:v>50</x:v>
      </x:c>
      <x:c r="AG843" t="s">
        <x:v>1671</x:v>
      </x:c>
      <x:c r="AH843" t="s">
        <x:v>3067</x:v>
      </x:c>
      <x:c r="AI843" t="s">
        <x:v>5905</x:v>
      </x:c>
      <x:c r="AJ843">
        <x:v>901</x:v>
      </x:c>
    </x:row>
    <x:row r="844">
      <x:c r="A844" t="s">
        <x:v>5716</x:v>
      </x:c>
      <x:c r="B844" t="s">
        <x:v>5717</x:v>
      </x:c>
      <x:c r="C844" t="s">
        <x:v>5906</x:v>
      </x:c>
      <x:c r="D844" t="s">
        <x:v>1529</x:v>
      </x:c>
      <x:c r="E844" t="s">
        <x:v>3161</x:v>
      </x:c>
      <x:c r="F844">
        <x:v>2824</x:v>
      </x:c>
      <x:c r="G844">
        <x:v>2824</x:v>
      </x:c>
      <x:c r="H844">
        <x:v>2824</x:v>
      </x:c>
      <x:c r="I844" t="s">
        <x:v>5907</x:v>
      </x:c>
      <x:c r="J844" t="s">
        <x:v>5908</x:v>
      </x:c>
      <x:c r="K844" t="s">
        <x:v>5456</x:v>
      </x:c>
      <x:c r="L844" t="s">
        <x:v>5457</x:v>
      </x:c>
      <x:c r="M844" t="s">
        <x:v>5909</x:v>
      </x:c>
      <x:c r="P844" t="s">
        <x:v>80</x:v>
      </x:c>
      <x:c r="R844" s="9">
        <x:v>40744</x:v>
      </x:c>
      <x:c r="T844" t="s">
        <x:v>119</x:v>
      </x:c>
      <x:c r="W844" s="26" t="n">
        <x:v>5.1244244</x:v>
      </x:c>
      <x:c r="X844" s="26" t="n">
        <x:v>-76.0416654</x:v>
      </x:c>
      <x:c r="AF844" t="s">
        <x:v>50</x:v>
      </x:c>
      <x:c r="AG844" t="s">
        <x:v>360</x:v>
      </x:c>
      <x:c r="AH844" t="s">
        <x:v>367</x:v>
      </x:c>
      <x:c r="AI844" t="s">
        <x:v>3165</x:v>
      </x:c>
      <x:c r="AJ844">
        <x:v>902</x:v>
      </x:c>
    </x:row>
    <x:row r="845">
      <x:c r="A845" t="s">
        <x:v>5716</x:v>
      </x:c>
      <x:c r="B845" t="s">
        <x:v>5717</x:v>
      </x:c>
      <x:c r="C845" t="s">
        <x:v>5910</x:v>
      </x:c>
      <x:c r="D845" t="s">
        <x:v>1820</x:v>
      </x:c>
      <x:c r="E845" t="s">
        <x:v>3179</x:v>
      </x:c>
      <x:c r="F845" t="s">
        <x:v>3180</x:v>
      </x:c>
      <x:c r="G845">
        <x:v>3500</x:v>
      </x:c>
      <x:c r="H845">
        <x:v>3000</x:v>
      </x:c>
      <x:c r="I845" t="s">
        <x:v>2120</x:v>
      </x:c>
      <x:c r="J845" t="s">
        <x:v>2121</x:v>
      </x:c>
      <x:c r="K845" t="s">
        <x:v>2131</x:v>
      </x:c>
      <x:c r="L845" t="s">
        <x:v>2132</x:v>
      </x:c>
      <x:c r="M845" t="s">
        <x:v>2133</x:v>
      </x:c>
      <x:c r="P845" t="s">
        <x:v>80</x:v>
      </x:c>
      <x:c r="R845" s="9">
        <x:v>40744</x:v>
      </x:c>
      <x:c r="T845" t="s">
        <x:v>119</x:v>
      </x:c>
      <x:c r="W845" s="26" t="n">
        <x:v>5.1208051</x:v>
      </x:c>
      <x:c r="X845" s="26" t="n">
        <x:v>-76.0594532</x:v>
      </x:c>
      <x:c r="AF845" t="s">
        <x:v>50</x:v>
      </x:c>
      <x:c r="AG845" t="s">
        <x:v>360</x:v>
      </x:c>
      <x:c r="AH845" t="s">
        <x:v>367</x:v>
      </x:c>
      <x:c r="AI845" t="s">
        <x:v>3181</x:v>
      </x:c>
      <x:c r="AJ845">
        <x:v>903</x:v>
      </x:c>
    </x:row>
    <x:row r="846">
      <x:c r="A846" t="s">
        <x:v>5716</x:v>
      </x:c>
      <x:c r="B846" t="s">
        <x:v>5717</x:v>
      </x:c>
      <x:c r="C846" t="s">
        <x:v>5911</x:v>
      </x:c>
      <x:c r="D846" t="s">
        <x:v>5912</x:v>
      </x:c>
      <x:c r="E846" t="s">
        <x:v>5913</x:v>
      </x:c>
      <x:c r="F846">
        <x:v>2680</x:v>
      </x:c>
      <x:c r="G846">
        <x:v>2680</x:v>
      </x:c>
      <x:c r="H846">
        <x:v>2680</x:v>
      </x:c>
      <x:c r="I846" t="s">
        <x:v>4316</x:v>
      </x:c>
      <x:c r="J846" t="s">
        <x:v>2306</x:v>
      </x:c>
      <x:c r="K846" t="s">
        <x:v>4317</x:v>
      </x:c>
      <x:c r="L846" t="s">
        <x:v>2307</x:v>
      </x:c>
      <x:c r="M846" t="s">
        <x:v>2308</x:v>
      </x:c>
      <x:c r="N846" t="s">
        <x:v>2309</x:v>
      </x:c>
      <x:c r="O846" t="s">
        <x:v>2310</x:v>
      </x:c>
      <x:c r="P846" t="s">
        <x:v>2311</x:v>
      </x:c>
      <x:c r="R846" s="9">
        <x:v>31965</x:v>
      </x:c>
      <x:c r="W846" s="26" t="n">
        <x:v>5.6833333</x:v>
      </x:c>
      <x:c r="X846" s="26" t="n">
        <x:v>-75.2333333</x:v>
      </x:c>
      <x:c r="AF846" t="s">
        <x:v>50</x:v>
      </x:c>
      <x:c r="AG846" t="s">
        <x:v>3306</x:v>
      </x:c>
      <x:c r="AH846" t="s">
        <x:v>4318</x:v>
      </x:c>
      <x:c r="AJ846">
        <x:v>904</x:v>
      </x:c>
    </x:row>
    <x:row r="847">
      <x:c r="A847" t="s">
        <x:v>5716</x:v>
      </x:c>
      <x:c r="B847" t="s">
        <x:v>5717</x:v>
      </x:c>
      <x:c r="C847" t="s">
        <x:v>5914</x:v>
      </x:c>
      <x:c r="D847" t="s">
        <x:v>1820</x:v>
      </x:c>
      <x:c r="E847" t="s">
        <x:v>5915</x:v>
      </x:c>
      <x:c r="F847" t="s">
        <x:v>1768</x:v>
      </x:c>
      <x:c r="G847">
        <x:v>3000</x:v>
      </x:c>
      <x:c r="H847">
        <x:v>3500</x:v>
      </x:c>
      <x:c r="P847" t="s">
        <x:v>80</x:v>
      </x:c>
      <x:c r="R847" s="9">
        <x:v>39815</x:v>
      </x:c>
      <x:c r="T847" t="s">
        <x:v>119</x:v>
      </x:c>
      <x:c r="W847" s="26" t="n">
        <x:v>3.34415</x:v>
      </x:c>
      <x:c r="X847" s="26" t="n">
        <x:v>-76.69581</x:v>
      </x:c>
      <x:c r="Y847">
        <x:v>916.18299999999999</x:v>
      </x:c>
      <x:c r="Z847">
        <x:v>3944</x:v>
      </x:c>
      <x:c r="AB847" t="s">
        <x:v>3291</x:v>
      </x:c>
      <x:c r="AF847" t="s">
        <x:v>50</x:v>
      </x:c>
      <x:c r="AG847" t="s">
        <x:v>83</x:v>
      </x:c>
      <x:c r="AH847" t="s">
        <x:v>3296</x:v>
      </x:c>
      <x:c r="AI847" t="s">
        <x:v>5916</x:v>
      </x:c>
      <x:c r="AJ847">
        <x:v>905</x:v>
      </x:c>
    </x:row>
    <x:row r="848">
      <x:c r="A848" t="s">
        <x:v>5917</x:v>
      </x:c>
      <x:c r="B848" t="s">
        <x:v>5918</x:v>
      </x:c>
      <x:c r="C848" t="s">
        <x:v>5919</x:v>
      </x:c>
      <x:c r="D848">
        <x:v>40425</x:v>
      </x:c>
      <x:c r="E848" t="s">
        <x:v>5920</x:v>
      </x:c>
      <x:c r="F848">
        <x:v>1510</x:v>
      </x:c>
      <x:c r="G848">
        <x:v>1510</x:v>
      </x:c>
      <x:c r="H848">
        <x:v>1510</x:v>
      </x:c>
      <x:c r="P848" t="s">
        <x:v>80</x:v>
      </x:c>
      <x:c r="R848" s="9">
        <x:v>31607</x:v>
      </x:c>
      <x:c r="T848" t="s">
        <x:v>5921</x:v>
      </x:c>
      <x:c r="W848" s="26" t="n">
        <x:v>6.7692</x:v>
      </x:c>
      <x:c r="X848" s="26" t="n">
        <x:v>-76.24974</x:v>
      </x:c>
      <x:c r="Y848">
        <x:v>7056.9979999999996</x:v>
      </x:c>
      <x:c r="Z848">
        <x:v>1720</x:v>
      </x:c>
      <x:c r="AA848" t="s">
        <x:v>5922</x:v>
      </x:c>
      <x:c r="AB848" t="s">
        <x:v>5923</x:v>
      </x:c>
      <x:c r="AF848" t="s">
        <x:v>50</x:v>
      </x:c>
      <x:c r="AG848" t="s">
        <x:v>5924</x:v>
      </x:c>
      <x:c r="AH848" t="s">
        <x:v>5925</x:v>
      </x:c>
      <x:c r="AI848" t="s">
        <x:v>5926</x:v>
      </x:c>
      <x:c r="AJ848">
        <x:v>909</x:v>
      </x:c>
    </x:row>
    <x:row r="849">
      <x:c r="A849" t="s">
        <x:v>5917</x:v>
      </x:c>
      <x:c r="B849" t="s">
        <x:v>5918</x:v>
      </x:c>
      <x:c r="C849" t="s">
        <x:v>5927</x:v>
      </x:c>
      <x:c r="D849">
        <x:v>54088</x:v>
      </x:c>
      <x:c r="E849" t="s">
        <x:v>5928</x:v>
      </x:c>
      <x:c r="F849" t="s">
        <x:v>5929</x:v>
      </x:c>
      <x:c r="G849">
        <x:v>1350</x:v>
      </x:c>
      <x:c r="H849">
        <x:v>1450</x:v>
      </x:c>
      <x:c r="I849" t="s">
        <x:v>5930</x:v>
      </x:c>
      <x:c r="J849" t="s">
        <x:v>5930</x:v>
      </x:c>
      <x:c r="K849" t="s">
        <x:v>5931</x:v>
      </x:c>
      <x:c r="L849" t="s">
        <x:v>5931</x:v>
      </x:c>
      <x:c r="M849" t="s">
        <x:v>5932</x:v>
      </x:c>
      <x:c r="N849" t="s">
        <x:v>5933</x:v>
      </x:c>
      <x:c r="O849" t="s">
        <x:v>5934</x:v>
      </x:c>
      <x:c r="P849" t="s">
        <x:v>5935</x:v>
      </x:c>
      <x:c r="R849" s="9">
        <x:v>32334</x:v>
      </x:c>
      <x:c r="T849" t="s">
        <x:v>119</x:v>
      </x:c>
      <x:c r="W849" s="26" t="n">
        <x:v>6.7523</x:v>
      </x:c>
      <x:c r="X849" s="26" t="n">
        <x:v>-76.28958</x:v>
      </x:c>
      <x:c r="Y849">
        <x:v>4675.9480000000003</x:v>
      </x:c>
      <x:c r="Z849">
        <x:v>1952</x:v>
      </x:c>
      <x:c r="AB849" t="s">
        <x:v>5936</x:v>
      </x:c>
      <x:c r="AF849" t="s">
        <x:v>50</x:v>
      </x:c>
      <x:c r="AG849" t="s">
        <x:v>5924</x:v>
      </x:c>
      <x:c r="AH849" t="s">
        <x:v>5937</x:v>
      </x:c>
      <x:c r="AI849" t="s">
        <x:v>5938</x:v>
      </x:c>
      <x:c r="AJ849">
        <x:v>910</x:v>
      </x:c>
    </x:row>
    <x:row r="850">
      <x:c r="A850" t="s">
        <x:v>5917</x:v>
      </x:c>
      <x:c r="B850" t="s">
        <x:v>5918</x:v>
      </x:c>
      <x:c r="C850" t="s">
        <x:v>5939</x:v>
      </x:c>
      <x:c r="D850">
        <x:v>26204</x:v>
      </x:c>
      <x:c r="E850" t="s">
        <x:v>5940</x:v>
      </x:c>
      <x:c r="F850">
        <x:v>1500</x:v>
      </x:c>
      <x:c r="G850">
        <x:v>1500</x:v>
      </x:c>
      <x:c r="H850">
        <x:v>1500</x:v>
      </x:c>
      <x:c r="P850" t="s">
        <x:v>80</x:v>
      </x:c>
      <x:c r="R850" s="9">
        <x:v>33332</x:v>
      </x:c>
      <x:c r="T850" t="s">
        <x:v>119</x:v>
      </x:c>
      <x:c r="W850" s="26" t="n">
        <x:v>1.36416</x:v>
      </x:c>
      <x:c r="X850" s="26" t="n">
        <x:v>-78.10056</x:v>
      </x:c>
      <x:c r="Y850">
        <x:v>4999.3969999999999</x:v>
      </x:c>
      <x:c r="Z850">
        <x:v>1048</x:v>
      </x:c>
      <x:c r="AB850" t="s">
        <x:v>5637</x:v>
      </x:c>
      <x:c r="AF850" t="s">
        <x:v>50</x:v>
      </x:c>
      <x:c r="AG850" t="s">
        <x:v>5941</x:v>
      </x:c>
      <x:c r="AH850" t="s">
        <x:v>5942</x:v>
      </x:c>
      <x:c r="AI850" t="s">
        <x:v>5943</x:v>
      </x:c>
      <x:c r="AJ850">
        <x:v>911</x:v>
      </x:c>
    </x:row>
    <x:row r="851">
      <x:c r="A851" t="s">
        <x:v>5917</x:v>
      </x:c>
      <x:c r="B851" t="s">
        <x:v>5918</x:v>
      </x:c>
      <x:c r="C851" t="s">
        <x:v>5944</x:v>
      </x:c>
      <x:c r="D851">
        <x:v>40028</x:v>
      </x:c>
      <x:c r="E851" t="s">
        <x:v>5945</x:v>
      </x:c>
      <x:c r="F851" t="s">
        <x:v>5946</x:v>
      </x:c>
      <x:c r="G851">
        <x:v>1850</x:v>
      </x:c>
      <x:c r="H851">
        <x:v>1950</x:v>
      </x:c>
      <x:c r="I851" t="s">
        <x:v>5947</x:v>
      </x:c>
      <x:c r="J851" t="s">
        <x:v>5947</x:v>
      </x:c>
      <x:c r="K851" t="s">
        <x:v>5948</x:v>
      </x:c>
      <x:c r="L851" t="s">
        <x:v>5948</x:v>
      </x:c>
      <x:c r="M851" t="s">
        <x:v>5949</x:v>
      </x:c>
      <x:c r="N851" t="s">
        <x:v>5950</x:v>
      </x:c>
      <x:c r="O851" t="s">
        <x:v>5951</x:v>
      </x:c>
      <x:c r="P851" t="s">
        <x:v>5952</x:v>
      </x:c>
      <x:c r="R851" s="9">
        <x:v>35223</x:v>
      </x:c>
      <x:c r="T851" t="s">
        <x:v>119</x:v>
      </x:c>
      <x:c r="W851" s="26" t="n">
        <x:v>1.1602778</x:v>
      </x:c>
      <x:c r="X851" s="26" t="n">
        <x:v>-77.9869444</x:v>
      </x:c>
      <x:c r="AF851" t="s">
        <x:v>50</x:v>
      </x:c>
      <x:c r="AG851" t="s">
        <x:v>5953</x:v>
      </x:c>
      <x:c r="AH851" t="s">
        <x:v>5954</x:v>
      </x:c>
      <x:c r="AJ851">
        <x:v>912</x:v>
      </x:c>
    </x:row>
    <x:row r="852">
      <x:c r="A852" t="s">
        <x:v>5917</x:v>
      </x:c>
      <x:c r="B852" t="s">
        <x:v>5918</x:v>
      </x:c>
      <x:c r="C852" t="s">
        <x:v>5955</x:v>
      </x:c>
      <x:c r="D852">
        <x:v>35222</x:v>
      </x:c>
      <x:c r="E852" t="s">
        <x:v>5956</x:v>
      </x:c>
      <x:c r="F852">
        <x:v>1900</x:v>
      </x:c>
      <x:c r="G852">
        <x:v>1900</x:v>
      </x:c>
      <x:c r="H852">
        <x:v>1900</x:v>
      </x:c>
      <x:c r="I852" t="s">
        <x:v>5957</x:v>
      </x:c>
      <x:c r="J852" t="s">
        <x:v>5957</x:v>
      </x:c>
      <x:c r="K852" t="s">
        <x:v>5958</x:v>
      </x:c>
      <x:c r="L852" t="s">
        <x:v>5958</x:v>
      </x:c>
      <x:c r="M852" t="s">
        <x:v>5959</x:v>
      </x:c>
      <x:c r="N852" t="s">
        <x:v>5960</x:v>
      </x:c>
      <x:c r="O852" t="s">
        <x:v>5961</x:v>
      </x:c>
      <x:c r="P852" t="s">
        <x:v>5962</x:v>
      </x:c>
      <x:c r="R852" s="9">
        <x:v>35449</x:v>
      </x:c>
      <x:c r="T852" t="s">
        <x:v>119</x:v>
      </x:c>
      <x:c r="W852" s="26" t="n">
        <x:v>1.1652778</x:v>
      </x:c>
      <x:c r="X852" s="26" t="n">
        <x:v>-77.9788889</x:v>
      </x:c>
      <x:c r="AF852" t="s">
        <x:v>50</x:v>
      </x:c>
      <x:c r="AG852" t="s">
        <x:v>5953</x:v>
      </x:c>
      <x:c r="AH852" t="s">
        <x:v>5963</x:v>
      </x:c>
      <x:c r="AJ852">
        <x:v>914</x:v>
      </x:c>
    </x:row>
    <x:row r="853">
      <x:c r="A853" t="s">
        <x:v>5917</x:v>
      </x:c>
      <x:c r="B853" t="s">
        <x:v>5918</x:v>
      </x:c>
      <x:c r="C853" t="s">
        <x:v>5964</x:v>
      </x:c>
      <x:c r="D853">
        <x:v>35231</x:v>
      </x:c>
      <x:c r="E853" t="s">
        <x:v>5965</x:v>
      </x:c>
      <x:c r="F853">
        <x:v>1820</x:v>
      </x:c>
      <x:c r="G853">
        <x:v>1820</x:v>
      </x:c>
      <x:c r="H853">
        <x:v>1820</x:v>
      </x:c>
      <x:c r="I853" t="s">
        <x:v>1454</x:v>
      </x:c>
      <x:c r="J853" t="s">
        <x:v>1454</x:v>
      </x:c>
      <x:c r="K853" t="s">
        <x:v>1456</x:v>
      </x:c>
      <x:c r="L853" t="s">
        <x:v>1456</x:v>
      </x:c>
      <x:c r="M853" t="s">
        <x:v>1457</x:v>
      </x:c>
      <x:c r="N853" t="s">
        <x:v>1458</x:v>
      </x:c>
      <x:c r="O853" t="s">
        <x:v>1459</x:v>
      </x:c>
      <x:c r="P853" t="s">
        <x:v>1460</x:v>
      </x:c>
      <x:c r="R853" s="9">
        <x:v>35459</x:v>
      </x:c>
      <x:c r="T853" t="s">
        <x:v>318</x:v>
      </x:c>
      <x:c r="W853" s="26" t="n">
        <x:v>1.1716667</x:v>
      </x:c>
      <x:c r="X853" s="26" t="n">
        <x:v>-78.0025</x:v>
      </x:c>
      <x:c r="AF853" t="s">
        <x:v>50</x:v>
      </x:c>
      <x:c r="AG853" t="s">
        <x:v>5953</x:v>
      </x:c>
      <x:c r="AH853" t="s">
        <x:v>5966</x:v>
      </x:c>
      <x:c r="AI853" t="s">
        <x:v>5967</x:v>
      </x:c>
      <x:c r="AJ853">
        <x:v>915</x:v>
      </x:c>
    </x:row>
    <x:row r="854">
      <x:c r="A854" t="s">
        <x:v>5917</x:v>
      </x:c>
      <x:c r="B854" t="s">
        <x:v>5918</x:v>
      </x:c>
      <x:c r="C854" t="s">
        <x:v>5968</x:v>
      </x:c>
      <x:c r="D854">
        <x:v>20979</x:v>
      </x:c>
      <x:c r="E854" t="s">
        <x:v>5969</x:v>
      </x:c>
      <x:c r="F854" t="s">
        <x:v>96</x:v>
      </x:c>
      <x:c r="G854">
        <x:v>1500</x:v>
      </x:c>
      <x:c r="H854">
        <x:v>1800</x:v>
      </x:c>
      <x:c r="I854" t="s">
        <x:v>665</x:v>
      </x:c>
      <x:c r="J854" t="s">
        <x:v>665</x:v>
      </x:c>
      <x:c r="K854" t="s">
        <x:v>647</x:v>
      </x:c>
      <x:c r="L854" t="s">
        <x:v>647</x:v>
      </x:c>
      <x:c r="M854" t="s">
        <x:v>667</x:v>
      </x:c>
      <x:c r="N854" t="s">
        <x:v>649</x:v>
      </x:c>
      <x:c r="O854" t="s">
        <x:v>650</x:v>
      </x:c>
      <x:c r="P854" t="s">
        <x:v>651</x:v>
      </x:c>
      <x:c r="R854" s="9">
        <x:v>32263</x:v>
      </x:c>
      <x:c r="T854" t="s">
        <x:v>5970</x:v>
      </x:c>
      <x:c r="W854" s="26" t="n">
        <x:v>1.1666667</x:v>
      </x:c>
      <x:c r="X854" s="26" t="n">
        <x:v>-77.9666667</x:v>
      </x:c>
      <x:c r="AF854" t="s">
        <x:v>50</x:v>
      </x:c>
      <x:c r="AG854" t="s">
        <x:v>5969</x:v>
      </x:c>
      <x:c r="AJ854">
        <x:v>916</x:v>
      </x:c>
    </x:row>
    <x:row r="855" s="17" customFormat="1">
      <x:c r="A855" s="17" t="s">
        <x:v>5917</x:v>
      </x:c>
      <x:c r="B855" s="17" t="s">
        <x:v>5918</x:v>
      </x:c>
      <x:c r="C855" s="17" t="s">
        <x:v>5971</x:v>
      </x:c>
      <x:c r="D855" s="17">
        <x:v>20760</x:v>
      </x:c>
      <x:c r="E855" s="17" t="s">
        <x:v>5972</x:v>
      </x:c>
      <x:c r="F855" s="17" t="s">
        <x:v>96</x:v>
      </x:c>
      <x:c r="G855" s="17">
        <x:v>1500</x:v>
      </x:c>
      <x:c r="H855" s="17">
        <x:v>1800</x:v>
      </x:c>
      <x:c r="I855" s="17" t="s">
        <x:v>665</x:v>
      </x:c>
      <x:c r="J855" s="17" t="s">
        <x:v>665</x:v>
      </x:c>
      <x:c r="K855" s="17" t="s">
        <x:v>647</x:v>
      </x:c>
      <x:c r="L855" s="17" t="s">
        <x:v>647</x:v>
      </x:c>
      <x:c r="M855" s="17" t="s">
        <x:v>667</x:v>
      </x:c>
      <x:c r="N855" s="17" t="s">
        <x:v>649</x:v>
      </x:c>
      <x:c r="O855" s="17" t="s">
        <x:v>650</x:v>
      </x:c>
      <x:c r="P855" s="17" t="s">
        <x:v>651</x:v>
      </x:c>
      <x:c r="R855" s="19">
        <x:v>32186</x:v>
      </x:c>
      <x:c r="T855" s="17" t="s">
        <x:v>119</x:v>
      </x:c>
      <x:c r="W855" s="26" t="n">
        <x:v>1.1666667</x:v>
      </x:c>
      <x:c r="X855" s="26" t="n">
        <x:v>-77.9666667</x:v>
      </x:c>
      <x:c r="AF855" s="17" t="s">
        <x:v>50</x:v>
      </x:c>
      <x:c r="AG855" s="17" t="s">
        <x:v>5973</x:v>
      </x:c>
      <x:c r="AH855" s="17" t="s">
        <x:v>5974</x:v>
      </x:c>
      <x:c r="AJ855" s="17">
        <x:v>917</x:v>
      </x:c>
    </x:row>
    <x:row r="856" s="17" customFormat="1">
      <x:c r="A856" s="17" t="s">
        <x:v>5917</x:v>
      </x:c>
      <x:c r="B856" s="17" t="s">
        <x:v>5918</x:v>
      </x:c>
      <x:c r="C856" s="17" t="s">
        <x:v>5975</x:v>
      </x:c>
      <x:c r="D856" s="17">
        <x:v>23448</x:v>
      </x:c>
      <x:c r="E856" s="17" t="s">
        <x:v>5976</x:v>
      </x:c>
      <x:c r="F856" s="17">
        <x:v>1150</x:v>
      </x:c>
      <x:c r="G856" s="17">
        <x:v>1150</x:v>
      </x:c>
      <x:c r="H856" s="17">
        <x:v>1150</x:v>
      </x:c>
      <x:c r="I856" s="17" t="s">
        <x:v>1655</x:v>
      </x:c>
      <x:c r="J856" s="17" t="s">
        <x:v>1655</x:v>
      </x:c>
      <x:c r="K856" s="17" t="s">
        <x:v>1657</x:v>
      </x:c>
      <x:c r="L856" s="17" t="s">
        <x:v>1657</x:v>
      </x:c>
      <x:c r="M856" s="17" t="s">
        <x:v>1658</x:v>
      </x:c>
      <x:c r="N856" s="17" t="s">
        <x:v>1659</x:v>
      </x:c>
      <x:c r="O856" s="17" t="s">
        <x:v>1660</x:v>
      </x:c>
      <x:c r="P856" s="17" t="s">
        <x:v>1661</x:v>
      </x:c>
      <x:c r="R856" s="19">
        <x:v>32948</x:v>
      </x:c>
      <x:c r="T856" s="17" t="s">
        <x:v>5977</x:v>
      </x:c>
      <x:c r="W856" s="26" t="n">
        <x:v>1.25195</x:v>
      </x:c>
      <x:c r="X856" s="26" t="n">
        <x:v>-77.99668</x:v>
      </x:c>
      <x:c r="Y856" s="17">
        <x:v>1684.6179999999999</x:v>
      </x:c>
      <x:c r="Z856" s="17">
        <x:v>1496</x:v>
      </x:c>
      <x:c r="AB856" s="17" t="s">
        <x:v>1662</x:v>
      </x:c>
      <x:c r="AF856" s="17" t="s">
        <x:v>50</x:v>
      </x:c>
      <x:c r="AG856" s="17" t="s">
        <x:v>5973</x:v>
      </x:c>
      <x:c r="AH856" s="17" t="s">
        <x:v>5978</x:v>
      </x:c>
      <x:c r="AI856" s="17" t="s">
        <x:v>5979</x:v>
      </x:c>
      <x:c r="AJ856" s="17">
        <x:v>918</x:v>
      </x:c>
    </x:row>
    <x:row r="857" s="17" customFormat="1">
      <x:c r="A857" s="17" t="s">
        <x:v>5917</x:v>
      </x:c>
      <x:c r="B857" s="17" t="s">
        <x:v>5918</x:v>
      </x:c>
      <x:c r="C857" s="17" t="s">
        <x:v>5980</x:v>
      </x:c>
      <x:c r="D857" s="17">
        <x:v>23335</x:v>
      </x:c>
      <x:c r="E857" s="17" t="s">
        <x:v>5981</x:v>
      </x:c>
      <x:c r="F857" s="17">
        <x:v>1100</x:v>
      </x:c>
      <x:c r="G857" s="17">
        <x:v>1100</x:v>
      </x:c>
      <x:c r="H857" s="17">
        <x:v>1100</x:v>
      </x:c>
      <x:c r="I857" s="17" t="s">
        <x:v>1655</x:v>
      </x:c>
      <x:c r="J857" s="17" t="s">
        <x:v>1655</x:v>
      </x:c>
      <x:c r="K857" s="17" t="s">
        <x:v>1657</x:v>
      </x:c>
      <x:c r="L857" s="17" t="s">
        <x:v>1657</x:v>
      </x:c>
      <x:c r="M857" s="17" t="s">
        <x:v>1658</x:v>
      </x:c>
      <x:c r="N857" s="17" t="s">
        <x:v>1659</x:v>
      </x:c>
      <x:c r="O857" s="17" t="s">
        <x:v>1660</x:v>
      </x:c>
      <x:c r="P857" s="17" t="s">
        <x:v>1661</x:v>
      </x:c>
      <x:c r="R857" s="19">
        <x:v>32946</x:v>
      </x:c>
      <x:c r="T857" s="17" t="s">
        <x:v>5982</x:v>
      </x:c>
      <x:c r="W857" s="26" t="n">
        <x:v>1.25195</x:v>
      </x:c>
      <x:c r="X857" s="26" t="n">
        <x:v>-77.99668</x:v>
      </x:c>
      <x:c r="Y857" s="17">
        <x:v>1684.6179999999999</x:v>
      </x:c>
      <x:c r="Z857" s="17">
        <x:v>1496</x:v>
      </x:c>
      <x:c r="AB857" s="17" t="s">
        <x:v>1662</x:v>
      </x:c>
      <x:c r="AF857" s="17" t="s">
        <x:v>50</x:v>
      </x:c>
      <x:c r="AG857" s="17" t="s">
        <x:v>5983</x:v>
      </x:c>
      <x:c r="AH857" s="17" t="s">
        <x:v>5984</x:v>
      </x:c>
      <x:c r="AI857" s="17" t="s">
        <x:v>5985</x:v>
      </x:c>
      <x:c r="AJ857" s="17">
        <x:v>919</x:v>
      </x:c>
    </x:row>
    <x:row r="858">
      <x:c r="A858" t="s">
        <x:v>5917</x:v>
      </x:c>
      <x:c r="B858" t="s">
        <x:v>5918</x:v>
      </x:c>
      <x:c r="C858" t="s">
        <x:v>5986</x:v>
      </x:c>
      <x:c r="D858">
        <x:v>31561</x:v>
      </x:c>
      <x:c r="E858" t="s">
        <x:v>5987</x:v>
      </x:c>
      <x:c r="F858">
        <x:v>1945</x:v>
      </x:c>
      <x:c r="G858">
        <x:v>1945</x:v>
      </x:c>
      <x:c r="H858">
        <x:v>1945</x:v>
      </x:c>
      <x:c r="I858" t="s">
        <x:v>5988</x:v>
      </x:c>
      <x:c r="J858" t="s">
        <x:v>5988</x:v>
      </x:c>
      <x:c r="K858" t="s">
        <x:v>5989</x:v>
      </x:c>
      <x:c r="L858" t="s">
        <x:v>5989</x:v>
      </x:c>
      <x:c r="M858" t="s">
        <x:v>5990</x:v>
      </x:c>
      <x:c r="N858" t="s">
        <x:v>5991</x:v>
      </x:c>
      <x:c r="O858" t="s">
        <x:v>5992</x:v>
      </x:c>
      <x:c r="P858" t="s">
        <x:v>5993</x:v>
      </x:c>
      <x:c r="R858" s="9">
        <x:v>35634</x:v>
      </x:c>
      <x:c r="T858" t="s">
        <x:v>481</x:v>
      </x:c>
      <x:c r="W858" s="26" t="n">
        <x:v>3.5361111</x:v>
      </x:c>
      <x:c r="X858" s="26" t="n">
        <x:v>-76.6102778</x:v>
      </x:c>
      <x:c r="AF858" t="s">
        <x:v>50</x:v>
      </x:c>
      <x:c r="AG858" t="s">
        <x:v>83</x:v>
      </x:c>
      <x:c r="AH858" t="s">
        <x:v>5994</x:v>
      </x:c>
      <x:c r="AJ858">
        <x:v>920</x:v>
      </x:c>
    </x:row>
    <x:row r="859">
      <x:c r="A859" t="s">
        <x:v>5995</x:v>
      </x:c>
      <x:c r="B859" t="s">
        <x:v>5996</x:v>
      </x:c>
      <x:c r="C859" t="s">
        <x:v>5997</x:v>
      </x:c>
      <x:c r="D859" t="s">
        <x:v>299</x:v>
      </x:c>
      <x:c r="E859" t="s">
        <x:v>5998</x:v>
      </x:c>
      <x:c r="F859">
        <x:v>1950</x:v>
      </x:c>
      <x:c r="I859" t="s">
        <x:v>5999</x:v>
      </x:c>
      <x:c r="K859" t="s">
        <x:v>6000</x:v>
      </x:c>
      <x:c r="M859" t="s">
        <x:v>6001</x:v>
      </x:c>
      <x:c r="N859" s="5" t="s">
        <x:v>6002</x:v>
      </x:c>
      <x:c r="O859" s="5" t="s">
        <x:v>6003</x:v>
      </x:c>
      <x:c r="P859" t="s">
        <x:v>6004</x:v>
      </x:c>
      <x:c r="R859" s="9">
        <x:v>38389</x:v>
      </x:c>
      <x:c r="W859" s="26" t="n">
        <x:v>6.13331</x:v>
      </x:c>
      <x:c r="X859" s="26" t="n">
        <x:v>-75.69901</x:v>
      </x:c>
      <x:c r="Y859">
        <x:v>2121</x:v>
      </x:c>
      <x:c r="Z859" t="s">
        <x:v>6005</x:v>
      </x:c>
      <x:c r="AB859" t="s">
        <x:v>6006</x:v>
      </x:c>
    </x:row>
    <x:row r="860">
      <x:c r="A860" t="s">
        <x:v>5995</x:v>
      </x:c>
      <x:c r="B860" t="s">
        <x:v>5996</x:v>
      </x:c>
      <x:c r="C860" t="s">
        <x:v>6007</x:v>
      </x:c>
      <x:c r="D860" t="s">
        <x:v>6008</x:v>
      </x:c>
      <x:c r="E860" t="s">
        <x:v>6009</x:v>
      </x:c>
      <x:c r="I860" t="s">
        <x:v>6010</x:v>
      </x:c>
      <x:c r="K860" t="s">
        <x:v>6011</x:v>
      </x:c>
      <x:c r="M860" t="s">
        <x:v>6012</x:v>
      </x:c>
      <x:c r="N860" s="5" t="s">
        <x:v>2693</x:v>
      </x:c>
      <x:c r="O860" s="5" t="s">
        <x:v>2694</x:v>
      </x:c>
      <x:c r="P860" t="s">
        <x:v>6013</x:v>
      </x:c>
      <x:c r="R860" s="9">
        <x:v>34643</x:v>
      </x:c>
      <x:c r="W860" s="26" t="n">
        <x:v>5.51811</x:v>
      </x:c>
      <x:c r="X860" s="26" t="n">
        <x:v>-75.04391</x:v>
      </x:c>
      <x:c r="Y860" t="s">
        <x:v>6014</x:v>
      </x:c>
      <x:c r="Z860">
        <x:v>1571</x:v>
      </x:c>
      <x:c r="AB860" t="s">
        <x:v>6015</x:v>
      </x:c>
    </x:row>
    <x:row r="861">
      <x:c r="A861" t="s">
        <x:v>5995</x:v>
      </x:c>
      <x:c r="B861" t="s">
        <x:v>5996</x:v>
      </x:c>
      <x:c r="C861" t="s">
        <x:v>6016</x:v>
      </x:c>
      <x:c r="D861" t="s">
        <x:v>6017</x:v>
      </x:c>
      <x:c r="E861" t="s">
        <x:v>6018</x:v>
      </x:c>
      <x:c r="F861">
        <x:v>2140</x:v>
      </x:c>
      <x:c r="R861" s="9">
        <x:v>30336</x:v>
      </x:c>
      <x:c r="W861" s="26"/>
      <x:c r="X861" s="26"/>
    </x:row>
    <x:row r="862">
      <x:c r="A862" t="s">
        <x:v>5995</x:v>
      </x:c>
      <x:c r="B862" t="s">
        <x:v>5996</x:v>
      </x:c>
      <x:c r="C862" t="s">
        <x:v>6019</x:v>
      </x:c>
      <x:c r="D862" t="s">
        <x:v>6020</x:v>
      </x:c>
      <x:c r="E862" t="s">
        <x:v>6021</x:v>
      </x:c>
      <x:c r="F862" t="s">
        <x:v>6022</x:v>
      </x:c>
      <x:c r="G862">
        <x:v>900</x:v>
      </x:c>
      <x:c r="H862">
        <x:v>1545</x:v>
      </x:c>
      <x:c r="R862" s="9">
        <x:v>33804</x:v>
      </x:c>
      <x:c r="W862" s="26"/>
      <x:c r="X862" s="26"/>
    </x:row>
    <x:row r="863">
      <x:c r="A863" t="s">
        <x:v>5995</x:v>
      </x:c>
      <x:c r="B863" t="s">
        <x:v>5996</x:v>
      </x:c>
      <x:c r="C863" t="s">
        <x:v>6023</x:v>
      </x:c>
      <x:c r="D863" t="s">
        <x:v>6017</x:v>
      </x:c>
      <x:c r="E863" t="s">
        <x:v>6024</x:v>
      </x:c>
      <x:c r="F863">
        <x:v>2250</x:v>
      </x:c>
      <x:c r="R863" s="9">
        <x:v>26020</x:v>
      </x:c>
      <x:c r="W863" s="26"/>
      <x:c r="X863" s="26"/>
    </x:row>
    <x:row r="864">
      <x:c r="A864" t="s">
        <x:v>5995</x:v>
      </x:c>
      <x:c r="B864" t="s">
        <x:v>5996</x:v>
      </x:c>
      <x:c r="C864" t="s">
        <x:v>6025</x:v>
      </x:c>
      <x:c r="D864" t="s">
        <x:v>6017</x:v>
      </x:c>
      <x:c r="E864" t="s">
        <x:v>6026</x:v>
      </x:c>
      <x:c r="F864" t="s">
        <x:v>6027</x:v>
      </x:c>
      <x:c r="G864">
        <x:v>1800</x:v>
      </x:c>
      <x:c r="H864">
        <x:v>2100</x:v>
      </x:c>
      <x:c r="I864" t="s">
        <x:v>6028</x:v>
      </x:c>
      <x:c r="K864" t="s">
        <x:v>6029</x:v>
      </x:c>
      <x:c r="M864" t="s">
        <x:v>6030</x:v>
      </x:c>
      <x:c r="N864" s="5" t="s">
        <x:v>6031</x:v>
      </x:c>
      <x:c r="O864" s="5" t="s">
        <x:v>6032</x:v>
      </x:c>
      <x:c r="P864" t="s">
        <x:v>6033</x:v>
      </x:c>
      <x:c r="R864" s="9">
        <x:v>21637</x:v>
      </x:c>
      <x:c r="W864" s="26" t="n">
        <x:v>7.17362</x:v>
      </x:c>
      <x:c r="X864" s="26" t="n">
        <x:v>-72.3943</x:v>
      </x:c>
      <x:c r="Y864" t="s">
        <x:v>6034</x:v>
      </x:c>
      <x:c r="Z864">
        <x:v>1585</x:v>
      </x:c>
    </x:row>
    <x:row r="865">
      <x:c r="A865" t="s">
        <x:v>5995</x:v>
      </x:c>
      <x:c r="B865" t="s">
        <x:v>5996</x:v>
      </x:c>
      <x:c r="C865" t="s">
        <x:v>6035</x:v>
      </x:c>
      <x:c r="D865" t="s">
        <x:v>6017</x:v>
      </x:c>
      <x:c r="E865" t="s">
        <x:v>6036</x:v>
      </x:c>
      <x:c r="F865">
        <x:v>1600</x:v>
      </x:c>
      <x:c r="R865" s="9">
        <x:v>33635</x:v>
      </x:c>
      <x:c r="W865" s="26"/>
      <x:c r="X865" s="26"/>
    </x:row>
    <x:row r="866">
      <x:c r="A866" t="s">
        <x:v>6037</x:v>
      </x:c>
      <x:c r="B866" t="s">
        <x:v>6038</x:v>
      </x:c>
      <x:c r="C866" t="s">
        <x:v>6039</x:v>
      </x:c>
      <x:c r="D866" t="s">
        <x:v>6040</x:v>
      </x:c>
      <x:c r="E866" t="s">
        <x:v>6041</x:v>
      </x:c>
      <x:c r="P866" t="s">
        <x:v>80</x:v>
      </x:c>
      <x:c r="R866" s="9">
        <x:v>36040</x:v>
      </x:c>
      <x:c r="T866" t="s">
        <x:v>119</x:v>
      </x:c>
      <x:c r="W866" s="26" t="n">
        <x:v>-1.50668</x:v>
      </x:c>
      <x:c r="X866" s="26" t="n">
        <x:v>-70.01698</x:v>
      </x:c>
      <x:c r="Y866">
        <x:v>1094.009</x:v>
      </x:c>
      <x:c r="Z866">
        <x:v>70</x:v>
      </x:c>
      <x:c r="AB866" t="s">
        <x:v>6042</x:v>
      </x:c>
      <x:c r="AF866" t="s">
        <x:v>50</x:v>
      </x:c>
      <x:c r="AG866" t="s">
        <x:v>3812</x:v>
      </x:c>
      <x:c r="AH866" t="s">
        <x:v>6043</x:v>
      </x:c>
      <x:c r="AI866" t="s">
        <x:v>6044</x:v>
      </x:c>
      <x:c r="AJ866">
        <x:v>923</x:v>
      </x:c>
    </x:row>
    <x:row r="867">
      <x:c r="A867" t="s">
        <x:v>6037</x:v>
      </x:c>
      <x:c r="B867" t="s">
        <x:v>6038</x:v>
      </x:c>
      <x:c r="C867" t="s">
        <x:v>6039</x:v>
      </x:c>
      <x:c r="D867" t="s">
        <x:v>6045</x:v>
      </x:c>
      <x:c r="E867" t="s">
        <x:v>6041</x:v>
      </x:c>
      <x:c r="P867" t="s">
        <x:v>80</x:v>
      </x:c>
      <x:c r="R867" s="9">
        <x:v>36040</x:v>
      </x:c>
      <x:c r="T867" t="s">
        <x:v>119</x:v>
      </x:c>
      <x:c r="W867" s="26" t="n">
        <x:v>-1.50668</x:v>
      </x:c>
      <x:c r="X867" s="26" t="n">
        <x:v>-70.01698</x:v>
      </x:c>
      <x:c r="Y867">
        <x:v>1094.009</x:v>
      </x:c>
      <x:c r="Z867">
        <x:v>70</x:v>
      </x:c>
      <x:c r="AB867" t="s">
        <x:v>6042</x:v>
      </x:c>
      <x:c r="AF867" t="s">
        <x:v>50</x:v>
      </x:c>
      <x:c r="AG867" t="s">
        <x:v>3812</x:v>
      </x:c>
      <x:c r="AH867" t="s">
        <x:v>6043</x:v>
      </x:c>
      <x:c r="AI867" t="s">
        <x:v>6044</x:v>
      </x:c>
      <x:c r="AJ867">
        <x:v>926</x:v>
      </x:c>
    </x:row>
    <x:row r="868">
      <x:c r="A868" t="s">
        <x:v>6037</x:v>
      </x:c>
      <x:c r="B868" t="s">
        <x:v>6038</x:v>
      </x:c>
      <x:c r="C868" t="s">
        <x:v>6039</x:v>
      </x:c>
      <x:c r="D868" t="s">
        <x:v>6046</x:v>
      </x:c>
      <x:c r="E868" t="s">
        <x:v>6041</x:v>
      </x:c>
      <x:c r="P868" t="s">
        <x:v>80</x:v>
      </x:c>
      <x:c r="R868" s="9">
        <x:v>36040</x:v>
      </x:c>
      <x:c r="T868" t="s">
        <x:v>119</x:v>
      </x:c>
      <x:c r="W868" s="26" t="n">
        <x:v>-1.50668</x:v>
      </x:c>
      <x:c r="X868" s="26" t="n">
        <x:v>-70.01698</x:v>
      </x:c>
      <x:c r="Y868">
        <x:v>1094.009</x:v>
      </x:c>
      <x:c r="Z868">
        <x:v>70</x:v>
      </x:c>
      <x:c r="AB868" t="s">
        <x:v>6042</x:v>
      </x:c>
      <x:c r="AF868" t="s">
        <x:v>50</x:v>
      </x:c>
      <x:c r="AG868" t="s">
        <x:v>3812</x:v>
      </x:c>
      <x:c r="AH868" t="s">
        <x:v>6043</x:v>
      </x:c>
      <x:c r="AI868" t="s">
        <x:v>6044</x:v>
      </x:c>
      <x:c r="AJ868">
        <x:v>927</x:v>
      </x:c>
    </x:row>
    <x:row r="869">
      <x:c r="A869" t="s">
        <x:v>6037</x:v>
      </x:c>
      <x:c r="B869" t="s">
        <x:v>6038</x:v>
      </x:c>
      <x:c r="C869" t="s">
        <x:v>6047</x:v>
      </x:c>
      <x:c r="D869" t="s">
        <x:v>6048</x:v>
      </x:c>
      <x:c r="E869" t="s">
        <x:v>6049</x:v>
      </x:c>
      <x:c r="P869" t="s">
        <x:v>80</x:v>
      </x:c>
      <x:c r="R869" s="9">
        <x:v>29867</x:v>
      </x:c>
      <x:c r="T869" t="s">
        <x:v>111</x:v>
      </x:c>
      <x:c r="W869" s="26" t="n">
        <x:v>6.30172</x:v>
      </x:c>
      <x:c r="X869" s="26" t="n">
        <x:v>-75.07573</x:v>
      </x:c>
      <x:c r="Y869">
        <x:v>1657.9090000000001</x:v>
      </x:c>
      <x:c r="Z869">
        <x:v>1103</x:v>
      </x:c>
      <x:c r="AB869" t="s">
        <x:v>6050</x:v>
      </x:c>
      <x:c r="AF869" t="s">
        <x:v>50</x:v>
      </x:c>
      <x:c r="AG869" t="s">
        <x:v>402</x:v>
      </x:c>
      <x:c r="AH869" t="s">
        <x:v>6051</x:v>
      </x:c>
      <x:c r="AI869" t="s">
        <x:v>6052</x:v>
      </x:c>
      <x:c r="AJ869">
        <x:v>928</x:v>
      </x:c>
    </x:row>
    <x:row r="870">
      <x:c r="A870" t="s">
        <x:v>6037</x:v>
      </x:c>
      <x:c r="B870" t="s">
        <x:v>6038</x:v>
      </x:c>
      <x:c r="C870" t="s">
        <x:v>6047</x:v>
      </x:c>
      <x:c r="D870" t="s">
        <x:v>6053</x:v>
      </x:c>
      <x:c r="E870" t="s">
        <x:v>6049</x:v>
      </x:c>
      <x:c r="P870" t="s">
        <x:v>80</x:v>
      </x:c>
      <x:c r="R870" s="9">
        <x:v>29867</x:v>
      </x:c>
      <x:c r="T870" t="s">
        <x:v>111</x:v>
      </x:c>
      <x:c r="W870" s="26" t="n">
        <x:v>6.30172</x:v>
      </x:c>
      <x:c r="X870" s="26" t="n">
        <x:v>-75.07573</x:v>
      </x:c>
      <x:c r="Y870">
        <x:v>1657.9090000000001</x:v>
      </x:c>
      <x:c r="Z870">
        <x:v>1103</x:v>
      </x:c>
      <x:c r="AB870" t="s">
        <x:v>6050</x:v>
      </x:c>
      <x:c r="AF870" t="s">
        <x:v>50</x:v>
      </x:c>
      <x:c r="AG870" t="s">
        <x:v>402</x:v>
      </x:c>
      <x:c r="AH870" t="s">
        <x:v>6051</x:v>
      </x:c>
      <x:c r="AI870" t="s">
        <x:v>6052</x:v>
      </x:c>
      <x:c r="AJ870">
        <x:v>930</x:v>
      </x:c>
    </x:row>
    <x:row r="871">
      <x:c r="A871" t="s">
        <x:v>6037</x:v>
      </x:c>
      <x:c r="B871" t="s">
        <x:v>6038</x:v>
      </x:c>
      <x:c r="C871" t="s">
        <x:v>6047</x:v>
      </x:c>
      <x:c r="D871" t="s">
        <x:v>6054</x:v>
      </x:c>
      <x:c r="E871" t="s">
        <x:v>6049</x:v>
      </x:c>
      <x:c r="P871" t="s">
        <x:v>80</x:v>
      </x:c>
      <x:c r="R871" s="9">
        <x:v>29867</x:v>
      </x:c>
      <x:c r="T871" t="s">
        <x:v>111</x:v>
      </x:c>
      <x:c r="W871" s="26" t="n">
        <x:v>6.30172</x:v>
      </x:c>
      <x:c r="X871" s="26" t="n">
        <x:v>-75.07573</x:v>
      </x:c>
      <x:c r="Y871">
        <x:v>1657.9090000000001</x:v>
      </x:c>
      <x:c r="Z871">
        <x:v>1103</x:v>
      </x:c>
      <x:c r="AB871" t="s">
        <x:v>6050</x:v>
      </x:c>
      <x:c r="AF871" t="s">
        <x:v>50</x:v>
      </x:c>
      <x:c r="AG871" t="s">
        <x:v>402</x:v>
      </x:c>
      <x:c r="AH871" t="s">
        <x:v>6051</x:v>
      </x:c>
      <x:c r="AI871" t="s">
        <x:v>6052</x:v>
      </x:c>
      <x:c r="AJ871">
        <x:v>931</x:v>
      </x:c>
    </x:row>
    <x:row r="872">
      <x:c r="A872" t="s">
        <x:v>6037</x:v>
      </x:c>
      <x:c r="B872" t="s">
        <x:v>6038</x:v>
      </x:c>
      <x:c r="C872" t="s">
        <x:v>6055</x:v>
      </x:c>
      <x:c r="D872" t="s">
        <x:v>6056</x:v>
      </x:c>
      <x:c r="E872" t="s">
        <x:v>6057</x:v>
      </x:c>
      <x:c r="F872">
        <x:v>1510</x:v>
      </x:c>
      <x:c r="G872">
        <x:v>1510</x:v>
      </x:c>
      <x:c r="H872">
        <x:v>1510</x:v>
      </x:c>
      <x:c r="I872" t="s">
        <x:v>6058</x:v>
      </x:c>
      <x:c r="J872" t="s">
        <x:v>6058</x:v>
      </x:c>
      <x:c r="K872" t="s">
        <x:v>6059</x:v>
      </x:c>
      <x:c r="L872" t="s">
        <x:v>6060</x:v>
      </x:c>
      <x:c r="M872" t="s">
        <x:v>6061</x:v>
      </x:c>
      <x:c r="N872" t="s">
        <x:v>6062</x:v>
      </x:c>
      <x:c r="O872" t="s">
        <x:v>6063</x:v>
      </x:c>
      <x:c r="P872" t="s">
        <x:v>6064</x:v>
      </x:c>
      <x:c r="R872" s="9">
        <x:v>32556</x:v>
      </x:c>
      <x:c r="T872" t="s">
        <x:v>119</x:v>
      </x:c>
      <x:c r="W872" s="26" t="n">
        <x:v>6.9</x:v>
      </x:c>
      <x:c r="X872" s="26" t="n">
        <x:v>-75.1</x:v>
      </x:c>
      <x:c r="AF872" t="s">
        <x:v>50</x:v>
      </x:c>
      <x:c r="AG872" t="s">
        <x:v>402</x:v>
      </x:c>
      <x:c r="AH872" t="s">
        <x:v>6065</x:v>
      </x:c>
      <x:c r="AI872" t="s">
        <x:v>6066</x:v>
      </x:c>
      <x:c r="AJ872">
        <x:v>932</x:v>
      </x:c>
    </x:row>
    <x:row r="873">
      <x:c r="A873" t="s">
        <x:v>6037</x:v>
      </x:c>
      <x:c r="B873" t="s">
        <x:v>6038</x:v>
      </x:c>
      <x:c r="C873" t="s">
        <x:v>6055</x:v>
      </x:c>
      <x:c r="D873" t="s">
        <x:v>6067</x:v>
      </x:c>
      <x:c r="E873" t="s">
        <x:v>6057</x:v>
      </x:c>
      <x:c r="F873">
        <x:v>1510</x:v>
      </x:c>
      <x:c r="G873">
        <x:v>1510</x:v>
      </x:c>
      <x:c r="H873">
        <x:v>1510</x:v>
      </x:c>
      <x:c r="I873" t="s">
        <x:v>6058</x:v>
      </x:c>
      <x:c r="J873" t="s">
        <x:v>6058</x:v>
      </x:c>
      <x:c r="K873" t="s">
        <x:v>6059</x:v>
      </x:c>
      <x:c r="L873" t="s">
        <x:v>6060</x:v>
      </x:c>
      <x:c r="M873" t="s">
        <x:v>6061</x:v>
      </x:c>
      <x:c r="N873" t="s">
        <x:v>6062</x:v>
      </x:c>
      <x:c r="O873" t="s">
        <x:v>6063</x:v>
      </x:c>
      <x:c r="P873" t="s">
        <x:v>6064</x:v>
      </x:c>
      <x:c r="R873" s="9">
        <x:v>32556</x:v>
      </x:c>
      <x:c r="T873" t="s">
        <x:v>119</x:v>
      </x:c>
      <x:c r="W873" s="26" t="n">
        <x:v>6.9</x:v>
      </x:c>
      <x:c r="X873" s="26" t="n">
        <x:v>-75.1</x:v>
      </x:c>
      <x:c r="AF873" t="s">
        <x:v>50</x:v>
      </x:c>
      <x:c r="AG873" t="s">
        <x:v>402</x:v>
      </x:c>
      <x:c r="AH873" t="s">
        <x:v>6065</x:v>
      </x:c>
      <x:c r="AI873" t="s">
        <x:v>6066</x:v>
      </x:c>
      <x:c r="AJ873">
        <x:v>933</x:v>
      </x:c>
    </x:row>
    <x:row r="874">
      <x:c r="A874" t="s">
        <x:v>6037</x:v>
      </x:c>
      <x:c r="B874" t="s">
        <x:v>6038</x:v>
      </x:c>
      <x:c r="C874" t="s">
        <x:v>6055</x:v>
      </x:c>
      <x:c r="D874" t="s">
        <x:v>6068</x:v>
      </x:c>
      <x:c r="E874" t="s">
        <x:v>6057</x:v>
      </x:c>
      <x:c r="F874">
        <x:v>1510</x:v>
      </x:c>
      <x:c r="G874">
        <x:v>1510</x:v>
      </x:c>
      <x:c r="H874">
        <x:v>1510</x:v>
      </x:c>
      <x:c r="I874" t="s">
        <x:v>6058</x:v>
      </x:c>
      <x:c r="J874" t="s">
        <x:v>6058</x:v>
      </x:c>
      <x:c r="K874" t="s">
        <x:v>6059</x:v>
      </x:c>
      <x:c r="L874" t="s">
        <x:v>6060</x:v>
      </x:c>
      <x:c r="M874" t="s">
        <x:v>6061</x:v>
      </x:c>
      <x:c r="N874" t="s">
        <x:v>6062</x:v>
      </x:c>
      <x:c r="O874" t="s">
        <x:v>6063</x:v>
      </x:c>
      <x:c r="P874" t="s">
        <x:v>6064</x:v>
      </x:c>
      <x:c r="R874" s="9">
        <x:v>32556</x:v>
      </x:c>
      <x:c r="T874" t="s">
        <x:v>119</x:v>
      </x:c>
      <x:c r="W874" s="26" t="n">
        <x:v>6.9</x:v>
      </x:c>
      <x:c r="X874" s="26" t="n">
        <x:v>-75.1</x:v>
      </x:c>
      <x:c r="AF874" t="s">
        <x:v>50</x:v>
      </x:c>
      <x:c r="AG874" t="s">
        <x:v>402</x:v>
      </x:c>
      <x:c r="AH874" t="s">
        <x:v>6065</x:v>
      </x:c>
      <x:c r="AI874" t="s">
        <x:v>6066</x:v>
      </x:c>
      <x:c r="AJ874">
        <x:v>934</x:v>
      </x:c>
    </x:row>
    <x:row r="875">
      <x:c r="A875" t="s">
        <x:v>6037</x:v>
      </x:c>
      <x:c r="B875" t="s">
        <x:v>6038</x:v>
      </x:c>
      <x:c r="C875" t="s">
        <x:v>6069</x:v>
      </x:c>
      <x:c r="D875" t="s">
        <x:v>6070</x:v>
      </x:c>
      <x:c r="E875" t="s">
        <x:v>6071</x:v>
      </x:c>
      <x:c r="F875">
        <x:v>1850</x:v>
      </x:c>
      <x:c r="G875">
        <x:v>1850</x:v>
      </x:c>
      <x:c r="H875">
        <x:v>1850</x:v>
      </x:c>
      <x:c r="I875" t="s">
        <x:v>2371</x:v>
      </x:c>
      <x:c r="J875" t="s">
        <x:v>2371</x:v>
      </x:c>
      <x:c r="K875" t="s">
        <x:v>6072</x:v>
      </x:c>
      <x:c r="L875" t="s">
        <x:v>2384</x:v>
      </x:c>
      <x:c r="M875" t="s">
        <x:v>3677</x:v>
      </x:c>
      <x:c r="N875" t="s">
        <x:v>532</x:v>
      </x:c>
      <x:c r="O875" t="s">
        <x:v>2365</x:v>
      </x:c>
      <x:c r="P875" t="s">
        <x:v>2366</x:v>
      </x:c>
      <x:c r="R875" s="9">
        <x:v>33015</x:v>
      </x:c>
      <x:c r="T875" t="s">
        <x:v>318</x:v>
      </x:c>
      <x:c r="W875" s="26" t="n">
        <x:v>6.31122</x:v>
      </x:c>
      <x:c r="X875" s="26" t="n">
        <x:v>-75.14609</x:v>
      </x:c>
      <x:c r="Y875">
        <x:v>2681.63</x:v>
      </x:c>
      <x:c r="Z875">
        <x:v>1854</x:v>
      </x:c>
      <x:c r="AB875" t="s">
        <x:v>2229</x:v>
      </x:c>
      <x:c r="AF875" t="s">
        <x:v>50</x:v>
      </x:c>
      <x:c r="AG875" t="s">
        <x:v>402</x:v>
      </x:c>
      <x:c r="AH875" t="s">
        <x:v>2230</x:v>
      </x:c>
      <x:c r="AI875" t="s">
        <x:v>6073</x:v>
      </x:c>
      <x:c r="AJ875">
        <x:v>935</x:v>
      </x:c>
    </x:row>
    <x:row r="876">
      <x:c r="A876" t="s">
        <x:v>6037</x:v>
      </x:c>
      <x:c r="B876" t="s">
        <x:v>6038</x:v>
      </x:c>
      <x:c r="C876" t="s">
        <x:v>6074</x:v>
      </x:c>
      <x:c r="D876" t="s">
        <x:v>6075</x:v>
      </x:c>
      <x:c r="E876" t="s">
        <x:v>6076</x:v>
      </x:c>
      <x:c r="F876" t="s">
        <x:v>6077</x:v>
      </x:c>
      <x:c r="G876">
        <x:v>1000</x:v>
      </x:c>
      <x:c r="H876">
        <x:v>1500</x:v>
      </x:c>
      <x:c r="I876" t="s">
        <x:v>1480</x:v>
      </x:c>
      <x:c r="J876" t="s">
        <x:v>1480</x:v>
      </x:c>
      <x:c r="K876" t="s">
        <x:v>6078</x:v>
      </x:c>
      <x:c r="L876" t="s">
        <x:v>1482</x:v>
      </x:c>
      <x:c r="M876" t="s">
        <x:v>1483</x:v>
      </x:c>
      <x:c r="N876" t="s">
        <x:v>1484</x:v>
      </x:c>
      <x:c r="O876" t="s">
        <x:v>1485</x:v>
      </x:c>
      <x:c r="P876" t="s">
        <x:v>1486</x:v>
      </x:c>
      <x:c r="R876" s="9">
        <x:v>33341</x:v>
      </x:c>
      <x:c r="T876" t="s">
        <x:v>111</x:v>
      </x:c>
      <x:c r="W876" s="26" t="n">
        <x:v>6.0333333</x:v>
      </x:c>
      <x:c r="X876" s="26" t="n">
        <x:v>-75.1333333</x:v>
      </x:c>
      <x:c r="AF876" t="s">
        <x:v>50</x:v>
      </x:c>
      <x:c r="AG876" t="s">
        <x:v>402</x:v>
      </x:c>
      <x:c r="AH876" t="s">
        <x:v>1487</x:v>
      </x:c>
      <x:c r="AI876" t="s">
        <x:v>6079</x:v>
      </x:c>
      <x:c r="AJ876">
        <x:v>936</x:v>
      </x:c>
    </x:row>
    <x:row r="877">
      <x:c r="A877" t="s">
        <x:v>6037</x:v>
      </x:c>
      <x:c r="B877" t="s">
        <x:v>6038</x:v>
      </x:c>
      <x:c r="C877" t="s">
        <x:v>6074</x:v>
      </x:c>
      <x:c r="D877" t="s">
        <x:v>6080</x:v>
      </x:c>
      <x:c r="E877" t="s">
        <x:v>6076</x:v>
      </x:c>
      <x:c r="F877" t="s">
        <x:v>6077</x:v>
      </x:c>
      <x:c r="G877">
        <x:v>1000</x:v>
      </x:c>
      <x:c r="H877">
        <x:v>1500</x:v>
      </x:c>
      <x:c r="I877" t="s">
        <x:v>1480</x:v>
      </x:c>
      <x:c r="J877" t="s">
        <x:v>1480</x:v>
      </x:c>
      <x:c r="K877" t="s">
        <x:v>6078</x:v>
      </x:c>
      <x:c r="L877" t="s">
        <x:v>1482</x:v>
      </x:c>
      <x:c r="M877" t="s">
        <x:v>1483</x:v>
      </x:c>
      <x:c r="N877" t="s">
        <x:v>1484</x:v>
      </x:c>
      <x:c r="O877" t="s">
        <x:v>1485</x:v>
      </x:c>
      <x:c r="P877" t="s">
        <x:v>1486</x:v>
      </x:c>
      <x:c r="R877" s="9">
        <x:v>33341</x:v>
      </x:c>
      <x:c r="T877" t="s">
        <x:v>111</x:v>
      </x:c>
      <x:c r="W877" s="26" t="n">
        <x:v>6.0333333</x:v>
      </x:c>
      <x:c r="X877" s="26" t="n">
        <x:v>-75.1333333</x:v>
      </x:c>
      <x:c r="AF877" t="s">
        <x:v>50</x:v>
      </x:c>
      <x:c r="AG877" t="s">
        <x:v>402</x:v>
      </x:c>
      <x:c r="AH877" t="s">
        <x:v>1487</x:v>
      </x:c>
      <x:c r="AI877" t="s">
        <x:v>6079</x:v>
      </x:c>
      <x:c r="AJ877">
        <x:v>937</x:v>
      </x:c>
    </x:row>
    <x:row r="878">
      <x:c r="A878" t="s">
        <x:v>6037</x:v>
      </x:c>
      <x:c r="B878" t="s">
        <x:v>6038</x:v>
      </x:c>
      <x:c r="C878" t="s">
        <x:v>6081</x:v>
      </x:c>
      <x:c r="D878" t="s">
        <x:v>6082</x:v>
      </x:c>
      <x:c r="E878" t="s">
        <x:v>6083</x:v>
      </x:c>
      <x:c r="F878">
        <x:v>1500</x:v>
      </x:c>
      <x:c r="G878">
        <x:v>1500</x:v>
      </x:c>
      <x:c r="H878">
        <x:v>1500</x:v>
      </x:c>
      <x:c r="I878" t="s">
        <x:v>6084</x:v>
      </x:c>
      <x:c r="J878" t="s">
        <x:v>6085</x:v>
      </x:c>
      <x:c r="K878" t="s">
        <x:v>4463</x:v>
      </x:c>
      <x:c r="L878" t="s">
        <x:v>4464</x:v>
      </x:c>
      <x:c r="M878" t="s">
        <x:v>6086</x:v>
      </x:c>
      <x:c r="N878" t="s">
        <x:v>1695</x:v>
      </x:c>
      <x:c r="O878" t="s">
        <x:v>4467</x:v>
      </x:c>
      <x:c r="P878" t="s">
        <x:v>6087</x:v>
      </x:c>
      <x:c r="R878" s="9">
        <x:v>33424</x:v>
      </x:c>
      <x:c r="T878" t="s">
        <x:v>65</x:v>
      </x:c>
      <x:c r="W878" s="26" t="n">
        <x:v>6.5</x:v>
      </x:c>
      <x:c r="X878" s="26" t="n">
        <x:v>-75.3</x:v>
      </x:c>
      <x:c r="AF878" t="s">
        <x:v>50</x:v>
      </x:c>
      <x:c r="AG878" t="s">
        <x:v>402</x:v>
      </x:c>
      <x:c r="AH878" t="s">
        <x:v>3546</x:v>
      </x:c>
      <x:c r="AI878" t="s">
        <x:v>6088</x:v>
      </x:c>
      <x:c r="AJ878">
        <x:v>938</x:v>
      </x:c>
    </x:row>
    <x:row r="879">
      <x:c r="A879" t="s">
        <x:v>6037</x:v>
      </x:c>
      <x:c r="B879" t="s">
        <x:v>6038</x:v>
      </x:c>
      <x:c r="C879" t="s">
        <x:v>6081</x:v>
      </x:c>
      <x:c r="D879" t="s">
        <x:v>6082</x:v>
      </x:c>
      <x:c r="E879" t="s">
        <x:v>6083</x:v>
      </x:c>
      <x:c r="F879">
        <x:v>1500</x:v>
      </x:c>
      <x:c r="G879">
        <x:v>1500</x:v>
      </x:c>
      <x:c r="H879">
        <x:v>1500</x:v>
      </x:c>
      <x:c r="I879" t="s">
        <x:v>6084</x:v>
      </x:c>
      <x:c r="J879" t="s">
        <x:v>6085</x:v>
      </x:c>
      <x:c r="K879" t="s">
        <x:v>4463</x:v>
      </x:c>
      <x:c r="L879" t="s">
        <x:v>4464</x:v>
      </x:c>
      <x:c r="M879" t="s">
        <x:v>6086</x:v>
      </x:c>
      <x:c r="N879" t="s">
        <x:v>1695</x:v>
      </x:c>
      <x:c r="O879" t="s">
        <x:v>4467</x:v>
      </x:c>
      <x:c r="P879" t="s">
        <x:v>6087</x:v>
      </x:c>
      <x:c r="R879" s="9">
        <x:v>33424</x:v>
      </x:c>
      <x:c r="T879" t="s">
        <x:v>65</x:v>
      </x:c>
      <x:c r="W879" s="26" t="n">
        <x:v>6.5</x:v>
      </x:c>
      <x:c r="X879" s="26" t="n">
        <x:v>-75.3</x:v>
      </x:c>
      <x:c r="AF879" t="s">
        <x:v>50</x:v>
      </x:c>
      <x:c r="AG879" t="s">
        <x:v>402</x:v>
      </x:c>
      <x:c r="AH879" t="s">
        <x:v>3546</x:v>
      </x:c>
      <x:c r="AI879" t="s">
        <x:v>6088</x:v>
      </x:c>
      <x:c r="AJ879">
        <x:v>939</x:v>
      </x:c>
    </x:row>
    <x:row r="880">
      <x:c r="A880" t="s">
        <x:v>6037</x:v>
      </x:c>
      <x:c r="B880" t="s">
        <x:v>6038</x:v>
      </x:c>
      <x:c r="C880" t="s">
        <x:v>6089</x:v>
      </x:c>
      <x:c r="D880" t="s">
        <x:v>6090</x:v>
      </x:c>
      <x:c r="E880" t="s">
        <x:v>6083</x:v>
      </x:c>
      <x:c r="F880">
        <x:v>1500</x:v>
      </x:c>
      <x:c r="G880">
        <x:v>1500</x:v>
      </x:c>
      <x:c r="H880">
        <x:v>1500</x:v>
      </x:c>
      <x:c r="I880" t="s">
        <x:v>6084</x:v>
      </x:c>
      <x:c r="J880" t="s">
        <x:v>6085</x:v>
      </x:c>
      <x:c r="K880" t="s">
        <x:v>4463</x:v>
      </x:c>
      <x:c r="L880" t="s">
        <x:v>4464</x:v>
      </x:c>
      <x:c r="M880" t="s">
        <x:v>6086</x:v>
      </x:c>
      <x:c r="N880" t="s">
        <x:v>1695</x:v>
      </x:c>
      <x:c r="O880" t="s">
        <x:v>4467</x:v>
      </x:c>
      <x:c r="P880" t="s">
        <x:v>6087</x:v>
      </x:c>
      <x:c r="R880" s="9">
        <x:v>33424</x:v>
      </x:c>
      <x:c r="T880" t="s">
        <x:v>65</x:v>
      </x:c>
      <x:c r="W880" s="26" t="n">
        <x:v>6.5</x:v>
      </x:c>
      <x:c r="X880" s="26" t="n">
        <x:v>-75.3</x:v>
      </x:c>
      <x:c r="AF880" t="s">
        <x:v>50</x:v>
      </x:c>
      <x:c r="AG880" t="s">
        <x:v>402</x:v>
      </x:c>
      <x:c r="AH880" t="s">
        <x:v>3546</x:v>
      </x:c>
      <x:c r="AI880" t="s">
        <x:v>6088</x:v>
      </x:c>
      <x:c r="AJ880">
        <x:v>940</x:v>
      </x:c>
    </x:row>
    <x:row r="881">
      <x:c r="A881" t="s">
        <x:v>6037</x:v>
      </x:c>
      <x:c r="B881" t="s">
        <x:v>6038</x:v>
      </x:c>
      <x:c r="C881" t="s">
        <x:v>6091</x:v>
      </x:c>
      <x:c r="D881" t="s">
        <x:v>6092</x:v>
      </x:c>
      <x:c r="E881" t="s">
        <x:v>6093</x:v>
      </x:c>
      <x:c r="F881">
        <x:v>950</x:v>
      </x:c>
      <x:c r="G881">
        <x:v>950</x:v>
      </x:c>
      <x:c r="H881">
        <x:v>950</x:v>
      </x:c>
      <x:c r="I881" t="s">
        <x:v>6094</x:v>
      </x:c>
      <x:c r="J881" t="s">
        <x:v>6094</x:v>
      </x:c>
      <x:c r="K881" t="s">
        <x:v>6078</x:v>
      </x:c>
      <x:c r="L881" t="s">
        <x:v>1482</x:v>
      </x:c>
      <x:c r="M881" t="s">
        <x:v>6095</x:v>
      </x:c>
      <x:c r="N881" t="s">
        <x:v>6096</x:v>
      </x:c>
      <x:c r="O881" t="s">
        <x:v>1485</x:v>
      </x:c>
      <x:c r="P881" t="s">
        <x:v>6097</x:v>
      </x:c>
      <x:c r="R881" s="9">
        <x:v>36291</x:v>
      </x:c>
      <x:c r="T881" t="s">
        <x:v>318</x:v>
      </x:c>
      <x:c r="W881" s="26" t="n">
        <x:v>6.79257</x:v>
      </x:c>
      <x:c r="X881" s="26" t="n">
        <x:v>-75.12252</x:v>
      </x:c>
      <x:c r="Y881">
        <x:v>6250</x:v>
      </x:c>
      <x:c r="Z881">
        <x:v>1027</x:v>
      </x:c>
      <x:c r="AB881" t="s">
        <x:v>6098</x:v>
      </x:c>
      <x:c r="AF881" t="s">
        <x:v>50</x:v>
      </x:c>
      <x:c r="AG881" t="s">
        <x:v>402</x:v>
      </x:c>
      <x:c r="AH881" t="s">
        <x:v>6065</x:v>
      </x:c>
      <x:c r="AI881" t="s">
        <x:v>6099</x:v>
      </x:c>
      <x:c r="AJ881">
        <x:v>941</x:v>
      </x:c>
    </x:row>
    <x:row r="882">
      <x:c r="A882" t="s">
        <x:v>6037</x:v>
      </x:c>
      <x:c r="B882" t="s">
        <x:v>6038</x:v>
      </x:c>
      <x:c r="C882" t="s">
        <x:v>6100</x:v>
      </x:c>
      <x:c r="D882" t="s">
        <x:v>6101</x:v>
      </x:c>
      <x:c r="E882" t="s">
        <x:v>6102</x:v>
      </x:c>
      <x:c r="F882">
        <x:v>1600</x:v>
      </x:c>
      <x:c r="G882">
        <x:v>1600</x:v>
      </x:c>
      <x:c r="H882">
        <x:v>1600</x:v>
      </x:c>
      <x:c r="I882" t="s">
        <x:v>6103</x:v>
      </x:c>
      <x:c r="J882" t="s">
        <x:v>6104</x:v>
      </x:c>
      <x:c r="K882" t="s">
        <x:v>6105</x:v>
      </x:c>
      <x:c r="L882" t="s">
        <x:v>6106</x:v>
      </x:c>
      <x:c r="M882" t="s">
        <x:v>6107</x:v>
      </x:c>
      <x:c r="N882" t="s">
        <x:v>6108</x:v>
      </x:c>
      <x:c r="O882" t="s">
        <x:v>6109</x:v>
      </x:c>
      <x:c r="P882" t="s">
        <x:v>6110</x:v>
      </x:c>
      <x:c r="R882" s="9">
        <x:v>36665</x:v>
      </x:c>
      <x:c r="T882" t="s">
        <x:v>119</x:v>
      </x:c>
      <x:c r="W882" s="26" t="n">
        <x:v>6.44112</x:v>
      </x:c>
      <x:c r="X882" s="26" t="n">
        <x:v>-75.31479</x:v>
      </x:c>
      <x:c r="Y882">
        <x:v>1892.354</x:v>
      </x:c>
      <x:c r="Z882">
        <x:v>1456</x:v>
      </x:c>
      <x:c r="AB882" t="s">
        <x:v>6111</x:v>
      </x:c>
      <x:c r="AF882" t="s">
        <x:v>50</x:v>
      </x:c>
      <x:c r="AG882" t="s">
        <x:v>402</x:v>
      </x:c>
      <x:c r="AH882" t="s">
        <x:v>3546</x:v>
      </x:c>
      <x:c r="AI882" t="s">
        <x:v>6112</x:v>
      </x:c>
      <x:c r="AJ882">
        <x:v>942</x:v>
      </x:c>
    </x:row>
    <x:row r="883">
      <x:c r="A883" t="s">
        <x:v>6037</x:v>
      </x:c>
      <x:c r="B883" t="s">
        <x:v>6038</x:v>
      </x:c>
      <x:c r="C883" t="s">
        <x:v>6100</x:v>
      </x:c>
      <x:c r="D883" t="s">
        <x:v>6113</x:v>
      </x:c>
      <x:c r="E883" t="s">
        <x:v>6102</x:v>
      </x:c>
      <x:c r="F883">
        <x:v>1600</x:v>
      </x:c>
      <x:c r="G883">
        <x:v>1600</x:v>
      </x:c>
      <x:c r="H883">
        <x:v>1600</x:v>
      </x:c>
      <x:c r="I883" t="s">
        <x:v>6103</x:v>
      </x:c>
      <x:c r="J883" t="s">
        <x:v>6104</x:v>
      </x:c>
      <x:c r="K883" t="s">
        <x:v>6105</x:v>
      </x:c>
      <x:c r="L883" t="s">
        <x:v>6106</x:v>
      </x:c>
      <x:c r="M883" t="s">
        <x:v>6107</x:v>
      </x:c>
      <x:c r="N883" t="s">
        <x:v>6108</x:v>
      </x:c>
      <x:c r="O883" t="s">
        <x:v>6109</x:v>
      </x:c>
      <x:c r="P883" t="s">
        <x:v>6110</x:v>
      </x:c>
      <x:c r="R883" s="9">
        <x:v>36665</x:v>
      </x:c>
      <x:c r="T883" t="s">
        <x:v>119</x:v>
      </x:c>
      <x:c r="W883" s="26" t="n">
        <x:v>6.44112</x:v>
      </x:c>
      <x:c r="X883" s="26" t="n">
        <x:v>-75.31479</x:v>
      </x:c>
      <x:c r="Y883">
        <x:v>1892.354</x:v>
      </x:c>
      <x:c r="Z883">
        <x:v>1456</x:v>
      </x:c>
      <x:c r="AB883" t="s">
        <x:v>6111</x:v>
      </x:c>
      <x:c r="AF883" t="s">
        <x:v>50</x:v>
      </x:c>
      <x:c r="AG883" t="s">
        <x:v>402</x:v>
      </x:c>
      <x:c r="AH883" t="s">
        <x:v>3546</x:v>
      </x:c>
      <x:c r="AI883" t="s">
        <x:v>6112</x:v>
      </x:c>
      <x:c r="AJ883">
        <x:v>943</x:v>
      </x:c>
    </x:row>
    <x:row r="884">
      <x:c r="A884" t="s">
        <x:v>6037</x:v>
      </x:c>
      <x:c r="B884" t="s">
        <x:v>6038</x:v>
      </x:c>
      <x:c r="C884" t="s">
        <x:v>6100</x:v>
      </x:c>
      <x:c r="D884" t="s">
        <x:v>6114</x:v>
      </x:c>
      <x:c r="E884" t="s">
        <x:v>6102</x:v>
      </x:c>
      <x:c r="F884">
        <x:v>1600</x:v>
      </x:c>
      <x:c r="G884">
        <x:v>1600</x:v>
      </x:c>
      <x:c r="H884">
        <x:v>1600</x:v>
      </x:c>
      <x:c r="I884" t="s">
        <x:v>6103</x:v>
      </x:c>
      <x:c r="J884" t="s">
        <x:v>6104</x:v>
      </x:c>
      <x:c r="K884" t="s">
        <x:v>6105</x:v>
      </x:c>
      <x:c r="L884" t="s">
        <x:v>6106</x:v>
      </x:c>
      <x:c r="M884" t="s">
        <x:v>6107</x:v>
      </x:c>
      <x:c r="N884" t="s">
        <x:v>6108</x:v>
      </x:c>
      <x:c r="O884" t="s">
        <x:v>6109</x:v>
      </x:c>
      <x:c r="P884" t="s">
        <x:v>6110</x:v>
      </x:c>
      <x:c r="R884" s="9">
        <x:v>36665</x:v>
      </x:c>
      <x:c r="T884" t="s">
        <x:v>119</x:v>
      </x:c>
      <x:c r="W884" s="26" t="n">
        <x:v>6.44112</x:v>
      </x:c>
      <x:c r="X884" s="26" t="n">
        <x:v>-75.31479</x:v>
      </x:c>
      <x:c r="Y884">
        <x:v>1892.354</x:v>
      </x:c>
      <x:c r="Z884">
        <x:v>1456</x:v>
      </x:c>
      <x:c r="AB884" t="s">
        <x:v>6111</x:v>
      </x:c>
      <x:c r="AF884" t="s">
        <x:v>50</x:v>
      </x:c>
      <x:c r="AG884" t="s">
        <x:v>402</x:v>
      </x:c>
      <x:c r="AH884" t="s">
        <x:v>3546</x:v>
      </x:c>
      <x:c r="AI884" t="s">
        <x:v>6112</x:v>
      </x:c>
      <x:c r="AJ884">
        <x:v>944</x:v>
      </x:c>
    </x:row>
    <x:row r="885">
      <x:c r="A885" t="s">
        <x:v>6037</x:v>
      </x:c>
      <x:c r="B885" t="s">
        <x:v>6038</x:v>
      </x:c>
      <x:c r="C885" t="s">
        <x:v>6115</x:v>
      </x:c>
      <x:c r="D885" t="s">
        <x:v>6116</x:v>
      </x:c>
      <x:c r="E885" t="s">
        <x:v>6117</x:v>
      </x:c>
      <x:c r="F885">
        <x:v>950</x:v>
      </x:c>
      <x:c r="G885">
        <x:v>950</x:v>
      </x:c>
      <x:c r="H885">
        <x:v>950</x:v>
      </x:c>
      <x:c r="I885" t="s">
        <x:v>6118</x:v>
      </x:c>
      <x:c r="J885" t="s">
        <x:v>6118</x:v>
      </x:c>
      <x:c r="K885" t="s">
        <x:v>6078</x:v>
      </x:c>
      <x:c r="L885" t="s">
        <x:v>1482</x:v>
      </x:c>
      <x:c r="M885" t="s">
        <x:v>6119</x:v>
      </x:c>
      <x:c r="N885" t="s">
        <x:v>6096</x:v>
      </x:c>
      <x:c r="O885" t="s">
        <x:v>1485</x:v>
      </x:c>
      <x:c r="P885" t="s">
        <x:v>6097</x:v>
      </x:c>
      <x:c r="R885" s="9">
        <x:v>36669</x:v>
      </x:c>
      <x:c r="T885" t="s">
        <x:v>318</x:v>
      </x:c>
      <x:c r="W885" s="26" t="n">
        <x:v>6.79257</x:v>
      </x:c>
      <x:c r="X885" s="26" t="n">
        <x:v>-75.12252</x:v>
      </x:c>
      <x:c r="Y885">
        <x:v>6250</x:v>
      </x:c>
      <x:c r="Z885">
        <x:v>1027</x:v>
      </x:c>
      <x:c r="AB885" t="s">
        <x:v>6098</x:v>
      </x:c>
      <x:c r="AF885" t="s">
        <x:v>50</x:v>
      </x:c>
      <x:c r="AG885" t="s">
        <x:v>402</x:v>
      </x:c>
      <x:c r="AH885" t="s">
        <x:v>6065</x:v>
      </x:c>
      <x:c r="AI885" t="s">
        <x:v>6120</x:v>
      </x:c>
      <x:c r="AJ885">
        <x:v>945</x:v>
      </x:c>
    </x:row>
    <x:row r="886">
      <x:c r="A886" t="s">
        <x:v>6037</x:v>
      </x:c>
      <x:c r="B886" t="s">
        <x:v>6038</x:v>
      </x:c>
      <x:c r="C886" t="s">
        <x:v>6115</x:v>
      </x:c>
      <x:c r="D886" t="s">
        <x:v>6121</x:v>
      </x:c>
      <x:c r="E886" t="s">
        <x:v>6117</x:v>
      </x:c>
      <x:c r="F886">
        <x:v>950</x:v>
      </x:c>
      <x:c r="G886">
        <x:v>950</x:v>
      </x:c>
      <x:c r="H886">
        <x:v>950</x:v>
      </x:c>
      <x:c r="I886" t="s">
        <x:v>6118</x:v>
      </x:c>
      <x:c r="J886" t="s">
        <x:v>6118</x:v>
      </x:c>
      <x:c r="K886" t="s">
        <x:v>6078</x:v>
      </x:c>
      <x:c r="L886" t="s">
        <x:v>1482</x:v>
      </x:c>
      <x:c r="M886" t="s">
        <x:v>6119</x:v>
      </x:c>
      <x:c r="N886" t="s">
        <x:v>6096</x:v>
      </x:c>
      <x:c r="O886" t="s">
        <x:v>1485</x:v>
      </x:c>
      <x:c r="P886" t="s">
        <x:v>6097</x:v>
      </x:c>
      <x:c r="R886" s="9">
        <x:v>36669</x:v>
      </x:c>
      <x:c r="T886" t="s">
        <x:v>318</x:v>
      </x:c>
      <x:c r="W886" s="26" t="n">
        <x:v>6.79257</x:v>
      </x:c>
      <x:c r="X886" s="26" t="n">
        <x:v>-75.12252</x:v>
      </x:c>
      <x:c r="Y886">
        <x:v>6250</x:v>
      </x:c>
      <x:c r="Z886">
        <x:v>1027</x:v>
      </x:c>
      <x:c r="AB886" t="s">
        <x:v>6098</x:v>
      </x:c>
      <x:c r="AF886" t="s">
        <x:v>50</x:v>
      </x:c>
      <x:c r="AG886" t="s">
        <x:v>402</x:v>
      </x:c>
      <x:c r="AH886" t="s">
        <x:v>6065</x:v>
      </x:c>
      <x:c r="AI886" t="s">
        <x:v>6120</x:v>
      </x:c>
      <x:c r="AJ886">
        <x:v>946</x:v>
      </x:c>
    </x:row>
    <x:row r="887">
      <x:c r="A887" t="s">
        <x:v>6037</x:v>
      </x:c>
      <x:c r="B887" t="s">
        <x:v>6038</x:v>
      </x:c>
      <x:c r="C887" t="s">
        <x:v>6122</x:v>
      </x:c>
      <x:c r="D887" t="s">
        <x:v>6123</x:v>
      </x:c>
      <x:c r="E887" t="s">
        <x:v>6124</x:v>
      </x:c>
      <x:c r="F887">
        <x:v>1420</x:v>
      </x:c>
      <x:c r="G887">
        <x:v>1420</x:v>
      </x:c>
      <x:c r="H887">
        <x:v>1420</x:v>
      </x:c>
      <x:c r="I887" t="s">
        <x:v>3578</x:v>
      </x:c>
      <x:c r="J887" t="s">
        <x:v>3579</x:v>
      </x:c>
      <x:c r="K887" t="s">
        <x:v>3580</x:v>
      </x:c>
      <x:c r="L887" t="s">
        <x:v>3581</x:v>
      </x:c>
      <x:c r="M887" t="s">
        <x:v>3582</x:v>
      </x:c>
      <x:c r="N887" t="s">
        <x:v>3583</x:v>
      </x:c>
      <x:c r="O887" t="s">
        <x:v>3584</x:v>
      </x:c>
      <x:c r="P887" t="s">
        <x:v>3585</x:v>
      </x:c>
      <x:c r="R887" s="9">
        <x:v>37897</x:v>
      </x:c>
      <x:c r="T887" t="s">
        <x:v>119</x:v>
      </x:c>
      <x:c r="W887" s="26" t="n">
        <x:v>7.133</x:v>
      </x:c>
      <x:c r="X887" s="26" t="n">
        <x:v>-75.1596944</x:v>
      </x:c>
      <x:c r="AF887" t="s">
        <x:v>50</x:v>
      </x:c>
      <x:c r="AG887" t="s">
        <x:v>402</x:v>
      </x:c>
      <x:c r="AH887" t="s">
        <x:v>1186</x:v>
      </x:c>
      <x:c r="AI887" t="s">
        <x:v>6125</x:v>
      </x:c>
      <x:c r="AJ887">
        <x:v>947</x:v>
      </x:c>
    </x:row>
    <x:row r="888">
      <x:c r="A888" t="s">
        <x:v>6037</x:v>
      </x:c>
      <x:c r="B888" t="s">
        <x:v>6038</x:v>
      </x:c>
      <x:c r="C888" t="s">
        <x:v>6122</x:v>
      </x:c>
      <x:c r="D888" t="s">
        <x:v>6126</x:v>
      </x:c>
      <x:c r="E888" t="s">
        <x:v>6124</x:v>
      </x:c>
      <x:c r="F888">
        <x:v>1420</x:v>
      </x:c>
      <x:c r="G888">
        <x:v>1420</x:v>
      </x:c>
      <x:c r="H888">
        <x:v>1420</x:v>
      </x:c>
      <x:c r="I888" t="s">
        <x:v>3578</x:v>
      </x:c>
      <x:c r="J888" t="s">
        <x:v>3579</x:v>
      </x:c>
      <x:c r="K888" t="s">
        <x:v>3580</x:v>
      </x:c>
      <x:c r="L888" t="s">
        <x:v>3581</x:v>
      </x:c>
      <x:c r="M888" t="s">
        <x:v>3582</x:v>
      </x:c>
      <x:c r="N888" t="s">
        <x:v>3583</x:v>
      </x:c>
      <x:c r="O888" t="s">
        <x:v>3584</x:v>
      </x:c>
      <x:c r="P888" t="s">
        <x:v>3585</x:v>
      </x:c>
      <x:c r="R888" s="9">
        <x:v>37897</x:v>
      </x:c>
      <x:c r="T888" t="s">
        <x:v>119</x:v>
      </x:c>
      <x:c r="W888" s="26" t="n">
        <x:v>7.133</x:v>
      </x:c>
      <x:c r="X888" s="26" t="n">
        <x:v>-75.1596944</x:v>
      </x:c>
      <x:c r="AF888" t="s">
        <x:v>50</x:v>
      </x:c>
      <x:c r="AG888" t="s">
        <x:v>402</x:v>
      </x:c>
      <x:c r="AH888" t="s">
        <x:v>1186</x:v>
      </x:c>
      <x:c r="AI888" t="s">
        <x:v>6125</x:v>
      </x:c>
      <x:c r="AJ888">
        <x:v>948</x:v>
      </x:c>
    </x:row>
    <x:row r="889">
      <x:c r="A889" t="s">
        <x:v>6037</x:v>
      </x:c>
      <x:c r="B889" t="s">
        <x:v>6038</x:v>
      </x:c>
      <x:c r="C889" t="s">
        <x:v>6122</x:v>
      </x:c>
      <x:c r="D889" t="s">
        <x:v>6123</x:v>
      </x:c>
      <x:c r="E889" t="s">
        <x:v>6124</x:v>
      </x:c>
      <x:c r="F889">
        <x:v>1420</x:v>
      </x:c>
      <x:c r="G889">
        <x:v>1420</x:v>
      </x:c>
      <x:c r="H889">
        <x:v>1420</x:v>
      </x:c>
      <x:c r="I889" t="s">
        <x:v>3578</x:v>
      </x:c>
      <x:c r="J889" t="s">
        <x:v>3579</x:v>
      </x:c>
      <x:c r="K889" t="s">
        <x:v>3580</x:v>
      </x:c>
      <x:c r="L889" t="s">
        <x:v>3581</x:v>
      </x:c>
      <x:c r="M889" t="s">
        <x:v>3582</x:v>
      </x:c>
      <x:c r="N889" t="s">
        <x:v>3583</x:v>
      </x:c>
      <x:c r="O889" t="s">
        <x:v>3584</x:v>
      </x:c>
      <x:c r="P889" t="s">
        <x:v>3585</x:v>
      </x:c>
      <x:c r="R889" s="9">
        <x:v>37897</x:v>
      </x:c>
      <x:c r="T889" t="s">
        <x:v>119</x:v>
      </x:c>
      <x:c r="W889" s="26" t="n">
        <x:v>7.133</x:v>
      </x:c>
      <x:c r="X889" s="26" t="n">
        <x:v>-75.1596944</x:v>
      </x:c>
      <x:c r="AF889" t="s">
        <x:v>50</x:v>
      </x:c>
      <x:c r="AG889" t="s">
        <x:v>402</x:v>
      </x:c>
      <x:c r="AH889" t="s">
        <x:v>1186</x:v>
      </x:c>
      <x:c r="AI889" t="s">
        <x:v>6125</x:v>
      </x:c>
      <x:c r="AJ889">
        <x:v>949</x:v>
      </x:c>
    </x:row>
    <x:row r="890">
      <x:c r="A890" t="s">
        <x:v>6037</x:v>
      </x:c>
      <x:c r="B890" t="s">
        <x:v>6038</x:v>
      </x:c>
      <x:c r="C890" t="s">
        <x:v>6122</x:v>
      </x:c>
      <x:c r="D890" t="s">
        <x:v>6126</x:v>
      </x:c>
      <x:c r="E890" t="s">
        <x:v>6124</x:v>
      </x:c>
      <x:c r="F890">
        <x:v>1420</x:v>
      </x:c>
      <x:c r="G890">
        <x:v>1420</x:v>
      </x:c>
      <x:c r="H890">
        <x:v>1420</x:v>
      </x:c>
      <x:c r="I890" t="s">
        <x:v>3578</x:v>
      </x:c>
      <x:c r="J890" t="s">
        <x:v>3579</x:v>
      </x:c>
      <x:c r="K890" t="s">
        <x:v>3580</x:v>
      </x:c>
      <x:c r="L890" t="s">
        <x:v>3581</x:v>
      </x:c>
      <x:c r="M890" t="s">
        <x:v>3582</x:v>
      </x:c>
      <x:c r="N890" t="s">
        <x:v>3583</x:v>
      </x:c>
      <x:c r="O890" t="s">
        <x:v>3584</x:v>
      </x:c>
      <x:c r="P890" t="s">
        <x:v>3585</x:v>
      </x:c>
      <x:c r="R890" s="9">
        <x:v>37897</x:v>
      </x:c>
      <x:c r="T890" t="s">
        <x:v>119</x:v>
      </x:c>
      <x:c r="W890" s="26" t="n">
        <x:v>7.133</x:v>
      </x:c>
      <x:c r="X890" s="26" t="n">
        <x:v>-75.1596944</x:v>
      </x:c>
      <x:c r="AF890" t="s">
        <x:v>50</x:v>
      </x:c>
      <x:c r="AG890" t="s">
        <x:v>402</x:v>
      </x:c>
      <x:c r="AH890" t="s">
        <x:v>1186</x:v>
      </x:c>
      <x:c r="AI890" t="s">
        <x:v>6125</x:v>
      </x:c>
      <x:c r="AJ890">
        <x:v>950</x:v>
      </x:c>
    </x:row>
    <x:row r="891">
      <x:c r="A891" t="s">
        <x:v>6037</x:v>
      </x:c>
      <x:c r="B891" t="s">
        <x:v>6038</x:v>
      </x:c>
      <x:c r="C891" t="s">
        <x:v>6127</x:v>
      </x:c>
      <x:c r="D891" t="s">
        <x:v>6128</x:v>
      </x:c>
      <x:c r="E891" t="s">
        <x:v>6129</x:v>
      </x:c>
      <x:c r="F891">
        <x:v>950</x:v>
      </x:c>
      <x:c r="G891">
        <x:v>950</x:v>
      </x:c>
      <x:c r="H891">
        <x:v>950</x:v>
      </x:c>
      <x:c r="P891" t="s">
        <x:v>80</x:v>
      </x:c>
      <x:c r="R891" s="9">
        <x:v>24759</x:v>
      </x:c>
      <x:c r="T891" t="s">
        <x:v>111</x:v>
      </x:c>
      <x:c r="W891" s="26" t="n">
        <x:v>5.6524</x:v>
      </x:c>
      <x:c r="X891" s="26" t="n">
        <x:v>-74.03534</x:v>
      </x:c>
      <x:c r="Y891">
        <x:v>3907.4050000000002</x:v>
      </x:c>
      <x:c r="Z891">
        <x:v>945</x:v>
      </x:c>
      <x:c r="AB891" t="s">
        <x:v>6130</x:v>
      </x:c>
      <x:c r="AF891" t="s">
        <x:v>50</x:v>
      </x:c>
      <x:c r="AG891" t="s">
        <x:v>90</x:v>
      </x:c>
      <x:c r="AH891" t="s">
        <x:v>6131</x:v>
      </x:c>
      <x:c r="AI891" t="s">
        <x:v>6132</x:v>
      </x:c>
      <x:c r="AJ891">
        <x:v>951</x:v>
      </x:c>
    </x:row>
    <x:row r="892">
      <x:c r="A892" t="s">
        <x:v>6037</x:v>
      </x:c>
      <x:c r="B892" t="s">
        <x:v>6038</x:v>
      </x:c>
      <x:c r="C892" t="s">
        <x:v>6133</x:v>
      </x:c>
      <x:c r="D892" t="s">
        <x:v>6134</x:v>
      </x:c>
      <x:c r="E892" t="s">
        <x:v>6135</x:v>
      </x:c>
      <x:c r="F892">
        <x:v>600</x:v>
      </x:c>
      <x:c r="G892">
        <x:v>600</x:v>
      </x:c>
      <x:c r="H892">
        <x:v>600</x:v>
      </x:c>
      <x:c r="I892" t="s">
        <x:v>6136</x:v>
      </x:c>
      <x:c r="J892" t="s">
        <x:v>6137</x:v>
      </x:c>
      <x:c r="K892" t="s">
        <x:v>6138</x:v>
      </x:c>
      <x:c r="L892" t="s">
        <x:v>6139</x:v>
      </x:c>
      <x:c r="M892" t="s">
        <x:v>6140</x:v>
      </x:c>
      <x:c r="N892" t="s">
        <x:v>6141</x:v>
      </x:c>
      <x:c r="O892" t="s">
        <x:v>6142</x:v>
      </x:c>
      <x:c r="P892" t="s">
        <x:v>6143</x:v>
      </x:c>
      <x:c r="R892" s="9">
        <x:v>33928</x:v>
      </x:c>
      <x:c r="T892" t="s">
        <x:v>111</x:v>
      </x:c>
      <x:c r="W892" s="26" t="n">
        <x:v>0.9375</x:v>
      </x:c>
      <x:c r="X892" s="26" t="n">
        <x:v>-72.7016667</x:v>
      </x:c>
      <x:c r="AF892" t="s">
        <x:v>50</x:v>
      </x:c>
      <x:c r="AG892" t="s">
        <x:v>1289</x:v>
      </x:c>
      <x:c r="AH892" t="s">
        <x:v>6144</x:v>
      </x:c>
      <x:c r="AI892" t="s">
        <x:v>6145</x:v>
      </x:c>
      <x:c r="AJ892">
        <x:v>952</x:v>
      </x:c>
    </x:row>
    <x:row r="893">
      <x:c r="A893" t="s">
        <x:v>6037</x:v>
      </x:c>
      <x:c r="B893" t="s">
        <x:v>6038</x:v>
      </x:c>
      <x:c r="C893" t="s">
        <x:v>6146</x:v>
      </x:c>
      <x:c r="D893" t="s">
        <x:v>6147</x:v>
      </x:c>
      <x:c r="E893" t="s">
        <x:v>6135</x:v>
      </x:c>
      <x:c r="F893">
        <x:v>600</x:v>
      </x:c>
      <x:c r="G893">
        <x:v>600</x:v>
      </x:c>
      <x:c r="H893">
        <x:v>600</x:v>
      </x:c>
      <x:c r="I893" t="s">
        <x:v>6136</x:v>
      </x:c>
      <x:c r="J893" t="s">
        <x:v>6137</x:v>
      </x:c>
      <x:c r="K893" t="s">
        <x:v>6138</x:v>
      </x:c>
      <x:c r="L893" t="s">
        <x:v>6139</x:v>
      </x:c>
      <x:c r="M893" t="s">
        <x:v>6140</x:v>
      </x:c>
      <x:c r="N893" t="s">
        <x:v>6141</x:v>
      </x:c>
      <x:c r="O893" t="s">
        <x:v>6142</x:v>
      </x:c>
      <x:c r="P893" t="s">
        <x:v>6143</x:v>
      </x:c>
      <x:c r="R893" s="9">
        <x:v>33928</x:v>
      </x:c>
      <x:c r="T893" t="s">
        <x:v>111</x:v>
      </x:c>
      <x:c r="W893" s="26" t="n">
        <x:v>0.9375</x:v>
      </x:c>
      <x:c r="X893" s="26" t="n">
        <x:v>-72.7016667</x:v>
      </x:c>
      <x:c r="AF893" t="s">
        <x:v>50</x:v>
      </x:c>
      <x:c r="AG893" t="s">
        <x:v>1289</x:v>
      </x:c>
      <x:c r="AH893" t="s">
        <x:v>6144</x:v>
      </x:c>
      <x:c r="AI893" t="s">
        <x:v>6145</x:v>
      </x:c>
      <x:c r="AJ893">
        <x:v>953</x:v>
      </x:c>
    </x:row>
    <x:row r="894">
      <x:c r="A894" t="s">
        <x:v>6037</x:v>
      </x:c>
      <x:c r="B894" t="s">
        <x:v>6038</x:v>
      </x:c>
      <x:c r="C894" t="s">
        <x:v>6148</x:v>
      </x:c>
      <x:c r="D894" t="s">
        <x:v>6149</x:v>
      </x:c>
      <x:c r="E894" t="s">
        <x:v>6150</x:v>
      </x:c>
      <x:c r="F894">
        <x:v>1870</x:v>
      </x:c>
      <x:c r="G894">
        <x:v>1870</x:v>
      </x:c>
      <x:c r="H894">
        <x:v>1870</x:v>
      </x:c>
      <x:c r="I894" t="s">
        <x:v>6151</x:v>
      </x:c>
      <x:c r="J894" t="s">
        <x:v>6152</x:v>
      </x:c>
      <x:c r="K894" t="s">
        <x:v>6153</x:v>
      </x:c>
      <x:c r="L894" t="s">
        <x:v>6154</x:v>
      </x:c>
      <x:c r="M894" t="s">
        <x:v>6155</x:v>
      </x:c>
      <x:c r="N894" t="s">
        <x:v>6156</x:v>
      </x:c>
      <x:c r="O894" t="s">
        <x:v>6157</x:v>
      </x:c>
      <x:c r="P894" t="s">
        <x:v>6158</x:v>
      </x:c>
      <x:c r="R894" s="9">
        <x:v>34482</x:v>
      </x:c>
      <x:c r="W894" s="26" t="n">
        <x:v>10.05</x:v>
      </x:c>
      <x:c r="X894" s="26" t="n">
        <x:v>-73.05</x:v>
      </x:c>
      <x:c r="AF894" t="s">
        <x:v>50</x:v>
      </x:c>
      <x:c r="AG894" t="s">
        <x:v>2824</x:v>
      </x:c>
      <x:c r="AH894" t="s">
        <x:v>6159</x:v>
      </x:c>
      <x:c r="AI894" t="s">
        <x:v>6160</x:v>
      </x:c>
      <x:c r="AJ894">
        <x:v>954</x:v>
      </x:c>
    </x:row>
    <x:row r="895">
      <x:c r="A895" t="s">
        <x:v>6037</x:v>
      </x:c>
      <x:c r="B895" t="s">
        <x:v>6038</x:v>
      </x:c>
      <x:c r="C895" t="s">
        <x:v>6161</x:v>
      </x:c>
      <x:c r="D895" t="s">
        <x:v>6162</x:v>
      </x:c>
      <x:c r="E895" t="s">
        <x:v>6150</x:v>
      </x:c>
      <x:c r="F895">
        <x:v>1870</x:v>
      </x:c>
      <x:c r="G895">
        <x:v>1870</x:v>
      </x:c>
      <x:c r="H895">
        <x:v>1870</x:v>
      </x:c>
      <x:c r="I895" t="s">
        <x:v>6151</x:v>
      </x:c>
      <x:c r="J895" t="s">
        <x:v>6152</x:v>
      </x:c>
      <x:c r="K895" t="s">
        <x:v>6153</x:v>
      </x:c>
      <x:c r="L895" t="s">
        <x:v>6154</x:v>
      </x:c>
      <x:c r="M895" t="s">
        <x:v>6155</x:v>
      </x:c>
      <x:c r="N895" t="s">
        <x:v>6156</x:v>
      </x:c>
      <x:c r="O895" t="s">
        <x:v>6157</x:v>
      </x:c>
      <x:c r="P895" t="s">
        <x:v>6158</x:v>
      </x:c>
      <x:c r="R895" s="9">
        <x:v>34482</x:v>
      </x:c>
      <x:c r="T895" t="s">
        <x:v>111</x:v>
      </x:c>
      <x:c r="W895" s="26" t="n">
        <x:v>10.05</x:v>
      </x:c>
      <x:c r="X895" s="26" t="n">
        <x:v>-73.05</x:v>
      </x:c>
      <x:c r="AF895" t="s">
        <x:v>50</x:v>
      </x:c>
      <x:c r="AG895" t="s">
        <x:v>2824</x:v>
      </x:c>
      <x:c r="AH895" t="s">
        <x:v>6159</x:v>
      </x:c>
      <x:c r="AI895" t="s">
        <x:v>6160</x:v>
      </x:c>
      <x:c r="AJ895">
        <x:v>955</x:v>
      </x:c>
    </x:row>
    <x:row r="896">
      <x:c r="A896" t="s">
        <x:v>6037</x:v>
      </x:c>
      <x:c r="B896" t="s">
        <x:v>6038</x:v>
      </x:c>
      <x:c r="C896" t="s">
        <x:v>6163</x:v>
      </x:c>
      <x:c r="D896" t="s">
        <x:v>6164</x:v>
      </x:c>
      <x:c r="E896" t="s">
        <x:v>6165</x:v>
      </x:c>
      <x:c r="F896">
        <x:v>1540</x:v>
      </x:c>
      <x:c r="G896">
        <x:v>1540</x:v>
      </x:c>
      <x:c r="H896">
        <x:v>1540</x:v>
      </x:c>
      <x:c r="P896" t="s">
        <x:v>80</x:v>
      </x:c>
      <x:c r="R896" s="9">
        <x:v>24828</x:v>
      </x:c>
      <x:c r="T896" t="s">
        <x:v>111</x:v>
      </x:c>
      <x:c r="W896" s="26" t="n">
        <x:v>4.96954</x:v>
      </x:c>
      <x:c r="X896" s="26" t="n">
        <x:v>-74.39447</x:v>
      </x:c>
      <x:c r="Y896">
        <x:v>377.488</x:v>
      </x:c>
      <x:c r="Z896">
        <x:v>1283</x:v>
      </x:c>
      <x:c r="AB896" t="s">
        <x:v>1589</x:v>
      </x:c>
      <x:c r="AF896" t="s">
        <x:v>50</x:v>
      </x:c>
      <x:c r="AG896" t="s">
        <x:v>98</x:v>
      </x:c>
      <x:c r="AH896" t="s">
        <x:v>1590</x:v>
      </x:c>
      <x:c r="AI896" t="s">
        <x:v>6166</x:v>
      </x:c>
      <x:c r="AJ896">
        <x:v>956</x:v>
      </x:c>
    </x:row>
    <x:row r="897">
      <x:c r="A897" t="s">
        <x:v>6037</x:v>
      </x:c>
      <x:c r="B897" t="s">
        <x:v>6038</x:v>
      </x:c>
      <x:c r="C897" t="s">
        <x:v>6167</x:v>
      </x:c>
      <x:c r="D897" t="s">
        <x:v>6168</x:v>
      </x:c>
      <x:c r="E897" t="s">
        <x:v>6169</x:v>
      </x:c>
      <x:c r="F897">
        <x:v>1500</x:v>
      </x:c>
      <x:c r="G897">
        <x:v>1500</x:v>
      </x:c>
      <x:c r="H897">
        <x:v>1500</x:v>
      </x:c>
      <x:c r="P897" t="s">
        <x:v>80</x:v>
      </x:c>
      <x:c r="R897" s="9">
        <x:v>27119</x:v>
      </x:c>
      <x:c r="T897" t="s">
        <x:v>119</x:v>
      </x:c>
      <x:c r="W897" s="26" t="n">
        <x:v>4.92729</x:v>
      </x:c>
      <x:c r="X897" s="26" t="n">
        <x:v>-74.42441</x:v>
      </x:c>
      <x:c r="Y897">
        <x:v>2945.0430000000001</x:v>
      </x:c>
      <x:c r="Z897">
        <x:v>1541</x:v>
      </x:c>
      <x:c r="AB897" t="s">
        <x:v>6170</x:v>
      </x:c>
      <x:c r="AF897" t="s">
        <x:v>50</x:v>
      </x:c>
      <x:c r="AG897" t="s">
        <x:v>98</x:v>
      </x:c>
      <x:c r="AH897" t="s">
        <x:v>1596</x:v>
      </x:c>
      <x:c r="AI897" t="s">
        <x:v>6171</x:v>
      </x:c>
      <x:c r="AJ897">
        <x:v>957</x:v>
      </x:c>
    </x:row>
    <x:row r="898">
      <x:c r="A898" t="s">
        <x:v>6037</x:v>
      </x:c>
      <x:c r="B898" t="s">
        <x:v>6038</x:v>
      </x:c>
      <x:c r="C898" t="s">
        <x:v>6172</x:v>
      </x:c>
      <x:c r="D898" t="s">
        <x:v>6173</x:v>
      </x:c>
      <x:c r="E898" t="s">
        <x:v>6174</x:v>
      </x:c>
      <x:c r="F898">
        <x:v>1300</x:v>
      </x:c>
      <x:c r="G898">
        <x:v>1300</x:v>
      </x:c>
      <x:c r="H898">
        <x:v>1300</x:v>
      </x:c>
      <x:c r="P898" t="s">
        <x:v>80</x:v>
      </x:c>
      <x:c r="R898" s="9">
        <x:v>27150</x:v>
      </x:c>
      <x:c r="W898" s="26" t="n">
        <x:v>4.20474</x:v>
      </x:c>
      <x:c r="X898" s="26" t="n">
        <x:v>-73.89205</x:v>
      </x:c>
      <x:c r="Y898">
        <x:v>5526.9989999999998</x:v>
      </x:c>
      <x:c r="Z898">
        <x:v>1461</x:v>
      </x:c>
      <x:c r="AB898" t="s">
        <x:v>6175</x:v>
      </x:c>
      <x:c r="AF898" t="s">
        <x:v>50</x:v>
      </x:c>
      <x:c r="AG898" t="s">
        <x:v>98</x:v>
      </x:c>
      <x:c r="AH898" t="s">
        <x:v>6176</x:v>
      </x:c>
      <x:c r="AJ898">
        <x:v>959</x:v>
      </x:c>
    </x:row>
    <x:row r="899">
      <x:c r="A899" t="s">
        <x:v>6037</x:v>
      </x:c>
      <x:c r="B899" t="s">
        <x:v>6038</x:v>
      </x:c>
      <x:c r="C899" t="s">
        <x:v>6177</x:v>
      </x:c>
      <x:c r="D899" t="s">
        <x:v>6178</x:v>
      </x:c>
      <x:c r="E899" t="s">
        <x:v>6179</x:v>
      </x:c>
      <x:c r="F899">
        <x:v>1450</x:v>
      </x:c>
      <x:c r="G899">
        <x:v>1450</x:v>
      </x:c>
      <x:c r="H899">
        <x:v>1450</x:v>
      </x:c>
      <x:c r="P899" t="s">
        <x:v>80</x:v>
      </x:c>
      <x:c r="R899" s="9">
        <x:v>35003</x:v>
      </x:c>
      <x:c r="T899" t="s">
        <x:v>119</x:v>
      </x:c>
      <x:c r="W899" s="26" t="n">
        <x:v>5.55832</x:v>
      </x:c>
      <x:c r="X899" s="26" t="n">
        <x:v>-74.29157</x:v>
      </x:c>
      <x:c r="Y899">
        <x:v>880.31299999999999</x:v>
      </x:c>
      <x:c r="Z899">
        <x:v>1387</x:v>
      </x:c>
      <x:c r="AB899" t="s">
        <x:v>6180</x:v>
      </x:c>
      <x:c r="AF899" t="s">
        <x:v>50</x:v>
      </x:c>
      <x:c r="AG899" t="s">
        <x:v>98</x:v>
      </x:c>
      <x:c r="AH899" t="s">
        <x:v>6181</x:v>
      </x:c>
      <x:c r="AI899" t="s">
        <x:v>6182</x:v>
      </x:c>
      <x:c r="AJ899">
        <x:v>960</x:v>
      </x:c>
    </x:row>
    <x:row r="900">
      <x:c r="A900" t="s">
        <x:v>6037</x:v>
      </x:c>
      <x:c r="B900" t="s">
        <x:v>6038</x:v>
      </x:c>
      <x:c r="C900" t="s">
        <x:v>6183</x:v>
      </x:c>
      <x:c r="D900" t="s">
        <x:v>6184</x:v>
      </x:c>
      <x:c r="E900" t="s">
        <x:v>6185</x:v>
      </x:c>
      <x:c r="I900" t="s">
        <x:v>6186</x:v>
      </x:c>
      <x:c r="J900" t="s">
        <x:v>6187</x:v>
      </x:c>
      <x:c r="K900" t="s">
        <x:v>6188</x:v>
      </x:c>
      <x:c r="L900" t="s">
        <x:v>6189</x:v>
      </x:c>
      <x:c r="M900" t="s">
        <x:v>6190</x:v>
      </x:c>
      <x:c r="N900" t="s">
        <x:v>6191</x:v>
      </x:c>
      <x:c r="O900" t="s">
        <x:v>6192</x:v>
      </x:c>
      <x:c r="P900" t="s">
        <x:v>6193</x:v>
      </x:c>
      <x:c r="R900" s="9">
        <x:v>32903</x:v>
      </x:c>
      <x:c r="W900" s="26" t="n">
        <x:v>2.1833333</x:v>
      </x:c>
      <x:c r="X900" s="26" t="n">
        <x:v>-74.05</x:v>
      </x:c>
      <x:c r="AF900" t="s">
        <x:v>50</x:v>
      </x:c>
      <x:c r="AG900" t="s">
        <x:v>6194</x:v>
      </x:c>
      <x:c r="AH900" t="s">
        <x:v>6195</x:v>
      </x:c>
      <x:c r="AI900" t="s">
        <x:v>6196</x:v>
      </x:c>
      <x:c r="AJ900">
        <x:v>961</x:v>
      </x:c>
    </x:row>
    <x:row r="901">
      <x:c r="A901" t="s">
        <x:v>6037</x:v>
      </x:c>
      <x:c r="B901" t="s">
        <x:v>6038</x:v>
      </x:c>
      <x:c r="C901" t="s">
        <x:v>6197</x:v>
      </x:c>
      <x:c r="D901" t="s">
        <x:v>6198</x:v>
      </x:c>
      <x:c r="E901" t="s">
        <x:v>6199</x:v>
      </x:c>
      <x:c r="F901" t="s">
        <x:v>6200</x:v>
      </x:c>
      <x:c r="G901">
        <x:v>1370</x:v>
      </x:c>
      <x:c r="H901">
        <x:v>1550</x:v>
      </x:c>
      <x:c r="I901" t="s">
        <x:v>734</x:v>
      </x:c>
      <x:c r="J901" t="s">
        <x:v>735</x:v>
      </x:c>
      <x:c r="K901" t="s">
        <x:v>736</x:v>
      </x:c>
      <x:c r="L901" t="s">
        <x:v>737</x:v>
      </x:c>
      <x:c r="M901" t="s">
        <x:v>738</x:v>
      </x:c>
      <x:c r="N901" t="s">
        <x:v>739</x:v>
      </x:c>
      <x:c r="O901" t="s">
        <x:v>740</x:v>
      </x:c>
      <x:c r="P901" t="s">
        <x:v>741</x:v>
      </x:c>
      <x:c r="R901" s="9">
        <x:v>33838</x:v>
      </x:c>
      <x:c r="T901" t="s">
        <x:v>399</x:v>
      </x:c>
      <x:c r="W901" s="26" t="n">
        <x:v>2.7806583</x:v>
      </x:c>
      <x:c r="X901" s="26" t="n">
        <x:v>-75.2566556</x:v>
      </x:c>
      <x:c r="AF901" t="s">
        <x:v>50</x:v>
      </x:c>
      <x:c r="AG901" t="s">
        <x:v>51</x:v>
      </x:c>
      <x:c r="AH901" t="s">
        <x:v>742</x:v>
      </x:c>
      <x:c r="AI901" t="s">
        <x:v>6201</x:v>
      </x:c>
      <x:c r="AJ901">
        <x:v>962</x:v>
      </x:c>
    </x:row>
    <x:row r="902">
      <x:c r="A902" t="s">
        <x:v>6037</x:v>
      </x:c>
      <x:c r="B902" t="s">
        <x:v>6038</x:v>
      </x:c>
      <x:c r="C902" t="s">
        <x:v>240</x:v>
      </x:c>
      <x:c r="D902" t="s">
        <x:v>6202</x:v>
      </x:c>
      <x:c r="E902" t="s">
        <x:v>6203</x:v>
      </x:c>
      <x:c r="F902">
        <x:v>1550</x:v>
      </x:c>
      <x:c r="G902">
        <x:v>1550</x:v>
      </x:c>
      <x:c r="H902">
        <x:v>1550</x:v>
      </x:c>
      <x:c r="I902" t="s">
        <x:v>6204</x:v>
      </x:c>
      <x:c r="J902" t="s">
        <x:v>6205</x:v>
      </x:c>
      <x:c r="K902" t="s">
        <x:v>6206</x:v>
      </x:c>
      <x:c r="L902" t="s">
        <x:v>6207</x:v>
      </x:c>
      <x:c r="M902" t="s">
        <x:v>6208</x:v>
      </x:c>
      <x:c r="N902" t="s">
        <x:v>248</x:v>
      </x:c>
      <x:c r="O902" t="s">
        <x:v>249</x:v>
      </x:c>
      <x:c r="P902" t="s">
        <x:v>250</x:v>
      </x:c>
      <x:c r="R902" s="9">
        <x:v>38363</x:v>
      </x:c>
      <x:c r="W902" s="26" t="n">
        <x:v>1.809</x:v>
      </x:c>
      <x:c r="X902" s="26" t="n">
        <x:v>-76.0165</x:v>
      </x:c>
      <x:c r="AF902" t="s">
        <x:v>50</x:v>
      </x:c>
      <x:c r="AG902" t="s">
        <x:v>51</x:v>
      </x:c>
      <x:c r="AH902" t="s">
        <x:v>140</x:v>
      </x:c>
      <x:c r="AI902" t="s">
        <x:v>6209</x:v>
      </x:c>
      <x:c r="AJ902">
        <x:v>963</x:v>
      </x:c>
    </x:row>
    <x:row r="903">
      <x:c r="A903" t="s">
        <x:v>6037</x:v>
      </x:c>
      <x:c r="B903" t="s">
        <x:v>6038</x:v>
      </x:c>
      <x:c r="C903" t="s">
        <x:v>240</x:v>
      </x:c>
      <x:c r="D903" t="s">
        <x:v>6210</x:v>
      </x:c>
      <x:c r="E903" t="s">
        <x:v>6211</x:v>
      </x:c>
      <x:c r="F903">
        <x:v>1550</x:v>
      </x:c>
      <x:c r="G903">
        <x:v>1550</x:v>
      </x:c>
      <x:c r="H903">
        <x:v>1550</x:v>
      </x:c>
      <x:c r="I903" t="s">
        <x:v>6212</x:v>
      </x:c>
      <x:c r="J903" t="s">
        <x:v>6213</x:v>
      </x:c>
      <x:c r="K903" t="s">
        <x:v>6214</x:v>
      </x:c>
      <x:c r="L903" t="s">
        <x:v>6215</x:v>
      </x:c>
      <x:c r="M903" t="s">
        <x:v>6216</x:v>
      </x:c>
      <x:c r="N903" t="s">
        <x:v>6217</x:v>
      </x:c>
      <x:c r="O903" t="s">
        <x:v>6218</x:v>
      </x:c>
      <x:c r="P903" t="s">
        <x:v>6219</x:v>
      </x:c>
      <x:c r="R903" s="9">
        <x:v>38650</x:v>
      </x:c>
      <x:c r="T903" t="s">
        <x:v>111</x:v>
      </x:c>
      <x:c r="W903" s="26" t="n">
        <x:v>1.7284722</x:v>
      </x:c>
      <x:c r="X903" s="26" t="n">
        <x:v>-76.1152222</x:v>
      </x:c>
      <x:c r="AF903" t="s">
        <x:v>50</x:v>
      </x:c>
      <x:c r="AG903" t="s">
        <x:v>51</x:v>
      </x:c>
      <x:c r="AH903" t="s">
        <x:v>6220</x:v>
      </x:c>
      <x:c r="AI903" t="s">
        <x:v>6221</x:v>
      </x:c>
      <x:c r="AJ903">
        <x:v>964</x:v>
      </x:c>
    </x:row>
    <x:row r="904">
      <x:c r="A904" t="s">
        <x:v>6222</x:v>
      </x:c>
      <x:c r="B904" t="s">
        <x:v>6223</x:v>
      </x:c>
      <x:c r="C904" t="s">
        <x:v>6224</x:v>
      </x:c>
      <x:c r="D904" t="s">
        <x:v>6225</x:v>
      </x:c>
      <x:c r="E904" t="s">
        <x:v>6226</x:v>
      </x:c>
      <x:c r="F904">
        <x:v>2240</x:v>
      </x:c>
      <x:c r="G904">
        <x:v>2240</x:v>
      </x:c>
      <x:c r="H904">
        <x:v>2240</x:v>
      </x:c>
      <x:c r="I904" t="s">
        <x:v>4189</x:v>
      </x:c>
      <x:c r="J904" t="s">
        <x:v>4190</x:v>
      </x:c>
      <x:c r="K904" t="s">
        <x:v>6227</x:v>
      </x:c>
      <x:c r="L904" t="s">
        <x:v>6228</x:v>
      </x:c>
      <x:c r="M904" t="s">
        <x:v>6229</x:v>
      </x:c>
      <x:c r="N904" t="s">
        <x:v>754</x:v>
      </x:c>
      <x:c r="O904" t="s">
        <x:v>6230</x:v>
      </x:c>
      <x:c r="P904" t="s">
        <x:v>6231</x:v>
      </x:c>
      <x:c r="R904" s="9">
        <x:v>28665</x:v>
      </x:c>
      <x:c r="W904" s="26" t="n">
        <x:v>6.2927</x:v>
      </x:c>
      <x:c r="X904" s="26" t="n">
        <x:v>-75.50709</x:v>
      </x:c>
      <x:c r="Y904">
        <x:v>3749.79</x:v>
      </x:c>
      <x:c r="Z904">
        <x:v>2379</x:v>
      </x:c>
      <x:c r="AB904" t="s">
        <x:v>2654</x:v>
      </x:c>
      <x:c r="AF904" t="s">
        <x:v>50</x:v>
      </x:c>
      <x:c r="AG904" t="s">
        <x:v>402</x:v>
      </x:c>
      <x:c r="AH904" t="s">
        <x:v>855</x:v>
      </x:c>
      <x:c r="AI904" t="s">
        <x:v>6232</x:v>
      </x:c>
      <x:c r="AJ904">
        <x:v>965</x:v>
      </x:c>
    </x:row>
    <x:row r="905">
      <x:c r="A905" t="s">
        <x:v>6222</x:v>
      </x:c>
      <x:c r="B905" t="s">
        <x:v>6223</x:v>
      </x:c>
      <x:c r="C905" t="s">
        <x:v>6224</x:v>
      </x:c>
      <x:c r="D905" t="s">
        <x:v>6233</x:v>
      </x:c>
      <x:c r="E905" t="s">
        <x:v>6226</x:v>
      </x:c>
      <x:c r="F905">
        <x:v>2240</x:v>
      </x:c>
      <x:c r="G905">
        <x:v>2240</x:v>
      </x:c>
      <x:c r="H905">
        <x:v>2240</x:v>
      </x:c>
      <x:c r="I905" t="s">
        <x:v>4189</x:v>
      </x:c>
      <x:c r="J905" t="s">
        <x:v>4190</x:v>
      </x:c>
      <x:c r="K905" t="s">
        <x:v>6227</x:v>
      </x:c>
      <x:c r="L905" t="s">
        <x:v>6228</x:v>
      </x:c>
      <x:c r="M905" t="s">
        <x:v>6229</x:v>
      </x:c>
      <x:c r="N905" t="s">
        <x:v>754</x:v>
      </x:c>
      <x:c r="O905" t="s">
        <x:v>6230</x:v>
      </x:c>
      <x:c r="P905" t="s">
        <x:v>6231</x:v>
      </x:c>
      <x:c r="R905" s="9">
        <x:v>28665</x:v>
      </x:c>
      <x:c r="W905" s="26" t="n">
        <x:v>6.2927</x:v>
      </x:c>
      <x:c r="X905" s="26" t="n">
        <x:v>-75.50709</x:v>
      </x:c>
      <x:c r="Y905">
        <x:v>3749.79</x:v>
      </x:c>
      <x:c r="Z905">
        <x:v>2379</x:v>
      </x:c>
      <x:c r="AB905" t="s">
        <x:v>2654</x:v>
      </x:c>
      <x:c r="AF905" t="s">
        <x:v>50</x:v>
      </x:c>
      <x:c r="AG905" t="s">
        <x:v>402</x:v>
      </x:c>
      <x:c r="AH905" t="s">
        <x:v>855</x:v>
      </x:c>
      <x:c r="AI905" t="s">
        <x:v>6232</x:v>
      </x:c>
      <x:c r="AJ905">
        <x:v>966</x:v>
      </x:c>
    </x:row>
    <x:row r="906">
      <x:c r="A906" t="s">
        <x:v>6222</x:v>
      </x:c>
      <x:c r="B906" t="s">
        <x:v>6223</x:v>
      </x:c>
      <x:c r="C906" t="s">
        <x:v>6234</x:v>
      </x:c>
      <x:c r="D906" t="s">
        <x:v>6235</x:v>
      </x:c>
      <x:c r="E906" t="s">
        <x:v>6236</x:v>
      </x:c>
      <x:c r="F906">
        <x:v>1850</x:v>
      </x:c>
      <x:c r="G906">
        <x:v>1850</x:v>
      </x:c>
      <x:c r="H906">
        <x:v>1850</x:v>
      </x:c>
      <x:c r="I906" t="s">
        <x:v>4492</x:v>
      </x:c>
      <x:c r="J906" t="s">
        <x:v>4493</x:v>
      </x:c>
      <x:c r="K906" t="s">
        <x:v>6237</x:v>
      </x:c>
      <x:c r="L906" t="s">
        <x:v>3682</x:v>
      </x:c>
      <x:c r="M906" t="s">
        <x:v>6238</x:v>
      </x:c>
      <x:c r="N906" t="s">
        <x:v>4497</x:v>
      </x:c>
      <x:c r="O906" t="s">
        <x:v>2365</x:v>
      </x:c>
      <x:c r="P906" t="s">
        <x:v>6239</x:v>
      </x:c>
      <x:c r="R906" s="9">
        <x:v>31896</x:v>
      </x:c>
      <x:c r="T906" t="s">
        <x:v>119</x:v>
      </x:c>
      <x:c r="W906" s="26" t="n">
        <x:v>6.31122</x:v>
      </x:c>
      <x:c r="X906" s="26" t="n">
        <x:v>-75.14609</x:v>
      </x:c>
      <x:c r="Y906">
        <x:v>2681.63</x:v>
      </x:c>
      <x:c r="Z906">
        <x:v>1854</x:v>
      </x:c>
      <x:c r="AB906" t="s">
        <x:v>2229</x:v>
      </x:c>
      <x:c r="AF906" t="s">
        <x:v>50</x:v>
      </x:c>
      <x:c r="AG906" t="s">
        <x:v>402</x:v>
      </x:c>
      <x:c r="AH906" t="s">
        <x:v>2230</x:v>
      </x:c>
      <x:c r="AI906" t="s">
        <x:v>6240</x:v>
      </x:c>
      <x:c r="AJ906">
        <x:v>967</x:v>
      </x:c>
    </x:row>
    <x:row r="907">
      <x:c r="A907" t="s">
        <x:v>6222</x:v>
      </x:c>
      <x:c r="B907" t="s">
        <x:v>6223</x:v>
      </x:c>
      <x:c r="C907" t="s">
        <x:v>6241</x:v>
      </x:c>
      <x:c r="D907" t="s">
        <x:v>6242</x:v>
      </x:c>
      <x:c r="E907" t="s">
        <x:v>6236</x:v>
      </x:c>
      <x:c r="F907">
        <x:v>1850</x:v>
      </x:c>
      <x:c r="G907">
        <x:v>1850</x:v>
      </x:c>
      <x:c r="H907">
        <x:v>1850</x:v>
      </x:c>
      <x:c r="I907" t="s">
        <x:v>4492</x:v>
      </x:c>
      <x:c r="J907" t="s">
        <x:v>4493</x:v>
      </x:c>
      <x:c r="K907" t="s">
        <x:v>6237</x:v>
      </x:c>
      <x:c r="L907" t="s">
        <x:v>3682</x:v>
      </x:c>
      <x:c r="M907" t="s">
        <x:v>6238</x:v>
      </x:c>
      <x:c r="N907" t="s">
        <x:v>4497</x:v>
      </x:c>
      <x:c r="O907" t="s">
        <x:v>2365</x:v>
      </x:c>
      <x:c r="P907" t="s">
        <x:v>6239</x:v>
      </x:c>
      <x:c r="R907" s="9">
        <x:v>31896</x:v>
      </x:c>
      <x:c r="T907" t="s">
        <x:v>65</x:v>
      </x:c>
      <x:c r="W907" s="26" t="n">
        <x:v>6.31122</x:v>
      </x:c>
      <x:c r="X907" s="26" t="n">
        <x:v>-75.14609</x:v>
      </x:c>
      <x:c r="Y907">
        <x:v>2681.63</x:v>
      </x:c>
      <x:c r="Z907">
        <x:v>1854</x:v>
      </x:c>
      <x:c r="AB907" t="s">
        <x:v>2229</x:v>
      </x:c>
      <x:c r="AF907" t="s">
        <x:v>50</x:v>
      </x:c>
      <x:c r="AG907" t="s">
        <x:v>402</x:v>
      </x:c>
      <x:c r="AH907" t="s">
        <x:v>2230</x:v>
      </x:c>
      <x:c r="AI907" t="s">
        <x:v>6240</x:v>
      </x:c>
      <x:c r="AJ907">
        <x:v>968</x:v>
      </x:c>
    </x:row>
    <x:row r="908">
      <x:c r="A908" t="s">
        <x:v>6222</x:v>
      </x:c>
      <x:c r="B908" t="s">
        <x:v>6223</x:v>
      </x:c>
      <x:c r="C908" t="s">
        <x:v>6243</x:v>
      </x:c>
      <x:c r="D908" t="s">
        <x:v>3301</x:v>
      </x:c>
      <x:c r="E908" t="s">
        <x:v>4315</x:v>
      </x:c>
      <x:c r="F908">
        <x:v>2680</x:v>
      </x:c>
      <x:c r="G908">
        <x:v>2680</x:v>
      </x:c>
      <x:c r="H908">
        <x:v>2680</x:v>
      </x:c>
      <x:c r="I908" t="s">
        <x:v>4316</x:v>
      </x:c>
      <x:c r="J908" t="s">
        <x:v>2306</x:v>
      </x:c>
      <x:c r="K908" t="s">
        <x:v>4317</x:v>
      </x:c>
      <x:c r="L908" t="s">
        <x:v>2307</x:v>
      </x:c>
      <x:c r="M908" t="s">
        <x:v>2308</x:v>
      </x:c>
      <x:c r="N908" t="s">
        <x:v>2309</x:v>
      </x:c>
      <x:c r="O908" t="s">
        <x:v>2310</x:v>
      </x:c>
      <x:c r="P908" t="s">
        <x:v>2311</x:v>
      </x:c>
      <x:c r="R908" s="9">
        <x:v>31965</x:v>
      </x:c>
      <x:c r="W908" s="26" t="n">
        <x:v>5.6833333</x:v>
      </x:c>
      <x:c r="X908" s="26" t="n">
        <x:v>-75.2333333</x:v>
      </x:c>
      <x:c r="AF908" t="s">
        <x:v>50</x:v>
      </x:c>
      <x:c r="AG908" t="s">
        <x:v>402</x:v>
      </x:c>
      <x:c r="AH908" t="s">
        <x:v>3306</x:v>
      </x:c>
      <x:c r="AI908" t="s">
        <x:v>4318</x:v>
      </x:c>
      <x:c r="AJ908">
        <x:v>969</x:v>
      </x:c>
    </x:row>
    <x:row r="909">
      <x:c r="A909" t="s">
        <x:v>6222</x:v>
      </x:c>
      <x:c r="B909" t="s">
        <x:v>6223</x:v>
      </x:c>
      <x:c r="C909" t="s">
        <x:v>6244</x:v>
      </x:c>
      <x:c r="D909" t="s">
        <x:v>6245</x:v>
      </x:c>
      <x:c r="E909" t="s">
        <x:v>6246</x:v>
      </x:c>
      <x:c r="F909">
        <x:v>1590</x:v>
      </x:c>
      <x:c r="G909">
        <x:v>1590</x:v>
      </x:c>
      <x:c r="H909">
        <x:v>1590</x:v>
      </x:c>
      <x:c r="I909" t="s">
        <x:v>6247</x:v>
      </x:c>
      <x:c r="J909" t="s">
        <x:v>6248</x:v>
      </x:c>
      <x:c r="K909" t="s">
        <x:v>3453</x:v>
      </x:c>
      <x:c r="L909" t="s">
        <x:v>3454</x:v>
      </x:c>
      <x:c r="M909" t="s">
        <x:v>6249</x:v>
      </x:c>
      <x:c r="N909" t="s">
        <x:v>6250</x:v>
      </x:c>
      <x:c r="O909" t="s">
        <x:v>3457</x:v>
      </x:c>
      <x:c r="P909" t="s">
        <x:v>6251</x:v>
      </x:c>
      <x:c r="R909" s="9">
        <x:v>32416</x:v>
      </x:c>
      <x:c r="T909" t="s">
        <x:v>901</x:v>
      </x:c>
      <x:c r="W909" s="26" t="n">
        <x:v>6.9058333</x:v>
      </x:c>
      <x:c r="X909" s="26" t="n">
        <x:v>-75.1345</x:v>
      </x:c>
      <x:c r="AF909" t="s">
        <x:v>50</x:v>
      </x:c>
      <x:c r="AG909" t="s">
        <x:v>402</x:v>
      </x:c>
      <x:c r="AH909" t="s">
        <x:v>6252</x:v>
      </x:c>
      <x:c r="AI909" t="s">
        <x:v>6253</x:v>
      </x:c>
      <x:c r="AJ909">
        <x:v>970</x:v>
      </x:c>
    </x:row>
    <x:row r="910">
      <x:c r="A910" t="s">
        <x:v>6222</x:v>
      </x:c>
      <x:c r="B910" t="s">
        <x:v>6223</x:v>
      </x:c>
      <x:c r="C910" t="s">
        <x:v>6254</x:v>
      </x:c>
      <x:c r="D910" t="s">
        <x:v>6255</x:v>
      </x:c>
      <x:c r="E910" t="s">
        <x:v>6256</x:v>
      </x:c>
      <x:c r="F910">
        <x:v>1850</x:v>
      </x:c>
      <x:c r="G910">
        <x:v>1850</x:v>
      </x:c>
      <x:c r="H910">
        <x:v>1850</x:v>
      </x:c>
      <x:c r="I910" t="s">
        <x:v>4492</x:v>
      </x:c>
      <x:c r="J910" t="s">
        <x:v>4493</x:v>
      </x:c>
      <x:c r="K910" t="s">
        <x:v>6237</x:v>
      </x:c>
      <x:c r="L910" t="s">
        <x:v>3682</x:v>
      </x:c>
      <x:c r="M910" t="s">
        <x:v>6238</x:v>
      </x:c>
      <x:c r="N910" t="s">
        <x:v>4497</x:v>
      </x:c>
      <x:c r="O910" t="s">
        <x:v>2365</x:v>
      </x:c>
      <x:c r="P910" t="s">
        <x:v>6239</x:v>
      </x:c>
      <x:c r="R910" s="9">
        <x:v>32910</x:v>
      </x:c>
      <x:c r="T910" t="s">
        <x:v>119</x:v>
      </x:c>
      <x:c r="W910" s="26" t="n">
        <x:v>6.31122</x:v>
      </x:c>
      <x:c r="X910" s="26" t="n">
        <x:v>-75.14609</x:v>
      </x:c>
      <x:c r="Y910">
        <x:v>2681.63</x:v>
      </x:c>
      <x:c r="Z910">
        <x:v>1854</x:v>
      </x:c>
      <x:c r="AB910" t="s">
        <x:v>2229</x:v>
      </x:c>
      <x:c r="AF910" t="s">
        <x:v>50</x:v>
      </x:c>
      <x:c r="AG910" t="s">
        <x:v>402</x:v>
      </x:c>
      <x:c r="AH910" t="s">
        <x:v>2230</x:v>
      </x:c>
      <x:c r="AI910" t="s">
        <x:v>6257</x:v>
      </x:c>
      <x:c r="AJ910">
        <x:v>971</x:v>
      </x:c>
    </x:row>
    <x:row r="911">
      <x:c r="A911" t="s">
        <x:v>6222</x:v>
      </x:c>
      <x:c r="B911" t="s">
        <x:v>6223</x:v>
      </x:c>
      <x:c r="C911" t="s">
        <x:v>6258</x:v>
      </x:c>
      <x:c r="D911" t="s">
        <x:v>6259</x:v>
      </x:c>
      <x:c r="E911" t="s">
        <x:v>6256</x:v>
      </x:c>
      <x:c r="F911">
        <x:v>1850</x:v>
      </x:c>
      <x:c r="G911">
        <x:v>1850</x:v>
      </x:c>
      <x:c r="H911">
        <x:v>1850</x:v>
      </x:c>
      <x:c r="I911" t="s">
        <x:v>4492</x:v>
      </x:c>
      <x:c r="J911" t="s">
        <x:v>4493</x:v>
      </x:c>
      <x:c r="K911" t="s">
        <x:v>6237</x:v>
      </x:c>
      <x:c r="L911" t="s">
        <x:v>3682</x:v>
      </x:c>
      <x:c r="M911" t="s">
        <x:v>6238</x:v>
      </x:c>
      <x:c r="N911" t="s">
        <x:v>4497</x:v>
      </x:c>
      <x:c r="O911" t="s">
        <x:v>2365</x:v>
      </x:c>
      <x:c r="P911" t="s">
        <x:v>6239</x:v>
      </x:c>
      <x:c r="R911" s="9">
        <x:v>32938</x:v>
      </x:c>
      <x:c r="T911" t="s">
        <x:v>901</x:v>
      </x:c>
      <x:c r="W911" s="26" t="n">
        <x:v>6.31122</x:v>
      </x:c>
      <x:c r="X911" s="26" t="n">
        <x:v>-75.14609</x:v>
      </x:c>
      <x:c r="Y911">
        <x:v>2681.63</x:v>
      </x:c>
      <x:c r="Z911">
        <x:v>1854</x:v>
      </x:c>
      <x:c r="AB911" t="s">
        <x:v>2229</x:v>
      </x:c>
      <x:c r="AF911" t="s">
        <x:v>50</x:v>
      </x:c>
      <x:c r="AG911" t="s">
        <x:v>402</x:v>
      </x:c>
      <x:c r="AH911" t="s">
        <x:v>2230</x:v>
      </x:c>
      <x:c r="AI911" t="s">
        <x:v>6257</x:v>
      </x:c>
      <x:c r="AJ911">
        <x:v>972</x:v>
      </x:c>
    </x:row>
    <x:row r="912">
      <x:c r="A912" t="s">
        <x:v>6222</x:v>
      </x:c>
      <x:c r="B912" t="s">
        <x:v>6223</x:v>
      </x:c>
      <x:c r="C912" t="s">
        <x:v>6260</x:v>
      </x:c>
      <x:c r="D912" t="s">
        <x:v>6261</x:v>
      </x:c>
      <x:c r="E912" t="s">
        <x:v>6262</x:v>
      </x:c>
      <x:c r="F912">
        <x:v>2350</x:v>
      </x:c>
      <x:c r="G912">
        <x:v>2350</x:v>
      </x:c>
      <x:c r="H912">
        <x:v>2350</x:v>
      </x:c>
      <x:c r="I912" t="s">
        <x:v>4189</x:v>
      </x:c>
      <x:c r="J912" t="s">
        <x:v>4190</x:v>
      </x:c>
      <x:c r="K912" t="s">
        <x:v>6227</x:v>
      </x:c>
      <x:c r="L912" t="s">
        <x:v>6228</x:v>
      </x:c>
      <x:c r="M912" t="s">
        <x:v>6229</x:v>
      </x:c>
      <x:c r="N912" t="s">
        <x:v>754</x:v>
      </x:c>
      <x:c r="O912" t="s">
        <x:v>6230</x:v>
      </x:c>
      <x:c r="P912" t="s">
        <x:v>6231</x:v>
      </x:c>
      <x:c r="R912" s="9">
        <x:v>34678</x:v>
      </x:c>
      <x:c r="W912" s="26" t="n">
        <x:v>6.30387</x:v>
      </x:c>
      <x:c r="X912" s="26" t="n">
        <x:v>-75.51813</x:v>
      </x:c>
      <x:c r="Y912" t="s">
        <x:v>6263</x:v>
      </x:c>
      <x:c r="Z912">
        <x:v>2278</x:v>
      </x:c>
      <x:c r="AF912" t="s">
        <x:v>50</x:v>
      </x:c>
      <x:c r="AG912" t="s">
        <x:v>402</x:v>
      </x:c>
      <x:c r="AH912" t="s">
        <x:v>2288</x:v>
      </x:c>
      <x:c r="AI912" t="s">
        <x:v>6264</x:v>
      </x:c>
      <x:c r="AJ912">
        <x:v>973</x:v>
      </x:c>
    </x:row>
    <x:row r="913">
      <x:c r="A913" t="s">
        <x:v>6222</x:v>
      </x:c>
      <x:c r="B913" t="s">
        <x:v>6223</x:v>
      </x:c>
      <x:c r="C913" t="s">
        <x:v>6260</x:v>
      </x:c>
      <x:c r="D913" t="s">
        <x:v>6265</x:v>
      </x:c>
      <x:c r="E913" t="s">
        <x:v>6262</x:v>
      </x:c>
      <x:c r="F913">
        <x:v>2350</x:v>
      </x:c>
      <x:c r="G913">
        <x:v>2350</x:v>
      </x:c>
      <x:c r="H913">
        <x:v>2350</x:v>
      </x:c>
      <x:c r="I913" t="s">
        <x:v>4189</x:v>
      </x:c>
      <x:c r="J913" t="s">
        <x:v>4190</x:v>
      </x:c>
      <x:c r="K913" t="s">
        <x:v>6227</x:v>
      </x:c>
      <x:c r="L913" t="s">
        <x:v>6228</x:v>
      </x:c>
      <x:c r="M913" t="s">
        <x:v>6229</x:v>
      </x:c>
      <x:c r="N913" t="s">
        <x:v>754</x:v>
      </x:c>
      <x:c r="O913" t="s">
        <x:v>6230</x:v>
      </x:c>
      <x:c r="P913" t="s">
        <x:v>6231</x:v>
      </x:c>
      <x:c r="R913" s="9">
        <x:v>34678</x:v>
      </x:c>
      <x:c r="T913" t="s">
        <x:v>119</x:v>
      </x:c>
      <x:c r="W913" s="26" t="n">
        <x:v>6.30387</x:v>
      </x:c>
      <x:c r="X913" s="26" t="n">
        <x:v>-75.51813</x:v>
      </x:c>
      <x:c r="Y913" t="s">
        <x:v>6263</x:v>
      </x:c>
      <x:c r="Z913">
        <x:v>2278</x:v>
      </x:c>
      <x:c r="AF913" t="s">
        <x:v>50</x:v>
      </x:c>
      <x:c r="AG913" t="s">
        <x:v>402</x:v>
      </x:c>
      <x:c r="AH913" t="s">
        <x:v>2288</x:v>
      </x:c>
      <x:c r="AI913" t="s">
        <x:v>6264</x:v>
      </x:c>
      <x:c r="AJ913">
        <x:v>974</x:v>
      </x:c>
    </x:row>
    <x:row r="914">
      <x:c r="A914" t="s">
        <x:v>6222</x:v>
      </x:c>
      <x:c r="B914" t="s">
        <x:v>6223</x:v>
      </x:c>
      <x:c r="C914" t="s">
        <x:v>6266</x:v>
      </x:c>
      <x:c r="D914" t="s">
        <x:v>3562</x:v>
      </x:c>
      <x:c r="E914" t="s">
        <x:v>6267</x:v>
      </x:c>
      <x:c r="F914">
        <x:v>2420</x:v>
      </x:c>
      <x:c r="G914">
        <x:v>2420</x:v>
      </x:c>
      <x:c r="H914">
        <x:v>2420</x:v>
      </x:c>
      <x:c r="I914" t="s">
        <x:v>6268</x:v>
      </x:c>
      <x:c r="J914" t="s">
        <x:v>6269</x:v>
      </x:c>
      <x:c r="K914" t="s">
        <x:v>3554</x:v>
      </x:c>
      <x:c r="L914" t="s">
        <x:v>3555</x:v>
      </x:c>
      <x:c r="M914" t="s">
        <x:v>6270</x:v>
      </x:c>
      <x:c r="N914" t="s">
        <x:v>6271</x:v>
      </x:c>
      <x:c r="O914" t="s">
        <x:v>3558</x:v>
      </x:c>
      <x:c r="P914" t="s">
        <x:v>6272</x:v>
      </x:c>
      <x:c r="R914" s="9">
        <x:v>36826</x:v>
      </x:c>
      <x:c r="W914" s="26" t="n">
        <x:v>6.3056111</x:v>
      </x:c>
      <x:c r="X914" s="26" t="n">
        <x:v>-75.5151667</x:v>
      </x:c>
      <x:c r="AF914" t="s">
        <x:v>50</x:v>
      </x:c>
      <x:c r="AG914" t="s">
        <x:v>402</x:v>
      </x:c>
      <x:c r="AH914" t="s">
        <x:v>3560</x:v>
      </x:c>
      <x:c r="AI914" t="s">
        <x:v>6273</x:v>
      </x:c>
      <x:c r="AJ914">
        <x:v>975</x:v>
      </x:c>
    </x:row>
    <x:row r="915">
      <x:c r="A915" t="s">
        <x:v>6222</x:v>
      </x:c>
      <x:c r="B915" t="s">
        <x:v>6223</x:v>
      </x:c>
      <x:c r="C915" t="s">
        <x:v>6274</x:v>
      </x:c>
      <x:c r="D915" t="s">
        <x:v>6275</x:v>
      </x:c>
      <x:c r="E915" t="s">
        <x:v>6276</x:v>
      </x:c>
      <x:c r="F915">
        <x:v>2500</x:v>
      </x:c>
      <x:c r="G915">
        <x:v>2500</x:v>
      </x:c>
      <x:c r="H915">
        <x:v>2500</x:v>
      </x:c>
      <x:c r="I915" t="s">
        <x:v>4595</x:v>
      </x:c>
      <x:c r="J915" t="s">
        <x:v>974</x:v>
      </x:c>
      <x:c r="K915" t="s">
        <x:v>4596</x:v>
      </x:c>
      <x:c r="L915" t="s">
        <x:v>975</x:v>
      </x:c>
      <x:c r="M915" t="s">
        <x:v>976</x:v>
      </x:c>
      <x:c r="N915" t="s">
        <x:v>977</x:v>
      </x:c>
      <x:c r="O915" t="s">
        <x:v>978</x:v>
      </x:c>
      <x:c r="P915" t="s">
        <x:v>979</x:v>
      </x:c>
      <x:c r="R915" s="9">
        <x:v>37667</x:v>
      </x:c>
      <x:c r="T915" t="s">
        <x:v>901</x:v>
      </x:c>
      <x:c r="W915" s="26" t="n">
        <x:v>6.2133333</x:v>
      </x:c>
      <x:c r="X915" s="26" t="n">
        <x:v>-75.4922778</x:v>
      </x:c>
      <x:c r="AF915" t="s">
        <x:v>50</x:v>
      </x:c>
      <x:c r="AG915" t="s">
        <x:v>402</x:v>
      </x:c>
      <x:c r="AH915" t="s">
        <x:v>855</x:v>
      </x:c>
      <x:c r="AI915" t="s">
        <x:v>6277</x:v>
      </x:c>
      <x:c r="AJ915">
        <x:v>976</x:v>
      </x:c>
    </x:row>
    <x:row r="916">
      <x:c r="A916" t="s">
        <x:v>6222</x:v>
      </x:c>
      <x:c r="B916" t="s">
        <x:v>6223</x:v>
      </x:c>
      <x:c r="C916" t="s">
        <x:v>6278</x:v>
      </x:c>
      <x:c r="D916" t="s">
        <x:v>3309</x:v>
      </x:c>
      <x:c r="E916" t="s">
        <x:v>6279</x:v>
      </x:c>
      <x:c r="F916">
        <x:v>1815</x:v>
      </x:c>
      <x:c r="G916">
        <x:v>1815</x:v>
      </x:c>
      <x:c r="H916">
        <x:v>1815</x:v>
      </x:c>
      <x:c r="I916" t="s">
        <x:v>6280</x:v>
      </x:c>
      <x:c r="J916" t="s">
        <x:v>6281</x:v>
      </x:c>
      <x:c r="K916" t="s">
        <x:v>6282</x:v>
      </x:c>
      <x:c r="L916" t="s">
        <x:v>6283</x:v>
      </x:c>
      <x:c r="M916" t="s">
        <x:v>6284</x:v>
      </x:c>
      <x:c r="N916" t="s">
        <x:v>3314</x:v>
      </x:c>
      <x:c r="O916" t="s">
        <x:v>3315</x:v>
      </x:c>
      <x:c r="P916" t="s">
        <x:v>3316</x:v>
      </x:c>
      <x:c r="R916" s="9">
        <x:v>37891</x:v>
      </x:c>
      <x:c r="T916" t="s">
        <x:v>119</x:v>
      </x:c>
      <x:c r="W916" s="26" t="n">
        <x:v>6.9876667</x:v>
      </x:c>
      <x:c r="X916" s="26" t="n">
        <x:v>-75.1432222</x:v>
      </x:c>
      <x:c r="AF916" t="s">
        <x:v>50</x:v>
      </x:c>
      <x:c r="AG916" t="s">
        <x:v>402</x:v>
      </x:c>
      <x:c r="AH916" t="s">
        <x:v>1186</x:v>
      </x:c>
      <x:c r="AI916" t="s">
        <x:v>6285</x:v>
      </x:c>
      <x:c r="AJ916">
        <x:v>977</x:v>
      </x:c>
    </x:row>
    <x:row r="917">
      <x:c r="A917" t="s">
        <x:v>6222</x:v>
      </x:c>
      <x:c r="B917" t="s">
        <x:v>6223</x:v>
      </x:c>
      <x:c r="C917" t="s">
        <x:v>6286</x:v>
      </x:c>
      <x:c r="D917" t="s">
        <x:v>6287</x:v>
      </x:c>
      <x:c r="E917" t="s">
        <x:v>6288</x:v>
      </x:c>
      <x:c r="F917">
        <x:v>2100</x:v>
      </x:c>
      <x:c r="G917">
        <x:v>2100</x:v>
      </x:c>
      <x:c r="H917">
        <x:v>2100</x:v>
      </x:c>
      <x:c r="P917" t="s">
        <x:v>80</x:v>
      </x:c>
      <x:c r="R917" s="9">
        <x:v>39553</x:v>
      </x:c>
      <x:c r="T917" t="s">
        <x:v>119</x:v>
      </x:c>
      <x:c r="W917" s="26" t="n">
        <x:v>6.1301</x:v>
      </x:c>
      <x:c r="X917" s="26" t="n">
        <x:v>-75.41415</x:v>
      </x:c>
      <x:c r="Y917">
        <x:v>2529.7350000000001</x:v>
      </x:c>
      <x:c r="Z917">
        <x:v>2117</x:v>
      </x:c>
      <x:c r="AB917" t="s">
        <x:v>6289</x:v>
      </x:c>
      <x:c r="AF917" t="s">
        <x:v>50</x:v>
      </x:c>
      <x:c r="AG917" t="s">
        <x:v>402</x:v>
      </x:c>
      <x:c r="AH917" t="s">
        <x:v>469</x:v>
      </x:c>
      <x:c r="AI917" t="s">
        <x:v>6290</x:v>
      </x:c>
      <x:c r="AJ917">
        <x:v>978</x:v>
      </x:c>
    </x:row>
    <x:row r="918">
      <x:c r="A918" t="s">
        <x:v>6291</x:v>
      </x:c>
      <x:c r="B918" t="s">
        <x:v>6292</x:v>
      </x:c>
      <x:c r="C918" t="s">
        <x:v>6293</x:v>
      </x:c>
      <x:c r="D918" t="s">
        <x:v>6294</x:v>
      </x:c>
      <x:c r="E918" t="s">
        <x:v>6295</x:v>
      </x:c>
      <x:c r="F918">
        <x:v>2225</x:v>
      </x:c>
      <x:c r="G918">
        <x:v>2225</x:v>
      </x:c>
      <x:c r="H918">
        <x:v>2225</x:v>
      </x:c>
      <x:c r="I918" t="s">
        <x:v>6296</x:v>
      </x:c>
      <x:c r="J918" t="s">
        <x:v>6297</x:v>
      </x:c>
      <x:c r="K918" t="s">
        <x:v>6298</x:v>
      </x:c>
      <x:c r="L918" t="s">
        <x:v>6299</x:v>
      </x:c>
      <x:c r="M918" t="s">
        <x:v>6300</x:v>
      </x:c>
      <x:c r="N918" t="s">
        <x:v>6301</x:v>
      </x:c>
      <x:c r="O918" t="s">
        <x:v>6302</x:v>
      </x:c>
      <x:c r="P918" t="s">
        <x:v>6303</x:v>
      </x:c>
      <x:c r="R918" s="9">
        <x:v>19434</x:v>
      </x:c>
      <x:c r="W918" s="26" t="n">
        <x:v>1.16918</x:v>
      </x:c>
      <x:c r="X918" s="26" t="n">
        <x:v>-76.69335</x:v>
      </x:c>
      <x:c r="Y918" t="s">
        <x:v>6304</x:v>
      </x:c>
      <x:c r="Z918">
        <x:v>1587</x:v>
      </x:c>
      <x:c r="AF918" t="s">
        <x:v>50</x:v>
      </x:c>
      <x:c r="AG918" t="s">
        <x:v>67</x:v>
      </x:c>
      <x:c r="AH918" t="s">
        <x:v>6305</x:v>
      </x:c>
      <x:c r="AJ918">
        <x:v>979</x:v>
      </x:c>
    </x:row>
    <x:row r="919">
      <x:c r="A919" t="s">
        <x:v>6291</x:v>
      </x:c>
      <x:c r="B919" t="s">
        <x:v>6292</x:v>
      </x:c>
      <x:c r="C919" t="s">
        <x:v>6306</x:v>
      </x:c>
      <x:c r="D919" t="s">
        <x:v>6307</x:v>
      </x:c>
      <x:c r="E919" t="s">
        <x:v>6308</x:v>
      </x:c>
      <x:c r="F919">
        <x:v>1540</x:v>
      </x:c>
      <x:c r="G919">
        <x:v>1540</x:v>
      </x:c>
      <x:c r="H919">
        <x:v>1540</x:v>
      </x:c>
      <x:c r="P919" t="s">
        <x:v>80</x:v>
      </x:c>
      <x:c r="R919" s="9">
        <x:v>24828</x:v>
      </x:c>
      <x:c r="T919" t="s">
        <x:v>111</x:v>
      </x:c>
      <x:c r="W919" s="26" t="n">
        <x:v>4.9695</x:v>
      </x:c>
      <x:c r="X919" s="26" t="n">
        <x:v>-74.39396</x:v>
      </x:c>
      <x:c r="Y919">
        <x:v>377.488</x:v>
      </x:c>
      <x:c r="Z919">
        <x:v>1283</x:v>
      </x:c>
      <x:c r="AB919" t="s">
        <x:v>1589</x:v>
      </x:c>
      <x:c r="AF919" t="s">
        <x:v>50</x:v>
      </x:c>
      <x:c r="AG919" t="s">
        <x:v>98</x:v>
      </x:c>
      <x:c r="AH919" t="s">
        <x:v>6309</x:v>
      </x:c>
      <x:c r="AI919" t="s">
        <x:v>6310</x:v>
      </x:c>
      <x:c r="AJ919">
        <x:v>981</x:v>
      </x:c>
    </x:row>
    <x:row r="920">
      <x:c r="A920" t="s">
        <x:v>6291</x:v>
      </x:c>
      <x:c r="B920" t="s">
        <x:v>6292</x:v>
      </x:c>
      <x:c r="C920" t="s">
        <x:v>6311</x:v>
      </x:c>
      <x:c r="D920" t="s">
        <x:v>6017</x:v>
      </x:c>
      <x:c r="E920" t="s">
        <x:v>6312</x:v>
      </x:c>
      <x:c r="F920">
        <x:v>1350</x:v>
      </x:c>
      <x:c r="R920" s="9">
        <x:v>24761</x:v>
      </x:c>
      <x:c r="W920" s="26" t="n">
        <x:v>5.8185</x:v>
      </x:c>
      <x:c r="X920" s="26" t="n">
        <x:v>-74.07841</x:v>
      </x:c>
      <x:c r="Y920" t="s">
        <x:v>6313</x:v>
      </x:c>
      <x:c r="Z920">
        <x:v>326</x:v>
      </x:c>
      <x:c r="AB920" t="s">
        <x:v>6314</x:v>
      </x:c>
    </x:row>
    <x:row r="921">
      <x:c r="A921" t="s">
        <x:v>6291</x:v>
      </x:c>
      <x:c r="B921" t="s">
        <x:v>6292</x:v>
      </x:c>
      <x:c r="C921" t="s">
        <x:v>6315</x:v>
      </x:c>
      <x:c r="D921" t="s">
        <x:v>6017</x:v>
      </x:c>
      <x:c r="E921" t="s">
        <x:v>6316</x:v>
      </x:c>
      <x:c r="F921">
        <x:v>506</x:v>
      </x:c>
      <x:c r="I921" t="s">
        <x:v>6317</x:v>
      </x:c>
      <x:c r="K921" t="s">
        <x:v>6318</x:v>
      </x:c>
      <x:c r="N921" s="5" t="s">
        <x:v>6319</x:v>
      </x:c>
      <x:c r="O921" s="5" t="s">
        <x:v>6320</x:v>
      </x:c>
      <x:c r="P921" t="s">
        <x:v>6321</x:v>
      </x:c>
      <x:c r="R921" s="9">
        <x:v>44365</x:v>
      </x:c>
      <x:c r="W921" s="26" t="n">
        <x:v>1.08696</x:v>
      </x:c>
      <x:c r="X921" s="26" t="n">
        <x:v>-76.63255</x:v>
      </x:c>
      <x:c r="Y921" t="s">
        <x:v>6322</x:v>
      </x:c>
      <x:c r="Z921">
        <x:v>535</x:v>
      </x:c>
      <x:c r="AB921" t="s">
        <x:v>6323</x:v>
      </x:c>
    </x:row>
    <x:row r="922">
      <x:c r="A922" t="s">
        <x:v>6324</x:v>
      </x:c>
      <x:c r="B922" t="s">
        <x:v>6325</x:v>
      </x:c>
      <x:c r="C922" t="s">
        <x:v>6326</x:v>
      </x:c>
      <x:c r="D922" t="s">
        <x:v>6327</x:v>
      </x:c>
      <x:c r="E922" t="s">
        <x:v>6328</x:v>
      </x:c>
      <x:c r="F922" t="s">
        <x:v>605</x:v>
      </x:c>
      <x:c r="G922">
        <x:v>2340</x:v>
      </x:c>
      <x:c r="H922">
        <x:v>2430</x:v>
      </x:c>
      <x:c r="I922" t="s">
        <x:v>6329</x:v>
      </x:c>
      <x:c r="J922" t="s">
        <x:v>6330</x:v>
      </x:c>
      <x:c r="K922" t="s">
        <x:v>6331</x:v>
      </x:c>
      <x:c r="L922" t="s">
        <x:v>6332</x:v>
      </x:c>
      <x:c r="M922" t="s">
        <x:v>6333</x:v>
      </x:c>
      <x:c r="N922" t="s">
        <x:v>6334</x:v>
      </x:c>
      <x:c r="O922" t="s">
        <x:v>6335</x:v>
      </x:c>
      <x:c r="P922" t="s">
        <x:v>6336</x:v>
      </x:c>
      <x:c r="R922" s="9">
        <x:v>31963</x:v>
      </x:c>
      <x:c r="T922" t="s">
        <x:v>119</x:v>
      </x:c>
      <x:c r="W922" s="26" t="n">
        <x:v>5.92288</x:v>
      </x:c>
      <x:c r="X922" s="26" t="n">
        <x:v>-75.30358</x:v>
      </x:c>
      <x:c r="Y922">
        <x:v>2835.0059999999999</x:v>
      </x:c>
      <x:c r="Z922">
        <x:v>2431</x:v>
      </x:c>
      <x:c r="AB922" t="s">
        <x:v>613</x:v>
      </x:c>
      <x:c r="AF922" t="s">
        <x:v>50</x:v>
      </x:c>
      <x:c r="AG922" t="s">
        <x:v>402</x:v>
      </x:c>
      <x:c r="AH922" t="s">
        <x:v>614</x:v>
      </x:c>
      <x:c r="AI922" t="s">
        <x:v>6337</x:v>
      </x:c>
      <x:c r="AJ922">
        <x:v>983</x:v>
      </x:c>
    </x:row>
    <x:row r="923">
      <x:c r="A923" t="s">
        <x:v>6324</x:v>
      </x:c>
      <x:c r="B923" t="s">
        <x:v>6325</x:v>
      </x:c>
      <x:c r="C923" t="s">
        <x:v>6338</x:v>
      </x:c>
      <x:c r="D923" t="s">
        <x:v>6339</x:v>
      </x:c>
      <x:c r="E923" t="s">
        <x:v>6340</x:v>
      </x:c>
      <x:c r="F923" t="s">
        <x:v>6341</x:v>
      </x:c>
      <x:c r="G923">
        <x:v>3000</x:v>
      </x:c>
      <x:c r="H923">
        <x:v>3240</x:v>
      </x:c>
      <x:c r="I923" t="s">
        <x:v>6342</x:v>
      </x:c>
      <x:c r="J923" t="s">
        <x:v>6343</x:v>
      </x:c>
      <x:c r="K923" t="s">
        <x:v>6344</x:v>
      </x:c>
      <x:c r="L923" t="s">
        <x:v>6345</x:v>
      </x:c>
      <x:c r="M923" t="s">
        <x:v>6346</x:v>
      </x:c>
      <x:c r="N923" t="s">
        <x:v>6347</x:v>
      </x:c>
      <x:c r="O923" t="s">
        <x:v>6348</x:v>
      </x:c>
      <x:c r="P923" t="s">
        <x:v>6349</x:v>
      </x:c>
      <x:c r="R923" s="9">
        <x:v>33298</x:v>
      </x:c>
      <x:c r="T923" t="s">
        <x:v>111</x:v>
      </x:c>
      <x:c r="W923" s="26" t="n">
        <x:v>6.6259722</x:v>
      </x:c>
      <x:c r="X923" s="26" t="n">
        <x:v>-75.6666667</x:v>
      </x:c>
      <x:c r="AF923" t="s">
        <x:v>50</x:v>
      </x:c>
      <x:c r="AG923" t="s">
        <x:v>402</x:v>
      </x:c>
      <x:c r="AH923" t="s">
        <x:v>1710</x:v>
      </x:c>
      <x:c r="AI923" t="s">
        <x:v>6350</x:v>
      </x:c>
      <x:c r="AJ923">
        <x:v>984</x:v>
      </x:c>
    </x:row>
    <x:row r="924">
      <x:c r="A924" t="s">
        <x:v>6324</x:v>
      </x:c>
      <x:c r="B924" t="s">
        <x:v>6325</x:v>
      </x:c>
      <x:c r="C924" t="s">
        <x:v>6351</x:v>
      </x:c>
      <x:c r="D924" t="s">
        <x:v>6352</x:v>
      </x:c>
      <x:c r="E924" t="s">
        <x:v>6353</x:v>
      </x:c>
      <x:c r="F924">
        <x:v>2500</x:v>
      </x:c>
      <x:c r="G924">
        <x:v>2500</x:v>
      </x:c>
      <x:c r="H924">
        <x:v>2500</x:v>
      </x:c>
      <x:c r="I924" t="s">
        <x:v>6354</x:v>
      </x:c>
      <x:c r="J924" t="s">
        <x:v>6355</x:v>
      </x:c>
      <x:c r="K924" t="s">
        <x:v>6356</x:v>
      </x:c>
      <x:c r="L924" t="s">
        <x:v>6357</x:v>
      </x:c>
      <x:c r="M924" t="s">
        <x:v>6358</x:v>
      </x:c>
      <x:c r="N924" t="s">
        <x:v>2474</x:v>
      </x:c>
      <x:c r="O924" t="s">
        <x:v>2475</x:v>
      </x:c>
      <x:c r="P924" t="s">
        <x:v>2476</x:v>
      </x:c>
      <x:c r="R924" s="9">
        <x:v>36491</x:v>
      </x:c>
      <x:c r="T924" t="s">
        <x:v>111</x:v>
      </x:c>
      <x:c r="W924" s="26" t="n">
        <x:v>5.85</x:v>
      </x:c>
      <x:c r="X924" s="26" t="n">
        <x:v>-75.3666667</x:v>
      </x:c>
      <x:c r="AF924" t="s">
        <x:v>50</x:v>
      </x:c>
      <x:c r="AG924" t="s">
        <x:v>402</x:v>
      </x:c>
      <x:c r="AH924" t="s">
        <x:v>2477</x:v>
      </x:c>
      <x:c r="AI924" t="s">
        <x:v>6359</x:v>
      </x:c>
      <x:c r="AJ924">
        <x:v>985</x:v>
      </x:c>
    </x:row>
    <x:row r="925">
      <x:c r="A925" t="s">
        <x:v>6324</x:v>
      </x:c>
      <x:c r="B925" t="s">
        <x:v>6325</x:v>
      </x:c>
      <x:c r="C925" t="s">
        <x:v>6360</x:v>
      </x:c>
      <x:c r="D925" t="s">
        <x:v>6361</x:v>
      </x:c>
      <x:c r="E925" t="s">
        <x:v>6362</x:v>
      </x:c>
      <x:c r="F925">
        <x:v>3300</x:v>
      </x:c>
      <x:c r="G925">
        <x:v>3300</x:v>
      </x:c>
      <x:c r="H925">
        <x:v>3300</x:v>
      </x:c>
      <x:c r="I925" t="s">
        <x:v>1702</x:v>
      </x:c>
      <x:c r="J925" t="s">
        <x:v>1703</x:v>
      </x:c>
      <x:c r="K925" t="s">
        <x:v>1704</x:v>
      </x:c>
      <x:c r="L925" t="s">
        <x:v>1705</x:v>
      </x:c>
      <x:c r="M925" t="s">
        <x:v>1706</x:v>
      </x:c>
      <x:c r="N925" t="s">
        <x:v>1707</x:v>
      </x:c>
      <x:c r="O925" t="s">
        <x:v>1708</x:v>
      </x:c>
      <x:c r="P925" t="s">
        <x:v>1709</x:v>
      </x:c>
      <x:c r="R925" s="9">
        <x:v>37404</x:v>
      </x:c>
      <x:c r="T925" t="s">
        <x:v>119</x:v>
      </x:c>
      <x:c r="W925" s="26" t="n">
        <x:v>6.6858611</x:v>
      </x:c>
      <x:c r="X925" s="26" t="n">
        <x:v>-75.6748889</x:v>
      </x:c>
      <x:c r="AF925" t="s">
        <x:v>50</x:v>
      </x:c>
      <x:c r="AG925" t="s">
        <x:v>402</x:v>
      </x:c>
      <x:c r="AH925" t="s">
        <x:v>1710</x:v>
      </x:c>
      <x:c r="AI925" t="s">
        <x:v>6363</x:v>
      </x:c>
      <x:c r="AJ925">
        <x:v>986</x:v>
      </x:c>
    </x:row>
    <x:row r="926">
      <x:c r="A926" t="s">
        <x:v>6324</x:v>
      </x:c>
      <x:c r="B926" t="s">
        <x:v>6325</x:v>
      </x:c>
      <x:c r="C926" t="s">
        <x:v>6360</x:v>
      </x:c>
      <x:c r="D926" t="s">
        <x:v>6364</x:v>
      </x:c>
      <x:c r="E926" t="s">
        <x:v>6362</x:v>
      </x:c>
      <x:c r="F926">
        <x:v>3300</x:v>
      </x:c>
      <x:c r="G926">
        <x:v>3300</x:v>
      </x:c>
      <x:c r="H926">
        <x:v>3300</x:v>
      </x:c>
      <x:c r="I926" t="s">
        <x:v>1702</x:v>
      </x:c>
      <x:c r="J926" t="s">
        <x:v>1703</x:v>
      </x:c>
      <x:c r="K926" t="s">
        <x:v>1704</x:v>
      </x:c>
      <x:c r="L926" t="s">
        <x:v>1705</x:v>
      </x:c>
      <x:c r="M926" t="s">
        <x:v>1706</x:v>
      </x:c>
      <x:c r="N926" t="s">
        <x:v>1707</x:v>
      </x:c>
      <x:c r="O926" t="s">
        <x:v>1708</x:v>
      </x:c>
      <x:c r="P926" t="s">
        <x:v>1709</x:v>
      </x:c>
      <x:c r="R926" s="9">
        <x:v>37404</x:v>
      </x:c>
      <x:c r="T926" t="s">
        <x:v>119</x:v>
      </x:c>
      <x:c r="W926" s="26" t="n">
        <x:v>6.6858611</x:v>
      </x:c>
      <x:c r="X926" s="26" t="n">
        <x:v>-75.6748889</x:v>
      </x:c>
      <x:c r="AF926" t="s">
        <x:v>50</x:v>
      </x:c>
      <x:c r="AG926" t="s">
        <x:v>402</x:v>
      </x:c>
      <x:c r="AH926" t="s">
        <x:v>1710</x:v>
      </x:c>
      <x:c r="AI926" t="s">
        <x:v>6363</x:v>
      </x:c>
      <x:c r="AJ926">
        <x:v>987</x:v>
      </x:c>
    </x:row>
    <x:row r="927">
      <x:c r="A927" t="s">
        <x:v>6324</x:v>
      </x:c>
      <x:c r="B927" t="s">
        <x:v>6325</x:v>
      </x:c>
      <x:c r="C927" t="s">
        <x:v>6365</x:v>
      </x:c>
      <x:c r="D927" t="s">
        <x:v>6366</x:v>
      </x:c>
      <x:c r="E927" t="s">
        <x:v>6367</x:v>
      </x:c>
      <x:c r="F927">
        <x:v>3050</x:v>
      </x:c>
      <x:c r="G927">
        <x:v>3050</x:v>
      </x:c>
      <x:c r="H927">
        <x:v>3050</x:v>
      </x:c>
      <x:c r="I927" t="s">
        <x:v>6368</x:v>
      </x:c>
      <x:c r="J927" t="s">
        <x:v>6369</x:v>
      </x:c>
      <x:c r="K927" t="s">
        <x:v>6370</x:v>
      </x:c>
      <x:c r="L927" t="s">
        <x:v>6371</x:v>
      </x:c>
      <x:c r="M927" t="s">
        <x:v>6372</x:v>
      </x:c>
      <x:c r="N927" t="s">
        <x:v>6373</x:v>
      </x:c>
      <x:c r="O927" t="s">
        <x:v>6374</x:v>
      </x:c>
      <x:c r="P927" t="s">
        <x:v>6375</x:v>
      </x:c>
      <x:c r="R927" s="9">
        <x:v>37426</x:v>
      </x:c>
      <x:c r="T927" t="s">
        <x:v>119</x:v>
      </x:c>
      <x:c r="W927" s="26" t="n">
        <x:v>6.6928333</x:v>
      </x:c>
      <x:c r="X927" s="26" t="n">
        <x:v>-75.6967222</x:v>
      </x:c>
      <x:c r="AF927" t="s">
        <x:v>50</x:v>
      </x:c>
      <x:c r="AG927" t="s">
        <x:v>402</x:v>
      </x:c>
      <x:c r="AH927" t="s">
        <x:v>1710</x:v>
      </x:c>
      <x:c r="AI927" t="s">
        <x:v>6376</x:v>
      </x:c>
      <x:c r="AJ927">
        <x:v>989</x:v>
      </x:c>
    </x:row>
    <x:row r="928">
      <x:c r="A928" t="s">
        <x:v>6324</x:v>
      </x:c>
      <x:c r="B928" t="s">
        <x:v>6325</x:v>
      </x:c>
      <x:c r="C928" t="s">
        <x:v>6377</x:v>
      </x:c>
      <x:c r="D928" t="s">
        <x:v>6378</x:v>
      </x:c>
      <x:c r="E928" t="s">
        <x:v>6379</x:v>
      </x:c>
      <x:c r="F928">
        <x:v>3100</x:v>
      </x:c>
      <x:c r="G928">
        <x:v>3100</x:v>
      </x:c>
      <x:c r="H928">
        <x:v>3100</x:v>
      </x:c>
      <x:c r="I928" t="s">
        <x:v>1716</x:v>
      </x:c>
      <x:c r="J928" t="s">
        <x:v>1717</x:v>
      </x:c>
      <x:c r="K928" t="s">
        <x:v>1718</x:v>
      </x:c>
      <x:c r="L928" t="s">
        <x:v>1719</x:v>
      </x:c>
      <x:c r="M928" t="s">
        <x:v>1720</x:v>
      </x:c>
      <x:c r="N928" t="s">
        <x:v>1721</x:v>
      </x:c>
      <x:c r="O928" t="s">
        <x:v>1722</x:v>
      </x:c>
      <x:c r="P928" t="s">
        <x:v>1723</x:v>
      </x:c>
      <x:c r="R928" s="9">
        <x:v>37430</x:v>
      </x:c>
      <x:c r="T928" t="s">
        <x:v>119</x:v>
      </x:c>
      <x:c r="W928" s="26" t="n">
        <x:v>6.77175</x:v>
      </x:c>
      <x:c r="X928" s="26" t="n">
        <x:v>-75.6946944</x:v>
      </x:c>
      <x:c r="AF928" t="s">
        <x:v>50</x:v>
      </x:c>
      <x:c r="AG928" t="s">
        <x:v>402</x:v>
      </x:c>
      <x:c r="AH928" t="s">
        <x:v>6380</x:v>
      </x:c>
      <x:c r="AI928" t="s">
        <x:v>6381</x:v>
      </x:c>
      <x:c r="AJ928">
        <x:v>990</x:v>
      </x:c>
    </x:row>
    <x:row r="929">
      <x:c r="A929" t="s">
        <x:v>6324</x:v>
      </x:c>
      <x:c r="B929" t="s">
        <x:v>6325</x:v>
      </x:c>
      <x:c r="C929" t="s">
        <x:v>6377</x:v>
      </x:c>
      <x:c r="D929" t="s">
        <x:v>6382</x:v>
      </x:c>
      <x:c r="E929" t="s">
        <x:v>6379</x:v>
      </x:c>
      <x:c r="F929">
        <x:v>3110</x:v>
      </x:c>
      <x:c r="G929">
        <x:v>3110</x:v>
      </x:c>
      <x:c r="H929">
        <x:v>3110</x:v>
      </x:c>
      <x:c r="I929" t="s">
        <x:v>1716</x:v>
      </x:c>
      <x:c r="J929" t="s">
        <x:v>1717</x:v>
      </x:c>
      <x:c r="K929" t="s">
        <x:v>1718</x:v>
      </x:c>
      <x:c r="L929" t="s">
        <x:v>1719</x:v>
      </x:c>
      <x:c r="M929" t="s">
        <x:v>1720</x:v>
      </x:c>
      <x:c r="N929" t="s">
        <x:v>1721</x:v>
      </x:c>
      <x:c r="O929" t="s">
        <x:v>1722</x:v>
      </x:c>
      <x:c r="P929" t="s">
        <x:v>1723</x:v>
      </x:c>
      <x:c r="R929" s="9">
        <x:v>37430</x:v>
      </x:c>
      <x:c r="T929" t="s">
        <x:v>119</x:v>
      </x:c>
      <x:c r="W929" s="26" t="n">
        <x:v>6.77175</x:v>
      </x:c>
      <x:c r="X929" s="26" t="n">
        <x:v>-75.6946944</x:v>
      </x:c>
      <x:c r="AF929" t="s">
        <x:v>50</x:v>
      </x:c>
      <x:c r="AG929" t="s">
        <x:v>402</x:v>
      </x:c>
      <x:c r="AH929" t="s">
        <x:v>6380</x:v>
      </x:c>
      <x:c r="AI929" t="s">
        <x:v>6381</x:v>
      </x:c>
      <x:c r="AJ929">
        <x:v>991</x:v>
      </x:c>
    </x:row>
    <x:row r="930">
      <x:c r="A930" t="s">
        <x:v>6324</x:v>
      </x:c>
      <x:c r="B930" t="s">
        <x:v>6325</x:v>
      </x:c>
      <x:c r="C930" t="s">
        <x:v>6383</x:v>
      </x:c>
      <x:c r="D930" t="s">
        <x:v>6384</x:v>
      </x:c>
      <x:c r="E930" t="s">
        <x:v>6385</x:v>
      </x:c>
      <x:c r="F930">
        <x:v>3050</x:v>
      </x:c>
      <x:c r="G930">
        <x:v>3050</x:v>
      </x:c>
      <x:c r="H930">
        <x:v>3050</x:v>
      </x:c>
      <x:c r="I930" t="s">
        <x:v>6342</x:v>
      </x:c>
      <x:c r="J930" t="s">
        <x:v>6343</x:v>
      </x:c>
      <x:c r="K930" t="s">
        <x:v>6386</x:v>
      </x:c>
      <x:c r="L930" t="s">
        <x:v>6387</x:v>
      </x:c>
      <x:c r="M930" t="s">
        <x:v>6388</x:v>
      </x:c>
      <x:c r="N930" t="s">
        <x:v>6347</x:v>
      </x:c>
      <x:c r="O930" t="s">
        <x:v>6389</x:v>
      </x:c>
      <x:c r="P930" t="s">
        <x:v>6390</x:v>
      </x:c>
      <x:c r="R930" s="9">
        <x:v>37440</x:v>
      </x:c>
      <x:c r="T930" t="s">
        <x:v>119</x:v>
      </x:c>
      <x:c r="W930" s="26" t="n">
        <x:v>6.6259722</x:v>
      </x:c>
      <x:c r="X930" s="26" t="n">
        <x:v>-75.6567222</x:v>
      </x:c>
      <x:c r="AF930" t="s">
        <x:v>50</x:v>
      </x:c>
      <x:c r="AG930" t="s">
        <x:v>402</x:v>
      </x:c>
      <x:c r="AH930" t="s">
        <x:v>1710</x:v>
      </x:c>
      <x:c r="AI930" t="s">
        <x:v>6391</x:v>
      </x:c>
      <x:c r="AJ930">
        <x:v>992</x:v>
      </x:c>
    </x:row>
    <x:row r="931">
      <x:c r="A931" t="s">
        <x:v>6324</x:v>
      </x:c>
      <x:c r="B931" t="s">
        <x:v>6325</x:v>
      </x:c>
      <x:c r="C931" t="s">
        <x:v>6383</x:v>
      </x:c>
      <x:c r="D931" t="s">
        <x:v>6392</x:v>
      </x:c>
      <x:c r="E931" t="s">
        <x:v>6385</x:v>
      </x:c>
      <x:c r="F931">
        <x:v>3050</x:v>
      </x:c>
      <x:c r="G931">
        <x:v>3050</x:v>
      </x:c>
      <x:c r="H931">
        <x:v>3050</x:v>
      </x:c>
      <x:c r="I931" t="s">
        <x:v>6342</x:v>
      </x:c>
      <x:c r="J931" t="s">
        <x:v>6343</x:v>
      </x:c>
      <x:c r="K931" t="s">
        <x:v>6386</x:v>
      </x:c>
      <x:c r="L931" t="s">
        <x:v>6387</x:v>
      </x:c>
      <x:c r="M931" t="s">
        <x:v>6388</x:v>
      </x:c>
      <x:c r="N931" t="s">
        <x:v>6347</x:v>
      </x:c>
      <x:c r="O931" t="s">
        <x:v>6389</x:v>
      </x:c>
      <x:c r="P931" t="s">
        <x:v>6390</x:v>
      </x:c>
      <x:c r="R931" s="9">
        <x:v>37440</x:v>
      </x:c>
      <x:c r="T931" t="s">
        <x:v>119</x:v>
      </x:c>
      <x:c r="W931" s="26" t="n">
        <x:v>6.6259722</x:v>
      </x:c>
      <x:c r="X931" s="26" t="n">
        <x:v>-75.6567222</x:v>
      </x:c>
      <x:c r="AF931" t="s">
        <x:v>50</x:v>
      </x:c>
      <x:c r="AG931" t="s">
        <x:v>402</x:v>
      </x:c>
      <x:c r="AH931" t="s">
        <x:v>1710</x:v>
      </x:c>
      <x:c r="AI931" t="s">
        <x:v>6391</x:v>
      </x:c>
      <x:c r="AJ931">
        <x:v>993</x:v>
      </x:c>
    </x:row>
    <x:row r="932">
      <x:c r="A932" t="s">
        <x:v>6324</x:v>
      </x:c>
      <x:c r="B932" t="s">
        <x:v>6325</x:v>
      </x:c>
      <x:c r="C932" t="s">
        <x:v>6383</x:v>
      </x:c>
      <x:c r="D932" t="s">
        <x:v>6393</x:v>
      </x:c>
      <x:c r="E932" t="s">
        <x:v>6385</x:v>
      </x:c>
      <x:c r="F932">
        <x:v>3040</x:v>
      </x:c>
      <x:c r="G932">
        <x:v>3040</x:v>
      </x:c>
      <x:c r="H932">
        <x:v>3040</x:v>
      </x:c>
      <x:c r="I932" t="s">
        <x:v>6342</x:v>
      </x:c>
      <x:c r="J932" t="s">
        <x:v>6343</x:v>
      </x:c>
      <x:c r="K932" t="s">
        <x:v>6386</x:v>
      </x:c>
      <x:c r="L932" t="s">
        <x:v>6387</x:v>
      </x:c>
      <x:c r="M932" t="s">
        <x:v>6388</x:v>
      </x:c>
      <x:c r="N932" t="s">
        <x:v>6347</x:v>
      </x:c>
      <x:c r="O932" t="s">
        <x:v>6389</x:v>
      </x:c>
      <x:c r="P932" t="s">
        <x:v>6390</x:v>
      </x:c>
      <x:c r="R932" s="9">
        <x:v>37440</x:v>
      </x:c>
      <x:c r="T932" t="s">
        <x:v>119</x:v>
      </x:c>
      <x:c r="W932" s="26" t="n">
        <x:v>6.6259722</x:v>
      </x:c>
      <x:c r="X932" s="26" t="n">
        <x:v>-75.6567222</x:v>
      </x:c>
      <x:c r="AF932" t="s">
        <x:v>50</x:v>
      </x:c>
      <x:c r="AG932" t="s">
        <x:v>402</x:v>
      </x:c>
      <x:c r="AH932" t="s">
        <x:v>1710</x:v>
      </x:c>
      <x:c r="AI932" t="s">
        <x:v>6391</x:v>
      </x:c>
      <x:c r="AJ932">
        <x:v>994</x:v>
      </x:c>
    </x:row>
    <x:row r="933">
      <x:c r="A933" t="s">
        <x:v>6324</x:v>
      </x:c>
      <x:c r="B933" t="s">
        <x:v>6325</x:v>
      </x:c>
      <x:c r="C933" t="s">
        <x:v>6394</x:v>
      </x:c>
      <x:c r="D933" t="s">
        <x:v>6395</x:v>
      </x:c>
      <x:c r="E933" t="s">
        <x:v>6396</x:v>
      </x:c>
      <x:c r="F933">
        <x:v>1800</x:v>
      </x:c>
      <x:c r="G933">
        <x:v>1800</x:v>
      </x:c>
      <x:c r="H933">
        <x:v>1800</x:v>
      </x:c>
      <x:c r="I933" t="s">
        <x:v>6397</x:v>
      </x:c>
      <x:c r="J933" t="s">
        <x:v>6398</x:v>
      </x:c>
      <x:c r="K933" t="s">
        <x:v>6399</x:v>
      </x:c>
      <x:c r="L933" t="s">
        <x:v>6400</x:v>
      </x:c>
      <x:c r="M933" t="s">
        <x:v>6401</x:v>
      </x:c>
      <x:c r="N933" t="s">
        <x:v>6402</x:v>
      </x:c>
      <x:c r="O933" t="s">
        <x:v>6403</x:v>
      </x:c>
      <x:c r="P933" t="s">
        <x:v>6404</x:v>
      </x:c>
      <x:c r="R933" s="9">
        <x:v>37931</x:v>
      </x:c>
      <x:c r="T933" t="s">
        <x:v>119</x:v>
      </x:c>
      <x:c r="W933" s="26" t="n">
        <x:v>6.8886111</x:v>
      </x:c>
      <x:c r="X933" s="26" t="n">
        <x:v>-75.3555556</x:v>
      </x:c>
      <x:c r="AF933" t="s">
        <x:v>50</x:v>
      </x:c>
      <x:c r="AG933" t="s">
        <x:v>402</x:v>
      </x:c>
      <x:c r="AH933" t="s">
        <x:v>6405</x:v>
      </x:c>
      <x:c r="AI933" t="s">
        <x:v>6406</x:v>
      </x:c>
      <x:c r="AJ933">
        <x:v>995</x:v>
      </x:c>
    </x:row>
    <x:row r="934">
      <x:c r="A934" t="s">
        <x:v>6324</x:v>
      </x:c>
      <x:c r="B934" t="s">
        <x:v>6325</x:v>
      </x:c>
      <x:c r="C934" t="s">
        <x:v>6407</x:v>
      </x:c>
      <x:c r="D934" t="s">
        <x:v>6408</x:v>
      </x:c>
      <x:c r="E934" t="s">
        <x:v>6409</x:v>
      </x:c>
      <x:c r="F934" t="s">
        <x:v>6410</x:v>
      </x:c>
      <x:c r="G934">
        <x:v>2580</x:v>
      </x:c>
      <x:c r="H934">
        <x:v>2650</x:v>
      </x:c>
      <x:c r="I934" t="s">
        <x:v>6411</x:v>
      </x:c>
      <x:c r="J934" t="s">
        <x:v>6412</x:v>
      </x:c>
      <x:c r="K934" t="s">
        <x:v>6413</x:v>
      </x:c>
      <x:c r="L934" t="s">
        <x:v>6414</x:v>
      </x:c>
      <x:c r="M934" t="s">
        <x:v>6415</x:v>
      </x:c>
      <x:c r="N934" t="s">
        <x:v>6416</x:v>
      </x:c>
      <x:c r="O934" t="s">
        <x:v>6417</x:v>
      </x:c>
      <x:c r="P934" t="s">
        <x:v>6418</x:v>
      </x:c>
      <x:c r="R934" s="9">
        <x:v>38691</x:v>
      </x:c>
      <x:c r="T934" t="s">
        <x:v>119</x:v>
      </x:c>
      <x:c r="W934" s="26" t="n">
        <x:v>6.2536111</x:v>
      </x:c>
      <x:c r="X934" s="26" t="n">
        <x:v>-75.6694444</x:v>
      </x:c>
      <x:c r="AF934" t="s">
        <x:v>50</x:v>
      </x:c>
      <x:c r="AG934" t="s">
        <x:v>402</x:v>
      </x:c>
      <x:c r="AH934" t="s">
        <x:v>855</x:v>
      </x:c>
      <x:c r="AI934" t="s">
        <x:v>6419</x:v>
      </x:c>
      <x:c r="AJ934">
        <x:v>996</x:v>
      </x:c>
    </x:row>
    <x:row r="935">
      <x:c r="A935" t="s">
        <x:v>6324</x:v>
      </x:c>
      <x:c r="B935" t="s">
        <x:v>6325</x:v>
      </x:c>
      <x:c r="C935" t="s">
        <x:v>6420</x:v>
      </x:c>
      <x:c r="D935" t="s">
        <x:v>1529</x:v>
      </x:c>
      <x:c r="E935" t="s">
        <x:v>5825</x:v>
      </x:c>
      <x:c r="F935">
        <x:v>2839</x:v>
      </x:c>
      <x:c r="G935">
        <x:v>2839</x:v>
      </x:c>
      <x:c r="H935">
        <x:v>2839</x:v>
      </x:c>
      <x:c r="I935" t="s">
        <x:v>6421</x:v>
      </x:c>
      <x:c r="J935" t="s">
        <x:v>6422</x:v>
      </x:c>
      <x:c r="K935" t="s">
        <x:v>5828</x:v>
      </x:c>
      <x:c r="L935" t="s">
        <x:v>5829</x:v>
      </x:c>
      <x:c r="M935" t="s">
        <x:v>6423</x:v>
      </x:c>
      <x:c r="P935" t="s">
        <x:v>80</x:v>
      </x:c>
      <x:c r="R935" s="9">
        <x:v>40948</x:v>
      </x:c>
      <x:c r="T935" t="s">
        <x:v>119</x:v>
      </x:c>
      <x:c r="W935" s="26" t="n">
        <x:v>6.621966667</x:v>
      </x:c>
      <x:c r="X935" s="26" t="n">
        <x:v>-75.64495</x:v>
      </x:c>
      <x:c r="AF935" t="s">
        <x:v>50</x:v>
      </x:c>
      <x:c r="AG935" t="s">
        <x:v>402</x:v>
      </x:c>
      <x:c r="AH935" t="s">
        <x:v>1710</x:v>
      </x:c>
      <x:c r="AI935" t="s">
        <x:v>5831</x:v>
      </x:c>
      <x:c r="AJ935">
        <x:v>997</x:v>
      </x:c>
    </x:row>
    <x:row r="936">
      <x:c r="A936" t="s">
        <x:v>6324</x:v>
      </x:c>
      <x:c r="B936" t="s">
        <x:v>6325</x:v>
      </x:c>
      <x:c r="C936" t="s">
        <x:v>6424</x:v>
      </x:c>
      <x:c r="D936" t="s">
        <x:v>6425</x:v>
      </x:c>
      <x:c r="E936" t="s">
        <x:v>6426</x:v>
      </x:c>
      <x:c r="F936">
        <x:v>1810</x:v>
      </x:c>
      <x:c r="G936">
        <x:v>1810</x:v>
      </x:c>
      <x:c r="H936">
        <x:v>1810</x:v>
      </x:c>
      <x:c r="P936" t="s">
        <x:v>80</x:v>
      </x:c>
      <x:c r="R936" s="9">
        <x:v>37930</x:v>
      </x:c>
      <x:c r="T936" t="s">
        <x:v>119</x:v>
      </x:c>
      <x:c r="W936" s="26" t="n">
        <x:v>4.85489</x:v>
      </x:c>
      <x:c r="X936" s="26" t="n">
        <x:v>-73.30046</x:v>
      </x:c>
      <x:c r="Y936">
        <x:v>5085.902</x:v>
      </x:c>
      <x:c r="Z936">
        <x:v>1933</x:v>
      </x:c>
      <x:c r="AB936" t="s">
        <x:v>6427</x:v>
      </x:c>
      <x:c r="AF936" t="s">
        <x:v>50</x:v>
      </x:c>
      <x:c r="AG936" t="s">
        <x:v>90</x:v>
      </x:c>
      <x:c r="AH936" t="s">
        <x:v>6428</x:v>
      </x:c>
      <x:c r="AI936" t="s">
        <x:v>6429</x:v>
      </x:c>
      <x:c r="AJ936">
        <x:v>999</x:v>
      </x:c>
    </x:row>
    <x:row r="937">
      <x:c r="A937" t="s">
        <x:v>6324</x:v>
      </x:c>
      <x:c r="B937" t="s">
        <x:v>6325</x:v>
      </x:c>
      <x:c r="C937" t="s">
        <x:v>6430</x:v>
      </x:c>
      <x:c r="D937" t="s">
        <x:v>1060</x:v>
      </x:c>
      <x:c r="E937" t="s">
        <x:v>6431</x:v>
      </x:c>
      <x:c r="F937">
        <x:v>2697</x:v>
      </x:c>
      <x:c r="G937">
        <x:v>2697</x:v>
      </x:c>
      <x:c r="H937">
        <x:v>2697</x:v>
      </x:c>
      <x:c r="I937" t="s">
        <x:v>572</x:v>
      </x:c>
      <x:c r="J937" t="s">
        <x:v>573</x:v>
      </x:c>
      <x:c r="K937" t="s">
        <x:v>574</x:v>
      </x:c>
      <x:c r="L937" t="s">
        <x:v>575</x:v>
      </x:c>
      <x:c r="M937" t="s">
        <x:v>576</x:v>
      </x:c>
      <x:c r="N937" t="s">
        <x:v>577</x:v>
      </x:c>
      <x:c r="O937" t="s">
        <x:v>578</x:v>
      </x:c>
      <x:c r="P937" t="s">
        <x:v>579</x:v>
      </x:c>
      <x:c r="R937" s="9">
        <x:v>38057</x:v>
      </x:c>
      <x:c r="T937" t="s">
        <x:v>119</x:v>
      </x:c>
      <x:c r="W937" s="26" t="n">
        <x:v>5.0671333</x:v>
      </x:c>
      <x:c r="X937" s="26" t="n">
        <x:v>-75.5182889</x:v>
      </x:c>
      <x:c r="AF937" t="s">
        <x:v>50</x:v>
      </x:c>
      <x:c r="AG937" t="s">
        <x:v>167</x:v>
      </x:c>
      <x:c r="AH937" t="s">
        <x:v>168</x:v>
      </x:c>
      <x:c r="AI937" t="s">
        <x:v>6432</x:v>
      </x:c>
      <x:c r="AJ937">
        <x:v>1000</x:v>
      </x:c>
    </x:row>
    <x:row r="938">
      <x:c r="A938" t="s">
        <x:v>6324</x:v>
      </x:c>
      <x:c r="B938" t="s">
        <x:v>6325</x:v>
      </x:c>
      <x:c r="C938" t="s">
        <x:v>6433</x:v>
      </x:c>
      <x:c r="D938" t="s">
        <x:v>1060</x:v>
      </x:c>
      <x:c r="E938" t="s">
        <x:v>6434</x:v>
      </x:c>
      <x:c r="F938" t="s">
        <x:v>1445</x:v>
      </x:c>
      <x:c r="G938">
        <x:v>2700</x:v>
      </x:c>
      <x:c r="H938">
        <x:v>2800</x:v>
      </x:c>
      <x:c r="I938" t="s">
        <x:v>708</x:v>
      </x:c>
      <x:c r="J938" t="s">
        <x:v>709</x:v>
      </x:c>
      <x:c r="K938" t="s">
        <x:v>6435</x:v>
      </x:c>
      <x:c r="L938" t="s">
        <x:v>6436</x:v>
      </x:c>
      <x:c r="M938" t="s">
        <x:v>6437</x:v>
      </x:c>
      <x:c r="N938" t="s">
        <x:v>713</x:v>
      </x:c>
      <x:c r="O938" t="s">
        <x:v>2354</x:v>
      </x:c>
      <x:c r="P938" t="s">
        <x:v>6438</x:v>
      </x:c>
      <x:c r="R938" s="9">
        <x:v>39516</x:v>
      </x:c>
      <x:c r="T938" t="s">
        <x:v>119</x:v>
      </x:c>
      <x:c r="W938" s="26" t="n">
        <x:v>5.38329</x:v>
      </x:c>
      <x:c r="X938" s="26" t="n">
        <x:v>-75.35331</x:v>
      </x:c>
      <x:c r="Y938">
        <x:v>1469.046</x:v>
      </x:c>
      <x:c r="Z938">
        <x:v>2946</x:v>
      </x:c>
      <x:c r="AB938" t="s">
        <x:v>1822</x:v>
      </x:c>
      <x:c r="AF938" t="s">
        <x:v>50</x:v>
      </x:c>
      <x:c r="AG938" t="s">
        <x:v>167</x:v>
      </x:c>
      <x:c r="AH938" t="s">
        <x:v>1823</x:v>
      </x:c>
      <x:c r="AI938" t="s">
        <x:v>6439</x:v>
      </x:c>
      <x:c r="AJ938">
        <x:v>1001</x:v>
      </x:c>
    </x:row>
    <x:row r="939">
      <x:c r="A939" t="s">
        <x:v>6324</x:v>
      </x:c>
      <x:c r="B939" t="s">
        <x:v>6325</x:v>
      </x:c>
      <x:c r="C939" t="s">
        <x:v>6440</x:v>
      </x:c>
      <x:c r="D939" t="s">
        <x:v>1060</x:v>
      </x:c>
      <x:c r="E939" t="s">
        <x:v>6434</x:v>
      </x:c>
      <x:c r="F939">
        <x:v>3000</x:v>
      </x:c>
      <x:c r="G939">
        <x:v>3000</x:v>
      </x:c>
      <x:c r="H939">
        <x:v>3000</x:v>
      </x:c>
      <x:c r="P939" t="s">
        <x:v>80</x:v>
      </x:c>
      <x:c r="R939" s="9">
        <x:v>39693</x:v>
      </x:c>
      <x:c r="T939" t="s">
        <x:v>119</x:v>
      </x:c>
      <x:c r="W939" s="26" t="n">
        <x:v>5.38329</x:v>
      </x:c>
      <x:c r="X939" s="26" t="n">
        <x:v>-75.35331</x:v>
      </x:c>
      <x:c r="Y939">
        <x:v>1469.046</x:v>
      </x:c>
      <x:c r="Z939">
        <x:v>2946</x:v>
      </x:c>
      <x:c r="AB939" t="s">
        <x:v>1822</x:v>
      </x:c>
      <x:c r="AF939" t="s">
        <x:v>50</x:v>
      </x:c>
      <x:c r="AG939" t="s">
        <x:v>167</x:v>
      </x:c>
      <x:c r="AH939" t="s">
        <x:v>1823</x:v>
      </x:c>
      <x:c r="AI939" t="s">
        <x:v>6439</x:v>
      </x:c>
      <x:c r="AJ939">
        <x:v>1002</x:v>
      </x:c>
    </x:row>
    <x:row r="940">
      <x:c r="A940" t="s">
        <x:v>6324</x:v>
      </x:c>
      <x:c r="B940" t="s">
        <x:v>6325</x:v>
      </x:c>
      <x:c r="C940" t="s">
        <x:v>6441</x:v>
      </x:c>
      <x:c r="D940" t="s">
        <x:v>1529</x:v>
      </x:c>
      <x:c r="E940" t="s">
        <x:v>6434</x:v>
      </x:c>
      <x:c r="F940">
        <x:v>3000</x:v>
      </x:c>
      <x:c r="G940">
        <x:v>3000</x:v>
      </x:c>
      <x:c r="H940">
        <x:v>3000</x:v>
      </x:c>
      <x:c r="P940" t="s">
        <x:v>80</x:v>
      </x:c>
      <x:c r="R940" s="9">
        <x:v>39693</x:v>
      </x:c>
      <x:c r="T940" t="s">
        <x:v>119</x:v>
      </x:c>
      <x:c r="W940" s="26" t="n">
        <x:v>5.38329</x:v>
      </x:c>
      <x:c r="X940" s="26" t="n">
        <x:v>-75.35331</x:v>
      </x:c>
      <x:c r="Y940">
        <x:v>1469.046</x:v>
      </x:c>
      <x:c r="Z940">
        <x:v>2946</x:v>
      </x:c>
      <x:c r="AB940" t="s">
        <x:v>1822</x:v>
      </x:c>
      <x:c r="AF940" t="s">
        <x:v>50</x:v>
      </x:c>
      <x:c r="AG940" t="s">
        <x:v>167</x:v>
      </x:c>
      <x:c r="AH940" t="s">
        <x:v>1823</x:v>
      </x:c>
      <x:c r="AI940" t="s">
        <x:v>6439</x:v>
      </x:c>
      <x:c r="AJ940">
        <x:v>1003</x:v>
      </x:c>
    </x:row>
    <x:row r="941">
      <x:c r="A941" t="s">
        <x:v>6324</x:v>
      </x:c>
      <x:c r="B941" t="s">
        <x:v>6325</x:v>
      </x:c>
      <x:c r="C941" t="s">
        <x:v>6442</x:v>
      </x:c>
      <x:c r="D941" t="s">
        <x:v>6443</x:v>
      </x:c>
      <x:c r="E941" t="s">
        <x:v>6434</x:v>
      </x:c>
      <x:c r="F941" t="s">
        <x:v>1445</x:v>
      </x:c>
      <x:c r="G941">
        <x:v>2700</x:v>
      </x:c>
      <x:c r="H941">
        <x:v>2800</x:v>
      </x:c>
      <x:c r="P941" t="s">
        <x:v>80</x:v>
      </x:c>
      <x:c r="R941" s="9">
        <x:v>39694</x:v>
      </x:c>
      <x:c r="T941" t="s">
        <x:v>119</x:v>
      </x:c>
      <x:c r="W941" s="26" t="n">
        <x:v>5.38329</x:v>
      </x:c>
      <x:c r="X941" s="26" t="n">
        <x:v>-75.35331</x:v>
      </x:c>
      <x:c r="Y941">
        <x:v>1469.046</x:v>
      </x:c>
      <x:c r="Z941">
        <x:v>2946</x:v>
      </x:c>
      <x:c r="AB941" t="s">
        <x:v>1822</x:v>
      </x:c>
      <x:c r="AF941" t="s">
        <x:v>50</x:v>
      </x:c>
      <x:c r="AG941" t="s">
        <x:v>167</x:v>
      </x:c>
      <x:c r="AH941" t="s">
        <x:v>1823</x:v>
      </x:c>
      <x:c r="AI941" t="s">
        <x:v>6439</x:v>
      </x:c>
      <x:c r="AJ941">
        <x:v>1004</x:v>
      </x:c>
    </x:row>
    <x:row r="942">
      <x:c r="A942" t="s">
        <x:v>6324</x:v>
      </x:c>
      <x:c r="B942" t="s">
        <x:v>6325</x:v>
      </x:c>
      <x:c r="C942" t="s">
        <x:v>6444</x:v>
      </x:c>
      <x:c r="D942" t="s">
        <x:v>1060</x:v>
      </x:c>
      <x:c r="E942" t="s">
        <x:v>6445</x:v>
      </x:c>
      <x:c r="F942">
        <x:v>2945</x:v>
      </x:c>
      <x:c r="G942">
        <x:v>2945</x:v>
      </x:c>
      <x:c r="H942">
        <x:v>2945</x:v>
      </x:c>
      <x:c r="I942" t="s">
        <x:v>6446</x:v>
      </x:c>
      <x:c r="J942" t="s">
        <x:v>6447</x:v>
      </x:c>
      <x:c r="K942" t="s">
        <x:v>6448</x:v>
      </x:c>
      <x:c r="L942" t="s">
        <x:v>6449</x:v>
      </x:c>
      <x:c r="M942" t="s">
        <x:v>6450</x:v>
      </x:c>
      <x:c r="N942" t="s">
        <x:v>6451</x:v>
      </x:c>
      <x:c r="O942" t="s">
        <x:v>6452</x:v>
      </x:c>
      <x:c r="P942" t="s">
        <x:v>6453</x:v>
      </x:c>
      <x:c r="R942" s="9">
        <x:v>40053</x:v>
      </x:c>
      <x:c r="T942" t="s">
        <x:v>119</x:v>
      </x:c>
      <x:c r="W942" s="26" t="n">
        <x:v>5.38329</x:v>
      </x:c>
      <x:c r="X942" s="26" t="n">
        <x:v>-75.35331</x:v>
      </x:c>
      <x:c r="Y942">
        <x:v>1469.046</x:v>
      </x:c>
      <x:c r="Z942">
        <x:v>2946</x:v>
      </x:c>
      <x:c r="AB942" t="s">
        <x:v>1822</x:v>
      </x:c>
      <x:c r="AF942" t="s">
        <x:v>50</x:v>
      </x:c>
      <x:c r="AG942" t="s">
        <x:v>167</x:v>
      </x:c>
      <x:c r="AH942" t="s">
        <x:v>1823</x:v>
      </x:c>
      <x:c r="AI942" t="s">
        <x:v>6454</x:v>
      </x:c>
      <x:c r="AJ942">
        <x:v>1005</x:v>
      </x:c>
    </x:row>
    <x:row r="943">
      <x:c r="A943" t="s">
        <x:v>6324</x:v>
      </x:c>
      <x:c r="B943" t="s">
        <x:v>6325</x:v>
      </x:c>
      <x:c r="C943" t="s">
        <x:v>6455</x:v>
      </x:c>
      <x:c r="D943" t="s">
        <x:v>1820</x:v>
      </x:c>
      <x:c r="E943" t="s">
        <x:v>6456</x:v>
      </x:c>
      <x:c r="F943">
        <x:v>3227</x:v>
      </x:c>
      <x:c r="G943">
        <x:v>3227</x:v>
      </x:c>
      <x:c r="H943">
        <x:v>3227</x:v>
      </x:c>
      <x:c r="P943" t="s">
        <x:v>80</x:v>
      </x:c>
      <x:c r="R943" s="9">
        <x:v>40602</x:v>
      </x:c>
      <x:c r="T943" t="s">
        <x:v>119</x:v>
      </x:c>
      <x:c r="W943" s="26" t="n">
        <x:v>5.37045</x:v>
      </x:c>
      <x:c r="X943" s="26" t="n">
        <x:v>-75.38595</x:v>
      </x:c>
      <x:c r="Y943">
        <x:v>5096.4889999999996</x:v>
      </x:c>
      <x:c r="Z943">
        <x:v>2888</x:v>
      </x:c>
      <x:c r="AB943" t="s">
        <x:v>1844</x:v>
      </x:c>
      <x:c r="AF943" t="s">
        <x:v>50</x:v>
      </x:c>
      <x:c r="AG943" t="s">
        <x:v>167</x:v>
      </x:c>
      <x:c r="AH943" t="s">
        <x:v>1823</x:v>
      </x:c>
      <x:c r="AI943" t="s">
        <x:v>6457</x:v>
      </x:c>
      <x:c r="AJ943">
        <x:v>1006</x:v>
      </x:c>
    </x:row>
    <x:row r="944">
      <x:c r="A944" t="s">
        <x:v>6324</x:v>
      </x:c>
      <x:c r="B944" t="s">
        <x:v>6325</x:v>
      </x:c>
      <x:c r="C944" t="s">
        <x:v>6458</x:v>
      </x:c>
      <x:c r="D944" t="s">
        <x:v>6459</x:v>
      </x:c>
      <x:c r="E944" t="s">
        <x:v>6460</x:v>
      </x:c>
      <x:c r="F944" t="s">
        <x:v>6461</x:v>
      </x:c>
      <x:c r="G944">
        <x:v>3200</x:v>
      </x:c>
      <x:c r="H944">
        <x:v>3510</x:v>
      </x:c>
      <x:c r="I944" t="s">
        <x:v>6462</x:v>
      </x:c>
      <x:c r="J944" t="s">
        <x:v>6463</x:v>
      </x:c>
      <x:c r="K944" t="s">
        <x:v>6464</x:v>
      </x:c>
      <x:c r="L944" t="s">
        <x:v>6465</x:v>
      </x:c>
      <x:c r="M944" t="s">
        <x:v>6466</x:v>
      </x:c>
      <x:c r="N944" t="s">
        <x:v>6467</x:v>
      </x:c>
      <x:c r="O944" t="s">
        <x:v>6468</x:v>
      </x:c>
      <x:c r="P944" t="s">
        <x:v>6469</x:v>
      </x:c>
      <x:c r="R944" s="9">
        <x:v>21496</x:v>
      </x:c>
      <x:c r="T944" t="s">
        <x:v>119</x:v>
      </x:c>
      <x:c r="W944" s="26" t="n">
        <x:v>2.2902722</x:v>
      </x:c>
      <x:c r="X944" s="26" t="n">
        <x:v>-76.3813278</x:v>
      </x:c>
      <x:c r="AF944" t="s">
        <x:v>50</x:v>
      </x:c>
      <x:c r="AG944" t="s">
        <x:v>283</x:v>
      </x:c>
      <x:c r="AH944" t="s">
        <x:v>6470</x:v>
      </x:c>
      <x:c r="AI944" t="s">
        <x:v>6471</x:v>
      </x:c>
      <x:c r="AJ944">
        <x:v>1007</x:v>
      </x:c>
    </x:row>
    <x:row r="945">
      <x:c r="A945" t="s">
        <x:v>6324</x:v>
      </x:c>
      <x:c r="B945" t="s">
        <x:v>6325</x:v>
      </x:c>
      <x:c r="C945" t="s">
        <x:v>6472</x:v>
      </x:c>
      <x:c r="D945" t="s">
        <x:v>6473</x:v>
      </x:c>
      <x:c r="E945" t="s">
        <x:v>6474</x:v>
      </x:c>
      <x:c r="F945">
        <x:v>3200</x:v>
      </x:c>
      <x:c r="G945">
        <x:v>3200</x:v>
      </x:c>
      <x:c r="H945">
        <x:v>3200</x:v>
      </x:c>
      <x:c r="I945" t="s">
        <x:v>6475</x:v>
      </x:c>
      <x:c r="J945" t="s">
        <x:v>6476</x:v>
      </x:c>
      <x:c r="K945" t="s">
        <x:v>6477</x:v>
      </x:c>
      <x:c r="L945" t="s">
        <x:v>6478</x:v>
      </x:c>
      <x:c r="M945" t="s">
        <x:v>6479</x:v>
      </x:c>
      <x:c r="N945" t="s">
        <x:v>6480</x:v>
      </x:c>
      <x:c r="O945" t="s">
        <x:v>6481</x:v>
      </x:c>
      <x:c r="P945" t="s">
        <x:v>6482</x:v>
      </x:c>
      <x:c r="R945" s="9">
        <x:v>37660</x:v>
      </x:c>
      <x:c r="T945" t="s">
        <x:v>111</x:v>
      </x:c>
      <x:c r="W945" s="26" t="n">
        <x:v>2.7827111</x:v>
      </x:c>
      <x:c r="X945" s="26" t="n">
        <x:v>-76.2504556</x:v>
      </x:c>
      <x:c r="AF945" t="s">
        <x:v>50</x:v>
      </x:c>
      <x:c r="AG945" t="s">
        <x:v>283</x:v>
      </x:c>
      <x:c r="AH945" t="s">
        <x:v>703</x:v>
      </x:c>
      <x:c r="AI945" t="s">
        <x:v>6483</x:v>
      </x:c>
      <x:c r="AJ945">
        <x:v>1008</x:v>
      </x:c>
    </x:row>
    <x:row r="946">
      <x:c r="A946" t="s">
        <x:v>6324</x:v>
      </x:c>
      <x:c r="B946" t="s">
        <x:v>6325</x:v>
      </x:c>
      <x:c r="C946" t="s">
        <x:v>6484</x:v>
      </x:c>
      <x:c r="D946" t="s">
        <x:v>6485</x:v>
      </x:c>
      <x:c r="E946" t="s">
        <x:v>6486</x:v>
      </x:c>
      <x:c r="F946">
        <x:v>2900</x:v>
      </x:c>
      <x:c r="G946">
        <x:v>2900</x:v>
      </x:c>
      <x:c r="H946">
        <x:v>2900</x:v>
      </x:c>
      <x:c r="I946" t="s">
        <x:v>6487</x:v>
      </x:c>
      <x:c r="J946" t="s">
        <x:v>6488</x:v>
      </x:c>
      <x:c r="K946" t="s">
        <x:v>6489</x:v>
      </x:c>
      <x:c r="L946" t="s">
        <x:v>6490</x:v>
      </x:c>
      <x:c r="M946" t="s">
        <x:v>6491</x:v>
      </x:c>
      <x:c r="N946" t="s">
        <x:v>6492</x:v>
      </x:c>
      <x:c r="O946" t="s">
        <x:v>6493</x:v>
      </x:c>
      <x:c r="P946" t="s">
        <x:v>6494</x:v>
      </x:c>
      <x:c r="R946" s="9">
        <x:v>38815</x:v>
      </x:c>
      <x:c r="T946" t="s">
        <x:v>119</x:v>
      </x:c>
      <x:c r="W946" s="26" t="n">
        <x:v>2.5931444</x:v>
      </x:c>
      <x:c r="X946" s="26" t="n">
        <x:v>-76.3293222</x:v>
      </x:c>
      <x:c r="AF946" t="s">
        <x:v>50</x:v>
      </x:c>
      <x:c r="AG946" t="s">
        <x:v>283</x:v>
      </x:c>
      <x:c r="AH946" t="s">
        <x:v>6495</x:v>
      </x:c>
      <x:c r="AI946" t="s">
        <x:v>6496</x:v>
      </x:c>
      <x:c r="AJ946">
        <x:v>1009</x:v>
      </x:c>
    </x:row>
    <x:row r="947">
      <x:c r="A947" t="s">
        <x:v>6324</x:v>
      </x:c>
      <x:c r="B947" t="s">
        <x:v>6325</x:v>
      </x:c>
      <x:c r="C947" t="s">
        <x:v>6497</x:v>
      </x:c>
      <x:c r="D947" t="s">
        <x:v>6498</x:v>
      </x:c>
      <x:c r="E947" t="s">
        <x:v>6499</x:v>
      </x:c>
      <x:c r="F947" t="s">
        <x:v>2048</x:v>
      </x:c>
      <x:c r="G947">
        <x:v>3000</x:v>
      </x:c>
      <x:c r="H947">
        <x:v>3200</x:v>
      </x:c>
      <x:c r="I947" t="s">
        <x:v>6500</x:v>
      </x:c>
      <x:c r="J947" t="s">
        <x:v>6501</x:v>
      </x:c>
      <x:c r="K947" t="s">
        <x:v>6502</x:v>
      </x:c>
      <x:c r="L947" t="s">
        <x:v>6503</x:v>
      </x:c>
      <x:c r="M947" t="s">
        <x:v>6504</x:v>
      </x:c>
      <x:c r="N947" t="s">
        <x:v>6505</x:v>
      </x:c>
      <x:c r="O947" t="s">
        <x:v>6506</x:v>
      </x:c>
      <x:c r="P947" t="s">
        <x:v>6507</x:v>
      </x:c>
      <x:c r="R947" s="9">
        <x:v>38904</x:v>
      </x:c>
      <x:c r="T947" t="s">
        <x:v>65</x:v>
      </x:c>
      <x:c r="W947" s="26" t="n">
        <x:v>1.8183333</x:v>
      </x:c>
      <x:c r="X947" s="26" t="n">
        <x:v>-76.8894444</x:v>
      </x:c>
      <x:c r="AF947" t="s">
        <x:v>50</x:v>
      </x:c>
      <x:c r="AG947" t="s">
        <x:v>283</x:v>
      </x:c>
      <x:c r="AH947" t="s">
        <x:v>1922</x:v>
      </x:c>
      <x:c r="AI947" t="s">
        <x:v>6508</x:v>
      </x:c>
      <x:c r="AJ947">
        <x:v>1010</x:v>
      </x:c>
    </x:row>
    <x:row r="948">
      <x:c r="A948" t="s">
        <x:v>6324</x:v>
      </x:c>
      <x:c r="B948" t="s">
        <x:v>6325</x:v>
      </x:c>
      <x:c r="C948" t="s">
        <x:v>6509</x:v>
      </x:c>
      <x:c r="D948" t="s">
        <x:v>1060</x:v>
      </x:c>
      <x:c r="E948" t="s">
        <x:v>1926</x:v>
      </x:c>
      <x:c r="F948">
        <x:v>3887</x:v>
      </x:c>
      <x:c r="G948">
        <x:v>3887</x:v>
      </x:c>
      <x:c r="H948">
        <x:v>3887</x:v>
      </x:c>
      <x:c r="I948" t="s">
        <x:v>1927</x:v>
      </x:c>
      <x:c r="J948" t="s">
        <x:v>1928</x:v>
      </x:c>
      <x:c r="K948" t="s">
        <x:v>6510</x:v>
      </x:c>
      <x:c r="L948" t="s">
        <x:v>6511</x:v>
      </x:c>
      <x:c r="M948" t="s">
        <x:v>6512</x:v>
      </x:c>
      <x:c r="P948" t="s">
        <x:v>80</x:v>
      </x:c>
      <x:c r="R948" s="9">
        <x:v>40020</x:v>
      </x:c>
      <x:c r="T948" t="s">
        <x:v>119</x:v>
      </x:c>
      <x:c r="W948" s="26" t="n">
        <x:v>2.380766666666667</x:v>
      </x:c>
      <x:c r="X948" s="26" t="n">
        <x:v>-76.44408333333334</x:v>
      </x:c>
      <x:c r="AF948" t="s">
        <x:v>50</x:v>
      </x:c>
      <x:c r="AG948" t="s">
        <x:v>283</x:v>
      </x:c>
      <x:c r="AH948" t="s">
        <x:v>703</x:v>
      </x:c>
      <x:c r="AI948" t="s">
        <x:v>1935</x:v>
      </x:c>
      <x:c r="AJ948">
        <x:v>1011</x:v>
      </x:c>
    </x:row>
    <x:row r="949">
      <x:c r="A949" t="s">
        <x:v>6324</x:v>
      </x:c>
      <x:c r="B949" t="s">
        <x:v>6325</x:v>
      </x:c>
      <x:c r="C949" t="s">
        <x:v>6513</x:v>
      </x:c>
      <x:c r="D949" t="s">
        <x:v>6514</x:v>
      </x:c>
      <x:c r="E949" t="s">
        <x:v>6460</x:v>
      </x:c>
      <x:c r="F949" t="s">
        <x:v>6461</x:v>
      </x:c>
      <x:c r="G949">
        <x:v>3200</x:v>
      </x:c>
      <x:c r="H949">
        <x:v>3510</x:v>
      </x:c>
      <x:c r="I949" t="s">
        <x:v>6462</x:v>
      </x:c>
      <x:c r="J949" t="s">
        <x:v>6463</x:v>
      </x:c>
      <x:c r="K949" t="s">
        <x:v>6464</x:v>
      </x:c>
      <x:c r="L949" t="s">
        <x:v>6465</x:v>
      </x:c>
      <x:c r="M949" t="s">
        <x:v>6466</x:v>
      </x:c>
      <x:c r="N949" t="s">
        <x:v>6467</x:v>
      </x:c>
      <x:c r="O949" t="s">
        <x:v>6468</x:v>
      </x:c>
      <x:c r="P949" t="s">
        <x:v>6469</x:v>
      </x:c>
      <x:c r="R949" s="9">
        <x:v>21393</x:v>
      </x:c>
      <x:c r="T949" t="s">
        <x:v>119</x:v>
      </x:c>
      <x:c r="W949" s="26" t="n">
        <x:v>2.2902722</x:v>
      </x:c>
      <x:c r="X949" s="26" t="n">
        <x:v>-76.3813278</x:v>
      </x:c>
      <x:c r="AF949" t="s">
        <x:v>50</x:v>
      </x:c>
      <x:c r="AG949" t="s">
        <x:v>283</x:v>
      </x:c>
      <x:c r="AH949" t="s">
        <x:v>6470</x:v>
      </x:c>
      <x:c r="AI949" t="s">
        <x:v>6471</x:v>
      </x:c>
      <x:c r="AJ949">
        <x:v>1012</x:v>
      </x:c>
    </x:row>
    <x:row r="950">
      <x:c r="A950" t="s">
        <x:v>6324</x:v>
      </x:c>
      <x:c r="B950" t="s">
        <x:v>6325</x:v>
      </x:c>
      <x:c r="C950" t="s">
        <x:v>6515</x:v>
      </x:c>
      <x:c r="D950" t="s">
        <x:v>6516</x:v>
      </x:c>
      <x:c r="E950" t="s">
        <x:v>6517</x:v>
      </x:c>
      <x:c r="F950" t="s">
        <x:v>6518</x:v>
      </x:c>
      <x:c r="G950">
        <x:v>2700</x:v>
      </x:c>
      <x:c r="H950">
        <x:v>3250</x:v>
      </x:c>
      <x:c r="P950" t="s">
        <x:v>80</x:v>
      </x:c>
      <x:c r="R950" s="9">
        <x:v>23356</x:v>
      </x:c>
      <x:c r="T950" t="s">
        <x:v>119</x:v>
      </x:c>
      <x:c r="W950" s="26" t="n">
        <x:v>4.56936</x:v>
      </x:c>
      <x:c r="X950" s="26" t="n">
        <x:v>-73.82628</x:v>
      </x:c>
      <x:c r="Y950">
        <x:v>5046.9340000000002</x:v>
      </x:c>
      <x:c r="Z950">
        <x:v>3220</x:v>
      </x:c>
      <x:c r="AB950" t="s">
        <x:v>6519</x:v>
      </x:c>
      <x:c r="AF950" t="s">
        <x:v>50</x:v>
      </x:c>
      <x:c r="AG950" t="s">
        <x:v>98</x:v>
      </x:c>
      <x:c r="AH950" t="s">
        <x:v>1951</x:v>
      </x:c>
      <x:c r="AI950" t="s">
        <x:v>6520</x:v>
      </x:c>
      <x:c r="AJ950">
        <x:v>1013</x:v>
      </x:c>
    </x:row>
    <x:row r="951">
      <x:c r="A951" t="s">
        <x:v>6324</x:v>
      </x:c>
      <x:c r="B951" t="s">
        <x:v>6325</x:v>
      </x:c>
      <x:c r="C951" t="s">
        <x:v>6521</x:v>
      </x:c>
      <x:c r="D951" t="s">
        <x:v>6522</x:v>
      </x:c>
      <x:c r="E951" t="s">
        <x:v>6523</x:v>
      </x:c>
      <x:c r="F951" t="s">
        <x:v>110</x:v>
      </x:c>
      <x:c r="G951">
        <x:v>2000</x:v>
      </x:c>
      <x:c r="H951">
        <x:v>2300</x:v>
      </x:c>
      <x:c r="I951" t="s">
        <x:v>6524</x:v>
      </x:c>
      <x:c r="J951" t="s">
        <x:v>6525</x:v>
      </x:c>
      <x:c r="K951" t="s">
        <x:v>6526</x:v>
      </x:c>
      <x:c r="L951" t="s">
        <x:v>6527</x:v>
      </x:c>
      <x:c r="M951" t="s">
        <x:v>6528</x:v>
      </x:c>
      <x:c r="N951" t="s">
        <x:v>6529</x:v>
      </x:c>
      <x:c r="O951" t="s">
        <x:v>6530</x:v>
      </x:c>
      <x:c r="P951" t="s">
        <x:v>6531</x:v>
      </x:c>
      <x:c r="R951" s="9">
        <x:v>29224</x:v>
      </x:c>
      <x:c r="T951" t="s">
        <x:v>119</x:v>
      </x:c>
      <x:c r="W951" s="26" t="n">
        <x:v>2.395325</x:v>
      </x:c>
      <x:c r="X951" s="26" t="n">
        <x:v>-75.8912028</x:v>
      </x:c>
      <x:c r="AF951" t="s">
        <x:v>50</x:v>
      </x:c>
      <x:c r="AG951" t="s">
        <x:v>51</x:v>
      </x:c>
      <x:c r="AH951" t="s">
        <x:v>6532</x:v>
      </x:c>
      <x:c r="AI951" t="s">
        <x:v>6533</x:v>
      </x:c>
      <x:c r="AJ951">
        <x:v>1014</x:v>
      </x:c>
    </x:row>
    <x:row r="952">
      <x:c r="A952" t="s">
        <x:v>6324</x:v>
      </x:c>
      <x:c r="B952" t="s">
        <x:v>6325</x:v>
      </x:c>
      <x:c r="C952" t="s">
        <x:v>6534</x:v>
      </x:c>
      <x:c r="D952" t="s">
        <x:v>6535</x:v>
      </x:c>
      <x:c r="E952" t="s">
        <x:v>6536</x:v>
      </x:c>
      <x:c r="F952">
        <x:v>1700</x:v>
      </x:c>
      <x:c r="G952">
        <x:v>1700</x:v>
      </x:c>
      <x:c r="H952">
        <x:v>1700</x:v>
      </x:c>
      <x:c r="I952" t="s">
        <x:v>6537</x:v>
      </x:c>
      <x:c r="J952" t="s">
        <x:v>6538</x:v>
      </x:c>
      <x:c r="K952" t="s">
        <x:v>6539</x:v>
      </x:c>
      <x:c r="L952" t="s">
        <x:v>6540</x:v>
      </x:c>
      <x:c r="M952" t="s">
        <x:v>6541</x:v>
      </x:c>
      <x:c r="N952" t="s">
        <x:v>6542</x:v>
      </x:c>
      <x:c r="O952" t="s">
        <x:v>6543</x:v>
      </x:c>
      <x:c r="P952" t="s">
        <x:v>6544</x:v>
      </x:c>
      <x:c r="R952" s="9">
        <x:v>30266</x:v>
      </x:c>
      <x:c r="T952" t="s">
        <x:v>119</x:v>
      </x:c>
      <x:c r="W952" s="26" t="n">
        <x:v>1.8527417</x:v>
      </x:c>
      <x:c r="X952" s="26" t="n">
        <x:v>-76.0355833</x:v>
      </x:c>
      <x:c r="AF952" t="s">
        <x:v>50</x:v>
      </x:c>
      <x:c r="AG952" t="s">
        <x:v>51</x:v>
      </x:c>
      <x:c r="AH952" t="s">
        <x:v>140</x:v>
      </x:c>
      <x:c r="AI952" t="s">
        <x:v>6545</x:v>
      </x:c>
      <x:c r="AJ952">
        <x:v>1015</x:v>
      </x:c>
    </x:row>
    <x:row r="953">
      <x:c r="A953" t="s">
        <x:v>6324</x:v>
      </x:c>
      <x:c r="B953" t="s">
        <x:v>6325</x:v>
      </x:c>
      <x:c r="C953" t="s">
        <x:v>6534</x:v>
      </x:c>
      <x:c r="D953" t="s">
        <x:v>6546</x:v>
      </x:c>
      <x:c r="E953" t="s">
        <x:v>6536</x:v>
      </x:c>
      <x:c r="F953">
        <x:v>1700</x:v>
      </x:c>
      <x:c r="G953">
        <x:v>1700</x:v>
      </x:c>
      <x:c r="H953">
        <x:v>1700</x:v>
      </x:c>
      <x:c r="I953" t="s">
        <x:v>6537</x:v>
      </x:c>
      <x:c r="J953" t="s">
        <x:v>6538</x:v>
      </x:c>
      <x:c r="K953" t="s">
        <x:v>6539</x:v>
      </x:c>
      <x:c r="L953" t="s">
        <x:v>6540</x:v>
      </x:c>
      <x:c r="M953" t="s">
        <x:v>6541</x:v>
      </x:c>
      <x:c r="N953" t="s">
        <x:v>6542</x:v>
      </x:c>
      <x:c r="O953" t="s">
        <x:v>6543</x:v>
      </x:c>
      <x:c r="P953" t="s">
        <x:v>6544</x:v>
      </x:c>
      <x:c r="R953" s="9">
        <x:v>30266</x:v>
      </x:c>
      <x:c r="T953" t="s">
        <x:v>119</x:v>
      </x:c>
      <x:c r="W953" s="26" t="n">
        <x:v>1.8527417</x:v>
      </x:c>
      <x:c r="X953" s="26" t="n">
        <x:v>-76.0355833</x:v>
      </x:c>
      <x:c r="AF953" t="s">
        <x:v>50</x:v>
      </x:c>
      <x:c r="AG953" t="s">
        <x:v>51</x:v>
      </x:c>
      <x:c r="AH953" t="s">
        <x:v>140</x:v>
      </x:c>
      <x:c r="AI953" t="s">
        <x:v>6545</x:v>
      </x:c>
      <x:c r="AJ953">
        <x:v>1016</x:v>
      </x:c>
    </x:row>
    <x:row r="954">
      <x:c r="A954" t="s">
        <x:v>6324</x:v>
      </x:c>
      <x:c r="B954" t="s">
        <x:v>6325</x:v>
      </x:c>
      <x:c r="C954" t="s">
        <x:v>6547</x:v>
      </x:c>
      <x:c r="D954" t="s">
        <x:v>6548</x:v>
      </x:c>
      <x:c r="E954" t="s">
        <x:v>6549</x:v>
      </x:c>
      <x:c r="F954">
        <x:v>2100</x:v>
      </x:c>
      <x:c r="G954">
        <x:v>2100</x:v>
      </x:c>
      <x:c r="H954">
        <x:v>2100</x:v>
      </x:c>
      <x:c r="P954" t="s">
        <x:v>80</x:v>
      </x:c>
      <x:c r="R954" s="9">
        <x:v>30951</x:v>
      </x:c>
      <x:c r="T954" t="s">
        <x:v>111</x:v>
      </x:c>
      <x:c r="W954" s="26" t="n">
        <x:v>2.21863</x:v>
      </x:c>
      <x:c r="X954" s="26" t="n">
        <x:v>-75.93424</x:v>
      </x:c>
      <x:c r="Y954">
        <x:v>1015.408</x:v>
      </x:c>
      <x:c r="Z954">
        <x:v>2035</x:v>
      </x:c>
      <x:c r="AA954" t="s">
        <x:v>4974</x:v>
      </x:c>
      <x:c r="AB954" t="s">
        <x:v>4975</x:v>
      </x:c>
      <x:c r="AF954" t="s">
        <x:v>50</x:v>
      </x:c>
      <x:c r="AG954" t="s">
        <x:v>51</x:v>
      </x:c>
      <x:c r="AH954" t="s">
        <x:v>6550</x:v>
      </x:c>
      <x:c r="AI954" t="s">
        <x:v>4976</x:v>
      </x:c>
      <x:c r="AJ954">
        <x:v>1017</x:v>
      </x:c>
    </x:row>
    <x:row r="955">
      <x:c r="A955" t="s">
        <x:v>6324</x:v>
      </x:c>
      <x:c r="B955" t="s">
        <x:v>6325</x:v>
      </x:c>
      <x:c r="C955" t="s">
        <x:v>6551</x:v>
      </x:c>
      <x:c r="D955" t="s">
        <x:v>6552</x:v>
      </x:c>
      <x:c r="E955" t="s">
        <x:v>6553</x:v>
      </x:c>
      <x:c r="F955" t="s">
        <x:v>4973</x:v>
      </x:c>
      <x:c r="G955">
        <x:v>2100</x:v>
      </x:c>
      <x:c r="H955">
        <x:v>2320</x:v>
      </x:c>
      <x:c r="I955" t="s">
        <x:v>6554</x:v>
      </x:c>
      <x:c r="J955" t="s">
        <x:v>6555</x:v>
      </x:c>
      <x:c r="K955" t="s">
        <x:v>6556</x:v>
      </x:c>
      <x:c r="L955" t="s">
        <x:v>6557</x:v>
      </x:c>
      <x:c r="M955" t="s">
        <x:v>6558</x:v>
      </x:c>
      <x:c r="N955" t="s">
        <x:v>6559</x:v>
      </x:c>
      <x:c r="O955" t="s">
        <x:v>6560</x:v>
      </x:c>
      <x:c r="P955" t="s">
        <x:v>6561</x:v>
      </x:c>
      <x:c r="R955" s="9">
        <x:v>30953</x:v>
      </x:c>
      <x:c r="T955" t="s">
        <x:v>119</x:v>
      </x:c>
      <x:c r="W955" s="26" t="n">
        <x:v>2.1968194</x:v>
      </x:c>
      <x:c r="X955" s="26" t="n">
        <x:v>-75.9769194</x:v>
      </x:c>
      <x:c r="AF955" t="s">
        <x:v>50</x:v>
      </x:c>
      <x:c r="AG955" t="s">
        <x:v>51</x:v>
      </x:c>
      <x:c r="AH955" t="s">
        <x:v>6562</x:v>
      </x:c>
      <x:c r="AI955" t="s">
        <x:v>4976</x:v>
      </x:c>
      <x:c r="AJ955">
        <x:v>1018</x:v>
      </x:c>
    </x:row>
    <x:row r="956">
      <x:c r="A956" t="s">
        <x:v>6324</x:v>
      </x:c>
      <x:c r="B956" t="s">
        <x:v>6325</x:v>
      </x:c>
      <x:c r="C956" t="s">
        <x:v>6563</x:v>
      </x:c>
      <x:c r="D956" t="s">
        <x:v>6564</x:v>
      </x:c>
      <x:c r="E956" t="s">
        <x:v>6565</x:v>
      </x:c>
      <x:c r="F956">
        <x:v>2070</x:v>
      </x:c>
      <x:c r="G956">
        <x:v>2070</x:v>
      </x:c>
      <x:c r="H956">
        <x:v>2070</x:v>
      </x:c>
      <x:c r="I956" t="s">
        <x:v>6566</x:v>
      </x:c>
      <x:c r="J956" t="s">
        <x:v>6567</x:v>
      </x:c>
      <x:c r="K956" t="s">
        <x:v>6568</x:v>
      </x:c>
      <x:c r="L956" t="s">
        <x:v>6569</x:v>
      </x:c>
      <x:c r="M956" t="s">
        <x:v>6570</x:v>
      </x:c>
      <x:c r="N956" t="s">
        <x:v>6571</x:v>
      </x:c>
      <x:c r="O956" t="s">
        <x:v>6572</x:v>
      </x:c>
      <x:c r="P956" t="s">
        <x:v>6573</x:v>
      </x:c>
      <x:c r="R956" s="9">
        <x:v>33201</x:v>
      </x:c>
      <x:c r="T956" t="s">
        <x:v>119</x:v>
      </x:c>
      <x:c r="W956" s="26" t="n">
        <x:v>2.9216333</x:v>
      </x:c>
      <x:c r="X956" s="26" t="n">
        <x:v>-75.2765278</x:v>
      </x:c>
      <x:c r="AF956" t="s">
        <x:v>50</x:v>
      </x:c>
      <x:c r="AG956" t="s">
        <x:v>51</x:v>
      </x:c>
      <x:c r="AH956" t="s">
        <x:v>5017</x:v>
      </x:c>
      <x:c r="AI956" t="s">
        <x:v>6574</x:v>
      </x:c>
      <x:c r="AJ956">
        <x:v>1019</x:v>
      </x:c>
    </x:row>
    <x:row r="957">
      <x:c r="A957" t="s">
        <x:v>6324</x:v>
      </x:c>
      <x:c r="B957" t="s">
        <x:v>6325</x:v>
      </x:c>
      <x:c r="C957" t="s">
        <x:v>6575</x:v>
      </x:c>
      <x:c r="D957" t="s">
        <x:v>1060</x:v>
      </x:c>
      <x:c r="E957" t="s">
        <x:v>6576</x:v>
      </x:c>
      <x:c r="F957">
        <x:v>1925</x:v>
      </x:c>
      <x:c r="G957">
        <x:v>1925</x:v>
      </x:c>
      <x:c r="H957">
        <x:v>1925</x:v>
      </x:c>
      <x:c r="I957" t="s">
        <x:v>5007</x:v>
      </x:c>
      <x:c r="J957" t="s">
        <x:v>5008</x:v>
      </x:c>
      <x:c r="K957" t="s">
        <x:v>5009</x:v>
      </x:c>
      <x:c r="L957" t="s">
        <x:v>5010</x:v>
      </x:c>
      <x:c r="M957" t="s">
        <x:v>5011</x:v>
      </x:c>
      <x:c r="N957" t="s">
        <x:v>2958</x:v>
      </x:c>
      <x:c r="O957" t="s">
        <x:v>329</x:v>
      </x:c>
      <x:c r="P957" t="s">
        <x:v>2959</x:v>
      </x:c>
      <x:c r="R957" s="9">
        <x:v>40022</x:v>
      </x:c>
      <x:c r="T957" t="s">
        <x:v>119</x:v>
      </x:c>
      <x:c r="W957" s="26" t="n">
        <x:v>1.7689806</x:v>
      </x:c>
      <x:c r="X957" s="26" t="n">
        <x:v>-76.0187333</x:v>
      </x:c>
      <x:c r="AF957" t="s">
        <x:v>50</x:v>
      </x:c>
      <x:c r="AG957" t="s">
        <x:v>51</x:v>
      </x:c>
      <x:c r="AH957" t="s">
        <x:v>140</x:v>
      </x:c>
      <x:c r="AI957" t="s">
        <x:v>6577</x:v>
      </x:c>
      <x:c r="AJ957">
        <x:v>1020</x:v>
      </x:c>
    </x:row>
    <x:row r="958">
      <x:c r="A958" t="s">
        <x:v>6324</x:v>
      </x:c>
      <x:c r="B958" t="s">
        <x:v>6325</x:v>
      </x:c>
      <x:c r="C958" t="s">
        <x:v>6575</x:v>
      </x:c>
      <x:c r="D958" t="s">
        <x:v>1060</x:v>
      </x:c>
      <x:c r="E958" t="s">
        <x:v>6576</x:v>
      </x:c>
      <x:c r="F958">
        <x:v>1925</x:v>
      </x:c>
      <x:c r="G958">
        <x:v>1925</x:v>
      </x:c>
      <x:c r="H958">
        <x:v>1925</x:v>
      </x:c>
      <x:c r="I958" t="s">
        <x:v>5007</x:v>
      </x:c>
      <x:c r="J958" t="s">
        <x:v>5008</x:v>
      </x:c>
      <x:c r="K958" t="s">
        <x:v>5009</x:v>
      </x:c>
      <x:c r="L958" t="s">
        <x:v>5010</x:v>
      </x:c>
      <x:c r="M958" t="s">
        <x:v>5011</x:v>
      </x:c>
      <x:c r="N958" t="s">
        <x:v>2958</x:v>
      </x:c>
      <x:c r="O958" t="s">
        <x:v>329</x:v>
      </x:c>
      <x:c r="P958" t="s">
        <x:v>2959</x:v>
      </x:c>
      <x:c r="R958" s="9">
        <x:v>40022</x:v>
      </x:c>
      <x:c r="T958" t="s">
        <x:v>119</x:v>
      </x:c>
      <x:c r="W958" s="26" t="n">
        <x:v>1.7689806</x:v>
      </x:c>
      <x:c r="X958" s="26" t="n">
        <x:v>-76.0187333</x:v>
      </x:c>
      <x:c r="AF958" t="s">
        <x:v>50</x:v>
      </x:c>
      <x:c r="AG958" t="s">
        <x:v>51</x:v>
      </x:c>
      <x:c r="AH958" t="s">
        <x:v>140</x:v>
      </x:c>
      <x:c r="AI958" t="s">
        <x:v>6577</x:v>
      </x:c>
      <x:c r="AJ958">
        <x:v>1021</x:v>
      </x:c>
    </x:row>
    <x:row r="959">
      <x:c r="A959" t="s">
        <x:v>6324</x:v>
      </x:c>
      <x:c r="B959" t="s">
        <x:v>6325</x:v>
      </x:c>
      <x:c r="C959" t="s">
        <x:v>6578</x:v>
      </x:c>
      <x:c r="D959" t="s">
        <x:v>1060</x:v>
      </x:c>
      <x:c r="E959" t="s">
        <x:v>6576</x:v>
      </x:c>
      <x:c r="F959">
        <x:v>1925</x:v>
      </x:c>
      <x:c r="G959">
        <x:v>1925</x:v>
      </x:c>
      <x:c r="H959">
        <x:v>1925</x:v>
      </x:c>
      <x:c r="I959" t="s">
        <x:v>5007</x:v>
      </x:c>
      <x:c r="J959" t="s">
        <x:v>5008</x:v>
      </x:c>
      <x:c r="K959" t="s">
        <x:v>5009</x:v>
      </x:c>
      <x:c r="L959" t="s">
        <x:v>5010</x:v>
      </x:c>
      <x:c r="M959" t="s">
        <x:v>5011</x:v>
      </x:c>
      <x:c r="N959" t="s">
        <x:v>2958</x:v>
      </x:c>
      <x:c r="O959" t="s">
        <x:v>329</x:v>
      </x:c>
      <x:c r="P959" t="s">
        <x:v>2959</x:v>
      </x:c>
      <x:c r="R959" s="9">
        <x:v>40022</x:v>
      </x:c>
      <x:c r="T959" t="s">
        <x:v>119</x:v>
      </x:c>
      <x:c r="W959" s="26" t="n">
        <x:v>1.7689806</x:v>
      </x:c>
      <x:c r="X959" s="26" t="n">
        <x:v>-76.0187333</x:v>
      </x:c>
      <x:c r="AF959" t="s">
        <x:v>50</x:v>
      </x:c>
      <x:c r="AG959" t="s">
        <x:v>51</x:v>
      </x:c>
      <x:c r="AH959" t="s">
        <x:v>140</x:v>
      </x:c>
      <x:c r="AI959" t="s">
        <x:v>6577</x:v>
      </x:c>
      <x:c r="AJ959">
        <x:v>1022</x:v>
      </x:c>
    </x:row>
    <x:row r="960">
      <x:c r="A960" t="s">
        <x:v>6324</x:v>
      </x:c>
      <x:c r="B960" t="s">
        <x:v>6325</x:v>
      </x:c>
      <x:c r="C960" t="s">
        <x:v>6579</x:v>
      </x:c>
      <x:c r="D960" t="s">
        <x:v>6580</x:v>
      </x:c>
      <x:c r="E960" t="s">
        <x:v>6581</x:v>
      </x:c>
      <x:c r="F960">
        <x:v>2600</x:v>
      </x:c>
      <x:c r="G960">
        <x:v>2600</x:v>
      </x:c>
      <x:c r="H960">
        <x:v>2600</x:v>
      </x:c>
      <x:c r="I960" t="s">
        <x:v>1988</x:v>
      </x:c>
      <x:c r="J960" t="s">
        <x:v>1989</x:v>
      </x:c>
      <x:c r="K960" t="s">
        <x:v>1990</x:v>
      </x:c>
      <x:c r="L960" t="s">
        <x:v>1991</x:v>
      </x:c>
      <x:c r="M960" t="s">
        <x:v>1992</x:v>
      </x:c>
      <x:c r="N960" t="s">
        <x:v>1993</x:v>
      </x:c>
      <x:c r="O960" t="s">
        <x:v>1994</x:v>
      </x:c>
      <x:c r="P960" t="s">
        <x:v>1995</x:v>
      </x:c>
      <x:c r="R960" s="9">
        <x:v>24534</x:v>
      </x:c>
      <x:c r="T960" t="s">
        <x:v>399</x:v>
      </x:c>
      <x:c r="W960" s="26" t="n">
        <x:v>1.2136917</x:v>
      </x:c>
      <x:c r="X960" s="26" t="n">
        <x:v>-77.2726361</x:v>
      </x:c>
      <x:c r="AF960" t="s">
        <x:v>50</x:v>
      </x:c>
      <x:c r="AG960" t="s">
        <x:v>127</x:v>
      </x:c>
      <x:c r="AH960" t="s">
        <x:v>1996</x:v>
      </x:c>
      <x:c r="AI960" t="s">
        <x:v>6582</x:v>
      </x:c>
      <x:c r="AJ960">
        <x:v>1023</x:v>
      </x:c>
    </x:row>
    <x:row r="961">
      <x:c r="A961" t="s">
        <x:v>6324</x:v>
      </x:c>
      <x:c r="B961" t="s">
        <x:v>6325</x:v>
      </x:c>
      <x:c r="C961" t="s">
        <x:v>6583</x:v>
      </x:c>
      <x:c r="D961" t="s">
        <x:v>6584</x:v>
      </x:c>
      <x:c r="E961" t="s">
        <x:v>6585</x:v>
      </x:c>
      <x:c r="F961">
        <x:v>2800</x:v>
      </x:c>
      <x:c r="G961">
        <x:v>2800</x:v>
      </x:c>
      <x:c r="H961">
        <x:v>2800</x:v>
      </x:c>
      <x:c r="I961" t="s">
        <x:v>6586</x:v>
      </x:c>
      <x:c r="J961" t="s">
        <x:v>6587</x:v>
      </x:c>
      <x:c r="K961" t="s">
        <x:v>6588</x:v>
      </x:c>
      <x:c r="L961" t="s">
        <x:v>6589</x:v>
      </x:c>
      <x:c r="M961" t="s">
        <x:v>6590</x:v>
      </x:c>
      <x:c r="N961" t="s">
        <x:v>6591</x:v>
      </x:c>
      <x:c r="O961" t="s">
        <x:v>6592</x:v>
      </x:c>
      <x:c r="P961" t="s">
        <x:v>6593</x:v>
      </x:c>
      <x:c r="R961" s="9">
        <x:v>27143</x:v>
      </x:c>
      <x:c r="T961" t="s">
        <x:v>399</x:v>
      </x:c>
      <x:c r="W961" s="26" t="n">
        <x:v>1.12957</x:v>
      </x:c>
      <x:c r="X961" s="26" t="n">
        <x:v>-77.14944</x:v>
      </x:c>
      <x:c r="Y961">
        <x:v>345.22699999999998</x:v>
      </x:c>
      <x:c r="Z961">
        <x:v>2792</x:v>
      </x:c>
      <x:c r="AB961" t="s">
        <x:v>5142</x:v>
      </x:c>
      <x:c r="AF961" t="s">
        <x:v>50</x:v>
      </x:c>
      <x:c r="AG961" t="s">
        <x:v>127</x:v>
      </x:c>
      <x:c r="AH961" t="s">
        <x:v>5143</x:v>
      </x:c>
      <x:c r="AI961" t="s">
        <x:v>6594</x:v>
      </x:c>
      <x:c r="AJ961">
        <x:v>1024</x:v>
      </x:c>
    </x:row>
    <x:row r="962">
      <x:c r="A962" t="s">
        <x:v>6324</x:v>
      </x:c>
      <x:c r="B962" t="s">
        <x:v>6325</x:v>
      </x:c>
      <x:c r="C962" t="s">
        <x:v>6595</x:v>
      </x:c>
      <x:c r="D962" t="s">
        <x:v>6596</x:v>
      </x:c>
      <x:c r="E962" t="s">
        <x:v>6597</x:v>
      </x:c>
      <x:c r="F962">
        <x:v>2700</x:v>
      </x:c>
      <x:c r="G962">
        <x:v>2700</x:v>
      </x:c>
      <x:c r="H962">
        <x:v>2700</x:v>
      </x:c>
      <x:c r="I962" t="s">
        <x:v>6586</x:v>
      </x:c>
      <x:c r="J962" t="s">
        <x:v>6587</x:v>
      </x:c>
      <x:c r="K962" t="s">
        <x:v>6588</x:v>
      </x:c>
      <x:c r="L962" t="s">
        <x:v>6589</x:v>
      </x:c>
      <x:c r="M962" t="s">
        <x:v>6590</x:v>
      </x:c>
      <x:c r="N962" t="s">
        <x:v>6591</x:v>
      </x:c>
      <x:c r="O962" t="s">
        <x:v>6592</x:v>
      </x:c>
      <x:c r="P962" t="s">
        <x:v>6593</x:v>
      </x:c>
      <x:c r="R962" s="9">
        <x:v>29167</x:v>
      </x:c>
      <x:c r="T962" t="s">
        <x:v>119</x:v>
      </x:c>
      <x:c r="W962" s="26" t="n">
        <x:v>1.12957</x:v>
      </x:c>
      <x:c r="X962" s="26" t="n">
        <x:v>-77.14944</x:v>
      </x:c>
      <x:c r="Y962">
        <x:v>345.22699999999998</x:v>
      </x:c>
      <x:c r="Z962">
        <x:v>2792</x:v>
      </x:c>
      <x:c r="AB962" t="s">
        <x:v>5142</x:v>
      </x:c>
      <x:c r="AF962" t="s">
        <x:v>50</x:v>
      </x:c>
      <x:c r="AG962" t="s">
        <x:v>127</x:v>
      </x:c>
      <x:c r="AH962" t="s">
        <x:v>1996</x:v>
      </x:c>
      <x:c r="AI962" t="s">
        <x:v>6598</x:v>
      </x:c>
      <x:c r="AJ962">
        <x:v>1025</x:v>
      </x:c>
    </x:row>
    <x:row r="963">
      <x:c r="A963" t="s">
        <x:v>6324</x:v>
      </x:c>
      <x:c r="B963" t="s">
        <x:v>6325</x:v>
      </x:c>
      <x:c r="C963" t="s">
        <x:v>6599</x:v>
      </x:c>
      <x:c r="D963" t="s">
        <x:v>6600</x:v>
      </x:c>
      <x:c r="E963" t="s">
        <x:v>6601</x:v>
      </x:c>
      <x:c r="F963">
        <x:v>3500</x:v>
      </x:c>
      <x:c r="G963">
        <x:v>3500</x:v>
      </x:c>
      <x:c r="H963">
        <x:v>3500</x:v>
      </x:c>
      <x:c r="I963" t="s">
        <x:v>1988</x:v>
      </x:c>
      <x:c r="J963" t="s">
        <x:v>1989</x:v>
      </x:c>
      <x:c r="K963" t="s">
        <x:v>1990</x:v>
      </x:c>
      <x:c r="L963" t="s">
        <x:v>1991</x:v>
      </x:c>
      <x:c r="M963" t="s">
        <x:v>1992</x:v>
      </x:c>
      <x:c r="N963" t="s">
        <x:v>1993</x:v>
      </x:c>
      <x:c r="O963" t="s">
        <x:v>1994</x:v>
      </x:c>
      <x:c r="P963" t="s">
        <x:v>1995</x:v>
      </x:c>
      <x:c r="R963" s="9">
        <x:v>29174</x:v>
      </x:c>
      <x:c r="T963" t="s">
        <x:v>399</x:v>
      </x:c>
      <x:c r="W963" s="26" t="n">
        <x:v>1.2136917</x:v>
      </x:c>
      <x:c r="X963" s="26" t="n">
        <x:v>-77.2726361</x:v>
      </x:c>
      <x:c r="AF963" t="s">
        <x:v>50</x:v>
      </x:c>
      <x:c r="AG963" t="s">
        <x:v>127</x:v>
      </x:c>
      <x:c r="AH963" t="s">
        <x:v>1996</x:v>
      </x:c>
      <x:c r="AI963" t="s">
        <x:v>6602</x:v>
      </x:c>
      <x:c r="AJ963">
        <x:v>1026</x:v>
      </x:c>
    </x:row>
    <x:row r="964">
      <x:c r="A964" t="s">
        <x:v>6324</x:v>
      </x:c>
      <x:c r="B964" t="s">
        <x:v>6325</x:v>
      </x:c>
      <x:c r="C964" t="s">
        <x:v>6603</x:v>
      </x:c>
      <x:c r="D964" t="s">
        <x:v>6604</x:v>
      </x:c>
      <x:c r="E964" t="s">
        <x:v>6605</x:v>
      </x:c>
      <x:c r="F964">
        <x:v>2700</x:v>
      </x:c>
      <x:c r="G964">
        <x:v>2700</x:v>
      </x:c>
      <x:c r="H964">
        <x:v>2700</x:v>
      </x:c>
      <x:c r="I964" t="s">
        <x:v>1988</x:v>
      </x:c>
      <x:c r="J964" t="s">
        <x:v>1989</x:v>
      </x:c>
      <x:c r="K964" t="s">
        <x:v>1990</x:v>
      </x:c>
      <x:c r="L964" t="s">
        <x:v>1991</x:v>
      </x:c>
      <x:c r="M964" t="s">
        <x:v>1992</x:v>
      </x:c>
      <x:c r="N964" t="s">
        <x:v>1993</x:v>
      </x:c>
      <x:c r="O964" t="s">
        <x:v>1994</x:v>
      </x:c>
      <x:c r="P964" t="s">
        <x:v>1995</x:v>
      </x:c>
      <x:c r="R964" s="9">
        <x:v>29545</x:v>
      </x:c>
      <x:c r="T964" t="s">
        <x:v>399</x:v>
      </x:c>
      <x:c r="W964" s="26" t="n">
        <x:v>1.2136917</x:v>
      </x:c>
      <x:c r="X964" s="26" t="n">
        <x:v>-77.2726361</x:v>
      </x:c>
      <x:c r="AF964" t="s">
        <x:v>50</x:v>
      </x:c>
      <x:c r="AG964" t="s">
        <x:v>127</x:v>
      </x:c>
      <x:c r="AH964" t="s">
        <x:v>1996</x:v>
      </x:c>
      <x:c r="AI964" t="s">
        <x:v>6606</x:v>
      </x:c>
      <x:c r="AJ964">
        <x:v>1027</x:v>
      </x:c>
    </x:row>
    <x:row r="965">
      <x:c r="A965" t="s">
        <x:v>6324</x:v>
      </x:c>
      <x:c r="B965" t="s">
        <x:v>6325</x:v>
      </x:c>
      <x:c r="C965" t="s">
        <x:v>6607</x:v>
      </x:c>
      <x:c r="D965" t="s">
        <x:v>6608</x:v>
      </x:c>
      <x:c r="E965" t="s">
        <x:v>6597</x:v>
      </x:c>
      <x:c r="F965">
        <x:v>2780</x:v>
      </x:c>
      <x:c r="G965">
        <x:v>2780</x:v>
      </x:c>
      <x:c r="H965">
        <x:v>2780</x:v>
      </x:c>
      <x:c r="I965" t="s">
        <x:v>6586</x:v>
      </x:c>
      <x:c r="J965" t="s">
        <x:v>6587</x:v>
      </x:c>
      <x:c r="K965" t="s">
        <x:v>6588</x:v>
      </x:c>
      <x:c r="L965" t="s">
        <x:v>6589</x:v>
      </x:c>
      <x:c r="M965" t="s">
        <x:v>6590</x:v>
      </x:c>
      <x:c r="N965" t="s">
        <x:v>6591</x:v>
      </x:c>
      <x:c r="O965" t="s">
        <x:v>6592</x:v>
      </x:c>
      <x:c r="P965" t="s">
        <x:v>6593</x:v>
      </x:c>
      <x:c r="R965" s="9">
        <x:v>35892</x:v>
      </x:c>
      <x:c r="T965" t="s">
        <x:v>111</x:v>
      </x:c>
      <x:c r="W965" s="26" t="n">
        <x:v>1.2833333</x:v>
      </x:c>
      <x:c r="X965" s="26" t="n">
        <x:v>-78.2333333</x:v>
      </x:c>
      <x:c r="AF965" t="s">
        <x:v>50</x:v>
      </x:c>
      <x:c r="AG965" t="s">
        <x:v>127</x:v>
      </x:c>
      <x:c r="AH965" t="s">
        <x:v>1996</x:v>
      </x:c>
      <x:c r="AI965" t="s">
        <x:v>6598</x:v>
      </x:c>
      <x:c r="AJ965">
        <x:v>1028</x:v>
      </x:c>
    </x:row>
    <x:row r="966">
      <x:c r="A966" t="s">
        <x:v>6324</x:v>
      </x:c>
      <x:c r="B966" t="s">
        <x:v>6325</x:v>
      </x:c>
      <x:c r="C966" t="s">
        <x:v>6609</x:v>
      </x:c>
      <x:c r="D966" t="s">
        <x:v>6610</x:v>
      </x:c>
      <x:c r="E966" t="s">
        <x:v>6611</x:v>
      </x:c>
      <x:c r="F966" t="s">
        <x:v>6612</x:v>
      </x:c>
      <x:c r="G966">
        <x:v>2800</x:v>
      </x:c>
      <x:c r="H966">
        <x:v>3180</x:v>
      </x:c>
      <x:c r="I966" t="s">
        <x:v>797</x:v>
      </x:c>
      <x:c r="J966" t="s">
        <x:v>798</x:v>
      </x:c>
      <x:c r="K966" t="s">
        <x:v>799</x:v>
      </x:c>
      <x:c r="L966" t="s">
        <x:v>419</x:v>
      </x:c>
      <x:c r="M966" t="s">
        <x:v>800</x:v>
      </x:c>
      <x:c r="N966" t="s">
        <x:v>801</x:v>
      </x:c>
      <x:c r="O966" t="s">
        <x:v>422</x:v>
      </x:c>
      <x:c r="P966" t="s">
        <x:v>802</x:v>
      </x:c>
      <x:c r="R966" s="9">
        <x:v>34505</x:v>
      </x:c>
      <x:c r="T966" t="s">
        <x:v>111</x:v>
      </x:c>
      <x:c r="W966" s="26" t="n">
        <x:v>4.6666667</x:v>
      </x:c>
      <x:c r="X966" s="26" t="n">
        <x:v>-75.5</x:v>
      </x:c>
      <x:c r="AF966" t="s">
        <x:v>50</x:v>
      </x:c>
      <x:c r="AG966" t="s">
        <x:v>182</x:v>
      </x:c>
      <x:c r="AH966" t="s">
        <x:v>803</x:v>
      </x:c>
      <x:c r="AI966" t="s">
        <x:v>6613</x:v>
      </x:c>
      <x:c r="AJ966">
        <x:v>1029</x:v>
      </x:c>
    </x:row>
    <x:row r="967">
      <x:c r="A967" t="s">
        <x:v>6324</x:v>
      </x:c>
      <x:c r="B967" t="s">
        <x:v>6325</x:v>
      </x:c>
      <x:c r="C967" t="s">
        <x:v>6614</x:v>
      </x:c>
      <x:c r="D967" t="s">
        <x:v>6615</x:v>
      </x:c>
      <x:c r="E967" t="s">
        <x:v>6616</x:v>
      </x:c>
      <x:c r="F967">
        <x:v>3140</x:v>
      </x:c>
      <x:c r="G967">
        <x:v>3140</x:v>
      </x:c>
      <x:c r="H967">
        <x:v>3140</x:v>
      </x:c>
      <x:c r="I967" t="s">
        <x:v>797</x:v>
      </x:c>
      <x:c r="J967" t="s">
        <x:v>798</x:v>
      </x:c>
      <x:c r="K967" t="s">
        <x:v>799</x:v>
      </x:c>
      <x:c r="L967" t="s">
        <x:v>419</x:v>
      </x:c>
      <x:c r="M967" t="s">
        <x:v>800</x:v>
      </x:c>
      <x:c r="N967" t="s">
        <x:v>801</x:v>
      </x:c>
      <x:c r="O967" t="s">
        <x:v>422</x:v>
      </x:c>
      <x:c r="P967" t="s">
        <x:v>802</x:v>
      </x:c>
      <x:c r="R967" s="9">
        <x:v>34848</x:v>
      </x:c>
      <x:c r="T967" t="s">
        <x:v>119</x:v>
      </x:c>
      <x:c r="W967" s="26" t="n">
        <x:v>4.6666667</x:v>
      </x:c>
      <x:c r="X967" s="26" t="n">
        <x:v>-75.5</x:v>
      </x:c>
      <x:c r="AF967" t="s">
        <x:v>50</x:v>
      </x:c>
      <x:c r="AG967" t="s">
        <x:v>182</x:v>
      </x:c>
      <x:c r="AH967" t="s">
        <x:v>803</x:v>
      </x:c>
      <x:c r="AI967" t="s">
        <x:v>6617</x:v>
      </x:c>
      <x:c r="AJ967">
        <x:v>1030</x:v>
      </x:c>
    </x:row>
    <x:row r="968">
      <x:c r="A968" t="s">
        <x:v>6324</x:v>
      </x:c>
      <x:c r="B968" t="s">
        <x:v>6325</x:v>
      </x:c>
      <x:c r="C968" t="s">
        <x:v>6618</x:v>
      </x:c>
      <x:c r="D968" t="s">
        <x:v>6619</x:v>
      </x:c>
      <x:c r="E968" t="s">
        <x:v>6620</x:v>
      </x:c>
      <x:c r="F968">
        <x:v>2140</x:v>
      </x:c>
      <x:c r="G968">
        <x:v>2140</x:v>
      </x:c>
      <x:c r="H968">
        <x:v>2140</x:v>
      </x:c>
      <x:c r="I968" t="s">
        <x:v>797</x:v>
      </x:c>
      <x:c r="J968" t="s">
        <x:v>798</x:v>
      </x:c>
      <x:c r="K968" t="s">
        <x:v>799</x:v>
      </x:c>
      <x:c r="L968" t="s">
        <x:v>419</x:v>
      </x:c>
      <x:c r="M968" t="s">
        <x:v>800</x:v>
      </x:c>
      <x:c r="N968" t="s">
        <x:v>801</x:v>
      </x:c>
      <x:c r="O968" t="s">
        <x:v>422</x:v>
      </x:c>
      <x:c r="P968" t="s">
        <x:v>802</x:v>
      </x:c>
      <x:c r="R968" s="9">
        <x:v>37409</x:v>
      </x:c>
      <x:c r="T968" t="s">
        <x:v>119</x:v>
      </x:c>
      <x:c r="W968" s="26" t="n">
        <x:v>4.6666667</x:v>
      </x:c>
      <x:c r="X968" s="26" t="n">
        <x:v>-75.5</x:v>
      </x:c>
      <x:c r="AF968" t="s">
        <x:v>50</x:v>
      </x:c>
      <x:c r="AG968" t="s">
        <x:v>182</x:v>
      </x:c>
      <x:c r="AH968" t="s">
        <x:v>803</x:v>
      </x:c>
      <x:c r="AI968" t="s">
        <x:v>6621</x:v>
      </x:c>
      <x:c r="AJ968">
        <x:v>1031</x:v>
      </x:c>
    </x:row>
    <x:row r="969">
      <x:c r="A969" t="s">
        <x:v>6324</x:v>
      </x:c>
      <x:c r="B969" t="s">
        <x:v>6325</x:v>
      </x:c>
      <x:c r="C969" t="s">
        <x:v>6622</x:v>
      </x:c>
      <x:c r="D969" t="s">
        <x:v>1060</x:v>
      </x:c>
      <x:c r="E969" t="s">
        <x:v>6623</x:v>
      </x:c>
      <x:c r="F969">
        <x:v>1950</x:v>
      </x:c>
      <x:c r="G969">
        <x:v>1950</x:v>
      </x:c>
      <x:c r="H969">
        <x:v>1950</x:v>
      </x:c>
      <x:c r="I969" t="s">
        <x:v>1666</x:v>
      </x:c>
      <x:c r="J969" t="s">
        <x:v>1667</x:v>
      </x:c>
      <x:c r="K969" t="s">
        <x:v>6624</x:v>
      </x:c>
      <x:c r="L969" t="s">
        <x:v>6625</x:v>
      </x:c>
      <x:c r="M969" t="s">
        <x:v>6626</x:v>
      </x:c>
      <x:c r="N969" t="s">
        <x:v>315</x:v>
      </x:c>
      <x:c r="O969" t="s">
        <x:v>3095</x:v>
      </x:c>
      <x:c r="P969" t="s">
        <x:v>3096</x:v>
      </x:c>
      <x:c r="R969" s="9">
        <x:v>40014</x:v>
      </x:c>
      <x:c r="T969" t="s">
        <x:v>119</x:v>
      </x:c>
      <x:c r="W969" s="26" t="n">
        <x:v>4.68573</x:v>
      </x:c>
      <x:c r="X969" s="26" t="n">
        <x:v>-75.57803</x:v>
      </x:c>
      <x:c r="Y969">
        <x:v>5540.5119999999997</x:v>
      </x:c>
      <x:c r="Z969">
        <x:v>2087</x:v>
      </x:c>
      <x:c r="AB969" t="s">
        <x:v>1153</x:v>
      </x:c>
      <x:c r="AF969" t="s">
        <x:v>50</x:v>
      </x:c>
      <x:c r="AG969" t="s">
        <x:v>182</x:v>
      </x:c>
      <x:c r="AH969" t="s">
        <x:v>803</x:v>
      </x:c>
      <x:c r="AI969" t="s">
        <x:v>6627</x:v>
      </x:c>
      <x:c r="AJ969">
        <x:v>1032</x:v>
      </x:c>
    </x:row>
    <x:row r="970">
      <x:c r="A970" t="s">
        <x:v>6324</x:v>
      </x:c>
      <x:c r="B970" t="s">
        <x:v>6325</x:v>
      </x:c>
      <x:c r="C970" t="s">
        <x:v>6622</x:v>
      </x:c>
      <x:c r="D970" t="s">
        <x:v>6443</x:v>
      </x:c>
      <x:c r="E970" t="s">
        <x:v>6628</x:v>
      </x:c>
      <x:c r="F970">
        <x:v>1950</x:v>
      </x:c>
      <x:c r="G970">
        <x:v>1950</x:v>
      </x:c>
      <x:c r="H970">
        <x:v>1950</x:v>
      </x:c>
      <x:c r="I970" t="s">
        <x:v>1666</x:v>
      </x:c>
      <x:c r="J970" t="s">
        <x:v>1667</x:v>
      </x:c>
      <x:c r="K970" t="s">
        <x:v>6624</x:v>
      </x:c>
      <x:c r="L970" t="s">
        <x:v>6625</x:v>
      </x:c>
      <x:c r="M970" t="s">
        <x:v>6626</x:v>
      </x:c>
      <x:c r="N970" t="s">
        <x:v>315</x:v>
      </x:c>
      <x:c r="O970" t="s">
        <x:v>3095</x:v>
      </x:c>
      <x:c r="P970" t="s">
        <x:v>3096</x:v>
      </x:c>
      <x:c r="R970" s="9">
        <x:v>40014</x:v>
      </x:c>
      <x:c r="T970" t="s">
        <x:v>119</x:v>
      </x:c>
      <x:c r="W970" s="26" t="n">
        <x:v>4.68573</x:v>
      </x:c>
      <x:c r="X970" s="26" t="n">
        <x:v>-75.57803</x:v>
      </x:c>
      <x:c r="Y970">
        <x:v>5540.5119999999997</x:v>
      </x:c>
      <x:c r="Z970">
        <x:v>2087</x:v>
      </x:c>
      <x:c r="AB970" t="s">
        <x:v>1153</x:v>
      </x:c>
      <x:c r="AF970" t="s">
        <x:v>50</x:v>
      </x:c>
      <x:c r="AG970" t="s">
        <x:v>182</x:v>
      </x:c>
      <x:c r="AH970" t="s">
        <x:v>803</x:v>
      </x:c>
      <x:c r="AI970" t="s">
        <x:v>6629</x:v>
      </x:c>
      <x:c r="AJ970">
        <x:v>1033</x:v>
      </x:c>
    </x:row>
    <x:row r="971">
      <x:c r="A971" t="s">
        <x:v>6324</x:v>
      </x:c>
      <x:c r="B971" t="s">
        <x:v>6325</x:v>
      </x:c>
      <x:c r="C971" t="s">
        <x:v>6622</x:v>
      </x:c>
      <x:c r="D971" t="s">
        <x:v>1060</x:v>
      </x:c>
      <x:c r="E971" t="s">
        <x:v>6623</x:v>
      </x:c>
      <x:c r="F971">
        <x:v>1950</x:v>
      </x:c>
      <x:c r="G971">
        <x:v>1950</x:v>
      </x:c>
      <x:c r="H971">
        <x:v>1950</x:v>
      </x:c>
      <x:c r="I971" t="s">
        <x:v>1666</x:v>
      </x:c>
      <x:c r="J971" t="s">
        <x:v>1667</x:v>
      </x:c>
      <x:c r="K971" t="s">
        <x:v>6624</x:v>
      </x:c>
      <x:c r="L971" t="s">
        <x:v>6625</x:v>
      </x:c>
      <x:c r="M971" t="s">
        <x:v>6626</x:v>
      </x:c>
      <x:c r="N971" t="s">
        <x:v>315</x:v>
      </x:c>
      <x:c r="O971" t="s">
        <x:v>3095</x:v>
      </x:c>
      <x:c r="P971" t="s">
        <x:v>3096</x:v>
      </x:c>
      <x:c r="R971" s="9">
        <x:v>40014</x:v>
      </x:c>
      <x:c r="T971" t="s">
        <x:v>119</x:v>
      </x:c>
      <x:c r="W971" s="26" t="n">
        <x:v>4.68573</x:v>
      </x:c>
      <x:c r="X971" s="26" t="n">
        <x:v>-75.57803</x:v>
      </x:c>
      <x:c r="Y971">
        <x:v>5540.5119999999997</x:v>
      </x:c>
      <x:c r="Z971">
        <x:v>2087</x:v>
      </x:c>
      <x:c r="AB971" t="s">
        <x:v>1153</x:v>
      </x:c>
      <x:c r="AF971" t="s">
        <x:v>50</x:v>
      </x:c>
      <x:c r="AG971" t="s">
        <x:v>182</x:v>
      </x:c>
      <x:c r="AH971" t="s">
        <x:v>803</x:v>
      </x:c>
      <x:c r="AI971" t="s">
        <x:v>6627</x:v>
      </x:c>
      <x:c r="AJ971">
        <x:v>1034</x:v>
      </x:c>
    </x:row>
    <x:row r="972">
      <x:c r="A972" t="s">
        <x:v>6324</x:v>
      </x:c>
      <x:c r="B972" t="s">
        <x:v>6325</x:v>
      </x:c>
      <x:c r="C972" t="s">
        <x:v>6630</x:v>
      </x:c>
      <x:c r="D972" t="s">
        <x:v>1060</x:v>
      </x:c>
      <x:c r="E972" t="s">
        <x:v>6623</x:v>
      </x:c>
      <x:c r="F972">
        <x:v>1950</x:v>
      </x:c>
      <x:c r="G972">
        <x:v>1950</x:v>
      </x:c>
      <x:c r="H972">
        <x:v>1950</x:v>
      </x:c>
      <x:c r="I972" t="s">
        <x:v>1666</x:v>
      </x:c>
      <x:c r="J972" t="s">
        <x:v>1667</x:v>
      </x:c>
      <x:c r="K972" t="s">
        <x:v>6624</x:v>
      </x:c>
      <x:c r="L972" t="s">
        <x:v>6625</x:v>
      </x:c>
      <x:c r="M972" t="s">
        <x:v>6626</x:v>
      </x:c>
      <x:c r="N972" t="s">
        <x:v>315</x:v>
      </x:c>
      <x:c r="O972" t="s">
        <x:v>3095</x:v>
      </x:c>
      <x:c r="P972" t="s">
        <x:v>3096</x:v>
      </x:c>
      <x:c r="R972" s="9">
        <x:v>40014</x:v>
      </x:c>
      <x:c r="T972" t="s">
        <x:v>119</x:v>
      </x:c>
      <x:c r="W972" s="26" t="n">
        <x:v>4.68573</x:v>
      </x:c>
      <x:c r="X972" s="26" t="n">
        <x:v>-75.57803</x:v>
      </x:c>
      <x:c r="Y972">
        <x:v>5540.5119999999997</x:v>
      </x:c>
      <x:c r="Z972">
        <x:v>2087</x:v>
      </x:c>
      <x:c r="AB972" t="s">
        <x:v>1153</x:v>
      </x:c>
      <x:c r="AF972" t="s">
        <x:v>50</x:v>
      </x:c>
      <x:c r="AG972" t="s">
        <x:v>182</x:v>
      </x:c>
      <x:c r="AH972" t="s">
        <x:v>803</x:v>
      </x:c>
      <x:c r="AI972" t="s">
        <x:v>6627</x:v>
      </x:c>
      <x:c r="AJ972">
        <x:v>1035</x:v>
      </x:c>
    </x:row>
    <x:row r="973">
      <x:c r="A973" t="s">
        <x:v>6324</x:v>
      </x:c>
      <x:c r="B973" t="s">
        <x:v>6325</x:v>
      </x:c>
      <x:c r="C973" t="s">
        <x:v>6631</x:v>
      </x:c>
      <x:c r="D973" t="s">
        <x:v>1060</x:v>
      </x:c>
      <x:c r="E973" t="s">
        <x:v>6623</x:v>
      </x:c>
      <x:c r="F973">
        <x:v>1950</x:v>
      </x:c>
      <x:c r="G973">
        <x:v>1950</x:v>
      </x:c>
      <x:c r="H973">
        <x:v>1950</x:v>
      </x:c>
      <x:c r="I973" t="s">
        <x:v>1666</x:v>
      </x:c>
      <x:c r="J973" t="s">
        <x:v>1667</x:v>
      </x:c>
      <x:c r="K973" t="s">
        <x:v>6624</x:v>
      </x:c>
      <x:c r="L973" t="s">
        <x:v>6625</x:v>
      </x:c>
      <x:c r="M973" t="s">
        <x:v>6626</x:v>
      </x:c>
      <x:c r="N973" t="s">
        <x:v>315</x:v>
      </x:c>
      <x:c r="O973" t="s">
        <x:v>3095</x:v>
      </x:c>
      <x:c r="P973" t="s">
        <x:v>3096</x:v>
      </x:c>
      <x:c r="R973" s="9">
        <x:v>40014</x:v>
      </x:c>
      <x:c r="T973" t="s">
        <x:v>119</x:v>
      </x:c>
      <x:c r="W973" s="26" t="n">
        <x:v>4.68573</x:v>
      </x:c>
      <x:c r="X973" s="26" t="n">
        <x:v>-75.57803</x:v>
      </x:c>
      <x:c r="Y973">
        <x:v>5540.5119999999997</x:v>
      </x:c>
      <x:c r="Z973">
        <x:v>2087</x:v>
      </x:c>
      <x:c r="AB973" t="s">
        <x:v>1153</x:v>
      </x:c>
      <x:c r="AF973" t="s">
        <x:v>50</x:v>
      </x:c>
      <x:c r="AG973" t="s">
        <x:v>182</x:v>
      </x:c>
      <x:c r="AH973" t="s">
        <x:v>803</x:v>
      </x:c>
      <x:c r="AI973" t="s">
        <x:v>6627</x:v>
      </x:c>
      <x:c r="AJ973">
        <x:v>1036</x:v>
      </x:c>
    </x:row>
    <x:row r="974">
      <x:c r="A974" t="s">
        <x:v>6324</x:v>
      </x:c>
      <x:c r="B974" t="s">
        <x:v>6325</x:v>
      </x:c>
      <x:c r="C974" t="s">
        <x:v>6632</x:v>
      </x:c>
      <x:c r="D974" t="s">
        <x:v>1060</x:v>
      </x:c>
      <x:c r="E974" t="s">
        <x:v>6633</x:v>
      </x:c>
      <x:c r="F974" t="s">
        <x:v>2073</x:v>
      </x:c>
      <x:c r="G974">
        <x:v>2430</x:v>
      </x:c>
      <x:c r="H974">
        <x:v>3200</x:v>
      </x:c>
      <x:c r="I974" t="s">
        <x:v>2074</x:v>
      </x:c>
      <x:c r="J974" t="s">
        <x:v>2075</x:v>
      </x:c>
      <x:c r="K974" t="s">
        <x:v>2076</x:v>
      </x:c>
      <x:c r="L974" t="s">
        <x:v>2077</x:v>
      </x:c>
      <x:c r="M974" t="s">
        <x:v>2078</x:v>
      </x:c>
      <x:c r="N974" t="s">
        <x:v>2079</x:v>
      </x:c>
      <x:c r="O974" t="s">
        <x:v>2080</x:v>
      </x:c>
      <x:c r="P974" t="s">
        <x:v>2081</x:v>
      </x:c>
      <x:c r="R974" s="9">
        <x:v>40017</x:v>
      </x:c>
      <x:c r="T974" t="s">
        <x:v>119</x:v>
      </x:c>
      <x:c r="W974" s="26" t="n">
        <x:v>4.6415</x:v>
      </x:c>
      <x:c r="X974" s="26" t="n">
        <x:v>-75.4867778</x:v>
      </x:c>
      <x:c r="AF974" t="s">
        <x:v>50</x:v>
      </x:c>
      <x:c r="AG974" t="s">
        <x:v>182</x:v>
      </x:c>
      <x:c r="AH974" t="s">
        <x:v>803</x:v>
      </x:c>
      <x:c r="AI974" t="s">
        <x:v>6634</x:v>
      </x:c>
      <x:c r="AJ974">
        <x:v>1039</x:v>
      </x:c>
    </x:row>
    <x:row r="975">
      <x:c r="A975" t="s">
        <x:v>6324</x:v>
      </x:c>
      <x:c r="B975" t="s">
        <x:v>6325</x:v>
      </x:c>
      <x:c r="C975" t="s">
        <x:v>6635</x:v>
      </x:c>
      <x:c r="D975" t="s">
        <x:v>6636</x:v>
      </x:c>
      <x:c r="E975" t="s">
        <x:v>6637</x:v>
      </x:c>
      <x:c r="F975">
        <x:v>2446</x:v>
      </x:c>
      <x:c r="G975">
        <x:v>2446</x:v>
      </x:c>
      <x:c r="H975">
        <x:v>2446</x:v>
      </x:c>
      <x:c r="P975" t="s">
        <x:v>80</x:v>
      </x:c>
      <x:c r="R975" s="9">
        <x:v>37446</x:v>
      </x:c>
      <x:c r="T975" t="s">
        <x:v>119</x:v>
      </x:c>
      <x:c r="W975" s="26" t="n">
        <x:v>5.11358</x:v>
      </x:c>
      <x:c r="X975" s="26" t="n">
        <x:v>-76.05836</x:v>
      </x:c>
      <x:c r="Y975">
        <x:v>946.33100000000002</x:v>
      </x:c>
      <x:c r="Z975">
        <x:v>3520</x:v>
      </x:c>
      <x:c r="AB975" t="s">
        <x:v>5431</x:v>
      </x:c>
      <x:c r="AF975" t="s">
        <x:v>50</x:v>
      </x:c>
      <x:c r="AG975" t="s">
        <x:v>360</x:v>
      </x:c>
      <x:c r="AH975" t="s">
        <x:v>367</x:v>
      </x:c>
      <x:c r="AI975" t="s">
        <x:v>6638</x:v>
      </x:c>
      <x:c r="AJ975">
        <x:v>1040</x:v>
      </x:c>
    </x:row>
    <x:row r="976">
      <x:c r="A976" t="s">
        <x:v>6324</x:v>
      </x:c>
      <x:c r="B976" t="s">
        <x:v>6325</x:v>
      </x:c>
      <x:c r="C976" t="s">
        <x:v>6639</x:v>
      </x:c>
      <x:c r="D976" t="s">
        <x:v>6640</x:v>
      </x:c>
      <x:c r="E976" t="s">
        <x:v>6641</x:v>
      </x:c>
      <x:c r="F976">
        <x:v>2000</x:v>
      </x:c>
      <x:c r="G976">
        <x:v>2000</x:v>
      </x:c>
      <x:c r="H976">
        <x:v>2000</x:v>
      </x:c>
      <x:c r="I976" t="s">
        <x:v>672</x:v>
      </x:c>
      <x:c r="J976" t="s">
        <x:v>673</x:v>
      </x:c>
      <x:c r="K976" t="s">
        <x:v>674</x:v>
      </x:c>
      <x:c r="L976" t="s">
        <x:v>675</x:v>
      </x:c>
      <x:c r="M976" t="s">
        <x:v>676</x:v>
      </x:c>
      <x:c r="N976" t="s">
        <x:v>677</x:v>
      </x:c>
      <x:c r="O976" t="s">
        <x:v>678</x:v>
      </x:c>
      <x:c r="P976" t="s">
        <x:v>679</x:v>
      </x:c>
      <x:c r="R976" s="9">
        <x:v>38284</x:v>
      </x:c>
      <x:c r="T976" t="s">
        <x:v>111</x:v>
      </x:c>
      <x:c r="W976" s="26" t="n">
        <x:v>4.72879</x:v>
      </x:c>
      <x:c r="X976" s="26" t="n">
        <x:v>-75.5779</x:v>
      </x:c>
      <x:c r="Y976">
        <x:v>611.64800000000002</x:v>
      </x:c>
      <x:c r="Z976">
        <x:v>1864</x:v>
      </x:c>
      <x:c r="AB976" t="s">
        <x:v>359</x:v>
      </x:c>
      <x:c r="AF976" t="s">
        <x:v>50</x:v>
      </x:c>
      <x:c r="AG976" t="s">
        <x:v>360</x:v>
      </x:c>
      <x:c r="AH976" t="s">
        <x:v>361</x:v>
      </x:c>
      <x:c r="AI976" t="s">
        <x:v>6642</x:v>
      </x:c>
      <x:c r="AJ976">
        <x:v>1041</x:v>
      </x:c>
    </x:row>
    <x:row r="977">
      <x:c r="A977" t="s">
        <x:v>6324</x:v>
      </x:c>
      <x:c r="B977" t="s">
        <x:v>6325</x:v>
      </x:c>
      <x:c r="C977" t="s">
        <x:v>6643</x:v>
      </x:c>
      <x:c r="D977" t="s">
        <x:v>6644</x:v>
      </x:c>
      <x:c r="E977" t="s">
        <x:v>6641</x:v>
      </x:c>
      <x:c r="F977">
        <x:v>2000</x:v>
      </x:c>
      <x:c r="G977">
        <x:v>2000</x:v>
      </x:c>
      <x:c r="H977">
        <x:v>2000</x:v>
      </x:c>
      <x:c r="I977" t="s">
        <x:v>672</x:v>
      </x:c>
      <x:c r="J977" t="s">
        <x:v>673</x:v>
      </x:c>
      <x:c r="K977" t="s">
        <x:v>674</x:v>
      </x:c>
      <x:c r="L977" t="s">
        <x:v>675</x:v>
      </x:c>
      <x:c r="M977" t="s">
        <x:v>676</x:v>
      </x:c>
      <x:c r="N977" t="s">
        <x:v>677</x:v>
      </x:c>
      <x:c r="O977" t="s">
        <x:v>678</x:v>
      </x:c>
      <x:c r="P977" t="s">
        <x:v>679</x:v>
      </x:c>
      <x:c r="R977" s="9">
        <x:v>38284</x:v>
      </x:c>
      <x:c r="T977" t="s">
        <x:v>111</x:v>
      </x:c>
      <x:c r="W977" s="26" t="n">
        <x:v>4.72879</x:v>
      </x:c>
      <x:c r="X977" s="26" t="n">
        <x:v>-75.5779</x:v>
      </x:c>
      <x:c r="Y977">
        <x:v>611.64800000000002</x:v>
      </x:c>
      <x:c r="Z977">
        <x:v>1864</x:v>
      </x:c>
      <x:c r="AB977" t="s">
        <x:v>359</x:v>
      </x:c>
      <x:c r="AF977" t="s">
        <x:v>50</x:v>
      </x:c>
      <x:c r="AG977" t="s">
        <x:v>360</x:v>
      </x:c>
      <x:c r="AH977" t="s">
        <x:v>361</x:v>
      </x:c>
      <x:c r="AI977" t="s">
        <x:v>6642</x:v>
      </x:c>
      <x:c r="AJ977">
        <x:v>1042</x:v>
      </x:c>
    </x:row>
    <x:row r="978">
      <x:c r="A978" t="s">
        <x:v>6324</x:v>
      </x:c>
      <x:c r="B978" t="s">
        <x:v>6325</x:v>
      </x:c>
      <x:c r="C978" t="s">
        <x:v>6645</x:v>
      </x:c>
      <x:c r="D978" t="s">
        <x:v>1060</x:v>
      </x:c>
      <x:c r="E978" t="s">
        <x:v>6646</x:v>
      </x:c>
      <x:c r="F978">
        <x:v>2824</x:v>
      </x:c>
      <x:c r="G978">
        <x:v>2824</x:v>
      </x:c>
      <x:c r="H978">
        <x:v>2824</x:v>
      </x:c>
      <x:c r="I978" t="s">
        <x:v>5455</x:v>
      </x:c>
      <x:c r="J978" t="s">
        <x:v>3162</x:v>
      </x:c>
      <x:c r="K978" t="s">
        <x:v>5456</x:v>
      </x:c>
      <x:c r="L978" t="s">
        <x:v>5457</x:v>
      </x:c>
      <x:c r="M978" t="s">
        <x:v>5458</x:v>
      </x:c>
      <x:c r="P978" t="s">
        <x:v>80</x:v>
      </x:c>
      <x:c r="R978" s="9">
        <x:v>40744</x:v>
      </x:c>
      <x:c r="T978" t="s">
        <x:v>119</x:v>
      </x:c>
      <x:c r="W978" s="26" t="n">
        <x:v>5.1244244</x:v>
      </x:c>
      <x:c r="X978" s="26" t="n">
        <x:v>-76.0416654</x:v>
      </x:c>
      <x:c r="AF978" t="s">
        <x:v>50</x:v>
      </x:c>
      <x:c r="AG978" t="s">
        <x:v>360</x:v>
      </x:c>
      <x:c r="AH978" t="s">
        <x:v>367</x:v>
      </x:c>
      <x:c r="AI978" t="s">
        <x:v>6647</x:v>
      </x:c>
      <x:c r="AJ978">
        <x:v>1043</x:v>
      </x:c>
    </x:row>
    <x:row r="979">
      <x:c r="A979" t="s">
        <x:v>6324</x:v>
      </x:c>
      <x:c r="B979" t="s">
        <x:v>6325</x:v>
      </x:c>
      <x:c r="C979" t="s">
        <x:v>6648</x:v>
      </x:c>
      <x:c r="D979" t="s">
        <x:v>1529</x:v>
      </x:c>
      <x:c r="E979" t="s">
        <x:v>6649</x:v>
      </x:c>
      <x:c r="F979">
        <x:v>1783</x:v>
      </x:c>
      <x:c r="G979">
        <x:v>1783</x:v>
      </x:c>
      <x:c r="H979">
        <x:v>1783</x:v>
      </x:c>
      <x:c r="I979" t="s">
        <x:v>3168</x:v>
      </x:c>
      <x:c r="J979" t="s">
        <x:v>3169</x:v>
      </x:c>
      <x:c r="K979" t="s">
        <x:v>3170</x:v>
      </x:c>
      <x:c r="L979" t="s">
        <x:v>3171</x:v>
      </x:c>
      <x:c r="M979" t="s">
        <x:v>3172</x:v>
      </x:c>
      <x:c r="N979" t="s">
        <x:v>3173</x:v>
      </x:c>
      <x:c r="O979" t="s">
        <x:v>3174</x:v>
      </x:c>
      <x:c r="P979" t="s">
        <x:v>3175</x:v>
      </x:c>
      <x:c r="R979" s="9">
        <x:v>41019</x:v>
      </x:c>
      <x:c r="T979" t="s">
        <x:v>119</x:v>
      </x:c>
      <x:c r="W979" s="26" t="n">
        <x:v>4.72879</x:v>
      </x:c>
      <x:c r="X979" s="26" t="n">
        <x:v>-75.5779</x:v>
      </x:c>
      <x:c r="Y979">
        <x:v>611.64800000000002</x:v>
      </x:c>
      <x:c r="Z979">
        <x:v>1864</x:v>
      </x:c>
      <x:c r="AB979" t="s">
        <x:v>359</x:v>
      </x:c>
      <x:c r="AF979" t="s">
        <x:v>50</x:v>
      </x:c>
      <x:c r="AG979" t="s">
        <x:v>360</x:v>
      </x:c>
      <x:c r="AH979" t="s">
        <x:v>361</x:v>
      </x:c>
      <x:c r="AI979" t="s">
        <x:v>6650</x:v>
      </x:c>
      <x:c r="AJ979">
        <x:v>1044</x:v>
      </x:c>
    </x:row>
    <x:row r="980">
      <x:c r="A980" t="s">
        <x:v>6324</x:v>
      </x:c>
      <x:c r="B980" t="s">
        <x:v>6325</x:v>
      </x:c>
      <x:c r="C980" t="s">
        <x:v>6651</x:v>
      </x:c>
      <x:c r="D980" t="s">
        <x:v>6652</x:v>
      </x:c>
      <x:c r="E980" t="s">
        <x:v>6653</x:v>
      </x:c>
      <x:c r="F980">
        <x:v>2970</x:v>
      </x:c>
      <x:c r="G980">
        <x:v>2970</x:v>
      </x:c>
      <x:c r="H980">
        <x:v>2970</x:v>
      </x:c>
      <x:c r="P980" t="s">
        <x:v>80</x:v>
      </x:c>
      <x:c r="R980" s="9">
        <x:v>24807</x:v>
      </x:c>
      <x:c r="T980" t="s">
        <x:v>119</x:v>
      </x:c>
      <x:c r="W980" s="26" t="n">
        <x:v>6.19988</x:v>
      </x:c>
      <x:c r="X980" s="26" t="n">
        <x:v>-72.8334</x:v>
      </x:c>
      <x:c r="Y980">
        <x:v>4689.9719999999998</x:v>
      </x:c>
      <x:c r="Z980">
        <x:v>2970</x:v>
      </x:c>
      <x:c r="AB980" t="s">
        <x:v>2138</x:v>
      </x:c>
      <x:c r="AF980" t="s">
        <x:v>50</x:v>
      </x:c>
      <x:c r="AG980" t="s">
        <x:v>224</x:v>
      </x:c>
      <x:c r="AH980" t="s">
        <x:v>6654</x:v>
      </x:c>
      <x:c r="AJ980">
        <x:v>1045</x:v>
      </x:c>
    </x:row>
    <x:row r="981">
      <x:c r="A981" t="s">
        <x:v>6324</x:v>
      </x:c>
      <x:c r="B981" t="s">
        <x:v>6325</x:v>
      </x:c>
      <x:c r="C981" t="s">
        <x:v>6655</x:v>
      </x:c>
      <x:c r="D981" t="s">
        <x:v>6656</x:v>
      </x:c>
      <x:c r="E981" t="s">
        <x:v>6657</x:v>
      </x:c>
      <x:c r="F981">
        <x:v>2780</x:v>
      </x:c>
      <x:c r="G981">
        <x:v>2780</x:v>
      </x:c>
      <x:c r="H981">
        <x:v>2780</x:v>
      </x:c>
      <x:c r="P981" t="s">
        <x:v>80</x:v>
      </x:c>
      <x:c r="R981" s="9">
        <x:v>35741</x:v>
      </x:c>
      <x:c r="T981" t="s">
        <x:v>119</x:v>
      </x:c>
      <x:c r="W981" s="26" t="n">
        <x:v>7.08233</x:v>
      </x:c>
      <x:c r="X981" s="26" t="n">
        <x:v>-72.99467</x:v>
      </x:c>
      <x:c r="Y981">
        <x:v>2524.7350000000001</x:v>
      </x:c>
      <x:c r="Z981">
        <x:v>2539</x:v>
      </x:c>
      <x:c r="AB981" t="s">
        <x:v>6658</x:v>
      </x:c>
      <x:c r="AF981" t="s">
        <x:v>50</x:v>
      </x:c>
      <x:c r="AG981" t="s">
        <x:v>224</x:v>
      </x:c>
      <x:c r="AH981" t="s">
        <x:v>6659</x:v>
      </x:c>
      <x:c r="AI981" t="s">
        <x:v>6660</x:v>
      </x:c>
      <x:c r="AJ981">
        <x:v>1046</x:v>
      </x:c>
    </x:row>
    <x:row r="982">
      <x:c r="A982" t="s">
        <x:v>6324</x:v>
      </x:c>
      <x:c r="B982" t="s">
        <x:v>6325</x:v>
      </x:c>
      <x:c r="C982" t="s">
        <x:v>6661</x:v>
      </x:c>
      <x:c r="D982" t="s">
        <x:v>6662</x:v>
      </x:c>
      <x:c r="E982" t="s">
        <x:v>6663</x:v>
      </x:c>
      <x:c r="F982">
        <x:v>3500</x:v>
      </x:c>
      <x:c r="G982">
        <x:v>3500</x:v>
      </x:c>
      <x:c r="H982">
        <x:v>3500</x:v>
      </x:c>
      <x:c r="P982" t="s">
        <x:v>80</x:v>
      </x:c>
      <x:c r="R982" s="9">
        <x:v>40017</x:v>
      </x:c>
      <x:c r="T982" t="s">
        <x:v>119</x:v>
      </x:c>
      <x:c r="W982" s="26" t="n">
        <x:v>4.58039</x:v>
      </x:c>
      <x:c r="X982" s="26" t="n">
        <x:v>-75.3754</x:v>
      </x:c>
      <x:c r="Y982">
        <x:v>5787.4660000000003</x:v>
      </x:c>
      <x:c r="Z982">
        <x:v>3196</x:v>
      </x:c>
      <x:c r="AB982" t="s">
        <x:v>2183</x:v>
      </x:c>
      <x:c r="AF982" t="s">
        <x:v>50</x:v>
      </x:c>
      <x:c r="AG982" t="s">
        <x:v>133</x:v>
      </x:c>
      <x:c r="AH982" t="s">
        <x:v>351</x:v>
      </x:c>
      <x:c r="AI982" t="s">
        <x:v>6664</x:v>
      </x:c>
      <x:c r="AJ982">
        <x:v>1048</x:v>
      </x:c>
    </x:row>
    <x:row r="983" s="17" customFormat="1">
      <x:c r="A983" s="17" t="s">
        <x:v>6324</x:v>
      </x:c>
      <x:c r="B983" s="17" t="s">
        <x:v>6325</x:v>
      </x:c>
      <x:c r="C983" s="17" t="s">
        <x:v>6665</x:v>
      </x:c>
      <x:c r="D983" s="17" t="s">
        <x:v>1060</x:v>
      </x:c>
      <x:c r="E983" s="17" t="s">
        <x:v>6663</x:v>
      </x:c>
      <x:c r="F983" s="17">
        <x:v>3500</x:v>
      </x:c>
      <x:c r="G983" s="17">
        <x:v>3500</x:v>
      </x:c>
      <x:c r="H983" s="17">
        <x:v>3500</x:v>
      </x:c>
      <x:c r="P983" s="17" t="s">
        <x:v>80</x:v>
      </x:c>
      <x:c r="R983" s="19">
        <x:v>40017</x:v>
      </x:c>
      <x:c r="T983" s="17" t="s">
        <x:v>119</x:v>
      </x:c>
      <x:c r="W983" s="26" t="n">
        <x:v>4.58039</x:v>
      </x:c>
      <x:c r="X983" s="26" t="n">
        <x:v>-75.3754</x:v>
      </x:c>
      <x:c r="Y983" s="17">
        <x:v>5787.4660000000003</x:v>
      </x:c>
      <x:c r="Z983" s="17">
        <x:v>3196</x:v>
      </x:c>
      <x:c r="AB983" s="17" t="s">
        <x:v>2183</x:v>
      </x:c>
      <x:c r="AF983" s="17" t="s">
        <x:v>50</x:v>
      </x:c>
      <x:c r="AG983" s="17" t="s">
        <x:v>133</x:v>
      </x:c>
      <x:c r="AH983" s="17" t="s">
        <x:v>351</x:v>
      </x:c>
      <x:c r="AI983" s="17" t="s">
        <x:v>6664</x:v>
      </x:c>
      <x:c r="AJ983" s="17">
        <x:v>1049</x:v>
      </x:c>
    </x:row>
    <x:row r="984">
      <x:c r="A984" t="s">
        <x:v>6324</x:v>
      </x:c>
      <x:c r="B984" t="s">
        <x:v>6325</x:v>
      </x:c>
      <x:c r="C984" t="s">
        <x:v>6666</x:v>
      </x:c>
      <x:c r="D984" t="s">
        <x:v>6662</x:v>
      </x:c>
      <x:c r="E984" t="s">
        <x:v>6667</x:v>
      </x:c>
      <x:c r="F984">
        <x:v>3696</x:v>
      </x:c>
      <x:c r="G984">
        <x:v>3696</x:v>
      </x:c>
      <x:c r="H984">
        <x:v>3696</x:v>
      </x:c>
      <x:c r="I984" t="s">
        <x:v>5527</x:v>
      </x:c>
      <x:c r="J984" t="s">
        <x:v>5528</x:v>
      </x:c>
      <x:c r="K984" t="s">
        <x:v>2190</x:v>
      </x:c>
      <x:c r="L984" t="s">
        <x:v>2191</x:v>
      </x:c>
      <x:c r="M984" t="s">
        <x:v>5529</x:v>
      </x:c>
      <x:c r="N984" t="s">
        <x:v>347</x:v>
      </x:c>
      <x:c r="O984" t="s">
        <x:v>348</x:v>
      </x:c>
      <x:c r="P984" t="s">
        <x:v>349</x:v>
      </x:c>
      <x:c r="R984" s="9">
        <x:v>40022</x:v>
      </x:c>
      <x:c r="T984" t="s">
        <x:v>119</x:v>
      </x:c>
      <x:c r="W984" s="26" t="n">
        <x:v>4.55835</x:v>
      </x:c>
      <x:c r="X984" s="26" t="n">
        <x:v>-75.32021</x:v>
      </x:c>
      <x:c r="Y984">
        <x:v>714.47500000000002</x:v>
      </x:c>
      <x:c r="Z984">
        <x:v>2033</x:v>
      </x:c>
      <x:c r="AB984" t="s">
        <x:v>350</x:v>
      </x:c>
      <x:c r="AF984" t="s">
        <x:v>50</x:v>
      </x:c>
      <x:c r="AG984" t="s">
        <x:v>133</x:v>
      </x:c>
      <x:c r="AH984" t="s">
        <x:v>351</x:v>
      </x:c>
      <x:c r="AI984" t="s">
        <x:v>6668</x:v>
      </x:c>
      <x:c r="AJ984">
        <x:v>1050</x:v>
      </x:c>
    </x:row>
    <x:row r="985">
      <x:c r="A985" t="s">
        <x:v>6324</x:v>
      </x:c>
      <x:c r="B985" t="s">
        <x:v>6325</x:v>
      </x:c>
      <x:c r="C985" t="s">
        <x:v>6669</x:v>
      </x:c>
      <x:c r="D985" t="s">
        <x:v>6670</x:v>
      </x:c>
      <x:c r="E985" t="s">
        <x:v>6671</x:v>
      </x:c>
      <x:c r="F985" t="s">
        <x:v>1768</x:v>
      </x:c>
      <x:c r="G985">
        <x:v>3000</x:v>
      </x:c>
      <x:c r="H985">
        <x:v>3500</x:v>
      </x:c>
      <x:c r="P985" t="s">
        <x:v>80</x:v>
      </x:c>
      <x:c r="R985" s="9">
        <x:v>39815</x:v>
      </x:c>
      <x:c r="T985" t="s">
        <x:v>119</x:v>
      </x:c>
      <x:c r="W985" s="26" t="n">
        <x:v>3.34415</x:v>
      </x:c>
      <x:c r="X985" s="26" t="n">
        <x:v>-76.69581</x:v>
      </x:c>
      <x:c r="Y985">
        <x:v>916.18299999999999</x:v>
      </x:c>
      <x:c r="Z985">
        <x:v>3944</x:v>
      </x:c>
      <x:c r="AB985" t="s">
        <x:v>3291</x:v>
      </x:c>
      <x:c r="AF985" t="s">
        <x:v>50</x:v>
      </x:c>
      <x:c r="AG985" t="s">
        <x:v>83</x:v>
      </x:c>
      <x:c r="AH985" t="s">
        <x:v>3296</x:v>
      </x:c>
      <x:c r="AI985" t="s">
        <x:v>6672</x:v>
      </x:c>
      <x:c r="AJ985">
        <x:v>1051</x:v>
      </x:c>
    </x:row>
    <x:row r="986">
      <x:c r="A986" t="s">
        <x:v>6324</x:v>
      </x:c>
      <x:c r="B986" t="s">
        <x:v>6325</x:v>
      </x:c>
      <x:c r="C986" t="s">
        <x:v>6673</x:v>
      </x:c>
      <x:c r="D986" t="s">
        <x:v>1837</x:v>
      </x:c>
      <x:c r="E986" t="s">
        <x:v>6674</x:v>
      </x:c>
      <x:c r="F986">
        <x:v>3</x:v>
      </x:c>
      <x:c r="G986">
        <x:v>3</x:v>
      </x:c>
      <x:c r="H986">
        <x:v>3</x:v>
      </x:c>
      <x:c r="I986" t="s">
        <x:v>6675</x:v>
      </x:c>
      <x:c r="J986" t="s">
        <x:v>6676</x:v>
      </x:c>
      <x:c r="K986" t="s">
        <x:v>6677</x:v>
      </x:c>
      <x:c r="L986" t="s">
        <x:v>6678</x:v>
      </x:c>
      <x:c r="M986" t="s">
        <x:v>6679</x:v>
      </x:c>
      <x:c r="N986" t="s">
        <x:v>6680</x:v>
      </x:c>
      <x:c r="O986" t="s">
        <x:v>6681</x:v>
      </x:c>
      <x:c r="P986" t="s">
        <x:v>6682</x:v>
      </x:c>
      <x:c r="R986" s="9">
        <x:v>40373</x:v>
      </x:c>
      <x:c r="T986" t="s">
        <x:v>119</x:v>
      </x:c>
      <x:c r="W986" s="26" t="n">
        <x:v>3.8401944</x:v>
      </x:c>
      <x:c r="X986" s="26" t="n">
        <x:v>-77.1947222</x:v>
      </x:c>
      <x:c r="AF986" t="s">
        <x:v>50</x:v>
      </x:c>
      <x:c r="AG986" t="s">
        <x:v>83</x:v>
      </x:c>
      <x:c r="AH986" t="s">
        <x:v>6683</x:v>
      </x:c>
      <x:c r="AI986" t="s">
        <x:v>6684</x:v>
      </x:c>
      <x:c r="AJ986">
        <x:v>1052</x:v>
      </x:c>
    </x:row>
    <x:row r="987">
      <x:c r="A987" t="s">
        <x:v>6685</x:v>
      </x:c>
      <x:c r="B987" t="s">
        <x:v>6686</x:v>
      </x:c>
      <x:c r="C987" t="s">
        <x:v>6687</x:v>
      </x:c>
      <x:c r="D987" t="s">
        <x:v>6688</x:v>
      </x:c>
      <x:c r="E987" t="s">
        <x:v>6689</x:v>
      </x:c>
      <x:c r="F987">
        <x:v>3040</x:v>
      </x:c>
      <x:c r="G987">
        <x:v>3040</x:v>
      </x:c>
      <x:c r="H987">
        <x:v>3040</x:v>
      </x:c>
      <x:c r="P987" t="s">
        <x:v>80</x:v>
      </x:c>
      <x:c r="R987" s="9">
        <x:v>30895</x:v>
      </x:c>
      <x:c r="T987" t="s">
        <x:v>111</x:v>
      </x:c>
      <x:c r="W987" s="26" t="n">
        <x:v>6.43758</x:v>
      </x:c>
      <x:c r="X987" s="26" t="n">
        <x:v>-76.1159</x:v>
      </x:c>
      <x:c r="Y987">
        <x:v>7088.2489999999998</x:v>
      </x:c>
      <x:c r="Z987">
        <x:v>2463</x:v>
      </x:c>
      <x:c r="AB987" t="s">
        <x:v>1683</x:v>
      </x:c>
      <x:c r="AF987" t="s">
        <x:v>50</x:v>
      </x:c>
      <x:c r="AG987" t="s">
        <x:v>402</x:v>
      </x:c>
      <x:c r="AH987" t="s">
        <x:v>1685</x:v>
      </x:c>
      <x:c r="AI987" t="s">
        <x:v>6690</x:v>
      </x:c>
      <x:c r="AJ987">
        <x:v>1053</x:v>
      </x:c>
    </x:row>
    <x:row r="988">
      <x:c r="A988" t="s">
        <x:v>6685</x:v>
      </x:c>
      <x:c r="B988" t="s">
        <x:v>6686</x:v>
      </x:c>
      <x:c r="C988" t="s">
        <x:v>6691</x:v>
      </x:c>
      <x:c r="D988" t="s">
        <x:v>6692</x:v>
      </x:c>
      <x:c r="E988" t="s">
        <x:v>6689</x:v>
      </x:c>
      <x:c r="F988">
        <x:v>3115</x:v>
      </x:c>
      <x:c r="G988">
        <x:v>3115</x:v>
      </x:c>
      <x:c r="H988">
        <x:v>3115</x:v>
      </x:c>
      <x:c r="P988" t="s">
        <x:v>80</x:v>
      </x:c>
      <x:c r="R988" s="9">
        <x:v>30935</x:v>
      </x:c>
      <x:c r="T988" t="s">
        <x:v>119</x:v>
      </x:c>
      <x:c r="W988" s="26" t="n">
        <x:v>6.43758</x:v>
      </x:c>
      <x:c r="X988" s="26" t="n">
        <x:v>-76.1159</x:v>
      </x:c>
      <x:c r="Y988">
        <x:v>7088.2489999999998</x:v>
      </x:c>
      <x:c r="Z988">
        <x:v>2463</x:v>
      </x:c>
      <x:c r="AB988" t="s">
        <x:v>1683</x:v>
      </x:c>
      <x:c r="AF988" t="s">
        <x:v>50</x:v>
      </x:c>
      <x:c r="AG988" t="s">
        <x:v>402</x:v>
      </x:c>
      <x:c r="AH988" t="s">
        <x:v>1685</x:v>
      </x:c>
      <x:c r="AI988" t="s">
        <x:v>6690</x:v>
      </x:c>
      <x:c r="AJ988">
        <x:v>1054</x:v>
      </x:c>
    </x:row>
    <x:row r="989">
      <x:c r="A989" t="s">
        <x:v>6685</x:v>
      </x:c>
      <x:c r="B989" t="s">
        <x:v>6686</x:v>
      </x:c>
      <x:c r="C989" t="s">
        <x:v>6693</x:v>
      </x:c>
      <x:c r="D989" t="s">
        <x:v>6694</x:v>
      </x:c>
      <x:c r="E989" t="s">
        <x:v>6695</x:v>
      </x:c>
      <x:c r="F989">
        <x:v>2920</x:v>
      </x:c>
      <x:c r="G989">
        <x:v>2920</x:v>
      </x:c>
      <x:c r="H989">
        <x:v>2920</x:v>
      </x:c>
      <x:c r="I989" t="s">
        <x:v>5783</x:v>
      </x:c>
      <x:c r="J989" t="s">
        <x:v>5784</x:v>
      </x:c>
      <x:c r="K989" t="s">
        <x:v>5785</x:v>
      </x:c>
      <x:c r="L989" t="s">
        <x:v>5786</x:v>
      </x:c>
      <x:c r="M989" t="s">
        <x:v>5787</x:v>
      </x:c>
      <x:c r="N989" t="s">
        <x:v>5788</x:v>
      </x:c>
      <x:c r="O989" t="s">
        <x:v>5789</x:v>
      </x:c>
      <x:c r="P989" t="s">
        <x:v>5790</x:v>
      </x:c>
      <x:c r="R989" s="9">
        <x:v>37539</x:v>
      </x:c>
      <x:c r="W989" s="26" t="n">
        <x:v>6.49881</x:v>
      </x:c>
      <x:c r="X989" s="26" t="n">
        <x:v>-75.63637</x:v>
      </x:c>
      <x:c r="Y989">
        <x:v>1715.8679999999999</x:v>
      </x:c>
      <x:c r="Z989">
        <x:v>2964</x:v>
      </x:c>
      <x:c r="AB989" t="s">
        <x:v>5791</x:v>
      </x:c>
      <x:c r="AF989" t="s">
        <x:v>50</x:v>
      </x:c>
      <x:c r="AG989" t="s">
        <x:v>402</x:v>
      </x:c>
      <x:c r="AH989" t="s">
        <x:v>1710</x:v>
      </x:c>
      <x:c r="AI989" t="s">
        <x:v>6696</x:v>
      </x:c>
      <x:c r="AJ989">
        <x:v>1055</x:v>
      </x:c>
    </x:row>
    <x:row r="990">
      <x:c r="A990" t="s">
        <x:v>6685</x:v>
      </x:c>
      <x:c r="B990" t="s">
        <x:v>6686</x:v>
      </x:c>
      <x:c r="C990" t="s">
        <x:v>6693</x:v>
      </x:c>
      <x:c r="D990" t="s">
        <x:v>6697</x:v>
      </x:c>
      <x:c r="E990" t="s">
        <x:v>6695</x:v>
      </x:c>
      <x:c r="F990">
        <x:v>2920</x:v>
      </x:c>
      <x:c r="G990">
        <x:v>2920</x:v>
      </x:c>
      <x:c r="H990">
        <x:v>2920</x:v>
      </x:c>
      <x:c r="I990" t="s">
        <x:v>5783</x:v>
      </x:c>
      <x:c r="J990" t="s">
        <x:v>5784</x:v>
      </x:c>
      <x:c r="K990" t="s">
        <x:v>5785</x:v>
      </x:c>
      <x:c r="L990" t="s">
        <x:v>5786</x:v>
      </x:c>
      <x:c r="M990" t="s">
        <x:v>5787</x:v>
      </x:c>
      <x:c r="N990" t="s">
        <x:v>5788</x:v>
      </x:c>
      <x:c r="O990" t="s">
        <x:v>5789</x:v>
      </x:c>
      <x:c r="P990" t="s">
        <x:v>5790</x:v>
      </x:c>
      <x:c r="R990" s="9">
        <x:v>37539</x:v>
      </x:c>
      <x:c r="T990" t="s">
        <x:v>119</x:v>
      </x:c>
      <x:c r="W990" s="26" t="n">
        <x:v>6.49881</x:v>
      </x:c>
      <x:c r="X990" s="26" t="n">
        <x:v>-75.63637</x:v>
      </x:c>
      <x:c r="Y990">
        <x:v>1715.8679999999999</x:v>
      </x:c>
      <x:c r="Z990">
        <x:v>2964</x:v>
      </x:c>
      <x:c r="AB990" t="s">
        <x:v>5791</x:v>
      </x:c>
      <x:c r="AF990" t="s">
        <x:v>50</x:v>
      </x:c>
      <x:c r="AG990" t="s">
        <x:v>402</x:v>
      </x:c>
      <x:c r="AH990" t="s">
        <x:v>1710</x:v>
      </x:c>
      <x:c r="AI990" t="s">
        <x:v>6696</x:v>
      </x:c>
      <x:c r="AJ990">
        <x:v>1057</x:v>
      </x:c>
    </x:row>
    <x:row r="991">
      <x:c r="A991" t="s">
        <x:v>6685</x:v>
      </x:c>
      <x:c r="B991" t="s">
        <x:v>6686</x:v>
      </x:c>
      <x:c r="C991" t="s">
        <x:v>6693</x:v>
      </x:c>
      <x:c r="D991" t="s">
        <x:v>6698</x:v>
      </x:c>
      <x:c r="E991" t="s">
        <x:v>6695</x:v>
      </x:c>
      <x:c r="F991">
        <x:v>2920</x:v>
      </x:c>
      <x:c r="G991">
        <x:v>2920</x:v>
      </x:c>
      <x:c r="H991">
        <x:v>2920</x:v>
      </x:c>
      <x:c r="I991" t="s">
        <x:v>5783</x:v>
      </x:c>
      <x:c r="J991" t="s">
        <x:v>5784</x:v>
      </x:c>
      <x:c r="K991" t="s">
        <x:v>5785</x:v>
      </x:c>
      <x:c r="L991" t="s">
        <x:v>5786</x:v>
      </x:c>
      <x:c r="M991" t="s">
        <x:v>5787</x:v>
      </x:c>
      <x:c r="N991" t="s">
        <x:v>5788</x:v>
      </x:c>
      <x:c r="O991" t="s">
        <x:v>5789</x:v>
      </x:c>
      <x:c r="P991" t="s">
        <x:v>5790</x:v>
      </x:c>
      <x:c r="R991" s="9">
        <x:v>37539</x:v>
      </x:c>
      <x:c r="T991" t="s">
        <x:v>119</x:v>
      </x:c>
      <x:c r="W991" s="26" t="n">
        <x:v>6.49881</x:v>
      </x:c>
      <x:c r="X991" s="26" t="n">
        <x:v>-75.63637</x:v>
      </x:c>
      <x:c r="Y991">
        <x:v>1715.8679999999999</x:v>
      </x:c>
      <x:c r="Z991">
        <x:v>2964</x:v>
      </x:c>
      <x:c r="AB991" t="s">
        <x:v>5791</x:v>
      </x:c>
      <x:c r="AF991" t="s">
        <x:v>50</x:v>
      </x:c>
      <x:c r="AG991" t="s">
        <x:v>402</x:v>
      </x:c>
      <x:c r="AH991" t="s">
        <x:v>1710</x:v>
      </x:c>
      <x:c r="AI991" t="s">
        <x:v>6696</x:v>
      </x:c>
      <x:c r="AJ991">
        <x:v>1058</x:v>
      </x:c>
    </x:row>
    <x:row r="992">
      <x:c r="A992" t="s">
        <x:v>6685</x:v>
      </x:c>
      <x:c r="B992" t="s">
        <x:v>6686</x:v>
      </x:c>
      <x:c r="C992" t="s">
        <x:v>6693</x:v>
      </x:c>
      <x:c r="D992" t="s">
        <x:v>6699</x:v>
      </x:c>
      <x:c r="E992" t="s">
        <x:v>6695</x:v>
      </x:c>
      <x:c r="F992">
        <x:v>2920</x:v>
      </x:c>
      <x:c r="G992">
        <x:v>2920</x:v>
      </x:c>
      <x:c r="H992">
        <x:v>2920</x:v>
      </x:c>
      <x:c r="I992" t="s">
        <x:v>5783</x:v>
      </x:c>
      <x:c r="J992" t="s">
        <x:v>5784</x:v>
      </x:c>
      <x:c r="K992" t="s">
        <x:v>5785</x:v>
      </x:c>
      <x:c r="L992" t="s">
        <x:v>5786</x:v>
      </x:c>
      <x:c r="M992" t="s">
        <x:v>5787</x:v>
      </x:c>
      <x:c r="N992" t="s">
        <x:v>5788</x:v>
      </x:c>
      <x:c r="O992" t="s">
        <x:v>5789</x:v>
      </x:c>
      <x:c r="P992" t="s">
        <x:v>5790</x:v>
      </x:c>
      <x:c r="R992" s="9">
        <x:v>37539</x:v>
      </x:c>
      <x:c r="W992" s="26" t="n">
        <x:v>6.49881</x:v>
      </x:c>
      <x:c r="X992" s="26" t="n">
        <x:v>-75.63637</x:v>
      </x:c>
      <x:c r="Y992">
        <x:v>1715.8679999999999</x:v>
      </x:c>
      <x:c r="Z992">
        <x:v>2964</x:v>
      </x:c>
      <x:c r="AB992" t="s">
        <x:v>5791</x:v>
      </x:c>
      <x:c r="AF992" t="s">
        <x:v>50</x:v>
      </x:c>
      <x:c r="AG992" t="s">
        <x:v>402</x:v>
      </x:c>
      <x:c r="AH992" t="s">
        <x:v>1710</x:v>
      </x:c>
      <x:c r="AI992" t="s">
        <x:v>6696</x:v>
      </x:c>
      <x:c r="AJ992">
        <x:v>1059</x:v>
      </x:c>
    </x:row>
    <x:row r="993">
      <x:c r="A993" t="s">
        <x:v>6685</x:v>
      </x:c>
      <x:c r="B993" t="s">
        <x:v>6686</x:v>
      </x:c>
      <x:c r="C993" t="s">
        <x:v>6700</x:v>
      </x:c>
      <x:c r="D993" t="s">
        <x:v>1837</x:v>
      </x:c>
      <x:c r="E993" t="s">
        <x:v>5825</x:v>
      </x:c>
      <x:c r="F993">
        <x:v>3126</x:v>
      </x:c>
      <x:c r="G993">
        <x:v>3126</x:v>
      </x:c>
      <x:c r="H993">
        <x:v>3126</x:v>
      </x:c>
      <x:c r="I993" t="s">
        <x:v>6701</x:v>
      </x:c>
      <x:c r="J993" t="s">
        <x:v>6702</x:v>
      </x:c>
      <x:c r="K993" t="s">
        <x:v>6703</x:v>
      </x:c>
      <x:c r="L993" t="s">
        <x:v>6704</x:v>
      </x:c>
      <x:c r="M993" t="s">
        <x:v>6705</x:v>
      </x:c>
      <x:c r="P993" t="s">
        <x:v>80</x:v>
      </x:c>
      <x:c r="R993" s="9">
        <x:v>40948</x:v>
      </x:c>
      <x:c r="T993" t="s">
        <x:v>119</x:v>
      </x:c>
      <x:c r="W993" s="26" t="n">
        <x:v>6.621966667</x:v>
      </x:c>
      <x:c r="X993" s="26" t="n">
        <x:v>-75.64495</x:v>
      </x:c>
      <x:c r="AF993" t="s">
        <x:v>50</x:v>
      </x:c>
      <x:c r="AG993" t="s">
        <x:v>402</x:v>
      </x:c>
      <x:c r="AH993" t="s">
        <x:v>1710</x:v>
      </x:c>
      <x:c r="AI993" t="s">
        <x:v>5831</x:v>
      </x:c>
      <x:c r="AJ993">
        <x:v>1060</x:v>
      </x:c>
    </x:row>
    <x:row r="994">
      <x:c r="A994" t="s">
        <x:v>6685</x:v>
      </x:c>
      <x:c r="B994" t="s">
        <x:v>6686</x:v>
      </x:c>
      <x:c r="C994" t="s">
        <x:v>6706</x:v>
      </x:c>
      <x:c r="D994" t="s">
        <x:v>6707</x:v>
      </x:c>
      <x:c r="E994" t="s">
        <x:v>6708</x:v>
      </x:c>
      <x:c r="F994">
        <x:v>3100</x:v>
      </x:c>
      <x:c r="G994">
        <x:v>3100</x:v>
      </x:c>
      <x:c r="H994">
        <x:v>3100</x:v>
      </x:c>
      <x:c r="P994" t="s">
        <x:v>80</x:v>
      </x:c>
      <x:c r="R994" s="9">
        <x:v>24762</x:v>
      </x:c>
      <x:c r="T994" t="s">
        <x:v>119</x:v>
      </x:c>
      <x:c r="W994" s="26" t="n">
        <x:v>5.66577</x:v>
      </x:c>
      <x:c r="X994" s="26" t="n">
        <x:v>-73.36538</x:v>
      </x:c>
      <x:c r="Y994">
        <x:v>5046.6350000000002</x:v>
      </x:c>
      <x:c r="Z994">
        <x:v>3057</x:v>
      </x:c>
      <x:c r="AB994" t="s">
        <x:v>6709</x:v>
      </x:c>
      <x:c r="AF994" t="s">
        <x:v>50</x:v>
      </x:c>
      <x:c r="AG994" t="s">
        <x:v>90</x:v>
      </x:c>
      <x:c r="AH994" t="s">
        <x:v>6710</x:v>
      </x:c>
      <x:c r="AI994" t="s">
        <x:v>6711</x:v>
      </x:c>
      <x:c r="AJ994">
        <x:v>1061</x:v>
      </x:c>
    </x:row>
    <x:row r="995">
      <x:c r="A995" t="s">
        <x:v>6685</x:v>
      </x:c>
      <x:c r="B995" t="s">
        <x:v>6686</x:v>
      </x:c>
      <x:c r="C995" t="s">
        <x:v>6712</x:v>
      </x:c>
      <x:c r="D995" t="s">
        <x:v>6713</x:v>
      </x:c>
      <x:c r="E995" t="s">
        <x:v>6714</x:v>
      </x:c>
      <x:c r="F995">
        <x:v>3100</x:v>
      </x:c>
      <x:c r="G995">
        <x:v>3100</x:v>
      </x:c>
      <x:c r="H995">
        <x:v>3100</x:v>
      </x:c>
      <x:c r="P995" t="s">
        <x:v>80</x:v>
      </x:c>
      <x:c r="R995" s="9">
        <x:v>25442</x:v>
      </x:c>
      <x:c r="T995" t="s">
        <x:v>6715</x:v>
      </x:c>
      <x:c r="W995" s="26" t="n">
        <x:v>5.66577</x:v>
      </x:c>
      <x:c r="X995" s="26" t="n">
        <x:v>-73.36538</x:v>
      </x:c>
      <x:c r="Y995">
        <x:v>5046.6350000000002</x:v>
      </x:c>
      <x:c r="Z995">
        <x:v>3057</x:v>
      </x:c>
      <x:c r="AB995" t="s">
        <x:v>6709</x:v>
      </x:c>
      <x:c r="AF995" t="s">
        <x:v>50</x:v>
      </x:c>
      <x:c r="AG995" t="s">
        <x:v>90</x:v>
      </x:c>
      <x:c r="AH995" t="s">
        <x:v>6716</x:v>
      </x:c>
      <x:c r="AI995" t="s">
        <x:v>6717</x:v>
      </x:c>
      <x:c r="AJ995">
        <x:v>1062</x:v>
      </x:c>
    </x:row>
    <x:row r="996">
      <x:c r="A996" t="s">
        <x:v>6685</x:v>
      </x:c>
      <x:c r="B996" t="s">
        <x:v>6686</x:v>
      </x:c>
      <x:c r="C996" t="s">
        <x:v>6718</x:v>
      </x:c>
      <x:c r="D996" t="s">
        <x:v>3349</x:v>
      </x:c>
      <x:c r="E996" t="s">
        <x:v>6719</x:v>
      </x:c>
      <x:c r="P996" t="s">
        <x:v>80</x:v>
      </x:c>
      <x:c r="R996" s="9">
        <x:v>28035</x:v>
      </x:c>
      <x:c r="W996" s="26" t="n">
        <x:v>5.42103</x:v>
      </x:c>
      <x:c r="X996" s="26" t="n">
        <x:v>-73.54418</x:v>
      </x:c>
      <x:c r="Y996">
        <x:v>653.03899999999999</x:v>
      </x:c>
      <x:c r="Z996">
        <x:v>3284</x:v>
      </x:c>
      <x:c r="AB996" t="s">
        <x:v>3351</x:v>
      </x:c>
      <x:c r="AF996" t="s">
        <x:v>50</x:v>
      </x:c>
      <x:c r="AG996" t="s">
        <x:v>90</x:v>
      </x:c>
      <x:c r="AH996" t="s">
        <x:v>3352</x:v>
      </x:c>
      <x:c r="AI996" t="s">
        <x:v>6720</x:v>
      </x:c>
      <x:c r="AJ996">
        <x:v>1063</x:v>
      </x:c>
    </x:row>
    <x:row r="997">
      <x:c r="A997" t="s">
        <x:v>6685</x:v>
      </x:c>
      <x:c r="B997" t="s">
        <x:v>6686</x:v>
      </x:c>
      <x:c r="C997" t="s">
        <x:v>6721</x:v>
      </x:c>
      <x:c r="D997" t="s">
        <x:v>6722</x:v>
      </x:c>
      <x:c r="E997" t="s">
        <x:v>6723</x:v>
      </x:c>
      <x:c r="F997">
        <x:v>3150</x:v>
      </x:c>
      <x:c r="G997">
        <x:v>3150</x:v>
      </x:c>
      <x:c r="H997">
        <x:v>3150</x:v>
      </x:c>
      <x:c r="P997" t="s">
        <x:v>80</x:v>
      </x:c>
      <x:c r="R997" s="9">
        <x:v>34408</x:v>
      </x:c>
      <x:c r="T997" t="s">
        <x:v>111</x:v>
      </x:c>
      <x:c r="W997" s="26" t="n">
        <x:v>5.95105</x:v>
      </x:c>
      <x:c r="X997" s="26" t="n">
        <x:v>-73.11839</x:v>
      </x:c>
      <x:c r="Y997">
        <x:v>3701.6990000000001</x:v>
      </x:c>
      <x:c r="Z997">
        <x:v>3184</x:v>
      </x:c>
      <x:c r="AB997" t="s">
        <x:v>6724</x:v>
      </x:c>
      <x:c r="AF997" t="s">
        <x:v>50</x:v>
      </x:c>
      <x:c r="AG997" t="s">
        <x:v>90</x:v>
      </x:c>
      <x:c r="AH997" t="s">
        <x:v>6725</x:v>
      </x:c>
      <x:c r="AI997" t="s">
        <x:v>6726</x:v>
      </x:c>
      <x:c r="AJ997">
        <x:v>1064</x:v>
      </x:c>
    </x:row>
    <x:row r="998">
      <x:c r="A998" t="s">
        <x:v>6685</x:v>
      </x:c>
      <x:c r="B998" t="s">
        <x:v>6686</x:v>
      </x:c>
      <x:c r="C998" t="s">
        <x:v>6727</x:v>
      </x:c>
      <x:c r="D998" t="s">
        <x:v>6728</x:v>
      </x:c>
      <x:c r="E998" t="s">
        <x:v>6729</x:v>
      </x:c>
      <x:c r="F998">
        <x:v>2750</x:v>
      </x:c>
      <x:c r="G998">
        <x:v>2750</x:v>
      </x:c>
      <x:c r="H998">
        <x:v>2750</x:v>
      </x:c>
      <x:c r="P998" t="s">
        <x:v>80</x:v>
      </x:c>
      <x:c r="R998" s="9">
        <x:v>37051</x:v>
      </x:c>
      <x:c r="T998" t="s">
        <x:v>119</x:v>
      </x:c>
      <x:c r="W998" s="26" t="n">
        <x:v>5.71778</x:v>
      </x:c>
      <x:c r="X998" s="26" t="n">
        <x:v>-73.45842</x:v>
      </x:c>
      <x:c r="Y998">
        <x:v>1169.473</x:v>
      </x:c>
      <x:c r="Z998">
        <x:v>2715</x:v>
      </x:c>
      <x:c r="AB998" t="s">
        <x:v>6730</x:v>
      </x:c>
      <x:c r="AF998" t="s">
        <x:v>50</x:v>
      </x:c>
      <x:c r="AG998" t="s">
        <x:v>90</x:v>
      </x:c>
      <x:c r="AH998" t="s">
        <x:v>2680</x:v>
      </x:c>
      <x:c r="AI998" t="s">
        <x:v>6731</x:v>
      </x:c>
      <x:c r="AJ998">
        <x:v>1065</x:v>
      </x:c>
    </x:row>
    <x:row r="999">
      <x:c r="A999" t="s">
        <x:v>6685</x:v>
      </x:c>
      <x:c r="B999" t="s">
        <x:v>6686</x:v>
      </x:c>
      <x:c r="C999" t="s">
        <x:v>6732</x:v>
      </x:c>
      <x:c r="D999" t="s">
        <x:v>6733</x:v>
      </x:c>
      <x:c r="E999" t="s">
        <x:v>6734</x:v>
      </x:c>
      <x:c r="F999">
        <x:v>3000</x:v>
      </x:c>
      <x:c r="G999">
        <x:v>3000</x:v>
      </x:c>
      <x:c r="H999">
        <x:v>3000</x:v>
      </x:c>
      <x:c r="I999" t="s">
        <x:v>6735</x:v>
      </x:c>
      <x:c r="J999" t="s">
        <x:v>6736</x:v>
      </x:c>
      <x:c r="K999" t="s">
        <x:v>6737</x:v>
      </x:c>
      <x:c r="L999" t="s">
        <x:v>6738</x:v>
      </x:c>
      <x:c r="M999" t="s">
        <x:v>6739</x:v>
      </x:c>
      <x:c r="N999" t="s">
        <x:v>6740</x:v>
      </x:c>
      <x:c r="O999" t="s">
        <x:v>6741</x:v>
      </x:c>
      <x:c r="P999" t="s">
        <x:v>6742</x:v>
      </x:c>
      <x:c r="R999" s="9">
        <x:v>21402</x:v>
      </x:c>
      <x:c r="T999" t="s">
        <x:v>119</x:v>
      </x:c>
      <x:c r="W999" s="26" t="n">
        <x:v>4.9268944</x:v>
      </x:c>
      <x:c r="X999" s="26" t="n">
        <x:v>-75.4162056</x:v>
      </x:c>
      <x:c r="AF999" t="s">
        <x:v>50</x:v>
      </x:c>
      <x:c r="AG999" t="s">
        <x:v>167</x:v>
      </x:c>
      <x:c r="AH999" t="s">
        <x:v>6743</x:v>
      </x:c>
      <x:c r="AI999" t="s">
        <x:v>6744</x:v>
      </x:c>
      <x:c r="AJ999">
        <x:v>1066</x:v>
      </x:c>
    </x:row>
    <x:row r="1000">
      <x:c r="A1000" t="s">
        <x:v>6685</x:v>
      </x:c>
      <x:c r="B1000" t="s">
        <x:v>6686</x:v>
      </x:c>
      <x:c r="C1000" t="s">
        <x:v>1756</x:v>
      </x:c>
      <x:c r="D1000" t="s">
        <x:v>1757</x:v>
      </x:c>
      <x:c r="E1000" t="s">
        <x:v>6745</x:v>
      </x:c>
      <x:c r="F1000">
        <x:v>3240</x:v>
      </x:c>
      <x:c r="G1000">
        <x:v>3240</x:v>
      </x:c>
      <x:c r="H1000">
        <x:v>3240</x:v>
      </x:c>
      <x:c r="P1000" t="s">
        <x:v>80</x:v>
      </x:c>
      <x:c r="R1000" s="9">
        <x:v>21736</x:v>
      </x:c>
      <x:c r="T1000" t="s">
        <x:v>65</x:v>
      </x:c>
      <x:c r="W1000" s="26" t="n">
        <x:v>4.9722</x:v>
      </x:c>
      <x:c r="X1000" s="26" t="n">
        <x:v>-75.38059</x:v>
      </x:c>
      <x:c r="Y1000">
        <x:v>615.61400000000003</x:v>
      </x:c>
      <x:c r="Z1000">
        <x:v>3513</x:v>
      </x:c>
      <x:c r="AB1000" t="s">
        <x:v>1804</x:v>
      </x:c>
      <x:c r="AF1000" t="s">
        <x:v>50</x:v>
      </x:c>
      <x:c r="AG1000" t="s">
        <x:v>167</x:v>
      </x:c>
      <x:c r="AH1000" t="s">
        <x:v>6746</x:v>
      </x:c>
      <x:c r="AI1000" t="s">
        <x:v>1760</x:v>
      </x:c>
      <x:c r="AJ1000">
        <x:v>1067</x:v>
      </x:c>
    </x:row>
    <x:row r="1001">
      <x:c r="A1001" t="s">
        <x:v>6685</x:v>
      </x:c>
      <x:c r="B1001" t="s">
        <x:v>6686</x:v>
      </x:c>
      <x:c r="C1001" t="s">
        <x:v>6747</x:v>
      </x:c>
      <x:c r="D1001" t="s">
        <x:v>6748</x:v>
      </x:c>
      <x:c r="E1001" t="s">
        <x:v>6749</x:v>
      </x:c>
      <x:c r="P1001" t="s">
        <x:v>80</x:v>
      </x:c>
      <x:c r="R1001" s="9">
        <x:v>22576</x:v>
      </x:c>
      <x:c r="W1001" s="26" t="n">
        <x:v>4.9722</x:v>
      </x:c>
      <x:c r="X1001" s="26" t="n">
        <x:v>-75.38059</x:v>
      </x:c>
      <x:c r="Y1001">
        <x:v>615.61400000000003</x:v>
      </x:c>
      <x:c r="Z1001">
        <x:v>3513</x:v>
      </x:c>
      <x:c r="AB1001" t="s">
        <x:v>1804</x:v>
      </x:c>
      <x:c r="AF1001" t="s">
        <x:v>50</x:v>
      </x:c>
      <x:c r="AG1001" t="s">
        <x:v>167</x:v>
      </x:c>
      <x:c r="AH1001" t="s">
        <x:v>993</x:v>
      </x:c>
      <x:c r="AI1001" t="s">
        <x:v>1764</x:v>
      </x:c>
      <x:c r="AJ1001">
        <x:v>1068</x:v>
      </x:c>
    </x:row>
    <x:row r="1002">
      <x:c r="A1002" t="s">
        <x:v>6685</x:v>
      </x:c>
      <x:c r="B1002" t="s">
        <x:v>6686</x:v>
      </x:c>
      <x:c r="C1002" t="s">
        <x:v>6750</x:v>
      </x:c>
      <x:c r="D1002" t="s">
        <x:v>1529</x:v>
      </x:c>
      <x:c r="E1002" t="s">
        <x:v>6751</x:v>
      </x:c>
      <x:c r="F1002">
        <x:v>2800</x:v>
      </x:c>
      <x:c r="G1002">
        <x:v>2800</x:v>
      </x:c>
      <x:c r="H1002">
        <x:v>2800</x:v>
      </x:c>
      <x:c r="P1002" t="s">
        <x:v>80</x:v>
      </x:c>
      <x:c r="R1002" s="9">
        <x:v>39663</x:v>
      </x:c>
      <x:c r="T1002" t="s">
        <x:v>119</x:v>
      </x:c>
      <x:c r="W1002" s="26" t="n">
        <x:v>5.38329</x:v>
      </x:c>
      <x:c r="X1002" s="26" t="n">
        <x:v>-75.35331</x:v>
      </x:c>
      <x:c r="Y1002">
        <x:v>1469.046</x:v>
      </x:c>
      <x:c r="Z1002">
        <x:v>2946</x:v>
      </x:c>
      <x:c r="AB1002" t="s">
        <x:v>1822</x:v>
      </x:c>
      <x:c r="AF1002" t="s">
        <x:v>50</x:v>
      </x:c>
      <x:c r="AG1002" t="s">
        <x:v>167</x:v>
      </x:c>
      <x:c r="AH1002" t="s">
        <x:v>1823</x:v>
      </x:c>
      <x:c r="AI1002" t="s">
        <x:v>6752</x:v>
      </x:c>
      <x:c r="AJ1002">
        <x:v>1069</x:v>
      </x:c>
    </x:row>
    <x:row r="1003">
      <x:c r="A1003" t="s">
        <x:v>6685</x:v>
      </x:c>
      <x:c r="B1003" t="s">
        <x:v>6686</x:v>
      </x:c>
      <x:c r="C1003" t="s">
        <x:v>6753</x:v>
      </x:c>
      <x:c r="D1003" t="s">
        <x:v>1060</x:v>
      </x:c>
      <x:c r="E1003" t="s">
        <x:v>6754</x:v>
      </x:c>
      <x:c r="F1003">
        <x:v>2759</x:v>
      </x:c>
      <x:c r="G1003">
        <x:v>2759</x:v>
      </x:c>
      <x:c r="H1003">
        <x:v>2759</x:v>
      </x:c>
      <x:c r="I1003" t="s">
        <x:v>1827</x:v>
      </x:c>
      <x:c r="J1003" t="s">
        <x:v>1828</x:v>
      </x:c>
      <x:c r="K1003" t="s">
        <x:v>1829</x:v>
      </x:c>
      <x:c r="L1003" t="s">
        <x:v>1830</x:v>
      </x:c>
      <x:c r="M1003" t="s">
        <x:v>1831</x:v>
      </x:c>
      <x:c r="N1003" t="s">
        <x:v>1832</x:v>
      </x:c>
      <x:c r="O1003" t="s">
        <x:v>1833</x:v>
      </x:c>
      <x:c r="P1003" t="s">
        <x:v>1834</x:v>
      </x:c>
      <x:c r="R1003" s="9">
        <x:v>39955</x:v>
      </x:c>
      <x:c r="T1003" t="s">
        <x:v>119</x:v>
      </x:c>
      <x:c r="W1003" s="26" t="n">
        <x:v>5.06275</x:v>
      </x:c>
      <x:c r="X1003" s="26" t="n">
        <x:v>-75.3823889</x:v>
      </x:c>
      <x:c r="AF1003" t="s">
        <x:v>50</x:v>
      </x:c>
      <x:c r="AG1003" t="s">
        <x:v>167</x:v>
      </x:c>
      <x:c r="AH1003" t="s">
        <x:v>168</x:v>
      </x:c>
      <x:c r="AI1003" t="s">
        <x:v>6755</x:v>
      </x:c>
      <x:c r="AJ1003">
        <x:v>1070</x:v>
      </x:c>
    </x:row>
    <x:row r="1004">
      <x:c r="A1004" t="s">
        <x:v>6685</x:v>
      </x:c>
      <x:c r="B1004" t="s">
        <x:v>6686</x:v>
      </x:c>
      <x:c r="C1004" t="s">
        <x:v>6756</x:v>
      </x:c>
      <x:c r="D1004" t="s">
        <x:v>1529</x:v>
      </x:c>
      <x:c r="E1004" t="s">
        <x:v>6757</x:v>
      </x:c>
      <x:c r="F1004">
        <x:v>3227</x:v>
      </x:c>
      <x:c r="G1004">
        <x:v>3227</x:v>
      </x:c>
      <x:c r="H1004">
        <x:v>3227</x:v>
      </x:c>
      <x:c r="P1004" t="s">
        <x:v>80</x:v>
      </x:c>
      <x:c r="R1004" s="9">
        <x:v>40602</x:v>
      </x:c>
      <x:c r="T1004" t="s">
        <x:v>119</x:v>
      </x:c>
      <x:c r="W1004" s="26" t="n">
        <x:v>5.37045</x:v>
      </x:c>
      <x:c r="X1004" s="26" t="n">
        <x:v>-75.38595</x:v>
      </x:c>
      <x:c r="Y1004">
        <x:v>5096.4889999999996</x:v>
      </x:c>
      <x:c r="Z1004">
        <x:v>2888</x:v>
      </x:c>
      <x:c r="AB1004" t="s">
        <x:v>1844</x:v>
      </x:c>
      <x:c r="AF1004" t="s">
        <x:v>50</x:v>
      </x:c>
      <x:c r="AG1004" t="s">
        <x:v>167</x:v>
      </x:c>
      <x:c r="AH1004" t="s">
        <x:v>1823</x:v>
      </x:c>
      <x:c r="AI1004" t="s">
        <x:v>6758</x:v>
      </x:c>
      <x:c r="AJ1004">
        <x:v>1071</x:v>
      </x:c>
    </x:row>
    <x:row r="1005">
      <x:c r="A1005" t="s">
        <x:v>6685</x:v>
      </x:c>
      <x:c r="B1005" t="s">
        <x:v>6686</x:v>
      </x:c>
      <x:c r="C1005" t="s">
        <x:v>6759</x:v>
      </x:c>
      <x:c r="D1005" t="s">
        <x:v>6760</x:v>
      </x:c>
      <x:c r="E1005" t="s">
        <x:v>6761</x:v>
      </x:c>
      <x:c r="F1005">
        <x:v>3100</x:v>
      </x:c>
      <x:c r="G1005">
        <x:v>3100</x:v>
      </x:c>
      <x:c r="H1005">
        <x:v>3100</x:v>
      </x:c>
      <x:c r="I1005" t="s">
        <x:v>6762</x:v>
      </x:c>
      <x:c r="J1005" t="s">
        <x:v>6763</x:v>
      </x:c>
      <x:c r="K1005" t="s">
        <x:v>6764</x:v>
      </x:c>
      <x:c r="L1005" t="s">
        <x:v>6765</x:v>
      </x:c>
      <x:c r="M1005" t="s">
        <x:v>6766</x:v>
      </x:c>
      <x:c r="N1005" t="s">
        <x:v>6767</x:v>
      </x:c>
      <x:c r="O1005" t="s">
        <x:v>6768</x:v>
      </x:c>
      <x:c r="P1005" t="s">
        <x:v>6769</x:v>
      </x:c>
      <x:c r="R1005" s="9">
        <x:v>27964</x:v>
      </x:c>
      <x:c r="W1005" s="26" t="n">
        <x:v>2.3112194</x:v>
      </x:c>
      <x:c r="X1005" s="26" t="n">
        <x:v>-76.3922889</x:v>
      </x:c>
      <x:c r="AF1005" t="s">
        <x:v>50</x:v>
      </x:c>
      <x:c r="AG1005" t="s">
        <x:v>283</x:v>
      </x:c>
      <x:c r="AH1005" t="s">
        <x:v>6770</x:v>
      </x:c>
      <x:c r="AJ1005">
        <x:v>1072</x:v>
      </x:c>
    </x:row>
    <x:row r="1006">
      <x:c r="A1006" t="s">
        <x:v>6685</x:v>
      </x:c>
      <x:c r="B1006" t="s">
        <x:v>6686</x:v>
      </x:c>
      <x:c r="C1006" t="s">
        <x:v>6771</x:v>
      </x:c>
      <x:c r="D1006" t="s">
        <x:v>6772</x:v>
      </x:c>
      <x:c r="E1006" t="s">
        <x:v>6773</x:v>
      </x:c>
      <x:c r="F1006">
        <x:v>2980</x:v>
      </x:c>
      <x:c r="G1006">
        <x:v>2980</x:v>
      </x:c>
      <x:c r="H1006">
        <x:v>2980</x:v>
      </x:c>
      <x:c r="I1006" t="s">
        <x:v>768</x:v>
      </x:c>
      <x:c r="J1006" t="s">
        <x:v>769</x:v>
      </x:c>
      <x:c r="K1006" t="s">
        <x:v>770</x:v>
      </x:c>
      <x:c r="L1006" t="s">
        <x:v>771</x:v>
      </x:c>
      <x:c r="M1006" t="s">
        <x:v>772</x:v>
      </x:c>
      <x:c r="N1006" t="s">
        <x:v>773</x:v>
      </x:c>
      <x:c r="O1006" t="s">
        <x:v>774</x:v>
      </x:c>
      <x:c r="P1006" t="s">
        <x:v>775</x:v>
      </x:c>
      <x:c r="R1006" s="9">
        <x:v>37391</x:v>
      </x:c>
      <x:c r="T1006" t="s">
        <x:v>119</x:v>
      </x:c>
      <x:c r="W1006" s="26" t="n">
        <x:v>2.45</x:v>
      </x:c>
      <x:c r="X1006" s="26" t="n">
        <x:v>-76.6166667</x:v>
      </x:c>
      <x:c r="AF1006" t="s">
        <x:v>50</x:v>
      </x:c>
      <x:c r="AG1006" t="s">
        <x:v>283</x:v>
      </x:c>
      <x:c r="AH1006" t="s">
        <x:v>703</x:v>
      </x:c>
      <x:c r="AI1006" t="s">
        <x:v>6774</x:v>
      </x:c>
      <x:c r="AJ1006">
        <x:v>1073</x:v>
      </x:c>
    </x:row>
    <x:row r="1007">
      <x:c r="A1007" t="s">
        <x:v>6685</x:v>
      </x:c>
      <x:c r="B1007" t="s">
        <x:v>6686</x:v>
      </x:c>
      <x:c r="C1007" t="s">
        <x:v>6775</x:v>
      </x:c>
      <x:c r="D1007" t="s">
        <x:v>6776</x:v>
      </x:c>
      <x:c r="E1007" t="s">
        <x:v>6777</x:v>
      </x:c>
      <x:c r="F1007">
        <x:v>3000</x:v>
      </x:c>
      <x:c r="G1007">
        <x:v>3000</x:v>
      </x:c>
      <x:c r="H1007">
        <x:v>3000</x:v>
      </x:c>
      <x:c r="I1007" t="s">
        <x:v>1914</x:v>
      </x:c>
      <x:c r="J1007" t="s">
        <x:v>1915</x:v>
      </x:c>
      <x:c r="K1007" t="s">
        <x:v>1916</x:v>
      </x:c>
      <x:c r="L1007" t="s">
        <x:v>1917</x:v>
      </x:c>
      <x:c r="M1007" t="s">
        <x:v>1918</x:v>
      </x:c>
      <x:c r="N1007" t="s">
        <x:v>1919</x:v>
      </x:c>
      <x:c r="O1007" t="s">
        <x:v>1920</x:v>
      </x:c>
      <x:c r="P1007" t="s">
        <x:v>1921</x:v>
      </x:c>
      <x:c r="R1007" s="9">
        <x:v>37555</x:v>
      </x:c>
      <x:c r="T1007" t="s">
        <x:v>119</x:v>
      </x:c>
      <x:c r="W1007" s="26" t="n">
        <x:v>1.7598611</x:v>
      </x:c>
      <x:c r="X1007" s="26" t="n">
        <x:v>-76.9058333</x:v>
      </x:c>
      <x:c r="AF1007" t="s">
        <x:v>50</x:v>
      </x:c>
      <x:c r="AG1007" t="s">
        <x:v>283</x:v>
      </x:c>
      <x:c r="AH1007" t="s">
        <x:v>944</x:v>
      </x:c>
      <x:c r="AI1007" t="s">
        <x:v>6778</x:v>
      </x:c>
      <x:c r="AJ1007">
        <x:v>1074</x:v>
      </x:c>
    </x:row>
    <x:row r="1008">
      <x:c r="A1008" t="s">
        <x:v>6685</x:v>
      </x:c>
      <x:c r="B1008" t="s">
        <x:v>6686</x:v>
      </x:c>
      <x:c r="C1008" t="s">
        <x:v>6779</x:v>
      </x:c>
      <x:c r="D1008" t="s">
        <x:v>6780</x:v>
      </x:c>
      <x:c r="E1008" t="s">
        <x:v>1907</x:v>
      </x:c>
      <x:c r="F1008">
        <x:v>3200</x:v>
      </x:c>
      <x:c r="G1008">
        <x:v>3200</x:v>
      </x:c>
      <x:c r="H1008">
        <x:v>3200</x:v>
      </x:c>
      <x:c r="I1008" t="s">
        <x:v>768</x:v>
      </x:c>
      <x:c r="J1008" t="s">
        <x:v>769</x:v>
      </x:c>
      <x:c r="K1008" t="s">
        <x:v>770</x:v>
      </x:c>
      <x:c r="L1008" t="s">
        <x:v>771</x:v>
      </x:c>
      <x:c r="M1008" t="s">
        <x:v>772</x:v>
      </x:c>
      <x:c r="N1008" t="s">
        <x:v>773</x:v>
      </x:c>
      <x:c r="O1008" t="s">
        <x:v>774</x:v>
      </x:c>
      <x:c r="P1008" t="s">
        <x:v>775</x:v>
      </x:c>
      <x:c r="R1008" s="9">
        <x:v>37660</x:v>
      </x:c>
      <x:c r="T1008" t="s">
        <x:v>111</x:v>
      </x:c>
      <x:c r="W1008" s="26" t="n">
        <x:v>2.45</x:v>
      </x:c>
      <x:c r="X1008" s="26" t="n">
        <x:v>-76.6166667</x:v>
      </x:c>
      <x:c r="AF1008" t="s">
        <x:v>50</x:v>
      </x:c>
      <x:c r="AG1008" t="s">
        <x:v>283</x:v>
      </x:c>
      <x:c r="AH1008" t="s">
        <x:v>703</x:v>
      </x:c>
      <x:c r="AI1008" t="s">
        <x:v>1909</x:v>
      </x:c>
      <x:c r="AJ1008">
        <x:v>1075</x:v>
      </x:c>
    </x:row>
    <x:row r="1009" s="2" customFormat="1">
      <x:c r="A1009" t="s">
        <x:v>6685</x:v>
      </x:c>
      <x:c r="B1009" t="s">
        <x:v>6686</x:v>
      </x:c>
      <x:c r="C1009" t="s">
        <x:v>6781</x:v>
      </x:c>
      <x:c r="D1009" t="s">
        <x:v>6782</x:v>
      </x:c>
      <x:c r="E1009" t="s">
        <x:v>6783</x:v>
      </x:c>
      <x:c r="F1009" t="s">
        <x:v>6784</x:v>
      </x:c>
      <x:c r="G1009">
        <x:v>2600</x:v>
      </x:c>
      <x:c r="H1009">
        <x:v>3000</x:v>
      </x:c>
      <x:c r="I1009" t="s">
        <x:v>768</x:v>
      </x:c>
      <x:c r="J1009" t="s">
        <x:v>769</x:v>
      </x:c>
      <x:c r="K1009" t="s">
        <x:v>770</x:v>
      </x:c>
      <x:c r="L1009" t="s">
        <x:v>771</x:v>
      </x:c>
      <x:c r="M1009" t="s">
        <x:v>772</x:v>
      </x:c>
      <x:c r="N1009" t="s">
        <x:v>773</x:v>
      </x:c>
      <x:c r="O1009" t="s">
        <x:v>774</x:v>
      </x:c>
      <x:c r="P1009" t="s">
        <x:v>775</x:v>
      </x:c>
      <x:c r="Q1009"/>
      <x:c r="R1009" s="9">
        <x:v>37689</x:v>
      </x:c>
      <x:c r="S1009"/>
      <x:c r="T1009" t="s">
        <x:v>111</x:v>
      </x:c>
      <x:c r="U1009"/>
      <x:c r="V1009"/>
      <x:c r="W1009" s="26" t="n">
        <x:v>2.45</x:v>
      </x:c>
      <x:c r="X1009" s="26" t="n">
        <x:v>-76.6166667</x:v>
      </x:c>
      <x:c r="Y1009"/>
      <x:c r="Z1009"/>
      <x:c r="AA1009"/>
      <x:c r="AB1009"/>
      <x:c r="AC1009"/>
      <x:c r="AD1009"/>
      <x:c r="AE1009"/>
      <x:c r="AF1009" t="s">
        <x:v>50</x:v>
      </x:c>
      <x:c r="AG1009" t="s">
        <x:v>283</x:v>
      </x:c>
      <x:c r="AH1009" t="s">
        <x:v>703</x:v>
      </x:c>
      <x:c r="AI1009" t="s">
        <x:v>6785</x:v>
      </x:c>
      <x:c r="AJ1009">
        <x:v>1076</x:v>
      </x:c>
    </x:row>
    <x:row r="1010">
      <x:c r="A1010" t="s">
        <x:v>6685</x:v>
      </x:c>
      <x:c r="B1010" t="s">
        <x:v>6686</x:v>
      </x:c>
      <x:c r="C1010" t="s">
        <x:v>6786</x:v>
      </x:c>
      <x:c r="D1010" t="s">
        <x:v>6787</x:v>
      </x:c>
      <x:c r="E1010" t="s">
        <x:v>6788</x:v>
      </x:c>
      <x:c r="F1010" t="s">
        <x:v>1913</x:v>
      </x:c>
      <x:c r="G1010">
        <x:v>2500</x:v>
      </x:c>
      <x:c r="H1010">
        <x:v>3000</x:v>
      </x:c>
      <x:c r="I1010" t="s">
        <x:v>1914</x:v>
      </x:c>
      <x:c r="J1010" t="s">
        <x:v>1915</x:v>
      </x:c>
      <x:c r="K1010" t="s">
        <x:v>1916</x:v>
      </x:c>
      <x:c r="L1010" t="s">
        <x:v>1917</x:v>
      </x:c>
      <x:c r="M1010" t="s">
        <x:v>1918</x:v>
      </x:c>
      <x:c r="N1010" t="s">
        <x:v>1919</x:v>
      </x:c>
      <x:c r="O1010" t="s">
        <x:v>1920</x:v>
      </x:c>
      <x:c r="P1010" t="s">
        <x:v>1921</x:v>
      </x:c>
      <x:c r="R1010" s="9">
        <x:v>37865</x:v>
      </x:c>
      <x:c r="T1010" t="s">
        <x:v>119</x:v>
      </x:c>
      <x:c r="W1010" s="26" t="n">
        <x:v>1.7598611</x:v>
      </x:c>
      <x:c r="X1010" s="26" t="n">
        <x:v>-76.9058333</x:v>
      </x:c>
      <x:c r="AF1010" t="s">
        <x:v>50</x:v>
      </x:c>
      <x:c r="AG1010" t="s">
        <x:v>283</x:v>
      </x:c>
      <x:c r="AH1010" t="s">
        <x:v>944</x:v>
      </x:c>
      <x:c r="AI1010" t="s">
        <x:v>6789</x:v>
      </x:c>
      <x:c r="AJ1010">
        <x:v>1077</x:v>
      </x:c>
    </x:row>
    <x:row r="1011">
      <x:c r="A1011" t="s">
        <x:v>6685</x:v>
      </x:c>
      <x:c r="B1011" t="s">
        <x:v>6686</x:v>
      </x:c>
      <x:c r="C1011" t="s">
        <x:v>6790</x:v>
      </x:c>
      <x:c r="D1011" t="s">
        <x:v>6791</x:v>
      </x:c>
      <x:c r="E1011" t="s">
        <x:v>6792</x:v>
      </x:c>
      <x:c r="F1011" t="s">
        <x:v>1445</x:v>
      </x:c>
      <x:c r="G1011">
        <x:v>2700</x:v>
      </x:c>
      <x:c r="H1011">
        <x:v>2800</x:v>
      </x:c>
      <x:c r="I1011" t="s">
        <x:v>6793</x:v>
      </x:c>
      <x:c r="J1011" t="s">
        <x:v>6794</x:v>
      </x:c>
      <x:c r="K1011" t="s">
        <x:v>4891</x:v>
      </x:c>
      <x:c r="L1011" t="s">
        <x:v>4892</x:v>
      </x:c>
      <x:c r="M1011" t="s">
        <x:v>6795</x:v>
      </x:c>
      <x:c r="N1011" t="s">
        <x:v>6796</x:v>
      </x:c>
      <x:c r="O1011" t="s">
        <x:v>4895</x:v>
      </x:c>
      <x:c r="P1011" t="s">
        <x:v>6797</x:v>
      </x:c>
      <x:c r="R1011" s="9">
        <x:v>37881</x:v>
      </x:c>
      <x:c r="T1011" t="s">
        <x:v>119</x:v>
      </x:c>
      <x:c r="W1011" s="26" t="n">
        <x:v>2.5500028</x:v>
      </x:c>
      <x:c r="X1011" s="26" t="n">
        <x:v>-76.0666667</x:v>
      </x:c>
      <x:c r="AF1011" t="s">
        <x:v>50</x:v>
      </x:c>
      <x:c r="AG1011" t="s">
        <x:v>283</x:v>
      </x:c>
      <x:c r="AH1011" t="s">
        <x:v>4847</x:v>
      </x:c>
      <x:c r="AI1011" t="s">
        <x:v>6798</x:v>
      </x:c>
      <x:c r="AJ1011">
        <x:v>1078</x:v>
      </x:c>
    </x:row>
    <x:row r="1012">
      <x:c r="A1012" t="s">
        <x:v>6685</x:v>
      </x:c>
      <x:c r="B1012" t="s">
        <x:v>6686</x:v>
      </x:c>
      <x:c r="C1012" t="s">
        <x:v>6799</x:v>
      </x:c>
      <x:c r="D1012" t="s">
        <x:v>6800</x:v>
      </x:c>
      <x:c r="E1012" t="s">
        <x:v>6801</x:v>
      </x:c>
      <x:c r="F1012">
        <x:v>2900</x:v>
      </x:c>
      <x:c r="G1012">
        <x:v>2900</x:v>
      </x:c>
      <x:c r="H1012">
        <x:v>2900</x:v>
      </x:c>
      <x:c r="P1012" t="s">
        <x:v>80</x:v>
      </x:c>
      <x:c r="R1012" s="9">
        <x:v>38815</x:v>
      </x:c>
      <x:c r="T1012" t="s">
        <x:v>119</x:v>
      </x:c>
      <x:c r="W1012" s="26" t="n">
        <x:v>2.58621</x:v>
      </x:c>
      <x:c r="X1012" s="26" t="n">
        <x:v>-76.31979</x:v>
      </x:c>
      <x:c r="Y1012">
        <x:v>530.36300000000006</x:v>
      </x:c>
      <x:c r="Z1012">
        <x:v>3645</x:v>
      </x:c>
      <x:c r="AB1012" t="s">
        <x:v>6802</x:v>
      </x:c>
      <x:c r="AF1012" t="s">
        <x:v>50</x:v>
      </x:c>
      <x:c r="AG1012" t="s">
        <x:v>283</x:v>
      </x:c>
      <x:c r="AH1012" t="s">
        <x:v>6495</x:v>
      </x:c>
      <x:c r="AI1012" t="s">
        <x:v>6803</x:v>
      </x:c>
      <x:c r="AJ1012">
        <x:v>1079</x:v>
      </x:c>
    </x:row>
    <x:row r="1013">
      <x:c r="A1013" t="s">
        <x:v>6685</x:v>
      </x:c>
      <x:c r="B1013" t="s">
        <x:v>6686</x:v>
      </x:c>
      <x:c r="C1013" t="s">
        <x:v>6804</x:v>
      </x:c>
      <x:c r="D1013" t="s">
        <x:v>6805</x:v>
      </x:c>
      <x:c r="E1013" t="s">
        <x:v>6806</x:v>
      </x:c>
      <x:c r="F1013">
        <x:v>1810</x:v>
      </x:c>
      <x:c r="G1013">
        <x:v>1810</x:v>
      </x:c>
      <x:c r="H1013">
        <x:v>1810</x:v>
      </x:c>
      <x:c r="I1013" t="s">
        <x:v>6807</x:v>
      </x:c>
      <x:c r="J1013" t="s">
        <x:v>6808</x:v>
      </x:c>
      <x:c r="K1013" t="s">
        <x:v>6809</x:v>
      </x:c>
      <x:c r="L1013" t="s">
        <x:v>6810</x:v>
      </x:c>
      <x:c r="M1013" t="s">
        <x:v>6811</x:v>
      </x:c>
      <x:c r="N1013" t="s">
        <x:v>6812</x:v>
      </x:c>
      <x:c r="O1013" t="s">
        <x:v>6813</x:v>
      </x:c>
      <x:c r="P1013" t="s">
        <x:v>6814</x:v>
      </x:c>
      <x:c r="R1013" s="9">
        <x:v>39316</x:v>
      </x:c>
      <x:c r="T1013" t="s">
        <x:v>119</x:v>
      </x:c>
      <x:c r="W1013" s="26" t="n">
        <x:v>2.3510278</x:v>
      </x:c>
      <x:c r="X1013" s="26" t="n">
        <x:v>-76.6816972</x:v>
      </x:c>
      <x:c r="AF1013" t="s">
        <x:v>50</x:v>
      </x:c>
      <x:c r="AG1013" t="s">
        <x:v>283</x:v>
      </x:c>
      <x:c r="AH1013" t="s">
        <x:v>6815</x:v>
      </x:c>
      <x:c r="AI1013" t="s">
        <x:v>6816</x:v>
      </x:c>
      <x:c r="AJ1013">
        <x:v>1080</x:v>
      </x:c>
    </x:row>
    <x:row r="1014">
      <x:c r="A1014" t="s">
        <x:v>6685</x:v>
      </x:c>
      <x:c r="B1014" t="s">
        <x:v>6686</x:v>
      </x:c>
      <x:c r="C1014" t="s">
        <x:v>6817</x:v>
      </x:c>
      <x:c r="D1014" t="s">
        <x:v>6818</x:v>
      </x:c>
      <x:c r="E1014" t="s">
        <x:v>6819</x:v>
      </x:c>
      <x:c r="F1014">
        <x:v>3100</x:v>
      </x:c>
      <x:c r="G1014">
        <x:v>3100</x:v>
      </x:c>
      <x:c r="H1014">
        <x:v>3100</x:v>
      </x:c>
      <x:c r="I1014" t="s">
        <x:v>785</x:v>
      </x:c>
      <x:c r="J1014" t="s">
        <x:v>786</x:v>
      </x:c>
      <x:c r="K1014" t="s">
        <x:v>787</x:v>
      </x:c>
      <x:c r="L1014" t="s">
        <x:v>788</x:v>
      </x:c>
      <x:c r="M1014" t="s">
        <x:v>789</x:v>
      </x:c>
      <x:c r="N1014" t="s">
        <x:v>790</x:v>
      </x:c>
      <x:c r="O1014" t="s">
        <x:v>791</x:v>
      </x:c>
      <x:c r="P1014" t="s">
        <x:v>792</x:v>
      </x:c>
      <x:c r="R1014" s="9">
        <x:v>39354</x:v>
      </x:c>
      <x:c r="W1014" s="26" t="n">
        <x:v>2.5039278</x:v>
      </x:c>
      <x:c r="X1014" s="26" t="n">
        <x:v>-76.3912278</x:v>
      </x:c>
      <x:c r="AF1014" t="s">
        <x:v>50</x:v>
      </x:c>
      <x:c r="AG1014" t="s">
        <x:v>283</x:v>
      </x:c>
      <x:c r="AH1014" t="s">
        <x:v>1903</x:v>
      </x:c>
      <x:c r="AI1014" t="s">
        <x:v>6820</x:v>
      </x:c>
      <x:c r="AJ1014">
        <x:v>1081</x:v>
      </x:c>
    </x:row>
    <x:row r="1015">
      <x:c r="A1015" t="s">
        <x:v>6685</x:v>
      </x:c>
      <x:c r="B1015" t="s">
        <x:v>6686</x:v>
      </x:c>
      <x:c r="C1015" t="s">
        <x:v>6821</x:v>
      </x:c>
      <x:c r="D1015" t="s">
        <x:v>6822</x:v>
      </x:c>
      <x:c r="E1015" t="s">
        <x:v>6823</x:v>
      </x:c>
      <x:c r="F1015">
        <x:v>3100</x:v>
      </x:c>
      <x:c r="G1015">
        <x:v>3100</x:v>
      </x:c>
      <x:c r="H1015">
        <x:v>3100</x:v>
      </x:c>
      <x:c r="I1015" t="s">
        <x:v>6762</x:v>
      </x:c>
      <x:c r="J1015" t="s">
        <x:v>6763</x:v>
      </x:c>
      <x:c r="K1015" t="s">
        <x:v>6764</x:v>
      </x:c>
      <x:c r="L1015" t="s">
        <x:v>6765</x:v>
      </x:c>
      <x:c r="M1015" t="s">
        <x:v>6766</x:v>
      </x:c>
      <x:c r="N1015" t="s">
        <x:v>6767</x:v>
      </x:c>
      <x:c r="O1015" t="s">
        <x:v>6768</x:v>
      </x:c>
      <x:c r="P1015" t="s">
        <x:v>6769</x:v>
      </x:c>
      <x:c r="R1015" s="9">
        <x:v>27962</x:v>
      </x:c>
      <x:c r="T1015" t="s">
        <x:v>119</x:v>
      </x:c>
      <x:c r="W1015" s="26" t="n">
        <x:v>2.3112194</x:v>
      </x:c>
      <x:c r="X1015" s="26" t="n">
        <x:v>-76.3922889</x:v>
      </x:c>
      <x:c r="AF1015" t="s">
        <x:v>50</x:v>
      </x:c>
      <x:c r="AG1015" t="s">
        <x:v>6824</x:v>
      </x:c>
      <x:c r="AH1015" t="s">
        <x:v>6825</x:v>
      </x:c>
      <x:c r="AJ1015">
        <x:v>1082</x:v>
      </x:c>
    </x:row>
    <x:row r="1016">
      <x:c r="A1016" t="s">
        <x:v>6685</x:v>
      </x:c>
      <x:c r="B1016" t="s">
        <x:v>6686</x:v>
      </x:c>
      <x:c r="C1016" t="s">
        <x:v>6826</x:v>
      </x:c>
      <x:c r="D1016" t="s">
        <x:v>6827</x:v>
      </x:c>
      <x:c r="E1016" t="s">
        <x:v>6828</x:v>
      </x:c>
      <x:c r="F1016">
        <x:v>2950</x:v>
      </x:c>
      <x:c r="G1016">
        <x:v>2950</x:v>
      </x:c>
      <x:c r="H1016">
        <x:v>2950</x:v>
      </x:c>
      <x:c r="I1016" t="s">
        <x:v>6829</x:v>
      </x:c>
      <x:c r="J1016" t="s">
        <x:v>6830</x:v>
      </x:c>
      <x:c r="K1016" t="s">
        <x:v>6831</x:v>
      </x:c>
      <x:c r="L1016" t="s">
        <x:v>6832</x:v>
      </x:c>
      <x:c r="M1016" t="s">
        <x:v>6833</x:v>
      </x:c>
      <x:c r="N1016" t="s">
        <x:v>6834</x:v>
      </x:c>
      <x:c r="O1016" t="s">
        <x:v>6835</x:v>
      </x:c>
      <x:c r="P1016" t="s">
        <x:v>6836</x:v>
      </x:c>
      <x:c r="R1016" s="9">
        <x:v>34278</x:v>
      </x:c>
      <x:c r="T1016" t="s">
        <x:v>111</x:v>
      </x:c>
      <x:c r="W1016" s="26" t="n">
        <x:v>10.00286</x:v>
      </x:c>
      <x:c r="X1016" s="26" t="n">
        <x:v>-73.01576</x:v>
      </x:c>
      <x:c r="Y1016">
        <x:v>5650.83</x:v>
      </x:c>
      <x:c r="Z1016">
        <x:v>2481</x:v>
      </x:c>
      <x:c r="AA1016" t="s">
        <x:v>6837</x:v>
      </x:c>
      <x:c r="AB1016" t="s">
        <x:v>5050</x:v>
      </x:c>
      <x:c r="AF1016" t="s">
        <x:v>50</x:v>
      </x:c>
      <x:c r="AG1016" t="s">
        <x:v>2824</x:v>
      </x:c>
      <x:c r="AH1016" t="s">
        <x:v>6838</x:v>
      </x:c>
      <x:c r="AI1016" t="s">
        <x:v>6839</x:v>
      </x:c>
      <x:c r="AJ1016">
        <x:v>1083</x:v>
      </x:c>
    </x:row>
    <x:row r="1017">
      <x:c r="A1017" t="s">
        <x:v>6685</x:v>
      </x:c>
      <x:c r="B1017" t="s">
        <x:v>6686</x:v>
      </x:c>
      <x:c r="C1017" t="s">
        <x:v>6840</x:v>
      </x:c>
      <x:c r="D1017" t="s">
        <x:v>6841</x:v>
      </x:c>
      <x:c r="E1017" t="s">
        <x:v>6842</x:v>
      </x:c>
      <x:c r="F1017">
        <x:v>2970</x:v>
      </x:c>
      <x:c r="G1017">
        <x:v>2970</x:v>
      </x:c>
      <x:c r="H1017">
        <x:v>2970</x:v>
      </x:c>
      <x:c r="P1017" t="s">
        <x:v>80</x:v>
      </x:c>
      <x:c r="R1017" s="9">
        <x:v>35827</x:v>
      </x:c>
      <x:c r="T1017" t="s">
        <x:v>119</x:v>
      </x:c>
      <x:c r="W1017" s="26" t="n">
        <x:v>4.44359</x:v>
      </x:c>
      <x:c r="X1017" s="26" t="n">
        <x:v>-74.12862</x:v>
      </x:c>
      <x:c r="Y1017">
        <x:v>2213.3710000000001</x:v>
      </x:c>
      <x:c r="Z1017">
        <x:v>3026</x:v>
      </x:c>
      <x:c r="AB1017" t="s">
        <x:v>6843</x:v>
      </x:c>
      <x:c r="AF1017" t="s">
        <x:v>50</x:v>
      </x:c>
      <x:c r="AG1017" t="s">
        <x:v>6844</x:v>
      </x:c>
      <x:c r="AH1017" t="s">
        <x:v>1963</x:v>
      </x:c>
      <x:c r="AI1017" t="s">
        <x:v>6845</x:v>
      </x:c>
      <x:c r="AJ1017">
        <x:v>1084</x:v>
      </x:c>
    </x:row>
    <x:row r="1018">
      <x:c r="A1018" t="s">
        <x:v>6685</x:v>
      </x:c>
      <x:c r="B1018" t="s">
        <x:v>6686</x:v>
      </x:c>
      <x:c r="C1018" t="s">
        <x:v>6846</x:v>
      </x:c>
      <x:c r="D1018" t="s">
        <x:v>6847</x:v>
      </x:c>
      <x:c r="E1018" t="s">
        <x:v>6848</x:v>
      </x:c>
      <x:c r="F1018">
        <x:v>2800</x:v>
      </x:c>
      <x:c r="G1018">
        <x:v>2800</x:v>
      </x:c>
      <x:c r="H1018">
        <x:v>2800</x:v>
      </x:c>
      <x:c r="P1018" t="s">
        <x:v>80</x:v>
      </x:c>
      <x:c r="R1018" s="9">
        <x:v>15229</x:v>
      </x:c>
      <x:c r="W1018" s="26" t="n">
        <x:v>4.44382</x:v>
      </x:c>
      <x:c r="X1018" s="26" t="n">
        <x:v>-74.30207</x:v>
      </x:c>
      <x:c r="Y1018">
        <x:v>919.07399999999996</x:v>
      </x:c>
      <x:c r="Z1018">
        <x:v>2740</x:v>
      </x:c>
      <x:c r="AB1018" t="s">
        <x:v>5862</x:v>
      </x:c>
      <x:c r="AF1018" t="s">
        <x:v>50</x:v>
      </x:c>
      <x:c r="AG1018" t="s">
        <x:v>98</x:v>
      </x:c>
      <x:c r="AH1018" t="s">
        <x:v>6849</x:v>
      </x:c>
      <x:c r="AI1018" t="s">
        <x:v>6850</x:v>
      </x:c>
      <x:c r="AJ1018">
        <x:v>1085</x:v>
      </x:c>
    </x:row>
    <x:row r="1019">
      <x:c r="A1019" t="s">
        <x:v>6685</x:v>
      </x:c>
      <x:c r="B1019" t="s">
        <x:v>6686</x:v>
      </x:c>
      <x:c r="C1019" t="s">
        <x:v>6851</x:v>
      </x:c>
      <x:c r="D1019" t="s">
        <x:v>6852</x:v>
      </x:c>
      <x:c r="E1019" t="s">
        <x:v>6853</x:v>
      </x:c>
      <x:c r="F1019">
        <x:v>3000</x:v>
      </x:c>
      <x:c r="G1019">
        <x:v>3000</x:v>
      </x:c>
      <x:c r="H1019">
        <x:v>3000</x:v>
      </x:c>
      <x:c r="P1019" t="s">
        <x:v>80</x:v>
      </x:c>
      <x:c r="R1019" s="9">
        <x:v>27142</x:v>
      </x:c>
      <x:c r="T1019" t="s">
        <x:v>65</x:v>
      </x:c>
      <x:c r="W1019" s="26" t="n">
        <x:v>4.66135</x:v>
      </x:c>
      <x:c r="X1019" s="26" t="n">
        <x:v>-74.02105</x:v>
      </x:c>
      <x:c r="Y1019">
        <x:v>137.88999999999999</x:v>
      </x:c>
      <x:c r="Z1019">
        <x:v>3119</x:v>
      </x:c>
      <x:c r="AB1019" t="s">
        <x:v>6854</x:v>
      </x:c>
      <x:c r="AF1019" t="s">
        <x:v>50</x:v>
      </x:c>
      <x:c r="AG1019" t="s">
        <x:v>98</x:v>
      </x:c>
      <x:c r="AH1019" t="s">
        <x:v>6855</x:v>
      </x:c>
      <x:c r="AI1019" t="s">
        <x:v>6856</x:v>
      </x:c>
      <x:c r="AJ1019">
        <x:v>1086</x:v>
      </x:c>
    </x:row>
    <x:row r="1020">
      <x:c r="A1020" t="s">
        <x:v>6685</x:v>
      </x:c>
      <x:c r="B1020" t="s">
        <x:v>6686</x:v>
      </x:c>
      <x:c r="C1020" t="s">
        <x:v>6857</x:v>
      </x:c>
      <x:c r="D1020" t="s">
        <x:v>6858</x:v>
      </x:c>
      <x:c r="E1020" t="s">
        <x:v>6859</x:v>
      </x:c>
      <x:c r="F1020">
        <x:v>3200</x:v>
      </x:c>
      <x:c r="G1020">
        <x:v>3200</x:v>
      </x:c>
      <x:c r="H1020">
        <x:v>3200</x:v>
      </x:c>
      <x:c r="P1020" t="s">
        <x:v>80</x:v>
      </x:c>
      <x:c r="R1020" s="9">
        <x:v>33101</x:v>
      </x:c>
      <x:c r="T1020" t="s">
        <x:v>119</x:v>
      </x:c>
      <x:c r="W1020" s="26" t="n">
        <x:v>4.63205</x:v>
      </x:c>
      <x:c r="X1020" s="26" t="n">
        <x:v>-74.03504</x:v>
      </x:c>
      <x:c r="Y1020">
        <x:v>2722.855</x:v>
      </x:c>
      <x:c r="Z1020">
        <x:v>3178</x:v>
      </x:c>
      <x:c r="AB1020" t="s">
        <x:v>1962</x:v>
      </x:c>
      <x:c r="AF1020" t="s">
        <x:v>50</x:v>
      </x:c>
      <x:c r="AG1020" t="s">
        <x:v>98</x:v>
      </x:c>
      <x:c r="AH1020" t="s">
        <x:v>1963</x:v>
      </x:c>
      <x:c r="AI1020" t="s">
        <x:v>6860</x:v>
      </x:c>
      <x:c r="AJ1020">
        <x:v>1087</x:v>
      </x:c>
    </x:row>
    <x:row r="1021">
      <x:c r="A1021" t="s">
        <x:v>6685</x:v>
      </x:c>
      <x:c r="B1021" t="s">
        <x:v>6686</x:v>
      </x:c>
      <x:c r="C1021" t="s">
        <x:v>6861</x:v>
      </x:c>
      <x:c r="D1021" t="s">
        <x:v>6862</x:v>
      </x:c>
      <x:c r="E1021" t="s">
        <x:v>6859</x:v>
      </x:c>
      <x:c r="F1021">
        <x:v>3200</x:v>
      </x:c>
      <x:c r="G1021">
        <x:v>3200</x:v>
      </x:c>
      <x:c r="H1021">
        <x:v>3200</x:v>
      </x:c>
      <x:c r="P1021" t="s">
        <x:v>80</x:v>
      </x:c>
      <x:c r="R1021" s="9">
        <x:v>33126</x:v>
      </x:c>
      <x:c r="T1021" t="s">
        <x:v>119</x:v>
      </x:c>
      <x:c r="W1021" s="26" t="n">
        <x:v>4.63205</x:v>
      </x:c>
      <x:c r="X1021" s="26" t="n">
        <x:v>-74.03504</x:v>
      </x:c>
      <x:c r="Y1021">
        <x:v>2722.855</x:v>
      </x:c>
      <x:c r="Z1021">
        <x:v>3178</x:v>
      </x:c>
      <x:c r="AB1021" t="s">
        <x:v>1962</x:v>
      </x:c>
      <x:c r="AF1021" t="s">
        <x:v>50</x:v>
      </x:c>
      <x:c r="AG1021" t="s">
        <x:v>98</x:v>
      </x:c>
      <x:c r="AH1021" t="s">
        <x:v>1963</x:v>
      </x:c>
      <x:c r="AI1021" t="s">
        <x:v>6860</x:v>
      </x:c>
      <x:c r="AJ1021">
        <x:v>1088</x:v>
      </x:c>
    </x:row>
    <x:row r="1022">
      <x:c r="A1022" t="s">
        <x:v>6685</x:v>
      </x:c>
      <x:c r="B1022" t="s">
        <x:v>6686</x:v>
      </x:c>
      <x:c r="C1022" t="s">
        <x:v>6863</x:v>
      </x:c>
      <x:c r="D1022" t="s">
        <x:v>6864</x:v>
      </x:c>
      <x:c r="E1022" t="s">
        <x:v>6859</x:v>
      </x:c>
      <x:c r="F1022">
        <x:v>3200</x:v>
      </x:c>
      <x:c r="G1022">
        <x:v>3200</x:v>
      </x:c>
      <x:c r="H1022">
        <x:v>3200</x:v>
      </x:c>
      <x:c r="P1022" t="s">
        <x:v>80</x:v>
      </x:c>
      <x:c r="R1022" s="9">
        <x:v>33127</x:v>
      </x:c>
      <x:c r="T1022" t="s">
        <x:v>119</x:v>
      </x:c>
      <x:c r="W1022" s="26" t="n">
        <x:v>4.63205</x:v>
      </x:c>
      <x:c r="X1022" s="26" t="n">
        <x:v>-74.03504</x:v>
      </x:c>
      <x:c r="Y1022">
        <x:v>2722.855</x:v>
      </x:c>
      <x:c r="Z1022">
        <x:v>3178</x:v>
      </x:c>
      <x:c r="AB1022" t="s">
        <x:v>1962</x:v>
      </x:c>
      <x:c r="AF1022" t="s">
        <x:v>50</x:v>
      </x:c>
      <x:c r="AG1022" t="s">
        <x:v>98</x:v>
      </x:c>
      <x:c r="AH1022" t="s">
        <x:v>1963</x:v>
      </x:c>
      <x:c r="AI1022" t="s">
        <x:v>6860</x:v>
      </x:c>
      <x:c r="AJ1022">
        <x:v>1089</x:v>
      </x:c>
    </x:row>
    <x:row r="1023">
      <x:c r="A1023" t="s">
        <x:v>6685</x:v>
      </x:c>
      <x:c r="B1023" t="s">
        <x:v>6686</x:v>
      </x:c>
      <x:c r="C1023" t="s">
        <x:v>6865</x:v>
      </x:c>
      <x:c r="D1023" t="s">
        <x:v>6866</x:v>
      </x:c>
      <x:c r="E1023" t="s">
        <x:v>6859</x:v>
      </x:c>
      <x:c r="F1023">
        <x:v>3200</x:v>
      </x:c>
      <x:c r="G1023">
        <x:v>3200</x:v>
      </x:c>
      <x:c r="H1023">
        <x:v>3200</x:v>
      </x:c>
      <x:c r="P1023" t="s">
        <x:v>80</x:v>
      </x:c>
      <x:c r="R1023" s="9">
        <x:v>33127</x:v>
      </x:c>
      <x:c r="T1023" t="s">
        <x:v>119</x:v>
      </x:c>
      <x:c r="W1023" s="26" t="n">
        <x:v>4.63205</x:v>
      </x:c>
      <x:c r="X1023" s="26" t="n">
        <x:v>-74.03504</x:v>
      </x:c>
      <x:c r="Y1023">
        <x:v>2722.855</x:v>
      </x:c>
      <x:c r="Z1023">
        <x:v>3178</x:v>
      </x:c>
      <x:c r="AB1023" t="s">
        <x:v>1962</x:v>
      </x:c>
      <x:c r="AF1023" t="s">
        <x:v>50</x:v>
      </x:c>
      <x:c r="AG1023" t="s">
        <x:v>98</x:v>
      </x:c>
      <x:c r="AH1023" t="s">
        <x:v>1963</x:v>
      </x:c>
      <x:c r="AI1023" t="s">
        <x:v>6860</x:v>
      </x:c>
      <x:c r="AJ1023">
        <x:v>1090</x:v>
      </x:c>
    </x:row>
    <x:row r="1024">
      <x:c r="A1024" t="s">
        <x:v>6685</x:v>
      </x:c>
      <x:c r="B1024" t="s">
        <x:v>6686</x:v>
      </x:c>
      <x:c r="C1024" t="s">
        <x:v>6867</x:v>
      </x:c>
      <x:c r="D1024" t="s">
        <x:v>6868</x:v>
      </x:c>
      <x:c r="E1024" t="s">
        <x:v>3765</x:v>
      </x:c>
      <x:c r="F1024">
        <x:v>2600</x:v>
      </x:c>
      <x:c r="G1024">
        <x:v>2600</x:v>
      </x:c>
      <x:c r="H1024">
        <x:v>2600</x:v>
      </x:c>
      <x:c r="P1024" t="s">
        <x:v>80</x:v>
      </x:c>
      <x:c r="R1024" s="9">
        <x:v>36482</x:v>
      </x:c>
      <x:c r="W1024" s="26" t="n">
        <x:v>5.1134</x:v>
      </x:c>
      <x:c r="X1024" s="26" t="n">
        <x:v>-73.84359</x:v>
      </x:c>
      <x:c r="Y1024">
        <x:v>270.79899999999998</x:v>
      </x:c>
      <x:c r="Z1024">
        <x:v>2600</x:v>
      </x:c>
      <x:c r="AB1024" t="s">
        <x:v>3768</x:v>
      </x:c>
      <x:c r="AF1024" t="s">
        <x:v>50</x:v>
      </x:c>
      <x:c r="AG1024" t="s">
        <x:v>98</x:v>
      </x:c>
      <x:c r="AH1024" t="s">
        <x:v>3769</x:v>
      </x:c>
      <x:c r="AI1024" t="s">
        <x:v>3770</x:v>
      </x:c>
      <x:c r="AJ1024">
        <x:v>1091</x:v>
      </x:c>
    </x:row>
    <x:row r="1025">
      <x:c r="A1025" t="s">
        <x:v>6685</x:v>
      </x:c>
      <x:c r="B1025" t="s">
        <x:v>6686</x:v>
      </x:c>
      <x:c r="C1025" t="s">
        <x:v>6869</x:v>
      </x:c>
      <x:c r="D1025" t="s">
        <x:v>6870</x:v>
      </x:c>
      <x:c r="E1025" t="s">
        <x:v>6871</x:v>
      </x:c>
      <x:c r="F1025">
        <x:v>2950</x:v>
      </x:c>
      <x:c r="G1025">
        <x:v>2950</x:v>
      </x:c>
      <x:c r="H1025">
        <x:v>2950</x:v>
      </x:c>
      <x:c r="P1025" t="s">
        <x:v>80</x:v>
      </x:c>
      <x:c r="R1025" s="9">
        <x:v>37464</x:v>
      </x:c>
      <x:c r="T1025" t="s">
        <x:v>111</x:v>
      </x:c>
      <x:c r="W1025" s="26" t="n">
        <x:v>4.99789</x:v>
      </x:c>
      <x:c r="X1025" s="26" t="n">
        <x:v>-74.14903</x:v>
      </x:c>
      <x:c r="Y1025">
        <x:v>231.68299999999999</x:v>
      </x:c>
      <x:c r="Z1025">
        <x:v>2801</x:v>
      </x:c>
      <x:c r="AB1025" t="s">
        <x:v>4946</x:v>
      </x:c>
      <x:c r="AF1025" t="s">
        <x:v>50</x:v>
      </x:c>
      <x:c r="AG1025" t="s">
        <x:v>98</x:v>
      </x:c>
      <x:c r="AH1025" t="s">
        <x:v>4947</x:v>
      </x:c>
      <x:c r="AI1025" t="s">
        <x:v>6872</x:v>
      </x:c>
      <x:c r="AJ1025">
        <x:v>1092</x:v>
      </x:c>
    </x:row>
    <x:row r="1026">
      <x:c r="A1026" t="s">
        <x:v>6685</x:v>
      </x:c>
      <x:c r="B1026" t="s">
        <x:v>6686</x:v>
      </x:c>
      <x:c r="C1026" t="s">
        <x:v>6873</x:v>
      </x:c>
      <x:c r="D1026" t="s">
        <x:v>6874</x:v>
      </x:c>
      <x:c r="E1026" t="s">
        <x:v>5078</x:v>
      </x:c>
      <x:c r="F1026">
        <x:v>3100</x:v>
      </x:c>
      <x:c r="G1026">
        <x:v>3100</x:v>
      </x:c>
      <x:c r="H1026">
        <x:v>3100</x:v>
      </x:c>
      <x:c r="P1026" t="s">
        <x:v>80</x:v>
      </x:c>
      <x:c r="R1026" s="9">
        <x:v>28344</x:v>
      </x:c>
      <x:c r="W1026" s="26" t="n">
        <x:v>10.9166</x:v>
      </x:c>
      <x:c r="X1026" s="26" t="n">
        <x:v>-73.83329</x:v>
      </x:c>
      <x:c r="Y1026">
        <x:v>938.23099999999999</x:v>
      </x:c>
      <x:c r="Z1026">
        <x:v>2318</x:v>
      </x:c>
      <x:c r="AB1026" t="s">
        <x:v>3013</x:v>
      </x:c>
      <x:c r="AF1026" t="s">
        <x:v>50</x:v>
      </x:c>
      <x:c r="AG1026" t="s">
        <x:v>1296</x:v>
      </x:c>
      <x:c r="AH1026" t="s">
        <x:v>1297</x:v>
      </x:c>
      <x:c r="AI1026" t="s">
        <x:v>5079</x:v>
      </x:c>
      <x:c r="AJ1026">
        <x:v>1093</x:v>
      </x:c>
    </x:row>
    <x:row r="1027">
      <x:c r="A1027" t="s">
        <x:v>6685</x:v>
      </x:c>
      <x:c r="B1027" t="s">
        <x:v>6686</x:v>
      </x:c>
      <x:c r="C1027" t="s">
        <x:v>6875</x:v>
      </x:c>
      <x:c r="D1027" t="s">
        <x:v>6876</x:v>
      </x:c>
      <x:c r="E1027" t="s">
        <x:v>6877</x:v>
      </x:c>
      <x:c r="F1027">
        <x:v>3200</x:v>
      </x:c>
      <x:c r="G1027">
        <x:v>3200</x:v>
      </x:c>
      <x:c r="H1027">
        <x:v>3200</x:v>
      </x:c>
      <x:c r="I1027" t="s">
        <x:v>6878</x:v>
      </x:c>
      <x:c r="J1027" t="s">
        <x:v>6879</x:v>
      </x:c>
      <x:c r="K1027" t="s">
        <x:v>6880</x:v>
      </x:c>
      <x:c r="L1027" t="s">
        <x:v>6881</x:v>
      </x:c>
      <x:c r="M1027" t="s">
        <x:v>6882</x:v>
      </x:c>
      <x:c r="N1027" t="s">
        <x:v>6883</x:v>
      </x:c>
      <x:c r="O1027" t="s">
        <x:v>6884</x:v>
      </x:c>
      <x:c r="P1027" t="s">
        <x:v>6885</x:v>
      </x:c>
      <x:c r="R1027" s="9">
        <x:v>14987</x:v>
      </x:c>
      <x:c r="W1027" s="26" t="n">
        <x:v>1.14549</x:v>
      </x:c>
      <x:c r="X1027" s="26" t="n">
        <x:v>-77.19798</x:v>
      </x:c>
      <x:c r="Y1027">
        <x:v>2241.8209999999999</x:v>
      </x:c>
      <x:c r="Z1027">
        <x:v>3294</x:v>
      </x:c>
      <x:c r="AB1027" t="s">
        <x:v>6886</x:v>
      </x:c>
      <x:c r="AF1027" t="s">
        <x:v>50</x:v>
      </x:c>
      <x:c r="AG1027" t="s">
        <x:v>127</x:v>
      </x:c>
      <x:c r="AH1027" t="s">
        <x:v>6887</x:v>
      </x:c>
      <x:c r="AI1027" t="s">
        <x:v>6888</x:v>
      </x:c>
      <x:c r="AJ1027">
        <x:v>1094</x:v>
      </x:c>
    </x:row>
    <x:row r="1028">
      <x:c r="A1028" t="s">
        <x:v>6685</x:v>
      </x:c>
      <x:c r="B1028" t="s">
        <x:v>6686</x:v>
      </x:c>
      <x:c r="C1028" t="s">
        <x:v>6889</x:v>
      </x:c>
      <x:c r="D1028" t="s">
        <x:v>6890</x:v>
      </x:c>
      <x:c r="E1028" t="s">
        <x:v>6891</x:v>
      </x:c>
      <x:c r="F1028">
        <x:v>2900</x:v>
      </x:c>
      <x:c r="G1028">
        <x:v>2900</x:v>
      </x:c>
      <x:c r="H1028">
        <x:v>2900</x:v>
      </x:c>
      <x:c r="I1028" t="s">
        <x:v>1988</x:v>
      </x:c>
      <x:c r="J1028" t="s">
        <x:v>1989</x:v>
      </x:c>
      <x:c r="K1028" t="s">
        <x:v>1990</x:v>
      </x:c>
      <x:c r="L1028" t="s">
        <x:v>1991</x:v>
      </x:c>
      <x:c r="M1028" t="s">
        <x:v>1992</x:v>
      </x:c>
      <x:c r="N1028" t="s">
        <x:v>1993</x:v>
      </x:c>
      <x:c r="O1028" t="s">
        <x:v>1994</x:v>
      </x:c>
      <x:c r="P1028" t="s">
        <x:v>1995</x:v>
      </x:c>
      <x:c r="R1028" s="9">
        <x:v>26601</x:v>
      </x:c>
      <x:c r="T1028" t="s">
        <x:v>119</x:v>
      </x:c>
      <x:c r="W1028" s="26" t="n">
        <x:v>1.2136917</x:v>
      </x:c>
      <x:c r="X1028" s="26" t="n">
        <x:v>-77.2726361</x:v>
      </x:c>
      <x:c r="AF1028" t="s">
        <x:v>50</x:v>
      </x:c>
      <x:c r="AG1028" t="s">
        <x:v>127</x:v>
      </x:c>
      <x:c r="AH1028" t="s">
        <x:v>1996</x:v>
      </x:c>
      <x:c r="AI1028" t="s">
        <x:v>6892</x:v>
      </x:c>
      <x:c r="AJ1028">
        <x:v>1095</x:v>
      </x:c>
    </x:row>
    <x:row r="1029">
      <x:c r="A1029" t="s">
        <x:v>6685</x:v>
      </x:c>
      <x:c r="B1029" t="s">
        <x:v>6686</x:v>
      </x:c>
      <x:c r="C1029" t="s">
        <x:v>6893</x:v>
      </x:c>
      <x:c r="D1029" t="s">
        <x:v>6894</x:v>
      </x:c>
      <x:c r="E1029" t="s">
        <x:v>6895</x:v>
      </x:c>
      <x:c r="F1029">
        <x:v>2500</x:v>
      </x:c>
      <x:c r="G1029">
        <x:v>2500</x:v>
      </x:c>
      <x:c r="H1029">
        <x:v>2500</x:v>
      </x:c>
      <x:c r="I1029" t="s">
        <x:v>5868</x:v>
      </x:c>
      <x:c r="J1029" t="s">
        <x:v>5869</x:v>
      </x:c>
      <x:c r="K1029" t="s">
        <x:v>5870</x:v>
      </x:c>
      <x:c r="L1029" t="s">
        <x:v>5871</x:v>
      </x:c>
      <x:c r="M1029" t="s">
        <x:v>5872</x:v>
      </x:c>
      <x:c r="N1029" t="s">
        <x:v>5873</x:v>
      </x:c>
      <x:c r="O1029" t="s">
        <x:v>5874</x:v>
      </x:c>
      <x:c r="P1029" t="s">
        <x:v>5875</x:v>
      </x:c>
      <x:c r="R1029" s="9">
        <x:v>26674</x:v>
      </x:c>
      <x:c r="T1029" t="s">
        <x:v>119</x:v>
      </x:c>
      <x:c r="W1029" s="26" t="n">
        <x:v>1.1213</x:v>
      </x:c>
      <x:c r="X1029" s="26" t="n">
        <x:v>-77.18953</x:v>
      </x:c>
      <x:c r="Y1029">
        <x:v>1709.0160000000001</x:v>
      </x:c>
      <x:c r="Z1029">
        <x:v>3012</x:v>
      </x:c>
      <x:c r="AB1029" t="s">
        <x:v>5876</x:v>
      </x:c>
      <x:c r="AF1029" t="s">
        <x:v>50</x:v>
      </x:c>
      <x:c r="AG1029" t="s">
        <x:v>127</x:v>
      </x:c>
      <x:c r="AH1029" t="s">
        <x:v>6896</x:v>
      </x:c>
      <x:c r="AI1029" t="s">
        <x:v>6897</x:v>
      </x:c>
      <x:c r="AJ1029">
        <x:v>1096</x:v>
      </x:c>
    </x:row>
    <x:row r="1030">
      <x:c r="A1030" t="s">
        <x:v>6685</x:v>
      </x:c>
      <x:c r="B1030" t="s">
        <x:v>6686</x:v>
      </x:c>
      <x:c r="C1030" t="s">
        <x:v>6898</x:v>
      </x:c>
      <x:c r="D1030" t="s">
        <x:v>6899</x:v>
      </x:c>
      <x:c r="E1030" t="s">
        <x:v>6900</x:v>
      </x:c>
      <x:c r="F1030">
        <x:v>3100</x:v>
      </x:c>
      <x:c r="G1030">
        <x:v>3100</x:v>
      </x:c>
      <x:c r="H1030">
        <x:v>3100</x:v>
      </x:c>
      <x:c r="I1030" t="s">
        <x:v>6901</x:v>
      </x:c>
      <x:c r="J1030" t="s">
        <x:v>6902</x:v>
      </x:c>
      <x:c r="K1030" t="s">
        <x:v>6903</x:v>
      </x:c>
      <x:c r="L1030" t="s">
        <x:v>6904</x:v>
      </x:c>
      <x:c r="M1030" t="s">
        <x:v>6905</x:v>
      </x:c>
      <x:c r="N1030" t="s">
        <x:v>6906</x:v>
      </x:c>
      <x:c r="O1030" t="s">
        <x:v>6907</x:v>
      </x:c>
      <x:c r="P1030" t="s">
        <x:v>6908</x:v>
      </x:c>
      <x:c r="R1030" s="9">
        <x:v>32452</x:v>
      </x:c>
      <x:c r="T1030" t="s">
        <x:v>119</x:v>
      </x:c>
      <x:c r="W1030" s="26" t="n">
        <x:v>1.2</x:v>
      </x:c>
      <x:c r="X1030" s="26" t="n">
        <x:v>-77.2</x:v>
      </x:c>
      <x:c r="AF1030" t="s">
        <x:v>50</x:v>
      </x:c>
      <x:c r="AG1030" t="s">
        <x:v>127</x:v>
      </x:c>
      <x:c r="AH1030" t="s">
        <x:v>1996</x:v>
      </x:c>
      <x:c r="AI1030" t="s">
        <x:v>6909</x:v>
      </x:c>
      <x:c r="AJ1030">
        <x:v>1097</x:v>
      </x:c>
    </x:row>
    <x:row r="1031">
      <x:c r="A1031" t="s">
        <x:v>6685</x:v>
      </x:c>
      <x:c r="B1031" t="s">
        <x:v>6686</x:v>
      </x:c>
      <x:c r="C1031" t="s">
        <x:v>6910</x:v>
      </x:c>
      <x:c r="D1031" t="s">
        <x:v>6911</x:v>
      </x:c>
      <x:c r="E1031" t="s">
        <x:v>6912</x:v>
      </x:c>
      <x:c r="F1031">
        <x:v>3000</x:v>
      </x:c>
      <x:c r="G1031">
        <x:v>3000</x:v>
      </x:c>
      <x:c r="H1031">
        <x:v>3000</x:v>
      </x:c>
      <x:c r="I1031" t="s">
        <x:v>1988</x:v>
      </x:c>
      <x:c r="J1031" t="s">
        <x:v>1989</x:v>
      </x:c>
      <x:c r="K1031" t="s">
        <x:v>1990</x:v>
      </x:c>
      <x:c r="L1031" t="s">
        <x:v>1991</x:v>
      </x:c>
      <x:c r="M1031" t="s">
        <x:v>1992</x:v>
      </x:c>
      <x:c r="N1031" t="s">
        <x:v>1993</x:v>
      </x:c>
      <x:c r="O1031" t="s">
        <x:v>1994</x:v>
      </x:c>
      <x:c r="P1031" t="s">
        <x:v>1995</x:v>
      </x:c>
      <x:c r="R1031" s="9">
        <x:v>33453</x:v>
      </x:c>
      <x:c r="T1031" t="s">
        <x:v>119</x:v>
      </x:c>
      <x:c r="W1031" s="26" t="n">
        <x:v>1.2136917</x:v>
      </x:c>
      <x:c r="X1031" s="26" t="n">
        <x:v>-77.2726361</x:v>
      </x:c>
      <x:c r="AF1031" t="s">
        <x:v>50</x:v>
      </x:c>
      <x:c r="AG1031" t="s">
        <x:v>127</x:v>
      </x:c>
      <x:c r="AH1031" t="s">
        <x:v>1996</x:v>
      </x:c>
      <x:c r="AI1031" t="s">
        <x:v>6913</x:v>
      </x:c>
      <x:c r="AJ1031">
        <x:v>1098</x:v>
      </x:c>
    </x:row>
    <x:row r="1032">
      <x:c r="A1032" t="s">
        <x:v>6685</x:v>
      </x:c>
      <x:c r="B1032" t="s">
        <x:v>6686</x:v>
      </x:c>
      <x:c r="C1032" t="s">
        <x:v>6910</x:v>
      </x:c>
      <x:c r="D1032" t="s">
        <x:v>6914</x:v>
      </x:c>
      <x:c r="E1032" t="s">
        <x:v>6912</x:v>
      </x:c>
      <x:c r="F1032">
        <x:v>3000</x:v>
      </x:c>
      <x:c r="G1032">
        <x:v>3000</x:v>
      </x:c>
      <x:c r="H1032">
        <x:v>3000</x:v>
      </x:c>
      <x:c r="I1032" t="s">
        <x:v>1988</x:v>
      </x:c>
      <x:c r="J1032" t="s">
        <x:v>1989</x:v>
      </x:c>
      <x:c r="K1032" t="s">
        <x:v>1990</x:v>
      </x:c>
      <x:c r="L1032" t="s">
        <x:v>1991</x:v>
      </x:c>
      <x:c r="M1032" t="s">
        <x:v>1992</x:v>
      </x:c>
      <x:c r="N1032" t="s">
        <x:v>1993</x:v>
      </x:c>
      <x:c r="O1032" t="s">
        <x:v>1994</x:v>
      </x:c>
      <x:c r="P1032" t="s">
        <x:v>1995</x:v>
      </x:c>
      <x:c r="R1032" s="9">
        <x:v>33453</x:v>
      </x:c>
      <x:c r="T1032" t="s">
        <x:v>119</x:v>
      </x:c>
      <x:c r="W1032" s="26" t="n">
        <x:v>1.2136917</x:v>
      </x:c>
      <x:c r="X1032" s="26" t="n">
        <x:v>-77.2726361</x:v>
      </x:c>
      <x:c r="AF1032" t="s">
        <x:v>50</x:v>
      </x:c>
      <x:c r="AG1032" t="s">
        <x:v>127</x:v>
      </x:c>
      <x:c r="AH1032" t="s">
        <x:v>1996</x:v>
      </x:c>
      <x:c r="AI1032" t="s">
        <x:v>6913</x:v>
      </x:c>
      <x:c r="AJ1032">
        <x:v>1099</x:v>
      </x:c>
    </x:row>
    <x:row r="1033">
      <x:c r="A1033" t="s">
        <x:v>6685</x:v>
      </x:c>
      <x:c r="B1033" t="s">
        <x:v>6686</x:v>
      </x:c>
      <x:c r="C1033" t="s">
        <x:v>6915</x:v>
      </x:c>
      <x:c r="D1033" t="s">
        <x:v>6916</x:v>
      </x:c>
      <x:c r="E1033" t="s">
        <x:v>6917</x:v>
      </x:c>
      <x:c r="F1033" t="s">
        <x:v>5883</x:v>
      </x:c>
      <x:c r="G1033">
        <x:v>2800</x:v>
      </x:c>
      <x:c r="H1033">
        <x:v>3000</x:v>
      </x:c>
      <x:c r="I1033" t="s">
        <x:v>6918</x:v>
      </x:c>
      <x:c r="J1033" t="s">
        <x:v>6919</x:v>
      </x:c>
      <x:c r="K1033" t="s">
        <x:v>6920</x:v>
      </x:c>
      <x:c r="L1033" t="s">
        <x:v>6921</x:v>
      </x:c>
      <x:c r="M1033" t="s">
        <x:v>6922</x:v>
      </x:c>
      <x:c r="N1033" t="s">
        <x:v>6923</x:v>
      </x:c>
      <x:c r="O1033" t="s">
        <x:v>6924</x:v>
      </x:c>
      <x:c r="P1033" t="s">
        <x:v>6925</x:v>
      </x:c>
      <x:c r="R1033" s="9">
        <x:v>39251</x:v>
      </x:c>
      <x:c r="T1033" t="s">
        <x:v>119</x:v>
      </x:c>
      <x:c r="W1033" s="26" t="n">
        <x:v>1.1626667</x:v>
      </x:c>
      <x:c r="X1033" s="26" t="n">
        <x:v>-77.1527472</x:v>
      </x:c>
      <x:c r="AF1033" t="s">
        <x:v>50</x:v>
      </x:c>
      <x:c r="AG1033" t="s">
        <x:v>127</x:v>
      </x:c>
      <x:c r="AH1033" t="s">
        <x:v>1996</x:v>
      </x:c>
      <x:c r="AI1033" t="s">
        <x:v>6926</x:v>
      </x:c>
      <x:c r="AJ1033">
        <x:v>1100</x:v>
      </x:c>
    </x:row>
    <x:row r="1034">
      <x:c r="A1034" t="s">
        <x:v>6685</x:v>
      </x:c>
      <x:c r="B1034" t="s">
        <x:v>6686</x:v>
      </x:c>
      <x:c r="C1034" t="s">
        <x:v>6927</x:v>
      </x:c>
      <x:c r="D1034" t="s">
        <x:v>6928</x:v>
      </x:c>
      <x:c r="E1034" t="s">
        <x:v>5890</x:v>
      </x:c>
      <x:c r="F1034">
        <x:v>2600</x:v>
      </x:c>
      <x:c r="G1034">
        <x:v>2600</x:v>
      </x:c>
      <x:c r="H1034">
        <x:v>2600</x:v>
      </x:c>
      <x:c r="P1034" t="s">
        <x:v>80</x:v>
      </x:c>
      <x:c r="R1034" s="9">
        <x:v>31868</x:v>
      </x:c>
      <x:c r="T1034" t="s">
        <x:v>119</x:v>
      </x:c>
      <x:c r="W1034" s="26" t="n">
        <x:v>7.43993</x:v>
      </x:c>
      <x:c r="X1034" s="26" t="n">
        <x:v>-72.45095</x:v>
      </x:c>
      <x:c r="Y1034">
        <x:v>840.05700000000002</x:v>
      </x:c>
      <x:c r="Z1034">
        <x:v>2492</x:v>
      </x:c>
      <x:c r="AB1034" t="s">
        <x:v>3401</x:v>
      </x:c>
      <x:c r="AF1034" t="s">
        <x:v>50</x:v>
      </x:c>
      <x:c r="AG1034" t="s">
        <x:v>1306</x:v>
      </x:c>
      <x:c r="AH1034" t="s">
        <x:v>3402</x:v>
      </x:c>
      <x:c r="AI1034" t="s">
        <x:v>5891</x:v>
      </x:c>
      <x:c r="AJ1034">
        <x:v>1101</x:v>
      </x:c>
    </x:row>
    <x:row r="1035">
      <x:c r="A1035" t="s">
        <x:v>6685</x:v>
      </x:c>
      <x:c r="B1035" t="s">
        <x:v>6686</x:v>
      </x:c>
      <x:c r="C1035" t="s">
        <x:v>6929</x:v>
      </x:c>
      <x:c r="D1035" t="s">
        <x:v>6930</x:v>
      </x:c>
      <x:c r="E1035" t="s">
        <x:v>6931</x:v>
      </x:c>
      <x:c r="F1035">
        <x:v>2900</x:v>
      </x:c>
      <x:c r="G1035">
        <x:v>2900</x:v>
      </x:c>
      <x:c r="H1035">
        <x:v>2900</x:v>
      </x:c>
      <x:c r="I1035" t="s">
        <x:v>797</x:v>
      </x:c>
      <x:c r="J1035" t="s">
        <x:v>798</x:v>
      </x:c>
      <x:c r="K1035" t="s">
        <x:v>799</x:v>
      </x:c>
      <x:c r="L1035" t="s">
        <x:v>419</x:v>
      </x:c>
      <x:c r="M1035" t="s">
        <x:v>800</x:v>
      </x:c>
      <x:c r="N1035" t="s">
        <x:v>801</x:v>
      </x:c>
      <x:c r="O1035" t="s">
        <x:v>422</x:v>
      </x:c>
      <x:c r="P1035" t="s">
        <x:v>802</x:v>
      </x:c>
      <x:c r="R1035" s="9">
        <x:v>33876</x:v>
      </x:c>
      <x:c r="T1035" t="s">
        <x:v>119</x:v>
      </x:c>
      <x:c r="W1035" s="26" t="n">
        <x:v>4.6666667</x:v>
      </x:c>
      <x:c r="X1035" s="26" t="n">
        <x:v>-75.5</x:v>
      </x:c>
      <x:c r="AF1035" t="s">
        <x:v>50</x:v>
      </x:c>
      <x:c r="AG1035" t="s">
        <x:v>182</x:v>
      </x:c>
      <x:c r="AH1035" t="s">
        <x:v>803</x:v>
      </x:c>
      <x:c r="AI1035" t="s">
        <x:v>6932</x:v>
      </x:c>
      <x:c r="AJ1035">
        <x:v>1102</x:v>
      </x:c>
    </x:row>
    <x:row r="1036">
      <x:c r="A1036" t="s">
        <x:v>6685</x:v>
      </x:c>
      <x:c r="B1036" t="s">
        <x:v>6686</x:v>
      </x:c>
      <x:c r="C1036" t="s">
        <x:v>6929</x:v>
      </x:c>
      <x:c r="D1036" t="s">
        <x:v>6933</x:v>
      </x:c>
      <x:c r="E1036" t="s">
        <x:v>6931</x:v>
      </x:c>
      <x:c r="F1036">
        <x:v>2900</x:v>
      </x:c>
      <x:c r="G1036">
        <x:v>2900</x:v>
      </x:c>
      <x:c r="H1036">
        <x:v>2900</x:v>
      </x:c>
      <x:c r="I1036" t="s">
        <x:v>797</x:v>
      </x:c>
      <x:c r="J1036" t="s">
        <x:v>798</x:v>
      </x:c>
      <x:c r="K1036" t="s">
        <x:v>799</x:v>
      </x:c>
      <x:c r="L1036" t="s">
        <x:v>419</x:v>
      </x:c>
      <x:c r="M1036" t="s">
        <x:v>800</x:v>
      </x:c>
      <x:c r="N1036" t="s">
        <x:v>801</x:v>
      </x:c>
      <x:c r="O1036" t="s">
        <x:v>422</x:v>
      </x:c>
      <x:c r="P1036" t="s">
        <x:v>802</x:v>
      </x:c>
      <x:c r="R1036" s="9">
        <x:v>33876</x:v>
      </x:c>
      <x:c r="T1036" t="s">
        <x:v>119</x:v>
      </x:c>
      <x:c r="W1036" s="26" t="n">
        <x:v>4.6666667</x:v>
      </x:c>
      <x:c r="X1036" s="26" t="n">
        <x:v>-75.5</x:v>
      </x:c>
      <x:c r="AF1036" t="s">
        <x:v>50</x:v>
      </x:c>
      <x:c r="AG1036" t="s">
        <x:v>182</x:v>
      </x:c>
      <x:c r="AH1036" t="s">
        <x:v>803</x:v>
      </x:c>
      <x:c r="AI1036" t="s">
        <x:v>6932</x:v>
      </x:c>
      <x:c r="AJ1036">
        <x:v>1103</x:v>
      </x:c>
    </x:row>
    <x:row r="1037">
      <x:c r="A1037" t="s">
        <x:v>6685</x:v>
      </x:c>
      <x:c r="B1037" t="s">
        <x:v>6686</x:v>
      </x:c>
      <x:c r="C1037" t="s">
        <x:v>6934</x:v>
      </x:c>
      <x:c r="D1037" t="s">
        <x:v>6935</x:v>
      </x:c>
      <x:c r="E1037" t="s">
        <x:v>6936</x:v>
      </x:c>
      <x:c r="F1037">
        <x:v>3315</x:v>
      </x:c>
      <x:c r="G1037">
        <x:v>3315</x:v>
      </x:c>
      <x:c r="H1037">
        <x:v>3315</x:v>
      </x:c>
      <x:c r="I1037" t="s">
        <x:v>797</x:v>
      </x:c>
      <x:c r="J1037" t="s">
        <x:v>798</x:v>
      </x:c>
      <x:c r="K1037" t="s">
        <x:v>799</x:v>
      </x:c>
      <x:c r="L1037" t="s">
        <x:v>419</x:v>
      </x:c>
      <x:c r="M1037" t="s">
        <x:v>800</x:v>
      </x:c>
      <x:c r="N1037" t="s">
        <x:v>801</x:v>
      </x:c>
      <x:c r="O1037" t="s">
        <x:v>422</x:v>
      </x:c>
      <x:c r="P1037" t="s">
        <x:v>802</x:v>
      </x:c>
      <x:c r="R1037" s="9">
        <x:v>35150</x:v>
      </x:c>
      <x:c r="T1037" t="s">
        <x:v>119</x:v>
      </x:c>
      <x:c r="W1037" s="26" t="n">
        <x:v>4.6666667</x:v>
      </x:c>
      <x:c r="X1037" s="26" t="n">
        <x:v>-75.5</x:v>
      </x:c>
      <x:c r="AF1037" t="s">
        <x:v>50</x:v>
      </x:c>
      <x:c r="AG1037" t="s">
        <x:v>182</x:v>
      </x:c>
      <x:c r="AH1037" t="s">
        <x:v>803</x:v>
      </x:c>
      <x:c r="AI1037" t="s">
        <x:v>6937</x:v>
      </x:c>
      <x:c r="AJ1037">
        <x:v>1104</x:v>
      </x:c>
    </x:row>
    <x:row r="1038">
      <x:c r="A1038" t="s">
        <x:v>6685</x:v>
      </x:c>
      <x:c r="B1038" t="s">
        <x:v>6686</x:v>
      </x:c>
      <x:c r="C1038" t="s">
        <x:v>6938</x:v>
      </x:c>
      <x:c r="D1038" t="s">
        <x:v>5368</x:v>
      </x:c>
      <x:c r="E1038" t="s">
        <x:v>6939</x:v>
      </x:c>
      <x:c r="F1038">
        <x:v>3400</x:v>
      </x:c>
      <x:c r="G1038">
        <x:v>3400</x:v>
      </x:c>
      <x:c r="H1038">
        <x:v>3400</x:v>
      </x:c>
      <x:c r="P1038" t="s">
        <x:v>80</x:v>
      </x:c>
      <x:c r="R1038" s="9">
        <x:v>40018</x:v>
      </x:c>
      <x:c r="T1038" t="s">
        <x:v>119</x:v>
      </x:c>
      <x:c r="W1038" s="26" t="n">
        <x:v>4.63795</x:v>
      </x:c>
      <x:c r="X1038" s="26" t="n">
        <x:v>-75.48913</x:v>
      </x:c>
      <x:c r="Y1038">
        <x:v>1334.3720000000001</x:v>
      </x:c>
      <x:c r="Z1038">
        <x:v>2394</x:v>
      </x:c>
      <x:c r="AB1038" t="s">
        <x:v>6940</x:v>
      </x:c>
      <x:c r="AF1038" t="s">
        <x:v>50</x:v>
      </x:c>
      <x:c r="AG1038" t="s">
        <x:v>182</x:v>
      </x:c>
      <x:c r="AH1038" t="s">
        <x:v>803</x:v>
      </x:c>
      <x:c r="AI1038" t="s">
        <x:v>6941</x:v>
      </x:c>
      <x:c r="AJ1038">
        <x:v>1105</x:v>
      </x:c>
    </x:row>
    <x:row r="1039">
      <x:c r="A1039" t="s">
        <x:v>6685</x:v>
      </x:c>
      <x:c r="B1039" t="s">
        <x:v>6686</x:v>
      </x:c>
      <x:c r="C1039" t="s">
        <x:v>6942</x:v>
      </x:c>
      <x:c r="D1039" t="s">
        <x:v>1529</x:v>
      </x:c>
      <x:c r="E1039" t="s">
        <x:v>3161</x:v>
      </x:c>
      <x:c r="F1039">
        <x:v>2824</x:v>
      </x:c>
      <x:c r="G1039">
        <x:v>2824</x:v>
      </x:c>
      <x:c r="H1039">
        <x:v>2824</x:v>
      </x:c>
      <x:c r="I1039" t="s">
        <x:v>5455</x:v>
      </x:c>
      <x:c r="J1039" t="s">
        <x:v>3162</x:v>
      </x:c>
      <x:c r="K1039" t="s">
        <x:v>5456</x:v>
      </x:c>
      <x:c r="L1039" t="s">
        <x:v>5457</x:v>
      </x:c>
      <x:c r="M1039" t="s">
        <x:v>5458</x:v>
      </x:c>
      <x:c r="P1039" t="s">
        <x:v>80</x:v>
      </x:c>
      <x:c r="R1039" s="9">
        <x:v>40744</x:v>
      </x:c>
      <x:c r="T1039" t="s">
        <x:v>119</x:v>
      </x:c>
      <x:c r="W1039" s="26" t="n">
        <x:v>5.1244244</x:v>
      </x:c>
      <x:c r="X1039" s="26" t="n">
        <x:v>-76.0416654</x:v>
      </x:c>
      <x:c r="AF1039" t="s">
        <x:v>50</x:v>
      </x:c>
      <x:c r="AG1039" t="s">
        <x:v>360</x:v>
      </x:c>
      <x:c r="AH1039" t="s">
        <x:v>367</x:v>
      </x:c>
      <x:c r="AI1039" t="s">
        <x:v>3165</x:v>
      </x:c>
      <x:c r="AJ1039">
        <x:v>1106</x:v>
      </x:c>
    </x:row>
    <x:row r="1040">
      <x:c r="A1040" t="s">
        <x:v>6685</x:v>
      </x:c>
      <x:c r="B1040" t="s">
        <x:v>6686</x:v>
      </x:c>
      <x:c r="C1040" t="s">
        <x:v>6943</x:v>
      </x:c>
      <x:c r="D1040" t="s">
        <x:v>6944</x:v>
      </x:c>
      <x:c r="E1040" t="s">
        <x:v>6945</x:v>
      </x:c>
      <x:c r="F1040">
        <x:v>3200</x:v>
      </x:c>
      <x:c r="G1040">
        <x:v>3200</x:v>
      </x:c>
      <x:c r="H1040">
        <x:v>3200</x:v>
      </x:c>
      <x:c r="I1040" t="s">
        <x:v>6946</x:v>
      </x:c>
      <x:c r="J1040" t="s">
        <x:v>6947</x:v>
      </x:c>
      <x:c r="K1040" t="s">
        <x:v>6948</x:v>
      </x:c>
      <x:c r="L1040" t="s">
        <x:v>6949</x:v>
      </x:c>
      <x:c r="M1040" t="s">
        <x:v>6950</x:v>
      </x:c>
      <x:c r="N1040" t="s">
        <x:v>6951</x:v>
      </x:c>
      <x:c r="O1040" t="s">
        <x:v>6952</x:v>
      </x:c>
      <x:c r="P1040" t="s">
        <x:v>6953</x:v>
      </x:c>
      <x:c r="R1040" s="9">
        <x:v>14331</x:v>
      </x:c>
      <x:c r="T1040" t="s">
        <x:v>119</x:v>
      </x:c>
      <x:c r="W1040" s="26" t="n">
        <x:v>4.4400361</x:v>
      </x:c>
      <x:c r="X1040" s="26" t="n">
        <x:v>-75.4301139</x:v>
      </x:c>
      <x:c r="AF1040" t="s">
        <x:v>50</x:v>
      </x:c>
      <x:c r="AG1040" t="s">
        <x:v>133</x:v>
      </x:c>
      <x:c r="AH1040" t="s">
        <x:v>6954</x:v>
      </x:c>
      <x:c r="AI1040" t="s">
        <x:v>6955</x:v>
      </x:c>
      <x:c r="AJ1040">
        <x:v>1107</x:v>
      </x:c>
    </x:row>
    <x:row r="1041">
      <x:c r="A1041" t="s">
        <x:v>6685</x:v>
      </x:c>
      <x:c r="B1041" t="s">
        <x:v>6686</x:v>
      </x:c>
      <x:c r="C1041" t="s">
        <x:v>6956</x:v>
      </x:c>
      <x:c r="D1041" t="s">
        <x:v>1820</x:v>
      </x:c>
      <x:c r="E1041" t="s">
        <x:v>6957</x:v>
      </x:c>
      <x:c r="F1041">
        <x:v>3500</x:v>
      </x:c>
      <x:c r="G1041">
        <x:v>3500</x:v>
      </x:c>
      <x:c r="H1041">
        <x:v>3500</x:v>
      </x:c>
      <x:c r="P1041" t="s">
        <x:v>80</x:v>
      </x:c>
      <x:c r="R1041" s="9">
        <x:v>40017</x:v>
      </x:c>
      <x:c r="T1041" t="s">
        <x:v>119</x:v>
      </x:c>
      <x:c r="W1041" s="26" t="n">
        <x:v>4.58039</x:v>
      </x:c>
      <x:c r="X1041" s="26" t="n">
        <x:v>-75.3754</x:v>
      </x:c>
      <x:c r="Y1041">
        <x:v>5787.4660000000003</x:v>
      </x:c>
      <x:c r="Z1041">
        <x:v>3196</x:v>
      </x:c>
      <x:c r="AB1041" t="s">
        <x:v>2183</x:v>
      </x:c>
      <x:c r="AF1041" t="s">
        <x:v>50</x:v>
      </x:c>
      <x:c r="AG1041" t="s">
        <x:v>133</x:v>
      </x:c>
      <x:c r="AH1041" t="s">
        <x:v>351</x:v>
      </x:c>
      <x:c r="AI1041" t="s">
        <x:v>6958</x:v>
      </x:c>
      <x:c r="AJ1041">
        <x:v>1108</x:v>
      </x:c>
    </x:row>
    <x:row r="1042">
      <x:c r="A1042" t="s">
        <x:v>6959</x:v>
      </x:c>
      <x:c r="B1042" t="s">
        <x:v>6960</x:v>
      </x:c>
      <x:c r="C1042" t="s">
        <x:v>6961</x:v>
      </x:c>
      <x:c r="D1042" t="s">
        <x:v>6962</x:v>
      </x:c>
      <x:c r="E1042" t="s">
        <x:v>6963</x:v>
      </x:c>
      <x:c r="F1042">
        <x:v>1524</x:v>
      </x:c>
      <x:c r="R1042" s="9" t="s">
        <x:v>6964</x:v>
      </x:c>
      <x:c r="W1042" s="26" t="n">
        <x:v>11.15513</x:v>
      </x:c>
      <x:c r="X1042" s="26" t="n">
        <x:v>-74.06847</x:v>
      </x:c>
      <x:c r="Y1042" t="s">
        <x:v>6965</x:v>
      </x:c>
      <x:c r="Z1042">
        <x:v>1460</x:v>
      </x:c>
      <x:c r="AB1042" t="s">
        <x:v>6966</x:v>
      </x:c>
    </x:row>
    <x:row r="1043">
      <x:c r="A1043" t="s">
        <x:v>6959</x:v>
      </x:c>
      <x:c r="B1043" t="s">
        <x:v>6960</x:v>
      </x:c>
      <x:c r="C1043" t="s">
        <x:v>6967</x:v>
      </x:c>
      <x:c r="D1043" t="s">
        <x:v>6968</x:v>
      </x:c>
      <x:c r="E1043" t="s">
        <x:v>6969</x:v>
      </x:c>
      <x:c r="F1043">
        <x:v>1600</x:v>
      </x:c>
      <x:c r="I1043" t="s">
        <x:v>6970</x:v>
      </x:c>
      <x:c r="K1043" t="s">
        <x:v>6971</x:v>
      </x:c>
      <x:c r="R1043" s="9">
        <x:v>42980</x:v>
      </x:c>
      <x:c r="W1043" s="26" t="n">
        <x:v>11.0961944</x:v>
      </x:c>
      <x:c r="X1043" s="26" t="n">
        <x:v>-74.0754167</x:v>
      </x:c>
      <x:c r="Y1043" t="s">
        <x:v>6972</x:v>
      </x:c>
    </x:row>
    <x:row r="1044">
      <x:c r="A1044" t="s">
        <x:v>6959</x:v>
      </x:c>
      <x:c r="B1044" t="s">
        <x:v>6960</x:v>
      </x:c>
      <x:c r="C1044" t="s">
        <x:v>6973</x:v>
      </x:c>
      <x:c r="D1044" t="s">
        <x:v>6968</x:v>
      </x:c>
      <x:c r="E1044" t="s">
        <x:v>6969</x:v>
      </x:c>
      <x:c r="F1044">
        <x:v>1524</x:v>
      </x:c>
      <x:c r="I1044" t="s">
        <x:v>6970</x:v>
      </x:c>
      <x:c r="K1044" t="s">
        <x:v>6971</x:v>
      </x:c>
      <x:c r="R1044" s="9">
        <x:v>43831</x:v>
      </x:c>
      <x:c r="W1044" s="26" t="n">
        <x:v>11.0961944</x:v>
      </x:c>
      <x:c r="X1044" s="26" t="n">
        <x:v>-74.0754167</x:v>
      </x:c>
    </x:row>
    <x:row r="1045">
      <x:c r="A1045" t="s">
        <x:v>6974</x:v>
      </x:c>
      <x:c r="B1045" t="s">
        <x:v>6975</x:v>
      </x:c>
      <x:c r="C1045" t="s">
        <x:v>6976</x:v>
      </x:c>
      <x:c r="D1045" t="s">
        <x:v>6977</x:v>
      </x:c>
      <x:c r="E1045" t="s">
        <x:v>6978</x:v>
      </x:c>
      <x:c r="F1045" t="s">
        <x:v>6979</x:v>
      </x:c>
      <x:c r="G1045">
        <x:v>200</x:v>
      </x:c>
      <x:c r="H1045">
        <x:v>300</x:v>
      </x:c>
      <x:c r="P1045" t="s">
        <x:v>80</x:v>
      </x:c>
      <x:c r="R1045" s="9">
        <x:v>31520</x:v>
      </x:c>
      <x:c r="T1045" t="s">
        <x:v>111</x:v>
      </x:c>
      <x:c r="W1045" s="26" t="n">
        <x:v>-0.63239</x:v>
      </x:c>
      <x:c r="X1045" s="26" t="n">
        <x:v>-72.33849</x:v>
      </x:c>
      <x:c r="Y1045">
        <x:v>1287.615</x:v>
      </x:c>
      <x:c r="Z1045">
        <x:v>123</x:v>
      </x:c>
      <x:c r="AB1045" t="s">
        <x:v>6980</x:v>
      </x:c>
      <x:c r="AE1045">
        <x:v>2</x:v>
      </x:c>
      <x:c r="AF1045" t="s">
        <x:v>50</x:v>
      </x:c>
      <x:c r="AG1045" t="s">
        <x:v>3812</x:v>
      </x:c>
      <x:c r="AH1045" t="s">
        <x:v>6981</x:v>
      </x:c>
      <x:c r="AI1045" t="s">
        <x:v>6982</x:v>
      </x:c>
      <x:c r="AJ1045">
        <x:v>1110</x:v>
      </x:c>
    </x:row>
    <x:row r="1046">
      <x:c r="A1046" t="s">
        <x:v>6974</x:v>
      </x:c>
      <x:c r="B1046" t="s">
        <x:v>6975</x:v>
      </x:c>
      <x:c r="C1046" t="s">
        <x:v>6983</x:v>
      </x:c>
      <x:c r="D1046" t="s">
        <x:v>6984</x:v>
      </x:c>
      <x:c r="E1046" t="s">
        <x:v>6985</x:v>
      </x:c>
      <x:c r="F1046" t="s">
        <x:v>6986</x:v>
      </x:c>
      <x:c r="G1046">
        <x:v>90</x:v>
      </x:c>
      <x:c r="H1046">
        <x:v>100</x:v>
      </x:c>
      <x:c r="I1046" t="s">
        <x:v>6987</x:v>
      </x:c>
      <x:c r="J1046" t="s">
        <x:v>6988</x:v>
      </x:c>
      <x:c r="K1046" t="s">
        <x:v>6989</x:v>
      </x:c>
      <x:c r="L1046" t="s">
        <x:v>6990</x:v>
      </x:c>
      <x:c r="M1046" t="s">
        <x:v>6991</x:v>
      </x:c>
      <x:c r="N1046" t="s">
        <x:v>6992</x:v>
      </x:c>
      <x:c r="O1046" t="s">
        <x:v>6993</x:v>
      </x:c>
      <x:c r="P1046" t="s">
        <x:v>6994</x:v>
      </x:c>
      <x:c r="R1046" s="9">
        <x:v>35430</x:v>
      </x:c>
      <x:c r="T1046" t="s">
        <x:v>111</x:v>
      </x:c>
      <x:c r="W1046" s="26" t="n">
        <x:v>-3.7872</x:v>
      </x:c>
      <x:c r="X1046" s="26" t="n">
        <x:v>-70.29703</x:v>
      </x:c>
      <x:c r="Y1046">
        <x:v>5456.3680000000004</x:v>
      </x:c>
      <x:c r="Z1046">
        <x:v>91</x:v>
      </x:c>
      <x:c r="AB1046" t="s">
        <x:v>6995</x:v>
      </x:c>
      <x:c r="AF1046" t="s">
        <x:v>50</x:v>
      </x:c>
      <x:c r="AG1046" t="s">
        <x:v>3812</x:v>
      </x:c>
      <x:c r="AH1046" t="s">
        <x:v>6996</x:v>
      </x:c>
      <x:c r="AI1046" t="s">
        <x:v>6997</x:v>
      </x:c>
      <x:c r="AJ1046">
        <x:v>1112</x:v>
      </x:c>
    </x:row>
    <x:row r="1047">
      <x:c r="A1047" t="s">
        <x:v>6974</x:v>
      </x:c>
      <x:c r="B1047" t="s">
        <x:v>6975</x:v>
      </x:c>
      <x:c r="C1047" t="s">
        <x:v>6998</x:v>
      </x:c>
      <x:c r="D1047" t="s">
        <x:v>6999</x:v>
      </x:c>
      <x:c r="E1047" t="s">
        <x:v>7000</x:v>
      </x:c>
      <x:c r="P1047" t="s">
        <x:v>80</x:v>
      </x:c>
      <x:c r="R1047" s="9">
        <x:v>37337</x:v>
      </x:c>
      <x:c r="T1047" t="s">
        <x:v>119</x:v>
      </x:c>
      <x:c r="W1047" s="26" t="n">
        <x:v>-3.77961</x:v>
      </x:c>
      <x:c r="X1047" s="26" t="n">
        <x:v>-70.20618</x:v>
      </x:c>
      <x:c r="Y1047">
        <x:v>3118.0630000000001</x:v>
      </x:c>
      <x:c r="Z1047">
        <x:v>107</x:v>
      </x:c>
      <x:c r="AB1047" t="s">
        <x:v>7001</x:v>
      </x:c>
      <x:c r="AF1047" t="s">
        <x:v>50</x:v>
      </x:c>
      <x:c r="AG1047" t="s">
        <x:v>3812</x:v>
      </x:c>
      <x:c r="AH1047" t="s">
        <x:v>6996</x:v>
      </x:c>
      <x:c r="AI1047" t="s">
        <x:v>7002</x:v>
      </x:c>
      <x:c r="AJ1047">
        <x:v>1114</x:v>
      </x:c>
    </x:row>
    <x:row r="1048">
      <x:c r="A1048" t="s">
        <x:v>6974</x:v>
      </x:c>
      <x:c r="B1048" t="s">
        <x:v>6975</x:v>
      </x:c>
      <x:c r="C1048" t="s">
        <x:v>7003</x:v>
      </x:c>
      <x:c r="D1048" t="s">
        <x:v>7004</x:v>
      </x:c>
      <x:c r="E1048" t="s">
        <x:v>7005</x:v>
      </x:c>
      <x:c r="F1048" t="s">
        <x:v>7006</x:v>
      </x:c>
      <x:c r="G1048">
        <x:v>700</x:v>
      </x:c>
      <x:c r="H1048">
        <x:v>925</x:v>
      </x:c>
      <x:c r="I1048" t="s">
        <x:v>7007</x:v>
      </x:c>
      <x:c r="J1048" t="s">
        <x:v>7008</x:v>
      </x:c>
      <x:c r="K1048" t="s">
        <x:v>7009</x:v>
      </x:c>
      <x:c r="L1048" t="s">
        <x:v>7010</x:v>
      </x:c>
      <x:c r="M1048" t="s">
        <x:v>7011</x:v>
      </x:c>
      <x:c r="N1048" t="s">
        <x:v>7012</x:v>
      </x:c>
      <x:c r="O1048" t="s">
        <x:v>7013</x:v>
      </x:c>
      <x:c r="P1048" t="s">
        <x:v>7014</x:v>
      </x:c>
      <x:c r="R1048" s="9">
        <x:v>32975</x:v>
      </x:c>
      <x:c r="T1048" t="s">
        <x:v>119</x:v>
      </x:c>
      <x:c r="W1048" s="26" t="n">
        <x:v>5.96664</x:v>
      </x:c>
      <x:c r="X1048" s="26" t="n">
        <x:v>-74.92114</x:v>
      </x:c>
      <x:c r="Y1048">
        <x:v>1556.883</x:v>
      </x:c>
      <x:c r="Z1048">
        <x:v>755</x:v>
      </x:c>
      <x:c r="AB1048" t="s">
        <x:v>7015</x:v>
      </x:c>
      <x:c r="AF1048" t="s">
        <x:v>50</x:v>
      </x:c>
      <x:c r="AG1048" t="s">
        <x:v>7016</x:v>
      </x:c>
      <x:c r="AH1048" t="s">
        <x:v>1200</x:v>
      </x:c>
      <x:c r="AI1048" t="s">
        <x:v>7017</x:v>
      </x:c>
      <x:c r="AJ1048">
        <x:v>1115</x:v>
      </x:c>
    </x:row>
    <x:row r="1049">
      <x:c r="A1049" t="s">
        <x:v>6974</x:v>
      </x:c>
      <x:c r="B1049" t="s">
        <x:v>6975</x:v>
      </x:c>
      <x:c r="C1049" t="s">
        <x:v>7018</x:v>
      </x:c>
      <x:c r="D1049" t="s">
        <x:v>7019</x:v>
      </x:c>
      <x:c r="E1049" t="s">
        <x:v>7020</x:v>
      </x:c>
      <x:c r="F1049" t="s">
        <x:v>2286</x:v>
      </x:c>
      <x:c r="G1049">
        <x:v>1600</x:v>
      </x:c>
      <x:c r="H1049">
        <x:v>1700</x:v>
      </x:c>
      <x:c r="I1049" t="s">
        <x:v>7021</x:v>
      </x:c>
      <x:c r="J1049" t="s">
        <x:v>7022</x:v>
      </x:c>
      <x:c r="K1049" t="s">
        <x:v>7023</x:v>
      </x:c>
      <x:c r="L1049" t="s">
        <x:v>7024</x:v>
      </x:c>
      <x:c r="M1049" t="s">
        <x:v>7025</x:v>
      </x:c>
      <x:c r="N1049" t="s">
        <x:v>7026</x:v>
      </x:c>
      <x:c r="O1049" t="s">
        <x:v>7027</x:v>
      </x:c>
      <x:c r="P1049" t="s">
        <x:v>7028</x:v>
      </x:c>
      <x:c r="R1049" s="9">
        <x:v>35538</x:v>
      </x:c>
      <x:c r="T1049" t="s">
        <x:v>119</x:v>
      </x:c>
      <x:c r="W1049" s="26" t="n">
        <x:v>6.2264</x:v>
      </x:c>
      <x:c r="X1049" s="26" t="n">
        <x:v>-75.5666</x:v>
      </x:c>
      <x:c r="Y1049">
        <x:v>142.40199999999999</x:v>
      </x:c>
      <x:c r="Z1049">
        <x:v>1629</x:v>
      </x:c>
      <x:c r="AB1049" t="s">
        <x:v>7029</x:v>
      </x:c>
      <x:c r="AF1049" t="s">
        <x:v>50</x:v>
      </x:c>
      <x:c r="AG1049" t="s">
        <x:v>7016</x:v>
      </x:c>
      <x:c r="AH1049" t="s">
        <x:v>855</x:v>
      </x:c>
      <x:c r="AI1049" t="s">
        <x:v>7030</x:v>
      </x:c>
      <x:c r="AJ1049">
        <x:v>1117</x:v>
      </x:c>
    </x:row>
    <x:row r="1050">
      <x:c r="A1050" t="s">
        <x:v>6974</x:v>
      </x:c>
      <x:c r="B1050" t="s">
        <x:v>6975</x:v>
      </x:c>
      <x:c r="C1050" t="s">
        <x:v>7018</x:v>
      </x:c>
      <x:c r="D1050" t="s">
        <x:v>7031</x:v>
      </x:c>
      <x:c r="E1050" t="s">
        <x:v>7020</x:v>
      </x:c>
      <x:c r="F1050" t="s">
        <x:v>2286</x:v>
      </x:c>
      <x:c r="G1050">
        <x:v>1600</x:v>
      </x:c>
      <x:c r="H1050">
        <x:v>1700</x:v>
      </x:c>
      <x:c r="I1050" t="s">
        <x:v>7021</x:v>
      </x:c>
      <x:c r="J1050" t="s">
        <x:v>7022</x:v>
      </x:c>
      <x:c r="K1050" t="s">
        <x:v>7023</x:v>
      </x:c>
      <x:c r="L1050" t="s">
        <x:v>7024</x:v>
      </x:c>
      <x:c r="M1050" t="s">
        <x:v>7025</x:v>
      </x:c>
      <x:c r="N1050" t="s">
        <x:v>7026</x:v>
      </x:c>
      <x:c r="O1050" t="s">
        <x:v>7027</x:v>
      </x:c>
      <x:c r="P1050" t="s">
        <x:v>7028</x:v>
      </x:c>
      <x:c r="R1050" s="9">
        <x:v>35538</x:v>
      </x:c>
      <x:c r="T1050" t="s">
        <x:v>119</x:v>
      </x:c>
      <x:c r="W1050" s="26" t="n">
        <x:v>6.2264</x:v>
      </x:c>
      <x:c r="X1050" s="26" t="n">
        <x:v>-75.5666</x:v>
      </x:c>
      <x:c r="Y1050">
        <x:v>142.40199999999999</x:v>
      </x:c>
      <x:c r="Z1050">
        <x:v>1629</x:v>
      </x:c>
      <x:c r="AB1050" t="s">
        <x:v>7029</x:v>
      </x:c>
      <x:c r="AF1050" t="s">
        <x:v>50</x:v>
      </x:c>
      <x:c r="AG1050" t="s">
        <x:v>7016</x:v>
      </x:c>
      <x:c r="AH1050" t="s">
        <x:v>855</x:v>
      </x:c>
      <x:c r="AI1050" t="s">
        <x:v>7030</x:v>
      </x:c>
      <x:c r="AJ1050">
        <x:v>1119</x:v>
      </x:c>
    </x:row>
    <x:row r="1051">
      <x:c r="A1051" t="s">
        <x:v>6974</x:v>
      </x:c>
      <x:c r="B1051" t="s">
        <x:v>6975</x:v>
      </x:c>
      <x:c r="C1051" t="s">
        <x:v>7032</x:v>
      </x:c>
      <x:c r="D1051" t="s">
        <x:v>7033</x:v>
      </x:c>
      <x:c r="E1051" t="s">
        <x:v>7034</x:v>
      </x:c>
      <x:c r="F1051" t="s">
        <x:v>399</x:v>
      </x:c>
      <x:c r="G1051" t="s">
        <x:v>399</x:v>
      </x:c>
      <x:c r="H1051" t="s">
        <x:v>399</x:v>
      </x:c>
      <x:c r="I1051" t="s">
        <x:v>399</x:v>
      </x:c>
      <x:c r="K1051" t="s">
        <x:v>399</x:v>
      </x:c>
      <x:c r="P1051" t="s">
        <x:v>80</x:v>
      </x:c>
      <x:c r="R1051" s="9">
        <x:v>11316</x:v>
      </x:c>
      <x:c r="T1051" t="s">
        <x:v>399</x:v>
      </x:c>
      <x:c r="W1051" s="26" t="n">
        <x:v>6.23099</x:v>
      </x:c>
      <x:c r="X1051" s="26" t="n">
        <x:v>-75.6573</x:v>
      </x:c>
      <x:c r="Y1051">
        <x:v>2683.471</x:v>
      </x:c>
      <x:c r="Z1051">
        <x:v>2217</x:v>
      </x:c>
      <x:c r="AB1051" t="s">
        <x:v>7035</x:v>
      </x:c>
      <x:c r="AF1051" t="s">
        <x:v>50</x:v>
      </x:c>
      <x:c r="AG1051" t="s">
        <x:v>402</x:v>
      </x:c>
      <x:c r="AH1051" t="s">
        <x:v>7036</x:v>
      </x:c>
      <x:c r="AJ1051">
        <x:v>1121</x:v>
      </x:c>
    </x:row>
    <x:row r="1052">
      <x:c r="A1052" t="s">
        <x:v>6974</x:v>
      </x:c>
      <x:c r="B1052" t="s">
        <x:v>6975</x:v>
      </x:c>
      <x:c r="C1052" t="s">
        <x:v>7037</x:v>
      </x:c>
      <x:c r="D1052" t="s">
        <x:v>7038</x:v>
      </x:c>
      <x:c r="E1052" t="s">
        <x:v>7039</x:v>
      </x:c>
      <x:c r="F1052" t="s">
        <x:v>7040</x:v>
      </x:c>
      <x:c r="G1052">
        <x:v>500</x:v>
      </x:c>
      <x:c r="H1052">
        <x:v>600</x:v>
      </x:c>
      <x:c r="I1052" t="s">
        <x:v>1176</x:v>
      </x:c>
      <x:c r="J1052" t="s">
        <x:v>1177</x:v>
      </x:c>
      <x:c r="K1052" t="s">
        <x:v>1178</x:v>
      </x:c>
      <x:c r="L1052" t="s">
        <x:v>1179</x:v>
      </x:c>
      <x:c r="M1052" t="s">
        <x:v>1180</x:v>
      </x:c>
      <x:c r="N1052" t="s">
        <x:v>1181</x:v>
      </x:c>
      <x:c r="O1052" t="s">
        <x:v>1182</x:v>
      </x:c>
      <x:c r="P1052" t="s">
        <x:v>1183</x:v>
      </x:c>
      <x:c r="R1052" s="9">
        <x:v>26090</x:v>
      </x:c>
      <x:c r="T1052" t="s">
        <x:v>119</x:v>
      </x:c>
      <x:c r="W1052" s="26" t="n">
        <x:v>7.0764389</x:v>
      </x:c>
      <x:c r="X1052" s="26" t="n">
        <x:v>-75.1565389</x:v>
      </x:c>
      <x:c r="AF1052" t="s">
        <x:v>50</x:v>
      </x:c>
      <x:c r="AG1052" t="s">
        <x:v>402</x:v>
      </x:c>
      <x:c r="AH1052" t="s">
        <x:v>1186</x:v>
      </x:c>
      <x:c r="AI1052" t="s">
        <x:v>7041</x:v>
      </x:c>
      <x:c r="AJ1052">
        <x:v>1122</x:v>
      </x:c>
    </x:row>
    <x:row r="1053">
      <x:c r="A1053" t="s">
        <x:v>6974</x:v>
      </x:c>
      <x:c r="B1053" t="s">
        <x:v>6975</x:v>
      </x:c>
      <x:c r="C1053" t="s">
        <x:v>7042</x:v>
      </x:c>
      <x:c r="D1053" t="s">
        <x:v>7043</x:v>
      </x:c>
      <x:c r="E1053" t="s">
        <x:v>7044</x:v>
      </x:c>
      <x:c r="F1053" t="s">
        <x:v>3834</x:v>
      </x:c>
      <x:c r="G1053">
        <x:v>400</x:v>
      </x:c>
      <x:c r="H1053">
        <x:v>700</x:v>
      </x:c>
      <x:c r="P1053" t="s">
        <x:v>80</x:v>
      </x:c>
      <x:c r="R1053" s="9">
        <x:v>26090</x:v>
      </x:c>
      <x:c r="T1053" t="s">
        <x:v>119</x:v>
      </x:c>
      <x:c r="W1053" s="26" t="n">
        <x:v>7.31676</x:v>
      </x:c>
      <x:c r="X1053" s="26" t="n">
        <x:v>-75.05643</x:v>
      </x:c>
      <x:c r="Y1053">
        <x:v>3115.4110000000001</x:v>
      </x:c>
      <x:c r="Z1053">
        <x:v>474</x:v>
      </x:c>
      <x:c r="AB1053" t="s">
        <x:v>3827</x:v>
      </x:c>
      <x:c r="AF1053" t="s">
        <x:v>50</x:v>
      </x:c>
      <x:c r="AG1053" t="s">
        <x:v>402</x:v>
      </x:c>
      <x:c r="AH1053" t="s">
        <x:v>1186</x:v>
      </x:c>
      <x:c r="AI1053" t="s">
        <x:v>7045</x:v>
      </x:c>
      <x:c r="AJ1053">
        <x:v>1123</x:v>
      </x:c>
    </x:row>
    <x:row r="1054">
      <x:c r="A1054" t="s">
        <x:v>6974</x:v>
      </x:c>
      <x:c r="B1054" t="s">
        <x:v>6975</x:v>
      </x:c>
      <x:c r="C1054" t="s">
        <x:v>7046</x:v>
      </x:c>
      <x:c r="D1054" t="s">
        <x:v>7043</x:v>
      </x:c>
      <x:c r="E1054" t="s">
        <x:v>7039</x:v>
      </x:c>
      <x:c r="F1054" t="s">
        <x:v>7040</x:v>
      </x:c>
      <x:c r="G1054">
        <x:v>500</x:v>
      </x:c>
      <x:c r="H1054">
        <x:v>600</x:v>
      </x:c>
      <x:c r="I1054" t="s">
        <x:v>1176</x:v>
      </x:c>
      <x:c r="J1054" t="s">
        <x:v>1177</x:v>
      </x:c>
      <x:c r="K1054" t="s">
        <x:v>1178</x:v>
      </x:c>
      <x:c r="L1054" t="s">
        <x:v>1179</x:v>
      </x:c>
      <x:c r="M1054" t="s">
        <x:v>1180</x:v>
      </x:c>
      <x:c r="N1054" t="s">
        <x:v>1181</x:v>
      </x:c>
      <x:c r="O1054" t="s">
        <x:v>1182</x:v>
      </x:c>
      <x:c r="P1054" t="s">
        <x:v>1183</x:v>
      </x:c>
      <x:c r="R1054" s="9">
        <x:v>26090</x:v>
      </x:c>
      <x:c r="T1054" t="s">
        <x:v>119</x:v>
      </x:c>
      <x:c r="W1054" s="26" t="n">
        <x:v>7.31676</x:v>
      </x:c>
      <x:c r="X1054" s="26" t="n">
        <x:v>-75.05643</x:v>
      </x:c>
      <x:c r="Y1054">
        <x:v>3115.4110000000001</x:v>
      </x:c>
      <x:c r="Z1054">
        <x:v>474</x:v>
      </x:c>
      <x:c r="AB1054" t="s">
        <x:v>3827</x:v>
      </x:c>
      <x:c r="AF1054" t="s">
        <x:v>50</x:v>
      </x:c>
      <x:c r="AG1054" t="s">
        <x:v>402</x:v>
      </x:c>
      <x:c r="AH1054" t="s">
        <x:v>1186</x:v>
      </x:c>
      <x:c r="AI1054" t="s">
        <x:v>7041</x:v>
      </x:c>
      <x:c r="AJ1054">
        <x:v>1124</x:v>
      </x:c>
    </x:row>
    <x:row r="1055">
      <x:c r="A1055" t="s">
        <x:v>6974</x:v>
      </x:c>
      <x:c r="B1055" t="s">
        <x:v>6975</x:v>
      </x:c>
      <x:c r="C1055" t="s">
        <x:v>7047</x:v>
      </x:c>
      <x:c r="D1055" t="s">
        <x:v>7048</x:v>
      </x:c>
      <x:c r="E1055" t="s">
        <x:v>7049</x:v>
      </x:c>
      <x:c r="F1055">
        <x:v>1350</x:v>
      </x:c>
      <x:c r="G1055">
        <x:v>1350</x:v>
      </x:c>
      <x:c r="H1055">
        <x:v>1350</x:v>
      </x:c>
      <x:c r="I1055" t="s">
        <x:v>7050</x:v>
      </x:c>
      <x:c r="J1055" t="s">
        <x:v>7051</x:v>
      </x:c>
      <x:c r="K1055" t="s">
        <x:v>7052</x:v>
      </x:c>
      <x:c r="L1055" t="s">
        <x:v>7053</x:v>
      </x:c>
      <x:c r="M1055" t="s">
        <x:v>7054</x:v>
      </x:c>
      <x:c r="N1055" t="s">
        <x:v>7055</x:v>
      </x:c>
      <x:c r="O1055" t="s">
        <x:v>7056</x:v>
      </x:c>
      <x:c r="P1055" t="s">
        <x:v>7057</x:v>
      </x:c>
      <x:c r="R1055" s="9">
        <x:v>27303</x:v>
      </x:c>
      <x:c r="T1055" t="s">
        <x:v>399</x:v>
      </x:c>
      <x:c r="W1055" s="26" t="n">
        <x:v>6.439</x:v>
      </x:c>
      <x:c r="X1055" s="26" t="n">
        <x:v>-75.333</x:v>
      </x:c>
      <x:c r="AF1055" t="s">
        <x:v>50</x:v>
      </x:c>
      <x:c r="AG1055" t="s">
        <x:v>402</x:v>
      </x:c>
      <x:c r="AH1055" t="s">
        <x:v>3546</x:v>
      </x:c>
      <x:c r="AI1055" t="s">
        <x:v>7058</x:v>
      </x:c>
      <x:c r="AJ1055">
        <x:v>1125</x:v>
      </x:c>
    </x:row>
    <x:row r="1056">
      <x:c r="A1056" t="s">
        <x:v>6974</x:v>
      </x:c>
      <x:c r="B1056" t="s">
        <x:v>6975</x:v>
      </x:c>
      <x:c r="C1056" t="s">
        <x:v>7047</x:v>
      </x:c>
      <x:c r="D1056" t="s">
        <x:v>7059</x:v>
      </x:c>
      <x:c r="E1056" t="s">
        <x:v>7049</x:v>
      </x:c>
      <x:c r="F1056">
        <x:v>1350</x:v>
      </x:c>
      <x:c r="G1056">
        <x:v>1350</x:v>
      </x:c>
      <x:c r="H1056">
        <x:v>1350</x:v>
      </x:c>
      <x:c r="I1056" t="s">
        <x:v>7050</x:v>
      </x:c>
      <x:c r="J1056" t="s">
        <x:v>7051</x:v>
      </x:c>
      <x:c r="K1056" t="s">
        <x:v>7052</x:v>
      </x:c>
      <x:c r="L1056" t="s">
        <x:v>7053</x:v>
      </x:c>
      <x:c r="M1056" t="s">
        <x:v>7054</x:v>
      </x:c>
      <x:c r="N1056" t="s">
        <x:v>7055</x:v>
      </x:c>
      <x:c r="O1056" t="s">
        <x:v>7056</x:v>
      </x:c>
      <x:c r="P1056" t="s">
        <x:v>7057</x:v>
      </x:c>
      <x:c r="R1056" s="9">
        <x:v>27303</x:v>
      </x:c>
      <x:c r="T1056" t="s">
        <x:v>399</x:v>
      </x:c>
      <x:c r="W1056" s="26" t="n">
        <x:v>6.439</x:v>
      </x:c>
      <x:c r="X1056" s="26" t="n">
        <x:v>-75.333</x:v>
      </x:c>
      <x:c r="AF1056" t="s">
        <x:v>50</x:v>
      </x:c>
      <x:c r="AG1056" t="s">
        <x:v>402</x:v>
      </x:c>
      <x:c r="AH1056" t="s">
        <x:v>3546</x:v>
      </x:c>
      <x:c r="AI1056" t="s">
        <x:v>7058</x:v>
      </x:c>
      <x:c r="AJ1056">
        <x:v>1126</x:v>
      </x:c>
    </x:row>
    <x:row r="1057">
      <x:c r="A1057" t="s">
        <x:v>6974</x:v>
      </x:c>
      <x:c r="B1057" t="s">
        <x:v>6975</x:v>
      </x:c>
      <x:c r="C1057" t="s">
        <x:v>7047</x:v>
      </x:c>
      <x:c r="D1057" t="s">
        <x:v>7060</x:v>
      </x:c>
      <x:c r="E1057" t="s">
        <x:v>7049</x:v>
      </x:c>
      <x:c r="F1057">
        <x:v>1350</x:v>
      </x:c>
      <x:c r="G1057">
        <x:v>1350</x:v>
      </x:c>
      <x:c r="H1057">
        <x:v>1350</x:v>
      </x:c>
      <x:c r="I1057" t="s">
        <x:v>7050</x:v>
      </x:c>
      <x:c r="J1057" t="s">
        <x:v>7051</x:v>
      </x:c>
      <x:c r="K1057" t="s">
        <x:v>7052</x:v>
      </x:c>
      <x:c r="L1057" t="s">
        <x:v>7053</x:v>
      </x:c>
      <x:c r="M1057" t="s">
        <x:v>7054</x:v>
      </x:c>
      <x:c r="N1057" t="s">
        <x:v>7055</x:v>
      </x:c>
      <x:c r="O1057" t="s">
        <x:v>7056</x:v>
      </x:c>
      <x:c r="P1057" t="s">
        <x:v>7057</x:v>
      </x:c>
      <x:c r="R1057" s="9">
        <x:v>27303</x:v>
      </x:c>
      <x:c r="T1057" t="s">
        <x:v>399</x:v>
      </x:c>
      <x:c r="W1057" s="26" t="n">
        <x:v>6.439</x:v>
      </x:c>
      <x:c r="X1057" s="26" t="n">
        <x:v>-75.333</x:v>
      </x:c>
      <x:c r="AF1057" t="s">
        <x:v>50</x:v>
      </x:c>
      <x:c r="AG1057" t="s">
        <x:v>402</x:v>
      </x:c>
      <x:c r="AH1057" t="s">
        <x:v>3546</x:v>
      </x:c>
      <x:c r="AI1057" t="s">
        <x:v>7058</x:v>
      </x:c>
      <x:c r="AJ1057">
        <x:v>1127</x:v>
      </x:c>
    </x:row>
    <x:row r="1058">
      <x:c r="A1058" t="s">
        <x:v>6974</x:v>
      </x:c>
      <x:c r="B1058" t="s">
        <x:v>6975</x:v>
      </x:c>
      <x:c r="C1058" t="s">
        <x:v>7061</x:v>
      </x:c>
      <x:c r="D1058" t="s">
        <x:v>7062</x:v>
      </x:c>
      <x:c r="E1058" t="s">
        <x:v>7063</x:v>
      </x:c>
      <x:c r="F1058">
        <x:v>1750</x:v>
      </x:c>
      <x:c r="G1058">
        <x:v>1750</x:v>
      </x:c>
      <x:c r="H1058">
        <x:v>1750</x:v>
      </x:c>
      <x:c r="I1058" t="s">
        <x:v>5739</x:v>
      </x:c>
      <x:c r="J1058" t="s">
        <x:v>5740</x:v>
      </x:c>
      <x:c r="K1058" t="s">
        <x:v>557</x:v>
      </x:c>
      <x:c r="L1058" t="s">
        <x:v>558</x:v>
      </x:c>
      <x:c r="M1058" t="s">
        <x:v>5741</x:v>
      </x:c>
      <x:c r="N1058" t="s">
        <x:v>560</x:v>
      </x:c>
      <x:c r="O1058" t="s">
        <x:v>561</x:v>
      </x:c>
      <x:c r="P1058" t="s">
        <x:v>562</x:v>
      </x:c>
      <x:c r="R1058" s="9">
        <x:v>28645</x:v>
      </x:c>
      <x:c r="T1058" t="s">
        <x:v>119</x:v>
      </x:c>
      <x:c r="W1058" s="26" t="n">
        <x:v>6.09</x:v>
      </x:c>
      <x:c r="X1058" s="26" t="n">
        <x:v>-75.638</x:v>
      </x:c>
      <x:c r="AF1058" t="s">
        <x:v>50</x:v>
      </x:c>
      <x:c r="AG1058" t="s">
        <x:v>402</x:v>
      </x:c>
      <x:c r="AH1058" t="s">
        <x:v>167</x:v>
      </x:c>
      <x:c r="AI1058" t="s">
        <x:v>7064</x:v>
      </x:c>
      <x:c r="AJ1058">
        <x:v>1128</x:v>
      </x:c>
    </x:row>
    <x:row r="1059">
      <x:c r="A1059" t="s">
        <x:v>6974</x:v>
      </x:c>
      <x:c r="B1059" t="s">
        <x:v>6975</x:v>
      </x:c>
      <x:c r="C1059" t="s">
        <x:v>7065</x:v>
      </x:c>
      <x:c r="D1059" t="s">
        <x:v>7066</x:v>
      </x:c>
      <x:c r="E1059" t="s">
        <x:v>7067</x:v>
      </x:c>
      <x:c r="F1059">
        <x:v>800</x:v>
      </x:c>
      <x:c r="G1059">
        <x:v>800</x:v>
      </x:c>
      <x:c r="H1059">
        <x:v>800</x:v>
      </x:c>
      <x:c r="I1059" t="s">
        <x:v>1205</x:v>
      </x:c>
      <x:c r="J1059" t="s">
        <x:v>1206</x:v>
      </x:c>
      <x:c r="K1059" t="s">
        <x:v>1207</x:v>
      </x:c>
      <x:c r="L1059" t="s">
        <x:v>1208</x:v>
      </x:c>
      <x:c r="M1059" t="s">
        <x:v>1209</x:v>
      </x:c>
      <x:c r="N1059" t="s">
        <x:v>1210</x:v>
      </x:c>
      <x:c r="O1059" t="s">
        <x:v>1216</x:v>
      </x:c>
      <x:c r="P1059" t="s">
        <x:v>1217</x:v>
      </x:c>
      <x:c r="R1059" s="9">
        <x:v>30649</x:v>
      </x:c>
      <x:c r="W1059" s="26" t="n">
        <x:v>6.05</x:v>
      </x:c>
      <x:c r="X1059" s="26" t="n">
        <x:v>-75</x:v>
      </x:c>
      <x:c r="AF1059" t="s">
        <x:v>50</x:v>
      </x:c>
      <x:c r="AG1059" t="s">
        <x:v>402</x:v>
      </x:c>
      <x:c r="AH1059" t="s">
        <x:v>1200</x:v>
      </x:c>
      <x:c r="AI1059" t="s">
        <x:v>7068</x:v>
      </x:c>
      <x:c r="AJ1059">
        <x:v>1129</x:v>
      </x:c>
    </x:row>
    <x:row r="1060">
      <x:c r="A1060" t="s">
        <x:v>6974</x:v>
      </x:c>
      <x:c r="B1060" t="s">
        <x:v>6975</x:v>
      </x:c>
      <x:c r="C1060" t="s">
        <x:v>7069</x:v>
      </x:c>
      <x:c r="D1060" t="s">
        <x:v>7070</x:v>
      </x:c>
      <x:c r="E1060" t="s">
        <x:v>7071</x:v>
      </x:c>
      <x:c r="F1060">
        <x:v>800</x:v>
      </x:c>
      <x:c r="G1060">
        <x:v>800</x:v>
      </x:c>
      <x:c r="H1060">
        <x:v>800</x:v>
      </x:c>
      <x:c r="I1060" t="s">
        <x:v>1205</x:v>
      </x:c>
      <x:c r="J1060" t="s">
        <x:v>1206</x:v>
      </x:c>
      <x:c r="K1060" t="s">
        <x:v>1207</x:v>
      </x:c>
      <x:c r="L1060" t="s">
        <x:v>1208</x:v>
      </x:c>
      <x:c r="M1060" t="s">
        <x:v>1209</x:v>
      </x:c>
      <x:c r="N1060" t="s">
        <x:v>1210</x:v>
      </x:c>
      <x:c r="O1060" t="s">
        <x:v>1216</x:v>
      </x:c>
      <x:c r="P1060" t="s">
        <x:v>1217</x:v>
      </x:c>
      <x:c r="R1060" s="9">
        <x:v>30651</x:v>
      </x:c>
      <x:c r="T1060" t="s">
        <x:v>119</x:v>
      </x:c>
      <x:c r="W1060" s="26" t="n">
        <x:v>6.05</x:v>
      </x:c>
      <x:c r="X1060" s="26" t="n">
        <x:v>-75</x:v>
      </x:c>
      <x:c r="AF1060" t="s">
        <x:v>50</x:v>
      </x:c>
      <x:c r="AG1060" t="s">
        <x:v>402</x:v>
      </x:c>
      <x:c r="AH1060" t="s">
        <x:v>1200</x:v>
      </x:c>
      <x:c r="AI1060" t="s">
        <x:v>7072</x:v>
      </x:c>
      <x:c r="AJ1060">
        <x:v>1130</x:v>
      </x:c>
    </x:row>
    <x:row r="1061">
      <x:c r="A1061" t="s">
        <x:v>6974</x:v>
      </x:c>
      <x:c r="B1061" t="s">
        <x:v>6975</x:v>
      </x:c>
      <x:c r="C1061" t="s">
        <x:v>7073</x:v>
      </x:c>
      <x:c r="D1061" t="s">
        <x:v>7074</x:v>
      </x:c>
      <x:c r="E1061" t="s">
        <x:v>7075</x:v>
      </x:c>
      <x:c r="I1061" t="s">
        <x:v>7008</x:v>
      </x:c>
      <x:c r="J1061" t="s">
        <x:v>7008</x:v>
      </x:c>
      <x:c r="K1061" t="s">
        <x:v>7076</x:v>
      </x:c>
      <x:c r="L1061" t="s">
        <x:v>7076</x:v>
      </x:c>
      <x:c r="M1061" t="s">
        <x:v>7077</x:v>
      </x:c>
      <x:c r="N1061" t="s">
        <x:v>7012</x:v>
      </x:c>
      <x:c r="O1061" t="s">
        <x:v>7078</x:v>
      </x:c>
      <x:c r="P1061" t="s">
        <x:v>7079</x:v>
      </x:c>
      <x:c r="R1061" s="9">
        <x:v>31953</x:v>
      </x:c>
      <x:c r="T1061" t="s">
        <x:v>119</x:v>
      </x:c>
      <x:c r="W1061" s="26" t="n">
        <x:v>6</x:v>
      </x:c>
      <x:c r="X1061" s="26" t="n">
        <x:v>-74.8333333</x:v>
      </x:c>
      <x:c r="AF1061" t="s">
        <x:v>50</x:v>
      </x:c>
      <x:c r="AG1061" t="s">
        <x:v>402</x:v>
      </x:c>
      <x:c r="AH1061" t="s">
        <x:v>1200</x:v>
      </x:c>
      <x:c r="AI1061" t="s">
        <x:v>7080</x:v>
      </x:c>
      <x:c r="AJ1061">
        <x:v>1131</x:v>
      </x:c>
    </x:row>
    <x:row r="1062">
      <x:c r="A1062" t="s">
        <x:v>6974</x:v>
      </x:c>
      <x:c r="B1062" t="s">
        <x:v>6975</x:v>
      </x:c>
      <x:c r="C1062" t="s">
        <x:v>7081</x:v>
      </x:c>
      <x:c r="D1062" t="s">
        <x:v>7082</x:v>
      </x:c>
      <x:c r="E1062" t="s">
        <x:v>7083</x:v>
      </x:c>
      <x:c r="F1062">
        <x:v>1480</x:v>
      </x:c>
      <x:c r="G1062">
        <x:v>1480</x:v>
      </x:c>
      <x:c r="H1062">
        <x:v>1480</x:v>
      </x:c>
      <x:c r="P1062" t="s">
        <x:v>80</x:v>
      </x:c>
      <x:c r="R1062" s="9">
        <x:v>32378</x:v>
      </x:c>
      <x:c r="T1062" t="s">
        <x:v>119</x:v>
      </x:c>
      <x:c r="W1062" s="26" t="n">
        <x:v>5.64993</x:v>
      </x:c>
      <x:c r="X1062" s="26" t="n">
        <x:v>-75.90005</x:v>
      </x:c>
      <x:c r="Y1062">
        <x:v>1871.2470000000001</x:v>
      </x:c>
      <x:c r="Z1062">
        <x:v>1591</x:v>
      </x:c>
      <x:c r="AB1062" t="s">
        <x:v>7084</x:v>
      </x:c>
      <x:c r="AF1062" t="s">
        <x:v>50</x:v>
      </x:c>
      <x:c r="AG1062" t="s">
        <x:v>402</x:v>
      </x:c>
      <x:c r="AH1062" t="s">
        <x:v>7085</x:v>
      </x:c>
      <x:c r="AI1062" t="s">
        <x:v>7086</x:v>
      </x:c>
      <x:c r="AJ1062">
        <x:v>1132</x:v>
      </x:c>
    </x:row>
    <x:row r="1063">
      <x:c r="A1063" t="s">
        <x:v>6974</x:v>
      </x:c>
      <x:c r="B1063" t="s">
        <x:v>6975</x:v>
      </x:c>
      <x:c r="C1063" t="s">
        <x:v>7087</x:v>
      </x:c>
      <x:c r="D1063" t="s">
        <x:v>7088</x:v>
      </x:c>
      <x:c r="E1063" t="s">
        <x:v>7089</x:v>
      </x:c>
      <x:c r="F1063" t="s">
        <x:v>6077</x:v>
      </x:c>
      <x:c r="G1063">
        <x:v>1000</x:v>
      </x:c>
      <x:c r="H1063">
        <x:v>1500</x:v>
      </x:c>
      <x:c r="I1063" t="s">
        <x:v>1479</x:v>
      </x:c>
      <x:c r="J1063" t="s">
        <x:v>1480</x:v>
      </x:c>
      <x:c r="K1063" t="s">
        <x:v>1481</x:v>
      </x:c>
      <x:c r="L1063" t="s">
        <x:v>1482</x:v>
      </x:c>
      <x:c r="M1063" t="s">
        <x:v>1483</x:v>
      </x:c>
      <x:c r="N1063" t="s">
        <x:v>1484</x:v>
      </x:c>
      <x:c r="O1063" t="s">
        <x:v>1485</x:v>
      </x:c>
      <x:c r="P1063" t="s">
        <x:v>1486</x:v>
      </x:c>
      <x:c r="R1063" s="9">
        <x:v>33391</x:v>
      </x:c>
      <x:c r="T1063" t="s">
        <x:v>111</x:v>
      </x:c>
      <x:c r="W1063" s="26" t="n">
        <x:v>6.0333333</x:v>
      </x:c>
      <x:c r="X1063" s="26" t="n">
        <x:v>-75.1333333</x:v>
      </x:c>
      <x:c r="AF1063" t="s">
        <x:v>50</x:v>
      </x:c>
      <x:c r="AG1063" t="s">
        <x:v>402</x:v>
      </x:c>
      <x:c r="AH1063" t="s">
        <x:v>1487</x:v>
      </x:c>
      <x:c r="AI1063" t="s">
        <x:v>7090</x:v>
      </x:c>
      <x:c r="AJ1063">
        <x:v>1133</x:v>
      </x:c>
    </x:row>
    <x:row r="1064">
      <x:c r="A1064" t="s">
        <x:v>6974</x:v>
      </x:c>
      <x:c r="B1064" t="s">
        <x:v>6975</x:v>
      </x:c>
      <x:c r="C1064" t="s">
        <x:v>7091</x:v>
      </x:c>
      <x:c r="D1064" t="s">
        <x:v>7092</x:v>
      </x:c>
      <x:c r="E1064" t="s">
        <x:v>7089</x:v>
      </x:c>
      <x:c r="F1064">
        <x:v>700</x:v>
      </x:c>
      <x:c r="G1064">
        <x:v>700</x:v>
      </x:c>
      <x:c r="H1064">
        <x:v>700</x:v>
      </x:c>
      <x:c r="I1064" t="s">
        <x:v>7093</x:v>
      </x:c>
      <x:c r="J1064" t="s">
        <x:v>7093</x:v>
      </x:c>
      <x:c r="K1064" t="s">
        <x:v>1482</x:v>
      </x:c>
      <x:c r="L1064" t="s">
        <x:v>1482</x:v>
      </x:c>
      <x:c r="M1064" t="s">
        <x:v>7094</x:v>
      </x:c>
      <x:c r="N1064" t="s">
        <x:v>1484</x:v>
      </x:c>
      <x:c r="O1064" t="s">
        <x:v>1485</x:v>
      </x:c>
      <x:c r="P1064" t="s">
        <x:v>1486</x:v>
      </x:c>
      <x:c r="R1064" s="9">
        <x:v>33425</x:v>
      </x:c>
      <x:c r="T1064" t="s">
        <x:v>119</x:v>
      </x:c>
      <x:c r="W1064" s="26" t="n">
        <x:v>6.0333333</x:v>
      </x:c>
      <x:c r="X1064" s="26" t="n">
        <x:v>-75.1333333</x:v>
      </x:c>
      <x:c r="AF1064" t="s">
        <x:v>50</x:v>
      </x:c>
      <x:c r="AG1064" t="s">
        <x:v>402</x:v>
      </x:c>
      <x:c r="AH1064" t="s">
        <x:v>1487</x:v>
      </x:c>
      <x:c r="AI1064" t="s">
        <x:v>7090</x:v>
      </x:c>
      <x:c r="AJ1064">
        <x:v>1134</x:v>
      </x:c>
    </x:row>
    <x:row r="1065">
      <x:c r="A1065" t="s">
        <x:v>6974</x:v>
      </x:c>
      <x:c r="B1065" t="s">
        <x:v>6975</x:v>
      </x:c>
      <x:c r="C1065" t="s">
        <x:v>7095</x:v>
      </x:c>
      <x:c r="D1065" t="s">
        <x:v>7096</x:v>
      </x:c>
      <x:c r="E1065" t="s">
        <x:v>7097</x:v>
      </x:c>
      <x:c r="F1065">
        <x:v>1420</x:v>
      </x:c>
      <x:c r="G1065">
        <x:v>1420</x:v>
      </x:c>
      <x:c r="H1065">
        <x:v>1420</x:v>
      </x:c>
      <x:c r="I1065" t="s">
        <x:v>3579</x:v>
      </x:c>
      <x:c r="J1065" t="s">
        <x:v>3579</x:v>
      </x:c>
      <x:c r="K1065" t="s">
        <x:v>3581</x:v>
      </x:c>
      <x:c r="L1065" t="s">
        <x:v>3581</x:v>
      </x:c>
      <x:c r="M1065" t="s">
        <x:v>3582</x:v>
      </x:c>
      <x:c r="N1065" t="s">
        <x:v>3583</x:v>
      </x:c>
      <x:c r="O1065" t="s">
        <x:v>3584</x:v>
      </x:c>
      <x:c r="P1065" t="s">
        <x:v>3585</x:v>
      </x:c>
      <x:c r="R1065" s="9">
        <x:v>37898</x:v>
      </x:c>
      <x:c r="T1065" t="s">
        <x:v>119</x:v>
      </x:c>
      <x:c r="W1065" s="26" t="n">
        <x:v>7.133</x:v>
      </x:c>
      <x:c r="X1065" s="26" t="n">
        <x:v>-75.1596944</x:v>
      </x:c>
      <x:c r="AF1065" t="s">
        <x:v>50</x:v>
      </x:c>
      <x:c r="AG1065" t="s">
        <x:v>402</x:v>
      </x:c>
      <x:c r="AH1065" t="s">
        <x:v>1186</x:v>
      </x:c>
      <x:c r="AI1065" t="s">
        <x:v>7098</x:v>
      </x:c>
      <x:c r="AJ1065">
        <x:v>1135</x:v>
      </x:c>
    </x:row>
    <x:row r="1066">
      <x:c r="A1066" t="s">
        <x:v>6974</x:v>
      </x:c>
      <x:c r="B1066" t="s">
        <x:v>6975</x:v>
      </x:c>
      <x:c r="C1066" t="s">
        <x:v>7099</x:v>
      </x:c>
      <x:c r="D1066" t="s">
        <x:v>7100</x:v>
      </x:c>
      <x:c r="E1066" t="s">
        <x:v>7101</x:v>
      </x:c>
      <x:c r="F1066" t="s">
        <x:v>7102</x:v>
      </x:c>
      <x:c r="G1066">
        <x:v>1000</x:v>
      </x:c>
      <x:c r="H1066">
        <x:v>1900</x:v>
      </x:c>
      <x:c r="P1066" t="s">
        <x:v>80</x:v>
      </x:c>
      <x:c r="R1066" s="9">
        <x:v>25915</x:v>
      </x:c>
      <x:c r="T1066" t="s">
        <x:v>65</x:v>
      </x:c>
      <x:c r="W1066" s="26" t="n">
        <x:v>5.62831</x:v>
      </x:c>
      <x:c r="X1066" s="26" t="n">
        <x:v>-73.90248</x:v>
      </x:c>
      <x:c r="Y1066">
        <x:v>2202.0929999999998</x:v>
      </x:c>
      <x:c r="Z1066">
        <x:v>2286</x:v>
      </x:c>
      <x:c r="AB1066" t="s">
        <x:v>112</x:v>
      </x:c>
      <x:c r="AF1066" t="s">
        <x:v>50</x:v>
      </x:c>
      <x:c r="AG1066" t="s">
        <x:v>90</x:v>
      </x:c>
      <x:c r="AH1066" t="s">
        <x:v>7103</x:v>
      </x:c>
      <x:c r="AJ1066">
        <x:v>1136</x:v>
      </x:c>
    </x:row>
    <x:row r="1067">
      <x:c r="A1067" t="s">
        <x:v>6974</x:v>
      </x:c>
      <x:c r="B1067" t="s">
        <x:v>6975</x:v>
      </x:c>
      <x:c r="C1067" t="s">
        <x:v>7104</x:v>
      </x:c>
      <x:c r="D1067" t="s">
        <x:v>7105</x:v>
      </x:c>
      <x:c r="E1067" t="s">
        <x:v>7106</x:v>
      </x:c>
      <x:c r="F1067">
        <x:v>2250</x:v>
      </x:c>
      <x:c r="G1067">
        <x:v>2250</x:v>
      </x:c>
      <x:c r="H1067">
        <x:v>2250</x:v>
      </x:c>
      <x:c r="P1067" t="s">
        <x:v>80</x:v>
      </x:c>
      <x:c r="R1067" s="9">
        <x:v>27129</x:v>
      </x:c>
      <x:c r="W1067" s="26" t="n">
        <x:v>5.62418</x:v>
      </x:c>
      <x:c r="X1067" s="26" t="n">
        <x:v>-73.57811</x:v>
      </x:c>
      <x:c r="Y1067">
        <x:v>293.88900000000001</x:v>
      </x:c>
      <x:c r="Z1067">
        <x:v>2127</x:v>
      </x:c>
      <x:c r="AB1067" t="s">
        <x:v>7107</x:v>
      </x:c>
      <x:c r="AF1067" t="s">
        <x:v>50</x:v>
      </x:c>
      <x:c r="AG1067" t="s">
        <x:v>90</x:v>
      </x:c>
      <x:c r="AH1067" t="s">
        <x:v>7108</x:v>
      </x:c>
      <x:c r="AJ1067">
        <x:v>1137</x:v>
      </x:c>
    </x:row>
    <x:row r="1068">
      <x:c r="A1068" t="s">
        <x:v>6974</x:v>
      </x:c>
      <x:c r="B1068" t="s">
        <x:v>6975</x:v>
      </x:c>
      <x:c r="C1068" t="s">
        <x:v>7109</x:v>
      </x:c>
      <x:c r="D1068" t="s">
        <x:v>7110</x:v>
      </x:c>
      <x:c r="E1068" t="s">
        <x:v>7111</x:v>
      </x:c>
      <x:c r="F1068">
        <x:v>2200</x:v>
      </x:c>
      <x:c r="G1068">
        <x:v>2200</x:v>
      </x:c>
      <x:c r="H1068">
        <x:v>2200</x:v>
      </x:c>
      <x:c r="P1068" t="s">
        <x:v>80</x:v>
      </x:c>
      <x:c r="R1068" s="9">
        <x:v>37084</x:v>
      </x:c>
      <x:c r="T1068" t="s">
        <x:v>65</x:v>
      </x:c>
      <x:c r="W1068" s="26" t="n">
        <x:v>5.62517</x:v>
      </x:c>
      <x:c r="X1068" s="26" t="n">
        <x:v>-73.51368</x:v>
      </x:c>
      <x:c r="Y1068">
        <x:v>2717.94</x:v>
      </x:c>
      <x:c r="Z1068">
        <x:v>2390</x:v>
      </x:c>
      <x:c r="AB1068" t="s">
        <x:v>7112</x:v>
      </x:c>
      <x:c r="AF1068" t="s">
        <x:v>50</x:v>
      </x:c>
      <x:c r="AG1068" t="s">
        <x:v>90</x:v>
      </x:c>
      <x:c r="AH1068" t="s">
        <x:v>2680</x:v>
      </x:c>
      <x:c r="AI1068" t="s">
        <x:v>7113</x:v>
      </x:c>
      <x:c r="AJ1068">
        <x:v>1138</x:v>
      </x:c>
    </x:row>
    <x:row r="1069">
      <x:c r="A1069" t="s">
        <x:v>6974</x:v>
      </x:c>
      <x:c r="B1069" t="s">
        <x:v>6975</x:v>
      </x:c>
      <x:c r="C1069" t="s">
        <x:v>7114</x:v>
      </x:c>
      <x:c r="D1069" t="s">
        <x:v>7115</x:v>
      </x:c>
      <x:c r="E1069" t="s">
        <x:v>7116</x:v>
      </x:c>
      <x:c r="F1069">
        <x:v>1650</x:v>
      </x:c>
      <x:c r="G1069">
        <x:v>1650</x:v>
      </x:c>
      <x:c r="H1069">
        <x:v>1650</x:v>
      </x:c>
      <x:c r="I1069" t="s">
        <x:v>7117</x:v>
      </x:c>
      <x:c r="J1069" t="s">
        <x:v>7118</x:v>
      </x:c>
      <x:c r="K1069" t="s">
        <x:v>7119</x:v>
      </x:c>
      <x:c r="L1069" t="s">
        <x:v>7120</x:v>
      </x:c>
      <x:c r="M1069" t="s">
        <x:v>7121</x:v>
      </x:c>
      <x:c r="N1069" t="s">
        <x:v>7122</x:v>
      </x:c>
      <x:c r="O1069" t="s">
        <x:v>7123</x:v>
      </x:c>
      <x:c r="P1069" t="s">
        <x:v>7124</x:v>
      </x:c>
      <x:c r="R1069" s="9">
        <x:v>32310</x:v>
      </x:c>
      <x:c r="W1069" s="26" t="n">
        <x:v>5.4286111</x:v>
      </x:c>
      <x:c r="X1069" s="26" t="n">
        <x:v>-75.69935</x:v>
      </x:c>
      <x:c r="AF1069" t="s">
        <x:v>50</x:v>
      </x:c>
      <x:c r="AG1069" t="s">
        <x:v>167</x:v>
      </x:c>
      <x:c r="AH1069" t="s">
        <x:v>1064</x:v>
      </x:c>
      <x:c r="AI1069" t="s">
        <x:v>7125</x:v>
      </x:c>
      <x:c r="AJ1069">
        <x:v>1139</x:v>
      </x:c>
    </x:row>
    <x:row r="1070">
      <x:c r="A1070" t="s">
        <x:v>6974</x:v>
      </x:c>
      <x:c r="B1070" t="s">
        <x:v>6975</x:v>
      </x:c>
      <x:c r="C1070" t="s">
        <x:v>7126</x:v>
      </x:c>
      <x:c r="D1070" t="s">
        <x:v>7127</x:v>
      </x:c>
      <x:c r="E1070" t="s">
        <x:v>7128</x:v>
      </x:c>
      <x:c r="F1070">
        <x:v>1472</x:v>
      </x:c>
      <x:c r="G1070">
        <x:v>1472</x:v>
      </x:c>
      <x:c r="H1070">
        <x:v>1472</x:v>
      </x:c>
      <x:c r="I1070" t="s">
        <x:v>572</x:v>
      </x:c>
      <x:c r="J1070" t="s">
        <x:v>573</x:v>
      </x:c>
      <x:c r="K1070" t="s">
        <x:v>574</x:v>
      </x:c>
      <x:c r="L1070" t="s">
        <x:v>575</x:v>
      </x:c>
      <x:c r="M1070" t="s">
        <x:v>576</x:v>
      </x:c>
      <x:c r="N1070" t="s">
        <x:v>577</x:v>
      </x:c>
      <x:c r="O1070" t="s">
        <x:v>578</x:v>
      </x:c>
      <x:c r="P1070" t="s">
        <x:v>579</x:v>
      </x:c>
      <x:c r="R1070" s="9">
        <x:v>38184</x:v>
      </x:c>
      <x:c r="W1070" s="26" t="n">
        <x:v>5.0671333</x:v>
      </x:c>
      <x:c r="X1070" s="26" t="n">
        <x:v>-75.5182889</x:v>
      </x:c>
      <x:c r="AF1070" t="s">
        <x:v>50</x:v>
      </x:c>
      <x:c r="AG1070" t="s">
        <x:v>167</x:v>
      </x:c>
      <x:c r="AH1070" t="s">
        <x:v>168</x:v>
      </x:c>
      <x:c r="AI1070" t="s">
        <x:v>7129</x:v>
      </x:c>
      <x:c r="AJ1070">
        <x:v>1140</x:v>
      </x:c>
    </x:row>
    <x:row r="1071">
      <x:c r="A1071" t="s">
        <x:v>6974</x:v>
      </x:c>
      <x:c r="B1071" t="s">
        <x:v>6975</x:v>
      </x:c>
      <x:c r="C1071" t="s">
        <x:v>7130</x:v>
      </x:c>
      <x:c r="D1071" t="s">
        <x:v>1820</x:v>
      </x:c>
      <x:c r="E1071" t="s">
        <x:v>7131</x:v>
      </x:c>
      <x:c r="F1071">
        <x:v>1472</x:v>
      </x:c>
      <x:c r="G1071">
        <x:v>1472</x:v>
      </x:c>
      <x:c r="H1071">
        <x:v>1472</x:v>
      </x:c>
      <x:c r="I1071" t="s">
        <x:v>572</x:v>
      </x:c>
      <x:c r="J1071" t="s">
        <x:v>573</x:v>
      </x:c>
      <x:c r="K1071" t="s">
        <x:v>574</x:v>
      </x:c>
      <x:c r="L1071" t="s">
        <x:v>575</x:v>
      </x:c>
      <x:c r="M1071" t="s">
        <x:v>576</x:v>
      </x:c>
      <x:c r="N1071" t="s">
        <x:v>577</x:v>
      </x:c>
      <x:c r="O1071" t="s">
        <x:v>578</x:v>
      </x:c>
      <x:c r="P1071" t="s">
        <x:v>579</x:v>
      </x:c>
      <x:c r="R1071" s="9">
        <x:v>38184</x:v>
      </x:c>
      <x:c r="W1071" s="26" t="n">
        <x:v>5.0671333</x:v>
      </x:c>
      <x:c r="X1071" s="26" t="n">
        <x:v>-75.5182889</x:v>
      </x:c>
      <x:c r="AF1071" t="s">
        <x:v>50</x:v>
      </x:c>
      <x:c r="AG1071" t="s">
        <x:v>167</x:v>
      </x:c>
      <x:c r="AH1071" t="s">
        <x:v>993</x:v>
      </x:c>
      <x:c r="AI1071" t="s">
        <x:v>7132</x:v>
      </x:c>
      <x:c r="AJ1071">
        <x:v>1141</x:v>
      </x:c>
    </x:row>
    <x:row r="1072">
      <x:c r="A1072" t="s">
        <x:v>6974</x:v>
      </x:c>
      <x:c r="B1072" t="s">
        <x:v>6975</x:v>
      </x:c>
      <x:c r="C1072" t="s">
        <x:v>7133</x:v>
      </x:c>
      <x:c r="D1072" t="s">
        <x:v>7134</x:v>
      </x:c>
      <x:c r="E1072" t="s">
        <x:v>7135</x:v>
      </x:c>
      <x:c r="F1072">
        <x:v>1100</x:v>
      </x:c>
      <x:c r="G1072">
        <x:v>1100</x:v>
      </x:c>
      <x:c r="H1072">
        <x:v>1100</x:v>
      </x:c>
      <x:c r="I1072" t="s">
        <x:v>7136</x:v>
      </x:c>
      <x:c r="J1072" t="s">
        <x:v>7137</x:v>
      </x:c>
      <x:c r="K1072" t="s">
        <x:v>7138</x:v>
      </x:c>
      <x:c r="L1072" t="s">
        <x:v>7139</x:v>
      </x:c>
      <x:c r="M1072" t="s">
        <x:v>7140</x:v>
      </x:c>
      <x:c r="N1072" t="s">
        <x:v>7141</x:v>
      </x:c>
      <x:c r="O1072" t="s">
        <x:v>7142</x:v>
      </x:c>
      <x:c r="P1072" t="s">
        <x:v>7143</x:v>
      </x:c>
      <x:c r="R1072" s="9">
        <x:v>38297</x:v>
      </x:c>
      <x:c r="W1072" s="26" t="n">
        <x:v>5.0886389</x:v>
      </x:c>
      <x:c r="X1072" s="26" t="n">
        <x:v>-75.6193056</x:v>
      </x:c>
      <x:c r="AF1072" t="s">
        <x:v>50</x:v>
      </x:c>
      <x:c r="AG1072" t="s">
        <x:v>167</x:v>
      </x:c>
      <x:c r="AH1072" t="s">
        <x:v>168</x:v>
      </x:c>
      <x:c r="AI1072" t="s">
        <x:v>7144</x:v>
      </x:c>
      <x:c r="AJ1072">
        <x:v>1142</x:v>
      </x:c>
    </x:row>
    <x:row r="1073">
      <x:c r="A1073" t="s">
        <x:v>6974</x:v>
      </x:c>
      <x:c r="B1073" t="s">
        <x:v>6975</x:v>
      </x:c>
      <x:c r="C1073" t="s">
        <x:v>7145</x:v>
      </x:c>
      <x:c r="D1073" t="s">
        <x:v>1060</x:v>
      </x:c>
      <x:c r="E1073" t="s">
        <x:v>7146</x:v>
      </x:c>
      <x:c r="F1073">
        <x:v>1728</x:v>
      </x:c>
      <x:c r="G1073">
        <x:v>1728</x:v>
      </x:c>
      <x:c r="H1073">
        <x:v>1728</x:v>
      </x:c>
      <x:c r="I1073" t="s">
        <x:v>7147</x:v>
      </x:c>
      <x:c r="J1073" t="s">
        <x:v>7148</x:v>
      </x:c>
      <x:c r="K1073" t="s">
        <x:v>7149</x:v>
      </x:c>
      <x:c r="L1073" t="s">
        <x:v>7150</x:v>
      </x:c>
      <x:c r="M1073" t="s">
        <x:v>7151</x:v>
      </x:c>
      <x:c r="N1073" t="s">
        <x:v>7152</x:v>
      </x:c>
      <x:c r="O1073" t="s">
        <x:v>7153</x:v>
      </x:c>
      <x:c r="P1073" t="s">
        <x:v>7154</x:v>
      </x:c>
      <x:c r="R1073" s="9">
        <x:v>38782</x:v>
      </x:c>
      <x:c r="T1073" t="s">
        <x:v>119</x:v>
      </x:c>
      <x:c r="W1073" s="26" t="n">
        <x:v>4.9429167</x:v>
      </x:c>
      <x:c r="X1073" s="26" t="n">
        <x:v>-75.6961111</x:v>
      </x:c>
      <x:c r="AF1073" t="s">
        <x:v>50</x:v>
      </x:c>
      <x:c r="AG1073" t="s">
        <x:v>167</x:v>
      </x:c>
      <x:c r="AH1073" t="s">
        <x:v>7155</x:v>
      </x:c>
      <x:c r="AI1073" t="s">
        <x:v>7156</x:v>
      </x:c>
      <x:c r="AJ1073">
        <x:v>1143</x:v>
      </x:c>
    </x:row>
    <x:row r="1074">
      <x:c r="A1074" t="s">
        <x:v>6974</x:v>
      </x:c>
      <x:c r="B1074" t="s">
        <x:v>6975</x:v>
      </x:c>
      <x:c r="C1074" t="s">
        <x:v>7157</x:v>
      </x:c>
      <x:c r="D1074" t="s">
        <x:v>1060</x:v>
      </x:c>
      <x:c r="E1074" t="s">
        <x:v>7158</x:v>
      </x:c>
      <x:c r="F1074">
        <x:v>1354</x:v>
      </x:c>
      <x:c r="G1074">
        <x:v>1354</x:v>
      </x:c>
      <x:c r="H1074">
        <x:v>1354</x:v>
      </x:c>
      <x:c r="I1074" t="s">
        <x:v>7159</x:v>
      </x:c>
      <x:c r="J1074" t="s">
        <x:v>7160</x:v>
      </x:c>
      <x:c r="K1074" t="s">
        <x:v>7161</x:v>
      </x:c>
      <x:c r="L1074" t="s">
        <x:v>7162</x:v>
      </x:c>
      <x:c r="M1074" t="s">
        <x:v>7163</x:v>
      </x:c>
      <x:c r="N1074" t="s">
        <x:v>7164</x:v>
      </x:c>
      <x:c r="O1074" t="s">
        <x:v>7165</x:v>
      </x:c>
      <x:c r="P1074" t="s">
        <x:v>7166</x:v>
      </x:c>
      <x:c r="R1074" s="9">
        <x:v>39510</x:v>
      </x:c>
      <x:c r="W1074" s="26" t="n">
        <x:v>5.2025</x:v>
      </x:c>
      <x:c r="X1074" s="26" t="n">
        <x:v>-75.5905667</x:v>
      </x:c>
      <x:c r="AF1074" t="s">
        <x:v>50</x:v>
      </x:c>
      <x:c r="AG1074" t="s">
        <x:v>167</x:v>
      </x:c>
      <x:c r="AH1074" t="s">
        <x:v>238</x:v>
      </x:c>
      <x:c r="AI1074" t="s">
        <x:v>7167</x:v>
      </x:c>
      <x:c r="AJ1074">
        <x:v>1144</x:v>
      </x:c>
    </x:row>
    <x:row r="1075">
      <x:c r="A1075" t="s">
        <x:v>6974</x:v>
      </x:c>
      <x:c r="B1075" t="s">
        <x:v>6975</x:v>
      </x:c>
      <x:c r="C1075" t="s">
        <x:v>7168</x:v>
      </x:c>
      <x:c r="D1075" t="s">
        <x:v>1060</x:v>
      </x:c>
      <x:c r="E1075" t="s">
        <x:v>7169</x:v>
      </x:c>
      <x:c r="F1075">
        <x:v>1400</x:v>
      </x:c>
      <x:c r="G1075">
        <x:v>1400</x:v>
      </x:c>
      <x:c r="H1075">
        <x:v>1400</x:v>
      </x:c>
      <x:c r="I1075" t="s">
        <x:v>7170</x:v>
      </x:c>
      <x:c r="J1075" t="s">
        <x:v>7171</x:v>
      </x:c>
      <x:c r="K1075" t="s">
        <x:v>4305</x:v>
      </x:c>
      <x:c r="L1075" t="s">
        <x:v>2424</x:v>
      </x:c>
      <x:c r="M1075" t="s">
        <x:v>7172</x:v>
      </x:c>
      <x:c r="N1075" t="s">
        <x:v>7173</x:v>
      </x:c>
      <x:c r="O1075" t="s">
        <x:v>2426</x:v>
      </x:c>
      <x:c r="P1075" t="s">
        <x:v>7174</x:v>
      </x:c>
      <x:c r="R1075" s="9">
        <x:v>39576</x:v>
      </x:c>
      <x:c r="T1075" t="s">
        <x:v>119</x:v>
      </x:c>
      <x:c r="W1075" s="26" t="n">
        <x:v>4.9833333</x:v>
      </x:c>
      <x:c r="X1075" s="26" t="n">
        <x:v>-75.5833333</x:v>
      </x:c>
      <x:c r="AF1075" t="s">
        <x:v>50</x:v>
      </x:c>
      <x:c r="AG1075" t="s">
        <x:v>167</x:v>
      </x:c>
      <x:c r="AH1075" t="s">
        <x:v>7155</x:v>
      </x:c>
      <x:c r="AI1075" t="s">
        <x:v>7175</x:v>
      </x:c>
      <x:c r="AJ1075">
        <x:v>1145</x:v>
      </x:c>
    </x:row>
    <x:row r="1076">
      <x:c r="A1076" t="s">
        <x:v>6974</x:v>
      </x:c>
      <x:c r="B1076" t="s">
        <x:v>6975</x:v>
      </x:c>
      <x:c r="C1076" t="s">
        <x:v>7176</x:v>
      </x:c>
      <x:c r="D1076" t="s">
        <x:v>1060</x:v>
      </x:c>
      <x:c r="E1076" t="s">
        <x:v>7177</x:v>
      </x:c>
      <x:c r="F1076">
        <x:v>1000</x:v>
      </x:c>
      <x:c r="G1076">
        <x:v>1000</x:v>
      </x:c>
      <x:c r="H1076">
        <x:v>1000</x:v>
      </x:c>
      <x:c r="P1076" t="s">
        <x:v>80</x:v>
      </x:c>
      <x:c r="R1076" s="9">
        <x:v>39663</x:v>
      </x:c>
      <x:c r="T1076" t="s">
        <x:v>119</x:v>
      </x:c>
      <x:c r="W1076" s="26" t="n">
        <x:v>5.06099</x:v>
      </x:c>
      <x:c r="X1076" s="26" t="n">
        <x:v>-75.60898</x:v>
      </x:c>
      <x:c r="Y1076">
        <x:v>104.84099999999999</x:v>
      </x:c>
      <x:c r="Z1076">
        <x:v>1126</x:v>
      </x:c>
      <x:c r="AB1076" t="s">
        <x:v>7178</x:v>
      </x:c>
      <x:c r="AF1076" t="s">
        <x:v>50</x:v>
      </x:c>
      <x:c r="AG1076" t="s">
        <x:v>167</x:v>
      </x:c>
      <x:c r="AH1076" t="s">
        <x:v>7179</x:v>
      </x:c>
      <x:c r="AI1076" t="s">
        <x:v>7180</x:v>
      </x:c>
      <x:c r="AJ1076">
        <x:v>1147</x:v>
      </x:c>
    </x:row>
    <x:row r="1077">
      <x:c r="A1077" t="s">
        <x:v>6974</x:v>
      </x:c>
      <x:c r="B1077" t="s">
        <x:v>6975</x:v>
      </x:c>
      <x:c r="C1077" t="s">
        <x:v>7181</x:v>
      </x:c>
      <x:c r="D1077" t="s">
        <x:v>1060</x:v>
      </x:c>
      <x:c r="E1077" t="s">
        <x:v>7131</x:v>
      </x:c>
      <x:c r="F1077">
        <x:v>2497</x:v>
      </x:c>
      <x:c r="G1077">
        <x:v>2497</x:v>
      </x:c>
      <x:c r="H1077">
        <x:v>2497</x:v>
      </x:c>
      <x:c r="I1077" t="s">
        <x:v>7182</x:v>
      </x:c>
      <x:c r="J1077" t="s">
        <x:v>7183</x:v>
      </x:c>
      <x:c r="K1077" t="s">
        <x:v>7184</x:v>
      </x:c>
      <x:c r="L1077" t="s">
        <x:v>7185</x:v>
      </x:c>
      <x:c r="M1077" t="s">
        <x:v>7186</x:v>
      </x:c>
      <x:c r="P1077" t="s">
        <x:v>80</x:v>
      </x:c>
      <x:c r="R1077" s="9">
        <x:v>40069</x:v>
      </x:c>
      <x:c r="T1077" t="s">
        <x:v>111</x:v>
      </x:c>
      <x:c r="W1077" s="26" t="n">
        <x:v>4.925222222</x:v>
      </x:c>
      <x:c r="X1077" s="26" t="n">
        <x:v>-75.45308333</x:v>
      </x:c>
      <x:c r="AF1077" t="s">
        <x:v>50</x:v>
      </x:c>
      <x:c r="AG1077" t="s">
        <x:v>167</x:v>
      </x:c>
      <x:c r="AH1077" t="s">
        <x:v>993</x:v>
      </x:c>
      <x:c r="AI1077" t="s">
        <x:v>7132</x:v>
      </x:c>
      <x:c r="AJ1077">
        <x:v>1148</x:v>
      </x:c>
    </x:row>
    <x:row r="1078">
      <x:c r="A1078" t="s">
        <x:v>6974</x:v>
      </x:c>
      <x:c r="B1078" t="s">
        <x:v>6975</x:v>
      </x:c>
      <x:c r="C1078" t="s">
        <x:v>7187</x:v>
      </x:c>
      <x:c r="D1078" t="s">
        <x:v>7188</x:v>
      </x:c>
      <x:c r="E1078" t="s">
        <x:v>7189</x:v>
      </x:c>
      <x:c r="F1078">
        <x:v>900</x:v>
      </x:c>
      <x:c r="G1078">
        <x:v>900</x:v>
      </x:c>
      <x:c r="H1078">
        <x:v>900</x:v>
      </x:c>
      <x:c r="I1078" t="s">
        <x:v>7190</x:v>
      </x:c>
      <x:c r="J1078" t="s">
        <x:v>7191</x:v>
      </x:c>
      <x:c r="K1078" t="s">
        <x:v>7192</x:v>
      </x:c>
      <x:c r="L1078" t="s">
        <x:v>7193</x:v>
      </x:c>
      <x:c r="M1078" t="s">
        <x:v>7194</x:v>
      </x:c>
      <x:c r="N1078" t="s">
        <x:v>1536</x:v>
      </x:c>
      <x:c r="O1078" t="s">
        <x:v>1537</x:v>
      </x:c>
      <x:c r="P1078" t="s">
        <x:v>1538</x:v>
      </x:c>
      <x:c r="R1078" s="9">
        <x:v>41029</x:v>
      </x:c>
      <x:c r="T1078" t="s">
        <x:v>119</x:v>
      </x:c>
      <x:c r="W1078" s="26" t="n">
        <x:v>5.0588889</x:v>
      </x:c>
      <x:c r="X1078" s="26" t="n">
        <x:v>-75.7354444</x:v>
      </x:c>
      <x:c r="AF1078" t="s">
        <x:v>50</x:v>
      </x:c>
      <x:c r="AG1078" t="s">
        <x:v>167</x:v>
      </x:c>
      <x:c r="AH1078" t="s">
        <x:v>7155</x:v>
      </x:c>
      <x:c r="AI1078" t="s">
        <x:v>7195</x:v>
      </x:c>
      <x:c r="AJ1078">
        <x:v>1149</x:v>
      </x:c>
    </x:row>
    <x:row r="1079">
      <x:c r="A1079" t="s">
        <x:v>6974</x:v>
      </x:c>
      <x:c r="B1079" t="s">
        <x:v>6975</x:v>
      </x:c>
      <x:c r="C1079" t="s">
        <x:v>7196</x:v>
      </x:c>
      <x:c r="D1079" t="s">
        <x:v>7197</x:v>
      </x:c>
      <x:c r="E1079" t="s">
        <x:v>7198</x:v>
      </x:c>
      <x:c r="F1079">
        <x:v>400</x:v>
      </x:c>
      <x:c r="G1079">
        <x:v>400</x:v>
      </x:c>
      <x:c r="H1079">
        <x:v>400</x:v>
      </x:c>
      <x:c r="P1079" t="s">
        <x:v>80</x:v>
      </x:c>
      <x:c r="R1079" s="9">
        <x:v>29657</x:v>
      </x:c>
      <x:c r="T1079" t="s">
        <x:v>119</x:v>
      </x:c>
      <x:c r="W1079" s="26" t="n">
        <x:v>1.41731</x:v>
      </x:c>
      <x:c r="X1079" s="26" t="n">
        <x:v>-75.87974</x:v>
      </x:c>
      <x:c r="Y1079">
        <x:v>891.46699999999998</x:v>
      </x:c>
      <x:c r="Z1079">
        <x:v>308</x:v>
      </x:c>
      <x:c r="AB1079" t="s">
        <x:v>7199</x:v>
      </x:c>
      <x:c r="AF1079" t="s">
        <x:v>50</x:v>
      </x:c>
      <x:c r="AG1079" t="s">
        <x:v>1289</x:v>
      </x:c>
      <x:c r="AH1079" t="s">
        <x:v>7200</x:v>
      </x:c>
      <x:c r="AJ1079">
        <x:v>1150</x:v>
      </x:c>
    </x:row>
    <x:row r="1080">
      <x:c r="A1080" t="s">
        <x:v>6974</x:v>
      </x:c>
      <x:c r="B1080" t="s">
        <x:v>6975</x:v>
      </x:c>
      <x:c r="C1080" t="s">
        <x:v>7201</x:v>
      </x:c>
      <x:c r="D1080" t="s">
        <x:v>7202</x:v>
      </x:c>
      <x:c r="E1080" t="s">
        <x:v>7198</x:v>
      </x:c>
      <x:c r="F1080">
        <x:v>400</x:v>
      </x:c>
      <x:c r="G1080">
        <x:v>400</x:v>
      </x:c>
      <x:c r="H1080">
        <x:v>400</x:v>
      </x:c>
      <x:c r="P1080" t="s">
        <x:v>80</x:v>
      </x:c>
      <x:c r="R1080" s="9">
        <x:v>29657</x:v>
      </x:c>
      <x:c r="T1080" t="s">
        <x:v>119</x:v>
      </x:c>
      <x:c r="W1080" s="26" t="n">
        <x:v>1.41731</x:v>
      </x:c>
      <x:c r="X1080" s="26" t="n">
        <x:v>-75.87974</x:v>
      </x:c>
      <x:c r="Y1080">
        <x:v>891.46699999999998</x:v>
      </x:c>
      <x:c r="Z1080">
        <x:v>308</x:v>
      </x:c>
      <x:c r="AB1080" t="s">
        <x:v>7199</x:v>
      </x:c>
      <x:c r="AF1080" t="s">
        <x:v>50</x:v>
      </x:c>
      <x:c r="AG1080" t="s">
        <x:v>1289</x:v>
      </x:c>
      <x:c r="AH1080" t="s">
        <x:v>7200</x:v>
      </x:c>
      <x:c r="AJ1080">
        <x:v>1151</x:v>
      </x:c>
    </x:row>
    <x:row r="1081">
      <x:c r="A1081" t="s">
        <x:v>6974</x:v>
      </x:c>
      <x:c r="B1081" t="s">
        <x:v>6975</x:v>
      </x:c>
      <x:c r="C1081" t="s">
        <x:v>7203</x:v>
      </x:c>
      <x:c r="D1081">
        <x:v>336536</x:v>
      </x:c>
      <x:c r="E1081" t="s">
        <x:v>7204</x:v>
      </x:c>
      <x:c r="F1081" t="s">
        <x:v>7205</x:v>
      </x:c>
      <x:c r="G1081">
        <x:v>350</x:v>
      </x:c>
      <x:c r="H1081">
        <x:v>400</x:v>
      </x:c>
      <x:c r="I1081" t="s">
        <x:v>7206</x:v>
      </x:c>
      <x:c r="J1081" t="s">
        <x:v>7207</x:v>
      </x:c>
      <x:c r="K1081" t="s">
        <x:v>7208</x:v>
      </x:c>
      <x:c r="L1081" t="s">
        <x:v>7209</x:v>
      </x:c>
      <x:c r="M1081" t="s">
        <x:v>7210</x:v>
      </x:c>
      <x:c r="N1081" t="s">
        <x:v>7211</x:v>
      </x:c>
      <x:c r="O1081" t="s">
        <x:v>7212</x:v>
      </x:c>
      <x:c r="P1081" t="s">
        <x:v>7213</x:v>
      </x:c>
      <x:c r="R1081" s="9">
        <x:v>33208</x:v>
      </x:c>
      <x:c r="T1081" t="s">
        <x:v>119</x:v>
      </x:c>
      <x:c r="W1081" s="26" t="n">
        <x:v>0.9166667</x:v>
      </x:c>
      <x:c r="X1081" s="26" t="n">
        <x:v>-72.75</x:v>
      </x:c>
      <x:c r="AF1081" t="s">
        <x:v>50</x:v>
      </x:c>
      <x:c r="AG1081" t="s">
        <x:v>196</x:v>
      </x:c>
      <x:c r="AH1081" t="s">
        <x:v>6144</x:v>
      </x:c>
      <x:c r="AI1081" t="s">
        <x:v>7214</x:v>
      </x:c>
      <x:c r="AJ1081">
        <x:v>1152</x:v>
      </x:c>
    </x:row>
    <x:row r="1082">
      <x:c r="A1082" t="s">
        <x:v>6974</x:v>
      </x:c>
      <x:c r="B1082" t="s">
        <x:v>6975</x:v>
      </x:c>
      <x:c r="C1082" t="s">
        <x:v>7215</x:v>
      </x:c>
      <x:c r="D1082" t="s">
        <x:v>7216</x:v>
      </x:c>
      <x:c r="E1082" t="s">
        <x:v>7217</x:v>
      </x:c>
      <x:c r="F1082">
        <x:v>600</x:v>
      </x:c>
      <x:c r="G1082">
        <x:v>600</x:v>
      </x:c>
      <x:c r="H1082">
        <x:v>600</x:v>
      </x:c>
      <x:c r="I1082" t="s">
        <x:v>7218</x:v>
      </x:c>
      <x:c r="J1082" t="s">
        <x:v>7219</x:v>
      </x:c>
      <x:c r="K1082" t="s">
        <x:v>7220</x:v>
      </x:c>
      <x:c r="L1082" t="s">
        <x:v>7221</x:v>
      </x:c>
      <x:c r="M1082" t="s">
        <x:v>7222</x:v>
      </x:c>
      <x:c r="N1082" t="s">
        <x:v>5703</x:v>
      </x:c>
      <x:c r="O1082" t="s">
        <x:v>7223</x:v>
      </x:c>
      <x:c r="P1082" t="s">
        <x:v>7224</x:v>
      </x:c>
      <x:c r="R1082" s="9">
        <x:v>33842</x:v>
      </x:c>
      <x:c r="T1082" t="s">
        <x:v>111</x:v>
      </x:c>
      <x:c r="W1082" s="26" t="n">
        <x:v>1.0833333</x:v>
      </x:c>
      <x:c r="X1082" s="26" t="n">
        <x:v>-72.6666667</x:v>
      </x:c>
      <x:c r="AF1082" t="s">
        <x:v>50</x:v>
      </x:c>
      <x:c r="AG1082" t="s">
        <x:v>196</x:v>
      </x:c>
      <x:c r="AH1082" t="s">
        <x:v>6144</x:v>
      </x:c>
      <x:c r="AI1082" t="s">
        <x:v>7225</x:v>
      </x:c>
      <x:c r="AJ1082">
        <x:v>1153</x:v>
      </x:c>
    </x:row>
    <x:row r="1083">
      <x:c r="A1083" t="s">
        <x:v>6974</x:v>
      </x:c>
      <x:c r="B1083" t="s">
        <x:v>6975</x:v>
      </x:c>
      <x:c r="C1083" t="s">
        <x:v>7226</x:v>
      </x:c>
      <x:c r="D1083" t="s">
        <x:v>7227</x:v>
      </x:c>
      <x:c r="E1083" t="s">
        <x:v>7217</x:v>
      </x:c>
      <x:c r="F1083">
        <x:v>660</x:v>
      </x:c>
      <x:c r="G1083">
        <x:v>660</x:v>
      </x:c>
      <x:c r="H1083">
        <x:v>660</x:v>
      </x:c>
      <x:c r="I1083" t="s">
        <x:v>7218</x:v>
      </x:c>
      <x:c r="J1083" t="s">
        <x:v>7219</x:v>
      </x:c>
      <x:c r="K1083" t="s">
        <x:v>7220</x:v>
      </x:c>
      <x:c r="L1083" t="s">
        <x:v>7221</x:v>
      </x:c>
      <x:c r="M1083" t="s">
        <x:v>7222</x:v>
      </x:c>
      <x:c r="N1083" t="s">
        <x:v>5703</x:v>
      </x:c>
      <x:c r="O1083" t="s">
        <x:v>7223</x:v>
      </x:c>
      <x:c r="P1083" t="s">
        <x:v>7224</x:v>
      </x:c>
      <x:c r="R1083" s="9">
        <x:v>33842</x:v>
      </x:c>
      <x:c r="T1083" t="s">
        <x:v>119</x:v>
      </x:c>
      <x:c r="W1083" s="26" t="n">
        <x:v>1.0833333</x:v>
      </x:c>
      <x:c r="X1083" s="26" t="n">
        <x:v>-72.6666667</x:v>
      </x:c>
      <x:c r="AF1083" t="s">
        <x:v>50</x:v>
      </x:c>
      <x:c r="AG1083" t="s">
        <x:v>196</x:v>
      </x:c>
      <x:c r="AH1083" t="s">
        <x:v>6144</x:v>
      </x:c>
      <x:c r="AI1083" t="s">
        <x:v>7225</x:v>
      </x:c>
      <x:c r="AJ1083">
        <x:v>1154</x:v>
      </x:c>
    </x:row>
    <x:row r="1084">
      <x:c r="A1084" t="s">
        <x:v>6974</x:v>
      </x:c>
      <x:c r="B1084" t="s">
        <x:v>6975</x:v>
      </x:c>
      <x:c r="C1084" t="s">
        <x:v>7228</x:v>
      </x:c>
      <x:c r="D1084" t="s">
        <x:v>7229</x:v>
      </x:c>
      <x:c r="E1084" t="s">
        <x:v>7230</x:v>
      </x:c>
      <x:c r="F1084">
        <x:v>200</x:v>
      </x:c>
      <x:c r="G1084">
        <x:v>200</x:v>
      </x:c>
      <x:c r="H1084">
        <x:v>200</x:v>
      </x:c>
      <x:c r="I1084" t="s">
        <x:v>7231</x:v>
      </x:c>
      <x:c r="J1084" t="s">
        <x:v>7232</x:v>
      </x:c>
      <x:c r="K1084" t="s">
        <x:v>7233</x:v>
      </x:c>
      <x:c r="L1084" t="s">
        <x:v>7234</x:v>
      </x:c>
      <x:c r="M1084" t="s">
        <x:v>7235</x:v>
      </x:c>
      <x:c r="N1084" t="s">
        <x:v>7236</x:v>
      </x:c>
      <x:c r="O1084" t="s">
        <x:v>7237</x:v>
      </x:c>
      <x:c r="P1084" t="s">
        <x:v>7238</x:v>
      </x:c>
      <x:c r="R1084" s="9">
        <x:v>37121</x:v>
      </x:c>
      <x:c r="T1084" t="s">
        <x:v>119</x:v>
      </x:c>
      <x:c r="W1084" s="26" t="n">
        <x:v>0.089</x:v>
      </x:c>
      <x:c r="X1084" s="26" t="n">
        <x:v>-72.4453333</x:v>
      </x:c>
      <x:c r="AF1084" t="s">
        <x:v>50</x:v>
      </x:c>
      <x:c r="AG1084" t="s">
        <x:v>196</x:v>
      </x:c>
      <x:c r="AH1084" t="s">
        <x:v>7239</x:v>
      </x:c>
      <x:c r="AJ1084">
        <x:v>1155</x:v>
      </x:c>
    </x:row>
    <x:row r="1085">
      <x:c r="A1085" t="s">
        <x:v>6974</x:v>
      </x:c>
      <x:c r="B1085" t="s">
        <x:v>6975</x:v>
      </x:c>
      <x:c r="C1085" t="s">
        <x:v>7240</x:v>
      </x:c>
      <x:c r="D1085" t="s">
        <x:v>7241</x:v>
      </x:c>
      <x:c r="E1085" t="s">
        <x:v>7230</x:v>
      </x:c>
      <x:c r="F1085">
        <x:v>200</x:v>
      </x:c>
      <x:c r="G1085">
        <x:v>200</x:v>
      </x:c>
      <x:c r="H1085">
        <x:v>200</x:v>
      </x:c>
      <x:c r="I1085" t="s">
        <x:v>7242</x:v>
      </x:c>
      <x:c r="J1085" t="s">
        <x:v>7243</x:v>
      </x:c>
      <x:c r="K1085" t="s">
        <x:v>7244</x:v>
      </x:c>
      <x:c r="L1085" t="s">
        <x:v>7245</x:v>
      </x:c>
      <x:c r="M1085" t="s">
        <x:v>7246</x:v>
      </x:c>
      <x:c r="N1085" t="s">
        <x:v>7247</x:v>
      </x:c>
      <x:c r="O1085" t="s">
        <x:v>7248</x:v>
      </x:c>
      <x:c r="P1085" t="s">
        <x:v>7249</x:v>
      </x:c>
      <x:c r="R1085" s="9">
        <x:v>37157</x:v>
      </x:c>
      <x:c r="T1085" t="s">
        <x:v>119</x:v>
      </x:c>
      <x:c r="W1085" s="26" t="n">
        <x:v>0.2730556</x:v>
      </x:c>
      <x:c r="X1085" s="26" t="n">
        <x:v>-72.5065</x:v>
      </x:c>
      <x:c r="AF1085" t="s">
        <x:v>50</x:v>
      </x:c>
      <x:c r="AG1085" t="s">
        <x:v>196</x:v>
      </x:c>
      <x:c r="AH1085" t="s">
        <x:v>7239</x:v>
      </x:c>
      <x:c r="AJ1085">
        <x:v>1156</x:v>
      </x:c>
    </x:row>
    <x:row r="1086">
      <x:c r="A1086" t="s">
        <x:v>6974</x:v>
      </x:c>
      <x:c r="B1086" t="s">
        <x:v>6975</x:v>
      </x:c>
      <x:c r="C1086" t="s">
        <x:v>7250</x:v>
      </x:c>
      <x:c r="D1086" t="s">
        <x:v>7251</x:v>
      </x:c>
      <x:c r="E1086" t="s">
        <x:v>7252</x:v>
      </x:c>
      <x:c r="F1086">
        <x:v>500</x:v>
      </x:c>
      <x:c r="G1086">
        <x:v>500</x:v>
      </x:c>
      <x:c r="H1086">
        <x:v>500</x:v>
      </x:c>
      <x:c r="I1086" t="s">
        <x:v>7253</x:v>
      </x:c>
      <x:c r="J1086" t="s">
        <x:v>7254</x:v>
      </x:c>
      <x:c r="K1086" t="s">
        <x:v>7255</x:v>
      </x:c>
      <x:c r="L1086" t="s">
        <x:v>7256</x:v>
      </x:c>
      <x:c r="M1086" t="s">
        <x:v>7257</x:v>
      </x:c>
      <x:c r="N1086" t="s">
        <x:v>7258</x:v>
      </x:c>
      <x:c r="O1086" t="s">
        <x:v>7259</x:v>
      </x:c>
      <x:c r="P1086" t="s">
        <x:v>7260</x:v>
      </x:c>
      <x:c r="R1086" s="9">
        <x:v>37369</x:v>
      </x:c>
      <x:c r="T1086" t="s">
        <x:v>119</x:v>
      </x:c>
      <x:c r="W1086" s="26" t="n">
        <x:v>0.0711111</x:v>
      </x:c>
      <x:c r="X1086" s="26" t="n">
        <x:v>-72.4466667</x:v>
      </x:c>
      <x:c r="AF1086" t="s">
        <x:v>50</x:v>
      </x:c>
      <x:c r="AG1086" t="s">
        <x:v>196</x:v>
      </x:c>
      <x:c r="AH1086" t="s">
        <x:v>1290</x:v>
      </x:c>
      <x:c r="AI1086" t="s">
        <x:v>7261</x:v>
      </x:c>
      <x:c r="AJ1086">
        <x:v>1157</x:v>
      </x:c>
    </x:row>
    <x:row r="1087">
      <x:c r="A1087" t="s">
        <x:v>6974</x:v>
      </x:c>
      <x:c r="B1087" t="s">
        <x:v>6975</x:v>
      </x:c>
      <x:c r="C1087" t="s">
        <x:v>7262</x:v>
      </x:c>
      <x:c r="D1087" t="s">
        <x:v>7263</x:v>
      </x:c>
      <x:c r="E1087" t="s">
        <x:v>7264</x:v>
      </x:c>
      <x:c r="F1087">
        <x:v>635</x:v>
      </x:c>
      <x:c r="G1087">
        <x:v>635</x:v>
      </x:c>
      <x:c r="H1087">
        <x:v>635</x:v>
      </x:c>
      <x:c r="I1087" t="s">
        <x:v>6136</x:v>
      </x:c>
      <x:c r="J1087" t="s">
        <x:v>6137</x:v>
      </x:c>
      <x:c r="K1087" t="s">
        <x:v>7265</x:v>
      </x:c>
      <x:c r="L1087" t="s">
        <x:v>7266</x:v>
      </x:c>
      <x:c r="M1087" t="s">
        <x:v>7267</x:v>
      </x:c>
      <x:c r="N1087" t="s">
        <x:v>6141</x:v>
      </x:c>
      <x:c r="O1087" t="s">
        <x:v>7268</x:v>
      </x:c>
      <x:c r="P1087" t="s">
        <x:v>7269</x:v>
      </x:c>
      <x:c r="R1087" s="9">
        <x:v>33931</x:v>
      </x:c>
      <x:c r="T1087" t="s">
        <x:v>119</x:v>
      </x:c>
      <x:c r="W1087" s="26" t="n">
        <x:v>0.9375</x:v>
      </x:c>
      <x:c r="X1087" s="26" t="n">
        <x:v>-72.7001667</x:v>
      </x:c>
      <x:c r="AF1087" t="s">
        <x:v>50</x:v>
      </x:c>
      <x:c r="AG1087" t="s">
        <x:v>7270</x:v>
      </x:c>
      <x:c r="AJ1087">
        <x:v>1159</x:v>
      </x:c>
    </x:row>
    <x:row r="1088">
      <x:c r="A1088" t="s">
        <x:v>6974</x:v>
      </x:c>
      <x:c r="B1088" t="s">
        <x:v>6975</x:v>
      </x:c>
      <x:c r="C1088" t="s">
        <x:v>7271</x:v>
      </x:c>
      <x:c r="D1088" t="s">
        <x:v>7272</x:v>
      </x:c>
      <x:c r="E1088" t="s">
        <x:v>7273</x:v>
      </x:c>
      <x:c r="F1088">
        <x:v>1800</x:v>
      </x:c>
      <x:c r="G1088">
        <x:v>1800</x:v>
      </x:c>
      <x:c r="H1088">
        <x:v>1800</x:v>
      </x:c>
      <x:c r="I1088" t="s">
        <x:v>7274</x:v>
      </x:c>
      <x:c r="J1088" t="s">
        <x:v>7275</x:v>
      </x:c>
      <x:c r="K1088" t="s">
        <x:v>7276</x:v>
      </x:c>
      <x:c r="L1088" t="s">
        <x:v>7277</x:v>
      </x:c>
      <x:c r="M1088" t="s">
        <x:v>7278</x:v>
      </x:c>
      <x:c r="N1088" t="s">
        <x:v>7279</x:v>
      </x:c>
      <x:c r="O1088" t="s">
        <x:v>7280</x:v>
      </x:c>
      <x:c r="P1088" t="s">
        <x:v>7281</x:v>
      </x:c>
      <x:c r="R1088" s="9">
        <x:v>27572</x:v>
      </x:c>
      <x:c r="W1088" s="26" t="n">
        <x:v>2.2612778</x:v>
      </x:c>
      <x:c r="X1088" s="26" t="n">
        <x:v>-76.741425</x:v>
      </x:c>
      <x:c r="AF1088" t="s">
        <x:v>50</x:v>
      </x:c>
      <x:c r="AG1088" t="s">
        <x:v>283</x:v>
      </x:c>
      <x:c r="AH1088" t="s">
        <x:v>7282</x:v>
      </x:c>
      <x:c r="AI1088" t="s">
        <x:v>7283</x:v>
      </x:c>
      <x:c r="AJ1088">
        <x:v>1160</x:v>
      </x:c>
    </x:row>
    <x:row r="1089">
      <x:c r="A1089" t="s">
        <x:v>6974</x:v>
      </x:c>
      <x:c r="B1089" t="s">
        <x:v>6975</x:v>
      </x:c>
      <x:c r="C1089" t="s">
        <x:v>7284</x:v>
      </x:c>
      <x:c r="D1089" t="s">
        <x:v>7285</x:v>
      </x:c>
      <x:c r="E1089" t="s">
        <x:v>7286</x:v>
      </x:c>
      <x:c r="P1089" t="s">
        <x:v>80</x:v>
      </x:c>
      <x:c r="R1089" s="9">
        <x:v>27765</x:v>
      </x:c>
      <x:c r="T1089" t="s">
        <x:v>119</x:v>
      </x:c>
      <x:c r="W1089" s="26" t="n">
        <x:v>2.55212</x:v>
      </x:c>
      <x:c r="X1089" s="26" t="n">
        <x:v>-77.86491</x:v>
      </x:c>
      <x:c r="Y1089">
        <x:v>6035.8320000000003</x:v>
      </x:c>
      <x:c r="Z1089">
        <x:v>4</x:v>
      </x:c>
      <x:c r="AB1089" t="s">
        <x:v>7287</x:v>
      </x:c>
      <x:c r="AF1089" t="s">
        <x:v>50</x:v>
      </x:c>
      <x:c r="AG1089" t="s">
        <x:v>283</x:v>
      </x:c>
      <x:c r="AH1089" t="s">
        <x:v>7288</x:v>
      </x:c>
      <x:c r="AI1089" t="s">
        <x:v>7289</x:v>
      </x:c>
      <x:c r="AJ1089">
        <x:v>1161</x:v>
      </x:c>
    </x:row>
    <x:row r="1090">
      <x:c r="A1090" t="s">
        <x:v>6974</x:v>
      </x:c>
      <x:c r="B1090" t="s">
        <x:v>6975</x:v>
      </x:c>
      <x:c r="C1090" t="s">
        <x:v>7290</x:v>
      </x:c>
      <x:c r="D1090" t="s">
        <x:v>7291</x:v>
      </x:c>
      <x:c r="E1090" t="s">
        <x:v>7292</x:v>
      </x:c>
      <x:c r="F1090">
        <x:v>1713</x:v>
      </x:c>
      <x:c r="G1090">
        <x:v>1713</x:v>
      </x:c>
      <x:c r="H1090">
        <x:v>1713</x:v>
      </x:c>
      <x:c r="I1090" t="s">
        <x:v>768</x:v>
      </x:c>
      <x:c r="J1090" t="s">
        <x:v>769</x:v>
      </x:c>
      <x:c r="K1090" t="s">
        <x:v>770</x:v>
      </x:c>
      <x:c r="L1090" t="s">
        <x:v>771</x:v>
      </x:c>
      <x:c r="M1090" t="s">
        <x:v>772</x:v>
      </x:c>
      <x:c r="N1090" t="s">
        <x:v>773</x:v>
      </x:c>
      <x:c r="O1090" t="s">
        <x:v>774</x:v>
      </x:c>
      <x:c r="P1090" t="s">
        <x:v>775</x:v>
      </x:c>
      <x:c r="R1090" s="9">
        <x:v>36491</x:v>
      </x:c>
      <x:c r="W1090" s="26" t="n">
        <x:v>2.45</x:v>
      </x:c>
      <x:c r="X1090" s="26" t="n">
        <x:v>-76.6166667</x:v>
      </x:c>
      <x:c r="AF1090" t="s">
        <x:v>50</x:v>
      </x:c>
      <x:c r="AG1090" t="s">
        <x:v>283</x:v>
      </x:c>
      <x:c r="AH1090" t="s">
        <x:v>703</x:v>
      </x:c>
      <x:c r="AI1090" t="s">
        <x:v>7293</x:v>
      </x:c>
      <x:c r="AJ1090">
        <x:v>1162</x:v>
      </x:c>
    </x:row>
    <x:row r="1091">
      <x:c r="A1091" t="s">
        <x:v>6974</x:v>
      </x:c>
      <x:c r="B1091" t="s">
        <x:v>6975</x:v>
      </x:c>
      <x:c r="C1091" t="s">
        <x:v>7290</x:v>
      </x:c>
      <x:c r="D1091" t="s">
        <x:v>7294</x:v>
      </x:c>
      <x:c r="E1091" t="s">
        <x:v>7292</x:v>
      </x:c>
      <x:c r="F1091">
        <x:v>1713</x:v>
      </x:c>
      <x:c r="G1091">
        <x:v>1713</x:v>
      </x:c>
      <x:c r="H1091">
        <x:v>1713</x:v>
      </x:c>
      <x:c r="I1091" t="s">
        <x:v>768</x:v>
      </x:c>
      <x:c r="J1091" t="s">
        <x:v>769</x:v>
      </x:c>
      <x:c r="K1091" t="s">
        <x:v>770</x:v>
      </x:c>
      <x:c r="L1091" t="s">
        <x:v>771</x:v>
      </x:c>
      <x:c r="M1091" t="s">
        <x:v>772</x:v>
      </x:c>
      <x:c r="N1091" t="s">
        <x:v>773</x:v>
      </x:c>
      <x:c r="O1091" t="s">
        <x:v>774</x:v>
      </x:c>
      <x:c r="P1091" t="s">
        <x:v>775</x:v>
      </x:c>
      <x:c r="R1091" s="9">
        <x:v>36491</x:v>
      </x:c>
      <x:c r="W1091" s="26" t="n">
        <x:v>2.45</x:v>
      </x:c>
      <x:c r="X1091" s="26" t="n">
        <x:v>-76.6166667</x:v>
      </x:c>
      <x:c r="AF1091" t="s">
        <x:v>50</x:v>
      </x:c>
      <x:c r="AG1091" t="s">
        <x:v>283</x:v>
      </x:c>
      <x:c r="AH1091" t="s">
        <x:v>703</x:v>
      </x:c>
      <x:c r="AI1091" t="s">
        <x:v>7293</x:v>
      </x:c>
      <x:c r="AJ1091">
        <x:v>1163</x:v>
      </x:c>
    </x:row>
    <x:row r="1092">
      <x:c r="A1092" t="s">
        <x:v>6974</x:v>
      </x:c>
      <x:c r="B1092" t="s">
        <x:v>6975</x:v>
      </x:c>
      <x:c r="C1092" t="s">
        <x:v>7290</x:v>
      </x:c>
      <x:c r="D1092" t="s">
        <x:v>7295</x:v>
      </x:c>
      <x:c r="E1092" t="s">
        <x:v>7292</x:v>
      </x:c>
      <x:c r="F1092">
        <x:v>1713</x:v>
      </x:c>
      <x:c r="G1092">
        <x:v>1713</x:v>
      </x:c>
      <x:c r="H1092">
        <x:v>1713</x:v>
      </x:c>
      <x:c r="I1092" t="s">
        <x:v>768</x:v>
      </x:c>
      <x:c r="J1092" t="s">
        <x:v>769</x:v>
      </x:c>
      <x:c r="K1092" t="s">
        <x:v>770</x:v>
      </x:c>
      <x:c r="L1092" t="s">
        <x:v>771</x:v>
      </x:c>
      <x:c r="M1092" t="s">
        <x:v>772</x:v>
      </x:c>
      <x:c r="N1092" t="s">
        <x:v>773</x:v>
      </x:c>
      <x:c r="O1092" t="s">
        <x:v>774</x:v>
      </x:c>
      <x:c r="P1092" t="s">
        <x:v>775</x:v>
      </x:c>
      <x:c r="R1092" s="9">
        <x:v>36491</x:v>
      </x:c>
      <x:c r="W1092" s="26" t="n">
        <x:v>2.45</x:v>
      </x:c>
      <x:c r="X1092" s="26" t="n">
        <x:v>-76.6166667</x:v>
      </x:c>
      <x:c r="AF1092" t="s">
        <x:v>50</x:v>
      </x:c>
      <x:c r="AG1092" t="s">
        <x:v>283</x:v>
      </x:c>
      <x:c r="AH1092" t="s">
        <x:v>703</x:v>
      </x:c>
      <x:c r="AI1092" t="s">
        <x:v>7293</x:v>
      </x:c>
      <x:c r="AJ1092">
        <x:v>1164</x:v>
      </x:c>
    </x:row>
    <x:row r="1093">
      <x:c r="A1093" t="s">
        <x:v>6974</x:v>
      </x:c>
      <x:c r="B1093" t="s">
        <x:v>6975</x:v>
      </x:c>
      <x:c r="C1093" t="s">
        <x:v>7296</x:v>
      </x:c>
      <x:c r="D1093" t="s">
        <x:v>7297</x:v>
      </x:c>
      <x:c r="E1093" t="s">
        <x:v>281</x:v>
      </x:c>
      <x:c r="F1093">
        <x:v>1600</x:v>
      </x:c>
      <x:c r="G1093">
        <x:v>1600</x:v>
      </x:c>
      <x:c r="H1093">
        <x:v>1600</x:v>
      </x:c>
      <x:c r="I1093" t="s">
        <x:v>7298</x:v>
      </x:c>
      <x:c r="J1093" t="s">
        <x:v>7299</x:v>
      </x:c>
      <x:c r="K1093" t="s">
        <x:v>7300</x:v>
      </x:c>
      <x:c r="L1093" t="s">
        <x:v>7301</x:v>
      </x:c>
      <x:c r="M1093" t="s">
        <x:v>7302</x:v>
      </x:c>
      <x:c r="N1093" t="s">
        <x:v>7303</x:v>
      </x:c>
      <x:c r="O1093" t="s">
        <x:v>7304</x:v>
      </x:c>
      <x:c r="P1093" t="s">
        <x:v>7305</x:v>
      </x:c>
      <x:c r="R1093" s="9">
        <x:v>36590</x:v>
      </x:c>
      <x:c r="W1093" s="26" t="n">
        <x:v>2.51058</x:v>
      </x:c>
      <x:c r="X1093" s="26" t="n">
        <x:v>-76.98421</x:v>
      </x:c>
      <x:c r="Y1093">
        <x:v>1862.7349999999999</x:v>
      </x:c>
      <x:c r="Z1093">
        <x:v>1783</x:v>
      </x:c>
      <x:c r="AB1093" t="s">
        <x:v>282</x:v>
      </x:c>
      <x:c r="AF1093" t="s">
        <x:v>50</x:v>
      </x:c>
      <x:c r="AG1093" t="s">
        <x:v>283</x:v>
      </x:c>
      <x:c r="AH1093" t="s">
        <x:v>284</x:v>
      </x:c>
      <x:c r="AI1093" t="s">
        <x:v>285</x:v>
      </x:c>
      <x:c r="AJ1093">
        <x:v>1165</x:v>
      </x:c>
    </x:row>
    <x:row r="1094">
      <x:c r="A1094" t="s">
        <x:v>6974</x:v>
      </x:c>
      <x:c r="B1094" t="s">
        <x:v>6975</x:v>
      </x:c>
      <x:c r="C1094" t="s">
        <x:v>7306</x:v>
      </x:c>
      <x:c r="D1094" t="s">
        <x:v>7307</x:v>
      </x:c>
      <x:c r="E1094" t="s">
        <x:v>7308</x:v>
      </x:c>
      <x:c r="F1094" t="s">
        <x:v>495</x:v>
      </x:c>
      <x:c r="G1094">
        <x:v>1700</x:v>
      </x:c>
      <x:c r="H1094">
        <x:v>1800</x:v>
      </x:c>
      <x:c r="I1094" t="s">
        <x:v>7309</x:v>
      </x:c>
      <x:c r="J1094" t="s">
        <x:v>7310</x:v>
      </x:c>
      <x:c r="K1094" t="s">
        <x:v>7311</x:v>
      </x:c>
      <x:c r="L1094" t="s">
        <x:v>7312</x:v>
      </x:c>
      <x:c r="M1094" t="s">
        <x:v>7313</x:v>
      </x:c>
      <x:c r="N1094" t="s">
        <x:v>7314</x:v>
      </x:c>
      <x:c r="O1094" t="s">
        <x:v>7315</x:v>
      </x:c>
      <x:c r="P1094" t="s">
        <x:v>7316</x:v>
      </x:c>
      <x:c r="R1094" s="9">
        <x:v>37782</x:v>
      </x:c>
      <x:c r="W1094" s="26" t="n">
        <x:v>1.8520833</x:v>
      </x:c>
      <x:c r="X1094" s="26" t="n">
        <x:v>-76.9247222</x:v>
      </x:c>
      <x:c r="AF1094" t="s">
        <x:v>50</x:v>
      </x:c>
      <x:c r="AG1094" t="s">
        <x:v>283</x:v>
      </x:c>
      <x:c r="AH1094" t="s">
        <x:v>944</x:v>
      </x:c>
      <x:c r="AI1094" t="s">
        <x:v>7317</x:v>
      </x:c>
      <x:c r="AJ1094">
        <x:v>1166</x:v>
      </x:c>
    </x:row>
    <x:row r="1095">
      <x:c r="A1095" t="s">
        <x:v>6974</x:v>
      </x:c>
      <x:c r="B1095" t="s">
        <x:v>6975</x:v>
      </x:c>
      <x:c r="C1095" t="s">
        <x:v>7318</x:v>
      </x:c>
      <x:c r="D1095" t="s">
        <x:v>7319</x:v>
      </x:c>
      <x:c r="E1095" t="s">
        <x:v>7320</x:v>
      </x:c>
      <x:c r="P1095" t="s">
        <x:v>80</x:v>
      </x:c>
      <x:c r="R1095" s="9">
        <x:v>26869</x:v>
      </x:c>
      <x:c r="T1095" t="s">
        <x:v>119</x:v>
      </x:c>
      <x:c r="W1095" s="26" t="n">
        <x:v>5.40208</x:v>
      </x:c>
      <x:c r="X1095" s="26" t="n">
        <x:v>-77.39632</x:v>
      </x:c>
      <x:c r="Y1095">
        <x:v>3777.8040000000001</x:v>
      </x:c>
      <x:c r="Z1095">
        <x:v>10</x:v>
      </x:c>
      <x:c r="AB1095" t="s">
        <x:v>7321</x:v>
      </x:c>
      <x:c r="AF1095" t="s">
        <x:v>50</x:v>
      </x:c>
      <x:c r="AG1095" t="s">
        <x:v>374</x:v>
      </x:c>
      <x:c r="AH1095" t="s">
        <x:v>7322</x:v>
      </x:c>
      <x:c r="AJ1095">
        <x:v>1167</x:v>
      </x:c>
    </x:row>
    <x:row r="1096">
      <x:c r="A1096" t="s">
        <x:v>6974</x:v>
      </x:c>
      <x:c r="B1096" t="s">
        <x:v>6975</x:v>
      </x:c>
      <x:c r="C1096" t="s">
        <x:v>7323</x:v>
      </x:c>
      <x:c r="D1096" t="s">
        <x:v>7324</x:v>
      </x:c>
      <x:c r="E1096" t="s">
        <x:v>7325</x:v>
      </x:c>
      <x:c r="F1096">
        <x:v>40</x:v>
      </x:c>
      <x:c r="G1096">
        <x:v>40</x:v>
      </x:c>
      <x:c r="H1096">
        <x:v>40</x:v>
      </x:c>
      <x:c r="P1096" t="s">
        <x:v>80</x:v>
      </x:c>
      <x:c r="R1096" s="9">
        <x:v>27517</x:v>
      </x:c>
      <x:c r="T1096" t="s">
        <x:v>119</x:v>
      </x:c>
      <x:c r="W1096" s="26" t="n">
        <x:v>5.70249</x:v>
      </x:c>
      <x:c r="X1096" s="26" t="n">
        <x:v>-76.76426</x:v>
      </x:c>
      <x:c r="Y1096">
        <x:v>7575.5929999999998</x:v>
      </x:c>
      <x:c r="Z1096">
        <x:v>40</x:v>
      </x:c>
      <x:c r="AB1096" t="s">
        <x:v>7326</x:v>
      </x:c>
      <x:c r="AF1096" t="s">
        <x:v>50</x:v>
      </x:c>
      <x:c r="AG1096" t="s">
        <x:v>374</x:v>
      </x:c>
      <x:c r="AH1096" t="s">
        <x:v>7327</x:v>
      </x:c>
      <x:c r="AI1096" t="s">
        <x:v>7328</x:v>
      </x:c>
      <x:c r="AJ1096">
        <x:v>1169</x:v>
      </x:c>
    </x:row>
    <x:row r="1097">
      <x:c r="A1097" t="s">
        <x:v>6974</x:v>
      </x:c>
      <x:c r="B1097" t="s">
        <x:v>6975</x:v>
      </x:c>
      <x:c r="C1097" t="s">
        <x:v>7329</x:v>
      </x:c>
      <x:c r="D1097" t="s">
        <x:v>1323</x:v>
      </x:c>
      <x:c r="E1097" t="s">
        <x:v>7330</x:v>
      </x:c>
      <x:c r="F1097">
        <x:v>5</x:v>
      </x:c>
      <x:c r="G1097">
        <x:v>5</x:v>
      </x:c>
      <x:c r="H1097">
        <x:v>5</x:v>
      </x:c>
      <x:c r="I1097" t="s">
        <x:v>1318</x:v>
      </x:c>
      <x:c r="J1097" t="s">
        <x:v>1319</x:v>
      </x:c>
      <x:c r="K1097" t="s">
        <x:v>1320</x:v>
      </x:c>
      <x:c r="L1097" t="s">
        <x:v>1321</x:v>
      </x:c>
      <x:c r="M1097" t="s">
        <x:v>1322</x:v>
      </x:c>
      <x:c r="N1097" t="s">
        <x:v>1582</x:v>
      </x:c>
      <x:c r="O1097" t="s">
        <x:v>1583</x:v>
      </x:c>
      <x:c r="P1097" t="s">
        <x:v>1584</x:v>
      </x:c>
      <x:c r="R1097" s="9">
        <x:v>28937</x:v>
      </x:c>
      <x:c r="T1097" t="s">
        <x:v>119</x:v>
      </x:c>
      <x:c r="W1097" s="26" t="n">
        <x:v>4.1569</x:v>
      </x:c>
      <x:c r="X1097" s="26" t="n">
        <x:v>-77.13704</x:v>
      </x:c>
      <x:c r="Y1097">
        <x:v>3254.4549999999999</x:v>
      </x:c>
      <x:c r="Z1097">
        <x:v>13</x:v>
      </x:c>
      <x:c r="AB1097" t="s">
        <x:v>1323</x:v>
      </x:c>
      <x:c r="AF1097" t="s">
        <x:v>50</x:v>
      </x:c>
      <x:c r="AG1097" t="s">
        <x:v>374</x:v>
      </x:c>
      <x:c r="AH1097" t="s">
        <x:v>7331</x:v>
      </x:c>
      <x:c r="AI1097" t="s">
        <x:v>4000</x:v>
      </x:c>
      <x:c r="AJ1097">
        <x:v>1170</x:v>
      </x:c>
    </x:row>
    <x:row r="1098">
      <x:c r="A1098" t="s">
        <x:v>6974</x:v>
      </x:c>
      <x:c r="B1098" t="s">
        <x:v>6975</x:v>
      </x:c>
      <x:c r="C1098" t="s">
        <x:v>7332</x:v>
      </x:c>
      <x:c r="D1098" t="s">
        <x:v>7333</x:v>
      </x:c>
      <x:c r="E1098" t="s">
        <x:v>7334</x:v>
      </x:c>
      <x:c r="F1098">
        <x:v>5</x:v>
      </x:c>
      <x:c r="G1098">
        <x:v>5</x:v>
      </x:c>
      <x:c r="H1098">
        <x:v>5</x:v>
      </x:c>
      <x:c r="I1098" t="s">
        <x:v>4757</x:v>
      </x:c>
      <x:c r="J1098" t="s">
        <x:v>4758</x:v>
      </x:c>
      <x:c r="K1098" t="s">
        <x:v>4006</x:v>
      </x:c>
      <x:c r="L1098" t="s">
        <x:v>4007</x:v>
      </x:c>
      <x:c r="M1098" t="s">
        <x:v>7335</x:v>
      </x:c>
      <x:c r="N1098" t="s">
        <x:v>4009</x:v>
      </x:c>
      <x:c r="O1098" t="s">
        <x:v>4010</x:v>
      </x:c>
      <x:c r="P1098" t="s">
        <x:v>4011</x:v>
      </x:c>
      <x:c r="R1098" s="9">
        <x:v>28955</x:v>
      </x:c>
      <x:c r="T1098" t="s">
        <x:v>119</x:v>
      </x:c>
      <x:c r="W1098" s="26" t="n">
        <x:v>5</x:v>
      </x:c>
      <x:c r="X1098" s="26" t="n">
        <x:v>-76.7333333</x:v>
      </x:c>
      <x:c r="AF1098" t="s">
        <x:v>50</x:v>
      </x:c>
      <x:c r="AG1098" t="s">
        <x:v>374</x:v>
      </x:c>
      <x:c r="AH1098" t="s">
        <x:v>7331</x:v>
      </x:c>
      <x:c r="AI1098" t="s">
        <x:v>7336</x:v>
      </x:c>
      <x:c r="AJ1098">
        <x:v>1171</x:v>
      </x:c>
    </x:row>
    <x:row r="1099">
      <x:c r="A1099" t="s">
        <x:v>6974</x:v>
      </x:c>
      <x:c r="B1099" t="s">
        <x:v>6975</x:v>
      </x:c>
      <x:c r="C1099" t="s">
        <x:v>7337</x:v>
      </x:c>
      <x:c r="D1099" t="s">
        <x:v>7338</x:v>
      </x:c>
      <x:c r="E1099" t="s">
        <x:v>7339</x:v>
      </x:c>
      <x:c r="F1099">
        <x:v>80</x:v>
      </x:c>
      <x:c r="G1099">
        <x:v>80</x:v>
      </x:c>
      <x:c r="H1099">
        <x:v>80</x:v>
      </x:c>
      <x:c r="P1099" t="s">
        <x:v>80</x:v>
      </x:c>
      <x:c r="R1099" s="9">
        <x:v>30496</x:v>
      </x:c>
      <x:c r="T1099" t="s">
        <x:v>119</x:v>
      </x:c>
      <x:c r="W1099" s="26" t="n">
        <x:v>5.6294</x:v>
      </x:c>
      <x:c r="X1099" s="26" t="n">
        <x:v>-76.62924</x:v>
      </x:c>
      <x:c r="Y1099">
        <x:v>8397.9719999999998</x:v>
      </x:c>
      <x:c r="Z1099">
        <x:v>71</x:v>
      </x:c>
      <x:c r="AB1099" t="s">
        <x:v>7340</x:v>
      </x:c>
      <x:c r="AF1099" t="s">
        <x:v>50</x:v>
      </x:c>
      <x:c r="AG1099" t="s">
        <x:v>374</x:v>
      </x:c>
      <x:c r="AH1099" t="s">
        <x:v>7341</x:v>
      </x:c>
      <x:c r="AI1099" t="s">
        <x:v>7342</x:v>
      </x:c>
      <x:c r="AJ1099">
        <x:v>1172</x:v>
      </x:c>
    </x:row>
    <x:row r="1100">
      <x:c r="A1100" t="s">
        <x:v>6974</x:v>
      </x:c>
      <x:c r="B1100" t="s">
        <x:v>6975</x:v>
      </x:c>
      <x:c r="C1100" t="s">
        <x:v>7343</x:v>
      </x:c>
      <x:c r="D1100" t="s">
        <x:v>7344</x:v>
      </x:c>
      <x:c r="E1100" t="s">
        <x:v>7345</x:v>
      </x:c>
      <x:c r="P1100" t="s">
        <x:v>80</x:v>
      </x:c>
      <x:c r="R1100" s="9">
        <x:v>32829</x:v>
      </x:c>
      <x:c r="T1100" t="s">
        <x:v>119</x:v>
      </x:c>
      <x:c r="W1100" s="26" t="n">
        <x:v>6.02912</x:v>
      </x:c>
      <x:c r="X1100" s="26" t="n">
        <x:v>-77.36486</x:v>
      </x:c>
      <x:c r="Y1100">
        <x:v>3381.23</x:v>
      </x:c>
      <x:c r="Z1100">
        <x:v>207</x:v>
      </x:c>
      <x:c r="AB1100" t="s">
        <x:v>4033</x:v>
      </x:c>
      <x:c r="AF1100" t="s">
        <x:v>50</x:v>
      </x:c>
      <x:c r="AG1100" t="s">
        <x:v>374</x:v>
      </x:c>
      <x:c r="AH1100" t="s">
        <x:v>4034</x:v>
      </x:c>
      <x:c r="AI1100" t="s">
        <x:v>7346</x:v>
      </x:c>
      <x:c r="AJ1100">
        <x:v>1174</x:v>
      </x:c>
    </x:row>
    <x:row r="1101">
      <x:c r="A1101" t="s">
        <x:v>6974</x:v>
      </x:c>
      <x:c r="B1101" t="s">
        <x:v>6975</x:v>
      </x:c>
      <x:c r="C1101" t="s">
        <x:v>7347</x:v>
      </x:c>
      <x:c r="D1101" t="s">
        <x:v>7348</x:v>
      </x:c>
      <x:c r="E1101" t="s">
        <x:v>7349</x:v>
      </x:c>
      <x:c r="F1101">
        <x:v>25</x:v>
      </x:c>
      <x:c r="G1101">
        <x:v>25</x:v>
      </x:c>
      <x:c r="H1101">
        <x:v>25</x:v>
      </x:c>
      <x:c r="I1101" t="s">
        <x:v>7350</x:v>
      </x:c>
      <x:c r="J1101" t="s">
        <x:v>7351</x:v>
      </x:c>
      <x:c r="K1101" t="s">
        <x:v>7352</x:v>
      </x:c>
      <x:c r="L1101" t="s">
        <x:v>7353</x:v>
      </x:c>
      <x:c r="M1101" t="s">
        <x:v>7354</x:v>
      </x:c>
      <x:c r="N1101" t="s">
        <x:v>7355</x:v>
      </x:c>
      <x:c r="O1101" t="s">
        <x:v>7356</x:v>
      </x:c>
      <x:c r="P1101" t="s">
        <x:v>7357</x:v>
      </x:c>
      <x:c r="R1101" s="9">
        <x:v>34529</x:v>
      </x:c>
      <x:c r="T1101" t="s">
        <x:v>119</x:v>
      </x:c>
      <x:c r="W1101" s="26" t="n">
        <x:v>5.7</x:v>
      </x:c>
      <x:c r="X1101" s="26" t="n">
        <x:v>-77.2666667</x:v>
      </x:c>
      <x:c r="AF1101" t="s">
        <x:v>50</x:v>
      </x:c>
      <x:c r="AG1101" t="s">
        <x:v>374</x:v>
      </x:c>
      <x:c r="AH1101" t="s">
        <x:v>7358</x:v>
      </x:c>
      <x:c r="AI1101" t="s">
        <x:v>7359</x:v>
      </x:c>
      <x:c r="AJ1101">
        <x:v>1175</x:v>
      </x:c>
    </x:row>
    <x:row r="1102">
      <x:c r="A1102" t="s">
        <x:v>6974</x:v>
      </x:c>
      <x:c r="B1102" t="s">
        <x:v>6975</x:v>
      </x:c>
      <x:c r="C1102" t="s">
        <x:v>7360</x:v>
      </x:c>
      <x:c r="D1102" t="s">
        <x:v>7361</x:v>
      </x:c>
      <x:c r="E1102" t="s">
        <x:v>4046</x:v>
      </x:c>
      <x:c r="I1102" t="s">
        <x:v>7362</x:v>
      </x:c>
      <x:c r="J1102" t="s">
        <x:v>7363</x:v>
      </x:c>
      <x:c r="K1102" t="s">
        <x:v>7364</x:v>
      </x:c>
      <x:c r="L1102" t="s">
        <x:v>7365</x:v>
      </x:c>
      <x:c r="M1102" t="s">
        <x:v>7366</x:v>
      </x:c>
      <x:c r="N1102" t="s">
        <x:v>4052</x:v>
      </x:c>
      <x:c r="O1102" t="s">
        <x:v>4053</x:v>
      </x:c>
      <x:c r="P1102" t="s">
        <x:v>4054</x:v>
      </x:c>
      <x:c r="R1102" s="9">
        <x:v>38215</x:v>
      </x:c>
      <x:c r="T1102" t="s">
        <x:v>111</x:v>
      </x:c>
      <x:c r="W1102" s="26" t="n">
        <x:v>5.2177806</x:v>
      </x:c>
      <x:c r="X1102" s="26" t="n">
        <x:v>-76.6348667</x:v>
      </x:c>
      <x:c r="AF1102" t="s">
        <x:v>50</x:v>
      </x:c>
      <x:c r="AG1102" t="s">
        <x:v>374</x:v>
      </x:c>
      <x:c r="AH1102" t="s">
        <x:v>4055</x:v>
      </x:c>
      <x:c r="AI1102" t="s">
        <x:v>4056</x:v>
      </x:c>
      <x:c r="AJ1102">
        <x:v>1176</x:v>
      </x:c>
    </x:row>
    <x:row r="1103">
      <x:c r="A1103" t="s">
        <x:v>6974</x:v>
      </x:c>
      <x:c r="B1103" t="s">
        <x:v>6975</x:v>
      </x:c>
      <x:c r="C1103" t="s">
        <x:v>7367</x:v>
      </x:c>
      <x:c r="D1103" t="s">
        <x:v>1060</x:v>
      </x:c>
      <x:c r="E1103" t="s">
        <x:v>7368</x:v>
      </x:c>
      <x:c r="F1103">
        <x:v>641</x:v>
      </x:c>
      <x:c r="G1103">
        <x:v>641</x:v>
      </x:c>
      <x:c r="H1103">
        <x:v>641</x:v>
      </x:c>
      <x:c r="I1103" t="s">
        <x:v>7369</x:v>
      </x:c>
      <x:c r="J1103" t="s">
        <x:v>7370</x:v>
      </x:c>
      <x:c r="K1103" t="s">
        <x:v>1368</x:v>
      </x:c>
      <x:c r="L1103" t="s">
        <x:v>1369</x:v>
      </x:c>
      <x:c r="M1103" t="s">
        <x:v>7371</x:v>
      </x:c>
      <x:c r="N1103" t="s">
        <x:v>1371</x:v>
      </x:c>
      <x:c r="O1103" t="s">
        <x:v>1372</x:v>
      </x:c>
      <x:c r="P1103" t="s">
        <x:v>1373</x:v>
      </x:c>
      <x:c r="R1103" s="9">
        <x:v>39954</x:v>
      </x:c>
      <x:c r="T1103" t="s">
        <x:v>119</x:v>
      </x:c>
      <x:c r="W1103" s="26" t="n">
        <x:v>4.8692722</x:v>
      </x:c>
      <x:c r="X1103" s="26" t="n">
        <x:v>-76.2506472</x:v>
      </x:c>
      <x:c r="AF1103" t="s">
        <x:v>50</x:v>
      </x:c>
      <x:c r="AG1103" t="s">
        <x:v>374</x:v>
      </x:c>
      <x:c r="AH1103" t="s">
        <x:v>1447</x:v>
      </x:c>
      <x:c r="AI1103" t="s">
        <x:v>1375</x:v>
      </x:c>
      <x:c r="AJ1103">
        <x:v>1177</x:v>
      </x:c>
    </x:row>
    <x:row r="1104">
      <x:c r="A1104" t="s">
        <x:v>6974</x:v>
      </x:c>
      <x:c r="B1104" t="s">
        <x:v>6975</x:v>
      </x:c>
      <x:c r="C1104" t="s">
        <x:v>7372</x:v>
      </x:c>
      <x:c r="D1104" t="s">
        <x:v>7373</x:v>
      </x:c>
      <x:c r="E1104" t="s">
        <x:v>7374</x:v>
      </x:c>
      <x:c r="F1104">
        <x:v>1700</x:v>
      </x:c>
      <x:c r="G1104">
        <x:v>1700</x:v>
      </x:c>
      <x:c r="H1104">
        <x:v>1700</x:v>
      </x:c>
      <x:c r="P1104" t="s">
        <x:v>80</x:v>
      </x:c>
      <x:c r="R1104" s="9">
        <x:v>27167</x:v>
      </x:c>
      <x:c r="W1104" s="26" t="n">
        <x:v>4.84084</x:v>
      </x:c>
      <x:c r="X1104" s="26" t="n">
        <x:v>-73.65129</x:v>
      </x:c>
      <x:c r="Y1104">
        <x:v>2258.3589999999999</x:v>
      </x:c>
      <x:c r="Z1104">
        <x:v>1798</x:v>
      </x:c>
      <x:c r="AB1104" t="s">
        <x:v>7375</x:v>
      </x:c>
      <x:c r="AF1104" t="s">
        <x:v>50</x:v>
      </x:c>
      <x:c r="AG1104" t="s">
        <x:v>98</x:v>
      </x:c>
      <x:c r="AH1104" t="s">
        <x:v>7376</x:v>
      </x:c>
      <x:c r="AI1104" t="s">
        <x:v>7377</x:v>
      </x:c>
      <x:c r="AJ1104">
        <x:v>1178</x:v>
      </x:c>
    </x:row>
    <x:row r="1105">
      <x:c r="A1105" t="s">
        <x:v>6974</x:v>
      </x:c>
      <x:c r="B1105" t="s">
        <x:v>6975</x:v>
      </x:c>
      <x:c r="C1105" t="s">
        <x:v>7378</x:v>
      </x:c>
      <x:c r="D1105" t="s">
        <x:v>7379</x:v>
      </x:c>
      <x:c r="E1105" t="s">
        <x:v>7380</x:v>
      </x:c>
      <x:c r="F1105">
        <x:v>1300</x:v>
      </x:c>
      <x:c r="G1105">
        <x:v>1300</x:v>
      </x:c>
      <x:c r="H1105">
        <x:v>1300</x:v>
      </x:c>
      <x:c r="P1105" t="s">
        <x:v>80</x:v>
      </x:c>
      <x:c r="R1105" s="9">
        <x:v>27558</x:v>
      </x:c>
      <x:c r="W1105" s="26" t="n">
        <x:v>4.33948</x:v>
      </x:c>
      <x:c r="X1105" s="26" t="n">
        <x:v>-74.47888</x:v>
      </x:c>
      <x:c r="Y1105">
        <x:v>2641.97</x:v>
      </x:c>
      <x:c r="Z1105">
        <x:v>1448</x:v>
      </x:c>
      <x:c r="AB1105" t="s">
        <x:v>7381</x:v>
      </x:c>
      <x:c r="AF1105" t="s">
        <x:v>50</x:v>
      </x:c>
      <x:c r="AG1105" t="s">
        <x:v>98</x:v>
      </x:c>
      <x:c r="AH1105" t="s">
        <x:v>7382</x:v>
      </x:c>
      <x:c r="AI1105" t="s">
        <x:v>7383</x:v>
      </x:c>
      <x:c r="AJ1105">
        <x:v>1179</x:v>
      </x:c>
    </x:row>
    <x:row r="1106">
      <x:c r="A1106" t="s">
        <x:v>6974</x:v>
      </x:c>
      <x:c r="B1106" t="s">
        <x:v>6975</x:v>
      </x:c>
      <x:c r="C1106" t="s">
        <x:v>7384</x:v>
      </x:c>
      <x:c r="D1106" t="s">
        <x:v>7385</x:v>
      </x:c>
      <x:c r="E1106" t="s">
        <x:v>7386</x:v>
      </x:c>
      <x:c r="F1106">
        <x:v>1245</x:v>
      </x:c>
      <x:c r="G1106">
        <x:v>1245</x:v>
      </x:c>
      <x:c r="H1106">
        <x:v>1245</x:v>
      </x:c>
      <x:c r="P1106" t="s">
        <x:v>80</x:v>
      </x:c>
      <x:c r="R1106" s="9">
        <x:v>35000</x:v>
      </x:c>
      <x:c r="T1106" t="s">
        <x:v>119</x:v>
      </x:c>
      <x:c r="W1106" s="26" t="n">
        <x:v>5.55832</x:v>
      </x:c>
      <x:c r="X1106" s="26" t="n">
        <x:v>-74.29157</x:v>
      </x:c>
      <x:c r="Y1106">
        <x:v>880.31299999999999</x:v>
      </x:c>
      <x:c r="Z1106">
        <x:v>1387</x:v>
      </x:c>
      <x:c r="AB1106" t="s">
        <x:v>6180</x:v>
      </x:c>
      <x:c r="AF1106" t="s">
        <x:v>50</x:v>
      </x:c>
      <x:c r="AG1106" t="s">
        <x:v>98</x:v>
      </x:c>
      <x:c r="AH1106" t="s">
        <x:v>6181</x:v>
      </x:c>
      <x:c r="AI1106" t="s">
        <x:v>7387</x:v>
      </x:c>
      <x:c r="AJ1106">
        <x:v>1180</x:v>
      </x:c>
    </x:row>
    <x:row r="1107">
      <x:c r="A1107" t="s">
        <x:v>6974</x:v>
      </x:c>
      <x:c r="B1107" t="s">
        <x:v>6975</x:v>
      </x:c>
      <x:c r="C1107" t="s">
        <x:v>7388</x:v>
      </x:c>
      <x:c r="D1107" t="s">
        <x:v>7389</x:v>
      </x:c>
      <x:c r="E1107" t="s">
        <x:v>7390</x:v>
      </x:c>
      <x:c r="F1107" t="s">
        <x:v>408</x:v>
      </x:c>
      <x:c r="G1107">
        <x:v>1900</x:v>
      </x:c>
      <x:c r="H1107">
        <x:v>2100</x:v>
      </x:c>
      <x:c r="I1107" t="s">
        <x:v>2098</x:v>
      </x:c>
      <x:c r="J1107" t="s">
        <x:v>2099</x:v>
      </x:c>
      <x:c r="K1107" t="s">
        <x:v>7391</x:v>
      </x:c>
      <x:c r="L1107" t="s">
        <x:v>7392</x:v>
      </x:c>
      <x:c r="M1107" t="s">
        <x:v>7393</x:v>
      </x:c>
      <x:c r="N1107" t="s">
        <x:v>2103</x:v>
      </x:c>
      <x:c r="O1107" t="s">
        <x:v>7394</x:v>
      </x:c>
      <x:c r="P1107" t="s">
        <x:v>7395</x:v>
      </x:c>
      <x:c r="R1107" s="9">
        <x:v>38031</x:v>
      </x:c>
      <x:c r="T1107" t="s">
        <x:v>111</x:v>
      </x:c>
      <x:c r="W1107" s="26" t="n">
        <x:v>4.8666667</x:v>
      </x:c>
      <x:c r="X1107" s="26" t="n">
        <x:v>-74.4333333</x:v>
      </x:c>
      <x:c r="AF1107" t="s">
        <x:v>50</x:v>
      </x:c>
      <x:c r="AG1107" t="s">
        <x:v>98</x:v>
      </x:c>
      <x:c r="AH1107" t="s">
        <x:v>215</x:v>
      </x:c>
      <x:c r="AI1107" t="s">
        <x:v>7396</x:v>
      </x:c>
      <x:c r="AJ1107">
        <x:v>1181</x:v>
      </x:c>
    </x:row>
    <x:row r="1108">
      <x:c r="A1108" t="s">
        <x:v>6974</x:v>
      </x:c>
      <x:c r="B1108" t="s">
        <x:v>6975</x:v>
      </x:c>
      <x:c r="C1108" t="s">
        <x:v>7397</x:v>
      </x:c>
      <x:c r="D1108" t="s">
        <x:v>7398</x:v>
      </x:c>
      <x:c r="E1108" t="s">
        <x:v>7399</x:v>
      </x:c>
      <x:c r="F1108">
        <x:v>100</x:v>
      </x:c>
      <x:c r="G1108">
        <x:v>100</x:v>
      </x:c>
      <x:c r="H1108">
        <x:v>100</x:v>
      </x:c>
      <x:c r="P1108" t="s">
        <x:v>80</x:v>
      </x:c>
      <x:c r="R1108" s="9">
        <x:v>28416</x:v>
      </x:c>
      <x:c r="T1108" t="s">
        <x:v>111</x:v>
      </x:c>
      <x:c r="W1108" s="26" t="n">
        <x:v>2.73598</x:v>
      </x:c>
      <x:c r="X1108" s="26" t="n">
        <x:v>-67.92102</x:v>
      </x:c>
      <x:c r="Y1108">
        <x:v>4840.8249999999998</x:v>
      </x:c>
      <x:c r="Z1108">
        <x:v>129</x:v>
      </x:c>
      <x:c r="AB1108" t="s">
        <x:v>7400</x:v>
      </x:c>
      <x:c r="AF1108" t="s">
        <x:v>50</x:v>
      </x:c>
      <x:c r="AG1108" t="s">
        <x:v>7401</x:v>
      </x:c>
      <x:c r="AH1108" t="s">
        <x:v>7402</x:v>
      </x:c>
      <x:c r="AJ1108">
        <x:v>1182</x:v>
      </x:c>
    </x:row>
    <x:row r="1109">
      <x:c r="A1109" t="s">
        <x:v>6974</x:v>
      </x:c>
      <x:c r="B1109" t="s">
        <x:v>6975</x:v>
      </x:c>
      <x:c r="C1109" t="s">
        <x:v>7403</x:v>
      </x:c>
      <x:c r="D1109" t="s">
        <x:v>7404</x:v>
      </x:c>
      <x:c r="E1109" t="s">
        <x:v>7405</x:v>
      </x:c>
      <x:c r="P1109" t="s">
        <x:v>80</x:v>
      </x:c>
      <x:c r="R1109" s="9">
        <x:v>34455</x:v>
      </x:c>
      <x:c r="T1109" t="s">
        <x:v>119</x:v>
      </x:c>
      <x:c r="W1109" s="26" t="n">
        <x:v>2.38573</x:v>
      </x:c>
      <x:c r="X1109" s="26" t="n">
        <x:v>-68.61714</x:v>
      </x:c>
      <x:c r="Y1109">
        <x:v>1927.4290000000001</x:v>
      </x:c>
      <x:c r="Z1109">
        <x:v>136</x:v>
      </x:c>
      <x:c r="AB1109" t="s">
        <x:v>7406</x:v>
      </x:c>
      <x:c r="AF1109" t="s">
        <x:v>50</x:v>
      </x:c>
      <x:c r="AG1109" t="s">
        <x:v>6194</x:v>
      </x:c>
      <x:c r="AH1109" t="s">
        <x:v>7407</x:v>
      </x:c>
      <x:c r="AI1109" t="s">
        <x:v>7408</x:v>
      </x:c>
      <x:c r="AJ1109">
        <x:v>1183</x:v>
      </x:c>
    </x:row>
    <x:row r="1110">
      <x:c r="A1110" t="s">
        <x:v>6974</x:v>
      </x:c>
      <x:c r="B1110" t="s">
        <x:v>6975</x:v>
      </x:c>
      <x:c r="C1110" t="s">
        <x:v>7409</x:v>
      </x:c>
      <x:c r="D1110" t="s">
        <x:v>7410</x:v>
      </x:c>
      <x:c r="E1110" t="s">
        <x:v>7411</x:v>
      </x:c>
      <x:c r="F1110">
        <x:v>290</x:v>
      </x:c>
      <x:c r="G1110">
        <x:v>290</x:v>
      </x:c>
      <x:c r="H1110">
        <x:v>290</x:v>
      </x:c>
      <x:c r="I1110" t="s">
        <x:v>7412</x:v>
      </x:c>
      <x:c r="J1110" t="s">
        <x:v>7413</x:v>
      </x:c>
      <x:c r="K1110" t="s">
        <x:v>7414</x:v>
      </x:c>
      <x:c r="L1110" t="s">
        <x:v>7415</x:v>
      </x:c>
      <x:c r="M1110" t="s">
        <x:v>7416</x:v>
      </x:c>
      <x:c r="N1110" t="s">
        <x:v>7417</x:v>
      </x:c>
      <x:c r="O1110" t="s">
        <x:v>7418</x:v>
      </x:c>
      <x:c r="P1110" t="s">
        <x:v>7419</x:v>
      </x:c>
      <x:c r="R1110" s="9">
        <x:v>35022</x:v>
      </x:c>
      <x:c r="T1110" t="s">
        <x:v>119</x:v>
      </x:c>
      <x:c r="W1110" s="26" t="n">
        <x:v>2.4744444</x:v>
      </x:c>
      <x:c r="X1110" s="26" t="n">
        <x:v>-72.6966667</x:v>
      </x:c>
      <x:c r="AF1110" t="s">
        <x:v>50</x:v>
      </x:c>
      <x:c r="AG1110" t="s">
        <x:v>6194</x:v>
      </x:c>
      <x:c r="AH1110" t="s">
        <x:v>6195</x:v>
      </x:c>
      <x:c r="AI1110" t="s">
        <x:v>7420</x:v>
      </x:c>
      <x:c r="AJ1110">
        <x:v>1184</x:v>
      </x:c>
    </x:row>
    <x:row r="1111">
      <x:c r="A1111" t="s">
        <x:v>6974</x:v>
      </x:c>
      <x:c r="B1111" t="s">
        <x:v>6975</x:v>
      </x:c>
      <x:c r="C1111" t="s">
        <x:v>7421</x:v>
      </x:c>
      <x:c r="D1111" t="s">
        <x:v>7422</x:v>
      </x:c>
      <x:c r="E1111" t="s">
        <x:v>7423</x:v>
      </x:c>
      <x:c r="F1111">
        <x:v>1600</x:v>
      </x:c>
      <x:c r="G1111">
        <x:v>1600</x:v>
      </x:c>
      <x:c r="H1111">
        <x:v>1600</x:v>
      </x:c>
      <x:c r="I1111" t="s">
        <x:v>1617</x:v>
      </x:c>
      <x:c r="J1111" t="s">
        <x:v>1618</x:v>
      </x:c>
      <x:c r="K1111" t="s">
        <x:v>1619</x:v>
      </x:c>
      <x:c r="L1111" t="s">
        <x:v>1620</x:v>
      </x:c>
      <x:c r="M1111" t="s">
        <x:v>1621</x:v>
      </x:c>
      <x:c r="N1111" t="s">
        <x:v>1622</x:v>
      </x:c>
      <x:c r="O1111" t="s">
        <x:v>1623</x:v>
      </x:c>
      <x:c r="P1111" t="s">
        <x:v>1624</x:v>
      </x:c>
      <x:c r="R1111" s="9">
        <x:v>30236</x:v>
      </x:c>
      <x:c r="W1111" s="26" t="n">
        <x:v>1.8562917</x:v>
      </x:c>
      <x:c r="X1111" s="26" t="n">
        <x:v>-76.0393917</x:v>
      </x:c>
      <x:c r="AF1111" t="s">
        <x:v>50</x:v>
      </x:c>
      <x:c r="AG1111" t="s">
        <x:v>51</x:v>
      </x:c>
      <x:c r="AH1111" t="s">
        <x:v>140</x:v>
      </x:c>
      <x:c r="AI1111" t="s">
        <x:v>7424</x:v>
      </x:c>
      <x:c r="AJ1111">
        <x:v>1185</x:v>
      </x:c>
    </x:row>
    <x:row r="1112">
      <x:c r="A1112" t="s">
        <x:v>6974</x:v>
      </x:c>
      <x:c r="B1112" t="s">
        <x:v>6975</x:v>
      </x:c>
      <x:c r="C1112" t="s">
        <x:v>7421</x:v>
      </x:c>
      <x:c r="D1112" t="s">
        <x:v>7425</x:v>
      </x:c>
      <x:c r="E1112" t="s">
        <x:v>7423</x:v>
      </x:c>
      <x:c r="F1112">
        <x:v>1600</x:v>
      </x:c>
      <x:c r="G1112">
        <x:v>1600</x:v>
      </x:c>
      <x:c r="H1112">
        <x:v>1600</x:v>
      </x:c>
      <x:c r="I1112" t="s">
        <x:v>1617</x:v>
      </x:c>
      <x:c r="J1112" t="s">
        <x:v>1618</x:v>
      </x:c>
      <x:c r="K1112" t="s">
        <x:v>1619</x:v>
      </x:c>
      <x:c r="L1112" t="s">
        <x:v>1620</x:v>
      </x:c>
      <x:c r="M1112" t="s">
        <x:v>1621</x:v>
      </x:c>
      <x:c r="N1112" t="s">
        <x:v>1622</x:v>
      </x:c>
      <x:c r="O1112" t="s">
        <x:v>1623</x:v>
      </x:c>
      <x:c r="P1112" t="s">
        <x:v>1624</x:v>
      </x:c>
      <x:c r="R1112" s="9">
        <x:v>30236</x:v>
      </x:c>
      <x:c r="W1112" s="26" t="n">
        <x:v>1.8562917</x:v>
      </x:c>
      <x:c r="X1112" s="26" t="n">
        <x:v>-76.0393917</x:v>
      </x:c>
      <x:c r="AF1112" t="s">
        <x:v>50</x:v>
      </x:c>
      <x:c r="AG1112" t="s">
        <x:v>51</x:v>
      </x:c>
      <x:c r="AH1112" t="s">
        <x:v>140</x:v>
      </x:c>
      <x:c r="AI1112" t="s">
        <x:v>7424</x:v>
      </x:c>
      <x:c r="AJ1112">
        <x:v>1186</x:v>
      </x:c>
    </x:row>
    <x:row r="1113">
      <x:c r="A1113" t="s">
        <x:v>6974</x:v>
      </x:c>
      <x:c r="B1113" t="s">
        <x:v>6975</x:v>
      </x:c>
      <x:c r="C1113" t="s">
        <x:v>7426</x:v>
      </x:c>
      <x:c r="D1113" t="s">
        <x:v>7427</x:v>
      </x:c>
      <x:c r="E1113" t="s">
        <x:v>7428</x:v>
      </x:c>
      <x:c r="F1113">
        <x:v>1400</x:v>
      </x:c>
      <x:c r="G1113">
        <x:v>1400</x:v>
      </x:c>
      <x:c r="H1113">
        <x:v>1400</x:v>
      </x:c>
      <x:c r="I1113" t="s">
        <x:v>1641</x:v>
      </x:c>
      <x:c r="J1113" t="s">
        <x:v>1642</x:v>
      </x:c>
      <x:c r="K1113" t="s">
        <x:v>1643</x:v>
      </x:c>
      <x:c r="L1113" t="s">
        <x:v>1644</x:v>
      </x:c>
      <x:c r="M1113" t="s">
        <x:v>1645</x:v>
      </x:c>
      <x:c r="N1113" t="s">
        <x:v>1646</x:v>
      </x:c>
      <x:c r="O1113" t="s">
        <x:v>1647</x:v>
      </x:c>
      <x:c r="P1113" t="s">
        <x:v>1648</x:v>
      </x:c>
      <x:c r="R1113" s="9">
        <x:v>33131</x:v>
      </x:c>
      <x:c r="W1113" s="26" t="n">
        <x:v>3.377</x:v>
      </x:c>
      <x:c r="X1113" s="26" t="n">
        <x:v>-74.8024583</x:v>
      </x:c>
      <x:c r="AF1113" t="s">
        <x:v>50</x:v>
      </x:c>
      <x:c r="AG1113" t="s">
        <x:v>51</x:v>
      </x:c>
      <x:c r="AH1113" t="s">
        <x:v>50</x:v>
      </x:c>
      <x:c r="AI1113" t="s">
        <x:v>7429</x:v>
      </x:c>
      <x:c r="AJ1113">
        <x:v>1188</x:v>
      </x:c>
    </x:row>
    <x:row r="1114">
      <x:c r="A1114" t="s">
        <x:v>6974</x:v>
      </x:c>
      <x:c r="B1114" t="s">
        <x:v>6975</x:v>
      </x:c>
      <x:c r="C1114" t="s">
        <x:v>7430</x:v>
      </x:c>
      <x:c r="D1114" t="s">
        <x:v>7431</x:v>
      </x:c>
      <x:c r="E1114" t="s">
        <x:v>7432</x:v>
      </x:c>
      <x:c r="F1114">
        <x:v>720</x:v>
      </x:c>
      <x:c r="G1114">
        <x:v>720</x:v>
      </x:c>
      <x:c r="H1114">
        <x:v>720</x:v>
      </x:c>
      <x:c r="I1114" t="s">
        <x:v>7433</x:v>
      </x:c>
      <x:c r="J1114" t="s">
        <x:v>7434</x:v>
      </x:c>
      <x:c r="K1114" t="s">
        <x:v>7435</x:v>
      </x:c>
      <x:c r="L1114" t="s">
        <x:v>7436</x:v>
      </x:c>
      <x:c r="M1114" t="s">
        <x:v>7437</x:v>
      </x:c>
      <x:c r="N1114" t="s">
        <x:v>7438</x:v>
      </x:c>
      <x:c r="O1114" t="s">
        <x:v>7439</x:v>
      </x:c>
      <x:c r="P1114" t="s">
        <x:v>7440</x:v>
      </x:c>
      <x:c r="R1114" s="9">
        <x:v>35147</x:v>
      </x:c>
      <x:c r="T1114" t="s">
        <x:v>119</x:v>
      </x:c>
      <x:c r="W1114" s="26" t="n">
        <x:v>2.9287361</x:v>
      </x:c>
      <x:c r="X1114" s="26" t="n">
        <x:v>-75.28415</x:v>
      </x:c>
      <x:c r="AF1114" t="s">
        <x:v>50</x:v>
      </x:c>
      <x:c r="AG1114" t="s">
        <x:v>51</x:v>
      </x:c>
      <x:c r="AH1114" t="s">
        <x:v>5017</x:v>
      </x:c>
      <x:c r="AI1114" t="s">
        <x:v>7441</x:v>
      </x:c>
      <x:c r="AJ1114">
        <x:v>1189</x:v>
      </x:c>
    </x:row>
    <x:row r="1115">
      <x:c r="A1115" t="s">
        <x:v>6974</x:v>
      </x:c>
      <x:c r="B1115" t="s">
        <x:v>6975</x:v>
      </x:c>
      <x:c r="C1115" t="s">
        <x:v>7442</x:v>
      </x:c>
      <x:c r="D1115" t="s">
        <x:v>1060</x:v>
      </x:c>
      <x:c r="E1115" t="s">
        <x:v>7443</x:v>
      </x:c>
      <x:c r="F1115">
        <x:v>1925</x:v>
      </x:c>
      <x:c r="G1115">
        <x:v>1925</x:v>
      </x:c>
      <x:c r="H1115">
        <x:v>1925</x:v>
      </x:c>
      <x:c r="I1115" t="s">
        <x:v>7444</x:v>
      </x:c>
      <x:c r="J1115" t="s">
        <x:v>7445</x:v>
      </x:c>
      <x:c r="K1115" t="s">
        <x:v>5009</x:v>
      </x:c>
      <x:c r="L1115" t="s">
        <x:v>5010</x:v>
      </x:c>
      <x:c r="M1115" t="s">
        <x:v>7446</x:v>
      </x:c>
      <x:c r="N1115" t="s">
        <x:v>2958</x:v>
      </x:c>
      <x:c r="O1115" t="s">
        <x:v>329</x:v>
      </x:c>
      <x:c r="P1115" t="s">
        <x:v>2959</x:v>
      </x:c>
      <x:c r="R1115" s="9">
        <x:v>40022</x:v>
      </x:c>
      <x:c r="T1115" t="s">
        <x:v>119</x:v>
      </x:c>
      <x:c r="W1115" s="26" t="n">
        <x:v>1.7689806</x:v>
      </x:c>
      <x:c r="X1115" s="26" t="n">
        <x:v>-76.0187333</x:v>
      </x:c>
      <x:c r="AF1115" t="s">
        <x:v>50</x:v>
      </x:c>
      <x:c r="AG1115" t="s">
        <x:v>51</x:v>
      </x:c>
      <x:c r="AH1115" t="s">
        <x:v>140</x:v>
      </x:c>
      <x:c r="AI1115" t="s">
        <x:v>7447</x:v>
      </x:c>
      <x:c r="AJ1115">
        <x:v>1190</x:v>
      </x:c>
    </x:row>
    <x:row r="1116">
      <x:c r="A1116" t="s">
        <x:v>6974</x:v>
      </x:c>
      <x:c r="B1116" t="s">
        <x:v>6975</x:v>
      </x:c>
      <x:c r="C1116" t="s">
        <x:v>7448</x:v>
      </x:c>
      <x:c r="D1116" t="s">
        <x:v>1060</x:v>
      </x:c>
      <x:c r="E1116" t="s">
        <x:v>7449</x:v>
      </x:c>
      <x:c r="F1116">
        <x:v>1925</x:v>
      </x:c>
      <x:c r="G1116">
        <x:v>1925</x:v>
      </x:c>
      <x:c r="H1116">
        <x:v>1925</x:v>
      </x:c>
      <x:c r="I1116" t="s">
        <x:v>7444</x:v>
      </x:c>
      <x:c r="J1116" t="s">
        <x:v>7445</x:v>
      </x:c>
      <x:c r="K1116" t="s">
        <x:v>5009</x:v>
      </x:c>
      <x:c r="L1116" t="s">
        <x:v>5010</x:v>
      </x:c>
      <x:c r="M1116" t="s">
        <x:v>7446</x:v>
      </x:c>
      <x:c r="N1116" t="s">
        <x:v>2958</x:v>
      </x:c>
      <x:c r="O1116" t="s">
        <x:v>329</x:v>
      </x:c>
      <x:c r="P1116" t="s">
        <x:v>2959</x:v>
      </x:c>
      <x:c r="R1116" s="9">
        <x:v>40022</x:v>
      </x:c>
      <x:c r="T1116" t="s">
        <x:v>119</x:v>
      </x:c>
      <x:c r="W1116" s="26" t="n">
        <x:v>1.7689806</x:v>
      </x:c>
      <x:c r="X1116" s="26" t="n">
        <x:v>-76.0187333</x:v>
      </x:c>
      <x:c r="AF1116" t="s">
        <x:v>50</x:v>
      </x:c>
      <x:c r="AG1116" t="s">
        <x:v>51</x:v>
      </x:c>
      <x:c r="AH1116" t="s">
        <x:v>140</x:v>
      </x:c>
      <x:c r="AI1116" t="s">
        <x:v>7450</x:v>
      </x:c>
      <x:c r="AJ1116">
        <x:v>1191</x:v>
      </x:c>
    </x:row>
    <x:row r="1117">
      <x:c r="A1117" t="s">
        <x:v>6974</x:v>
      </x:c>
      <x:c r="B1117" t="s">
        <x:v>6975</x:v>
      </x:c>
      <x:c r="C1117" t="s">
        <x:v>7451</x:v>
      </x:c>
      <x:c r="D1117" t="s">
        <x:v>7452</x:v>
      </x:c>
      <x:c r="E1117" t="s">
        <x:v>7453</x:v>
      </x:c>
      <x:c r="F1117">
        <x:v>1800</x:v>
      </x:c>
      <x:c r="G1117">
        <x:v>1800</x:v>
      </x:c>
      <x:c r="H1117">
        <x:v>1800</x:v>
      </x:c>
      <x:c r="I1117" t="s">
        <x:v>7454</x:v>
      </x:c>
      <x:c r="J1117" t="s">
        <x:v>7455</x:v>
      </x:c>
      <x:c r="K1117" t="s">
        <x:v>3003</x:v>
      </x:c>
      <x:c r="L1117" t="s">
        <x:v>3004</x:v>
      </x:c>
      <x:c r="M1117" t="s">
        <x:v>7456</x:v>
      </x:c>
      <x:c r="N1117" t="s">
        <x:v>3006</x:v>
      </x:c>
      <x:c r="O1117" t="s">
        <x:v>3007</x:v>
      </x:c>
      <x:c r="P1117" t="s">
        <x:v>3008</x:v>
      </x:c>
      <x:c r="R1117" s="9">
        <x:v>26580</x:v>
      </x:c>
      <x:c r="T1117" t="s">
        <x:v>119</x:v>
      </x:c>
      <x:c r="W1117" s="26" t="n">
        <x:v>10.9333333</x:v>
      </x:c>
      <x:c r="X1117" s="26" t="n">
        <x:v>-73.9666667</x:v>
      </x:c>
      <x:c r="AF1117" t="s">
        <x:v>7457</x:v>
      </x:c>
      <x:c r="AG1117" t="s">
        <x:v>1296</x:v>
      </x:c>
      <x:c r="AH1117" t="s">
        <x:v>1297</x:v>
      </x:c>
      <x:c r="AI1117" t="s">
        <x:v>7458</x:v>
      </x:c>
      <x:c r="AJ1117">
        <x:v>1192</x:v>
      </x:c>
    </x:row>
    <x:row r="1118">
      <x:c r="A1118" t="s">
        <x:v>6974</x:v>
      </x:c>
      <x:c r="B1118" t="s">
        <x:v>6975</x:v>
      </x:c>
      <x:c r="C1118" t="s">
        <x:v>7459</x:v>
      </x:c>
      <x:c r="D1118" t="s">
        <x:v>7460</x:v>
      </x:c>
      <x:c r="E1118" t="s">
        <x:v>7461</x:v>
      </x:c>
      <x:c r="F1118" t="s">
        <x:v>7462</x:v>
      </x:c>
      <x:c r="G1118">
        <x:v>600</x:v>
      </x:c>
      <x:c r="H1118">
        <x:v>1300</x:v>
      </x:c>
      <x:c r="P1118" t="s">
        <x:v>80</x:v>
      </x:c>
      <x:c r="R1118" s="9">
        <x:v>18627</x:v>
      </x:c>
      <x:c r="W1118" s="26" t="n">
        <x:v>2.9627</x:v>
      </x:c>
      <x:c r="X1118" s="26" t="n">
        <x:v>-73.88673</x:v>
      </x:c>
      <x:c r="Y1118">
        <x:v>4935.0150000000003</x:v>
      </x:c>
      <x:c r="Z1118">
        <x:v>1289</x:v>
      </x:c>
      <x:c r="AB1118" t="s">
        <x:v>3019</x:v>
      </x:c>
      <x:c r="AF1118" t="s">
        <x:v>50</x:v>
      </x:c>
      <x:c r="AG1118" t="s">
        <x:v>1336</x:v>
      </x:c>
      <x:c r="AH1118" t="s">
        <x:v>7463</x:v>
      </x:c>
      <x:c r="AI1118" t="s">
        <x:v>7464</x:v>
      </x:c>
      <x:c r="AJ1118">
        <x:v>1193</x:v>
      </x:c>
    </x:row>
    <x:row r="1119">
      <x:c r="A1119" t="s">
        <x:v>6974</x:v>
      </x:c>
      <x:c r="B1119" t="s">
        <x:v>6975</x:v>
      </x:c>
      <x:c r="C1119" t="s">
        <x:v>7465</x:v>
      </x:c>
      <x:c r="D1119" t="s">
        <x:v>7466</x:v>
      </x:c>
      <x:c r="E1119" t="s">
        <x:v>7467</x:v>
      </x:c>
      <x:c r="F1119">
        <x:v>300</x:v>
      </x:c>
      <x:c r="G1119">
        <x:v>300</x:v>
      </x:c>
      <x:c r="H1119">
        <x:v>300</x:v>
      </x:c>
      <x:c r="P1119" t="s">
        <x:v>80</x:v>
      </x:c>
      <x:c r="R1119" s="9">
        <x:v>20709</x:v>
      </x:c>
      <x:c r="T1119" t="s">
        <x:v>119</x:v>
      </x:c>
      <x:c r="W1119" s="26" t="n">
        <x:v>3.40666</x:v>
      </x:c>
      <x:c r="X1119" s="26" t="n">
        <x:v>-73.45934</x:v>
      </x:c>
      <x:c r="Y1119">
        <x:v>67.599000000000004</x:v>
      </x:c>
      <x:c r="Z1119">
        <x:v>250</x:v>
      </x:c>
      <x:c r="AB1119" t="s">
        <x:v>7468</x:v>
      </x:c>
      <x:c r="AF1119" t="s">
        <x:v>50</x:v>
      </x:c>
      <x:c r="AG1119" t="s">
        <x:v>1336</x:v>
      </x:c>
      <x:c r="AH1119" t="s">
        <x:v>7469</x:v>
      </x:c>
      <x:c r="AI1119" t="s">
        <x:v>7470</x:v>
      </x:c>
      <x:c r="AJ1119">
        <x:v>1194</x:v>
      </x:c>
    </x:row>
    <x:row r="1120">
      <x:c r="A1120" t="s">
        <x:v>6974</x:v>
      </x:c>
      <x:c r="B1120" t="s">
        <x:v>6975</x:v>
      </x:c>
      <x:c r="C1120" t="s">
        <x:v>7471</x:v>
      </x:c>
      <x:c r="D1120" t="s">
        <x:v>7472</x:v>
      </x:c>
      <x:c r="E1120" t="s">
        <x:v>7473</x:v>
      </x:c>
      <x:c r="F1120">
        <x:v>480</x:v>
      </x:c>
      <x:c r="G1120">
        <x:v>480</x:v>
      </x:c>
      <x:c r="H1120">
        <x:v>480</x:v>
      </x:c>
      <x:c r="P1120" t="s">
        <x:v>80</x:v>
      </x:c>
      <x:c r="R1120" s="9">
        <x:v>25729</x:v>
      </x:c>
      <x:c r="T1120" t="s">
        <x:v>65</x:v>
      </x:c>
      <x:c r="W1120" s="26" t="n">
        <x:v>2.23431</x:v>
      </x:c>
      <x:c r="X1120" s="26" t="n">
        <x:v>-73.8128</x:v>
      </x:c>
      <x:c r="Y1120">
        <x:v>5967.0510000000004</x:v>
      </x:c>
      <x:c r="Z1120">
        <x:v>403</x:v>
      </x:c>
      <x:c r="AB1120" t="s">
        <x:v>7474</x:v>
      </x:c>
      <x:c r="AF1120" t="s">
        <x:v>50</x:v>
      </x:c>
      <x:c r="AG1120" t="s">
        <x:v>1336</x:v>
      </x:c>
      <x:c r="AH1120" t="s">
        <x:v>7475</x:v>
      </x:c>
      <x:c r="AI1120" t="s">
        <x:v>7476</x:v>
      </x:c>
      <x:c r="AJ1120">
        <x:v>1195</x:v>
      </x:c>
    </x:row>
    <x:row r="1121">
      <x:c r="A1121" t="s">
        <x:v>6974</x:v>
      </x:c>
      <x:c r="B1121" t="s">
        <x:v>6975</x:v>
      </x:c>
      <x:c r="C1121" t="s">
        <x:v>7471</x:v>
      </x:c>
      <x:c r="D1121" t="s">
        <x:v>7477</x:v>
      </x:c>
      <x:c r="E1121" t="s">
        <x:v>7473</x:v>
      </x:c>
      <x:c r="F1121">
        <x:v>480</x:v>
      </x:c>
      <x:c r="G1121">
        <x:v>480</x:v>
      </x:c>
      <x:c r="H1121">
        <x:v>480</x:v>
      </x:c>
      <x:c r="P1121" t="s">
        <x:v>80</x:v>
      </x:c>
      <x:c r="R1121" s="9">
        <x:v>25729</x:v>
      </x:c>
      <x:c r="T1121" t="s">
        <x:v>65</x:v>
      </x:c>
      <x:c r="W1121" s="26" t="n">
        <x:v>2.23431</x:v>
      </x:c>
      <x:c r="X1121" s="26" t="n">
        <x:v>-73.8128</x:v>
      </x:c>
      <x:c r="Y1121">
        <x:v>5967.0510000000004</x:v>
      </x:c>
      <x:c r="Z1121">
        <x:v>403</x:v>
      </x:c>
      <x:c r="AB1121" t="s">
        <x:v>7474</x:v>
      </x:c>
      <x:c r="AF1121" t="s">
        <x:v>50</x:v>
      </x:c>
      <x:c r="AG1121" t="s">
        <x:v>1336</x:v>
      </x:c>
      <x:c r="AH1121" t="s">
        <x:v>7475</x:v>
      </x:c>
      <x:c r="AI1121" t="s">
        <x:v>7476</x:v>
      </x:c>
      <x:c r="AJ1121">
        <x:v>1196</x:v>
      </x:c>
    </x:row>
    <x:row r="1122">
      <x:c r="A1122" t="s">
        <x:v>6974</x:v>
      </x:c>
      <x:c r="B1122" t="s">
        <x:v>6975</x:v>
      </x:c>
      <x:c r="C1122" t="s">
        <x:v>7478</x:v>
      </x:c>
      <x:c r="D1122" t="s">
        <x:v>7479</x:v>
      </x:c>
      <x:c r="E1122" t="s">
        <x:v>7480</x:v>
      </x:c>
      <x:c r="F1122">
        <x:v>800</x:v>
      </x:c>
      <x:c r="G1122">
        <x:v>800</x:v>
      </x:c>
      <x:c r="H1122">
        <x:v>800</x:v>
      </x:c>
      <x:c r="P1122" t="s">
        <x:v>80</x:v>
      </x:c>
      <x:c r="R1122" s="9">
        <x:v>25754</x:v>
      </x:c>
      <x:c r="T1122" t="s">
        <x:v>119</x:v>
      </x:c>
      <x:c r="W1122" s="26" t="n">
        <x:v>3.99162</x:v>
      </x:c>
      <x:c r="X1122" s="26" t="n">
        <x:v>-73.35912</x:v>
      </x:c>
      <x:c r="Y1122">
        <x:v>1508.2149999999999</x:v>
      </x:c>
      <x:c r="Z1122">
        <x:v>261</x:v>
      </x:c>
      <x:c r="AA1122" t="s">
        <x:v>7481</x:v>
      </x:c>
      <x:c r="AB1122" t="s">
        <x:v>7482</x:v>
      </x:c>
      <x:c r="AF1122" t="s">
        <x:v>50</x:v>
      </x:c>
      <x:c r="AG1122" t="s">
        <x:v>1336</x:v>
      </x:c>
      <x:c r="AH1122" t="s">
        <x:v>7483</x:v>
      </x:c>
      <x:c r="AI1122" t="s">
        <x:v>7484</x:v>
      </x:c>
      <x:c r="AJ1122">
        <x:v>1197</x:v>
      </x:c>
    </x:row>
    <x:row r="1123">
      <x:c r="A1123" t="s">
        <x:v>6974</x:v>
      </x:c>
      <x:c r="B1123" t="s">
        <x:v>6975</x:v>
      </x:c>
      <x:c r="C1123" t="s">
        <x:v>7485</x:v>
      </x:c>
      <x:c r="D1123" t="s">
        <x:v>7486</x:v>
      </x:c>
      <x:c r="E1123" t="s">
        <x:v>7487</x:v>
      </x:c>
      <x:c r="F1123">
        <x:v>1500</x:v>
      </x:c>
      <x:c r="G1123">
        <x:v>1500</x:v>
      </x:c>
      <x:c r="H1123">
        <x:v>1500</x:v>
      </x:c>
      <x:c r="P1123" t="s">
        <x:v>80</x:v>
      </x:c>
      <x:c r="R1123" s="9">
        <x:v>31579</x:v>
      </x:c>
      <x:c r="W1123" s="26" t="n">
        <x:v>4.20102</x:v>
      </x:c>
      <x:c r="X1123" s="26" t="n">
        <x:v>-73.74347</x:v>
      </x:c>
      <x:c r="Y1123">
        <x:v>3238.319</x:v>
      </x:c>
      <x:c r="Z1123">
        <x:v>1003</x:v>
      </x:c>
      <x:c r="AA1123" t="s">
        <x:v>7488</x:v>
      </x:c>
      <x:c r="AB1123" t="s">
        <x:v>7489</x:v>
      </x:c>
      <x:c r="AF1123" t="s">
        <x:v>50</x:v>
      </x:c>
      <x:c r="AG1123" t="s">
        <x:v>1336</x:v>
      </x:c>
      <x:c r="AH1123" t="s">
        <x:v>7490</x:v>
      </x:c>
      <x:c r="AJ1123">
        <x:v>1198</x:v>
      </x:c>
    </x:row>
    <x:row r="1124">
      <x:c r="A1124" t="s">
        <x:v>6974</x:v>
      </x:c>
      <x:c r="B1124" t="s">
        <x:v>6975</x:v>
      </x:c>
      <x:c r="C1124" t="s">
        <x:v>7491</x:v>
      </x:c>
      <x:c r="D1124" t="s">
        <x:v>7492</x:v>
      </x:c>
      <x:c r="E1124" t="s">
        <x:v>7493</x:v>
      </x:c>
      <x:c r="F1124">
        <x:v>1500</x:v>
      </x:c>
      <x:c r="G1124">
        <x:v>1500</x:v>
      </x:c>
      <x:c r="H1124">
        <x:v>1500</x:v>
      </x:c>
      <x:c r="P1124" t="s">
        <x:v>80</x:v>
      </x:c>
      <x:c r="R1124" s="9">
        <x:v>31580</x:v>
      </x:c>
      <x:c r="T1124" t="s">
        <x:v>65</x:v>
      </x:c>
      <x:c r="W1124" s="26" t="n">
        <x:v>4.27123</x:v>
      </x:c>
      <x:c r="X1124" s="26" t="n">
        <x:v>-73.51549</x:v>
      </x:c>
      <x:c r="Y1124">
        <x:v>6521.0529999999999</x:v>
      </x:c>
      <x:c r="Z1124">
        <x:v>433</x:v>
      </x:c>
      <x:c r="AA1124" t="s">
        <x:v>7494</x:v>
      </x:c>
      <x:c r="AB1124" t="s">
        <x:v>7495</x:v>
      </x:c>
      <x:c r="AF1124" t="s">
        <x:v>50</x:v>
      </x:c>
      <x:c r="AG1124" t="s">
        <x:v>1336</x:v>
      </x:c>
      <x:c r="AH1124" t="s">
        <x:v>7496</x:v>
      </x:c>
      <x:c r="AI1124" t="s">
        <x:v>7497</x:v>
      </x:c>
      <x:c r="AJ1124">
        <x:v>1199</x:v>
      </x:c>
    </x:row>
    <x:row r="1125">
      <x:c r="A1125" t="s">
        <x:v>6974</x:v>
      </x:c>
      <x:c r="B1125" t="s">
        <x:v>6975</x:v>
      </x:c>
      <x:c r="C1125" t="s">
        <x:v>7498</x:v>
      </x:c>
      <x:c r="D1125" t="s">
        <x:v>7499</x:v>
      </x:c>
      <x:c r="E1125" t="s">
        <x:v>7500</x:v>
      </x:c>
      <x:c r="F1125">
        <x:v>700</x:v>
      </x:c>
      <x:c r="G1125">
        <x:v>700</x:v>
      </x:c>
      <x:c r="H1125">
        <x:v>700</x:v>
      </x:c>
      <x:c r="I1125" t="s">
        <x:v>7501</x:v>
      </x:c>
      <x:c r="J1125" t="s">
        <x:v>7502</x:v>
      </x:c>
      <x:c r="K1125" t="s">
        <x:v>7503</x:v>
      </x:c>
      <x:c r="L1125" t="s">
        <x:v>7504</x:v>
      </x:c>
      <x:c r="M1125" t="s">
        <x:v>7505</x:v>
      </x:c>
      <x:c r="N1125" t="s">
        <x:v>7506</x:v>
      </x:c>
      <x:c r="O1125" t="s">
        <x:v>7507</x:v>
      </x:c>
      <x:c r="P1125" t="s">
        <x:v>7508</x:v>
      </x:c>
      <x:c r="R1125" s="9">
        <x:v>38843</x:v>
      </x:c>
      <x:c r="W1125" s="26" t="n">
        <x:v>1.1176111</x:v>
      </x:c>
      <x:c r="X1125" s="26" t="n">
        <x:v>-76.3199722</x:v>
      </x:c>
      <x:c r="AF1125" t="s">
        <x:v>50</x:v>
      </x:c>
      <x:c r="AG1125" t="s">
        <x:v>1362</x:v>
      </x:c>
      <x:c r="AH1125" t="s">
        <x:v>7509</x:v>
      </x:c>
      <x:c r="AI1125" t="s">
        <x:v>7510</x:v>
      </x:c>
      <x:c r="AJ1125">
        <x:v>1200</x:v>
      </x:c>
    </x:row>
    <x:row r="1126">
      <x:c r="A1126" t="s">
        <x:v>6974</x:v>
      </x:c>
      <x:c r="B1126" t="s">
        <x:v>6975</x:v>
      </x:c>
      <x:c r="C1126" t="s">
        <x:v>7511</x:v>
      </x:c>
      <x:c r="D1126" t="s">
        <x:v>7512</x:v>
      </x:c>
      <x:c r="E1126" t="s">
        <x:v>7513</x:v>
      </x:c>
      <x:c r="F1126">
        <x:v>700</x:v>
      </x:c>
      <x:c r="G1126">
        <x:v>700</x:v>
      </x:c>
      <x:c r="H1126">
        <x:v>700</x:v>
      </x:c>
      <x:c r="I1126" t="s">
        <x:v>6296</x:v>
      </x:c>
      <x:c r="J1126" t="s">
        <x:v>6297</x:v>
      </x:c>
      <x:c r="K1126" t="s">
        <x:v>6298</x:v>
      </x:c>
      <x:c r="L1126" t="s">
        <x:v>6299</x:v>
      </x:c>
      <x:c r="M1126" t="s">
        <x:v>6300</x:v>
      </x:c>
      <x:c r="N1126" t="s">
        <x:v>6301</x:v>
      </x:c>
      <x:c r="O1126" t="s">
        <x:v>6302</x:v>
      </x:c>
      <x:c r="P1126" t="s">
        <x:v>6303</x:v>
      </x:c>
      <x:c r="R1126" s="9">
        <x:v>26713</x:v>
      </x:c>
      <x:c r="W1126" s="26" t="n">
        <x:v>1.08259</x:v>
      </x:c>
      <x:c r="X1126" s="26" t="n">
        <x:v>-76.66412</x:v>
      </x:c>
      <x:c r="Y1126">
        <x:v>2639.5639999999999</x:v>
      </x:c>
      <x:c r="Z1126">
        <x:v>696</x:v>
      </x:c>
      <x:c r="AB1126" t="s">
        <x:v>66</x:v>
      </x:c>
      <x:c r="AF1126" t="s">
        <x:v>50</x:v>
      </x:c>
      <x:c r="AG1126" t="s">
        <x:v>67</x:v>
      </x:c>
      <x:c r="AH1126" t="s">
        <x:v>4117</x:v>
      </x:c>
      <x:c r="AI1126" t="s">
        <x:v>7514</x:v>
      </x:c>
      <x:c r="AJ1126">
        <x:v>1201</x:v>
      </x:c>
    </x:row>
    <x:row r="1127">
      <x:c r="A1127" t="s">
        <x:v>6974</x:v>
      </x:c>
      <x:c r="B1127" t="s">
        <x:v>6975</x:v>
      </x:c>
      <x:c r="C1127" t="s">
        <x:v>7511</x:v>
      </x:c>
      <x:c r="D1127" t="s">
        <x:v>7515</x:v>
      </x:c>
      <x:c r="E1127" t="s">
        <x:v>7513</x:v>
      </x:c>
      <x:c r="F1127">
        <x:v>700</x:v>
      </x:c>
      <x:c r="G1127">
        <x:v>700</x:v>
      </x:c>
      <x:c r="H1127">
        <x:v>700</x:v>
      </x:c>
      <x:c r="I1127" t="s">
        <x:v>6296</x:v>
      </x:c>
      <x:c r="J1127" t="s">
        <x:v>6297</x:v>
      </x:c>
      <x:c r="K1127" t="s">
        <x:v>6298</x:v>
      </x:c>
      <x:c r="L1127" t="s">
        <x:v>6299</x:v>
      </x:c>
      <x:c r="M1127" t="s">
        <x:v>6300</x:v>
      </x:c>
      <x:c r="N1127" t="s">
        <x:v>6301</x:v>
      </x:c>
      <x:c r="O1127" t="s">
        <x:v>6302</x:v>
      </x:c>
      <x:c r="P1127" t="s">
        <x:v>6303</x:v>
      </x:c>
      <x:c r="R1127" s="9">
        <x:v>26713</x:v>
      </x:c>
      <x:c r="W1127" s="26" t="n">
        <x:v>1.08259</x:v>
      </x:c>
      <x:c r="X1127" s="26" t="n">
        <x:v>-76.66412</x:v>
      </x:c>
      <x:c r="Y1127">
        <x:v>2639.5639999999999</x:v>
      </x:c>
      <x:c r="Z1127">
        <x:v>696</x:v>
      </x:c>
      <x:c r="AB1127" t="s">
        <x:v>66</x:v>
      </x:c>
      <x:c r="AF1127" t="s">
        <x:v>50</x:v>
      </x:c>
      <x:c r="AG1127" t="s">
        <x:v>67</x:v>
      </x:c>
      <x:c r="AH1127" t="s">
        <x:v>4117</x:v>
      </x:c>
      <x:c r="AI1127" t="s">
        <x:v>7514</x:v>
      </x:c>
      <x:c r="AJ1127">
        <x:v>1202</x:v>
      </x:c>
    </x:row>
    <x:row r="1128">
      <x:c r="A1128" t="s">
        <x:v>6974</x:v>
      </x:c>
      <x:c r="B1128" t="s">
        <x:v>6975</x:v>
      </x:c>
      <x:c r="C1128" t="s">
        <x:v>7516</x:v>
      </x:c>
      <x:c r="D1128" t="s">
        <x:v>7517</x:v>
      </x:c>
      <x:c r="E1128" t="s">
        <x:v>7518</x:v>
      </x:c>
      <x:c r="F1128">
        <x:v>1090</x:v>
      </x:c>
      <x:c r="G1128">
        <x:v>1090</x:v>
      </x:c>
      <x:c r="H1128">
        <x:v>1090</x:v>
      </x:c>
      <x:c r="I1128" t="s">
        <x:v>7519</x:v>
      </x:c>
      <x:c r="J1128" t="s">
        <x:v>7520</x:v>
      </x:c>
      <x:c r="K1128" t="s">
        <x:v>7521</x:v>
      </x:c>
      <x:c r="L1128" t="s">
        <x:v>7522</x:v>
      </x:c>
      <x:c r="M1128" t="s">
        <x:v>7523</x:v>
      </x:c>
      <x:c r="N1128" t="s">
        <x:v>7524</x:v>
      </x:c>
      <x:c r="O1128" t="s">
        <x:v>7525</x:v>
      </x:c>
      <x:c r="P1128" t="s">
        <x:v>7526</x:v>
      </x:c>
      <x:c r="R1128" s="9">
        <x:v>31351</x:v>
      </x:c>
      <x:c r="T1128" t="s">
        <x:v>119</x:v>
      </x:c>
      <x:c r="W1128" s="26" t="n">
        <x:v>4.4421944</x:v>
      </x:c>
      <x:c r="X1128" s="26" t="n">
        <x:v>-75.7915722</x:v>
      </x:c>
      <x:c r="AF1128" t="s">
        <x:v>50</x:v>
      </x:c>
      <x:c r="AG1128" t="s">
        <x:v>182</x:v>
      </x:c>
      <x:c r="AH1128" t="s">
        <x:v>7527</x:v>
      </x:c>
      <x:c r="AI1128" t="s">
        <x:v>7528</x:v>
      </x:c>
      <x:c r="AJ1128">
        <x:v>1203</x:v>
      </x:c>
    </x:row>
    <x:row r="1129">
      <x:c r="A1129" t="s">
        <x:v>6974</x:v>
      </x:c>
      <x:c r="B1129" t="s">
        <x:v>6975</x:v>
      </x:c>
      <x:c r="C1129" t="s">
        <x:v>7516</x:v>
      </x:c>
      <x:c r="D1129" t="s">
        <x:v>7529</x:v>
      </x:c>
      <x:c r="E1129" t="s">
        <x:v>7518</x:v>
      </x:c>
      <x:c r="F1129">
        <x:v>1090</x:v>
      </x:c>
      <x:c r="G1129">
        <x:v>1090</x:v>
      </x:c>
      <x:c r="H1129">
        <x:v>1090</x:v>
      </x:c>
      <x:c r="I1129" t="s">
        <x:v>7519</x:v>
      </x:c>
      <x:c r="J1129" t="s">
        <x:v>7520</x:v>
      </x:c>
      <x:c r="K1129" t="s">
        <x:v>7521</x:v>
      </x:c>
      <x:c r="L1129" t="s">
        <x:v>7522</x:v>
      </x:c>
      <x:c r="M1129" t="s">
        <x:v>7523</x:v>
      </x:c>
      <x:c r="N1129" t="s">
        <x:v>7524</x:v>
      </x:c>
      <x:c r="O1129" t="s">
        <x:v>7525</x:v>
      </x:c>
      <x:c r="P1129" t="s">
        <x:v>7526</x:v>
      </x:c>
      <x:c r="R1129" s="9">
        <x:v>31351</x:v>
      </x:c>
      <x:c r="T1129" t="s">
        <x:v>119</x:v>
      </x:c>
      <x:c r="W1129" s="26" t="n">
        <x:v>4.4421944</x:v>
      </x:c>
      <x:c r="X1129" s="26" t="n">
        <x:v>-75.7915722</x:v>
      </x:c>
      <x:c r="AF1129" t="s">
        <x:v>50</x:v>
      </x:c>
      <x:c r="AG1129" t="s">
        <x:v>182</x:v>
      </x:c>
      <x:c r="AH1129" t="s">
        <x:v>7527</x:v>
      </x:c>
      <x:c r="AI1129" t="s">
        <x:v>7528</x:v>
      </x:c>
      <x:c r="AJ1129">
        <x:v>1204</x:v>
      </x:c>
    </x:row>
    <x:row r="1130">
      <x:c r="A1130" t="s">
        <x:v>6974</x:v>
      </x:c>
      <x:c r="B1130" t="s">
        <x:v>6975</x:v>
      </x:c>
      <x:c r="C1130" t="s">
        <x:v>7530</x:v>
      </x:c>
      <x:c r="D1130" t="s">
        <x:v>7531</x:v>
      </x:c>
      <x:c r="E1130" t="s">
        <x:v>7532</x:v>
      </x:c>
      <x:c r="F1130">
        <x:v>1500</x:v>
      </x:c>
      <x:c r="G1130">
        <x:v>1500</x:v>
      </x:c>
      <x:c r="H1130">
        <x:v>1500</x:v>
      </x:c>
      <x:c r="I1130" t="s">
        <x:v>797</x:v>
      </x:c>
      <x:c r="J1130" t="s">
        <x:v>798</x:v>
      </x:c>
      <x:c r="K1130" t="s">
        <x:v>4228</x:v>
      </x:c>
      <x:c r="L1130" t="s">
        <x:v>4229</x:v>
      </x:c>
      <x:c r="M1130" t="s">
        <x:v>7533</x:v>
      </x:c>
      <x:c r="N1130" t="s">
        <x:v>801</x:v>
      </x:c>
      <x:c r="O1130" t="s">
        <x:v>2437</x:v>
      </x:c>
      <x:c r="P1130" t="s">
        <x:v>7534</x:v>
      </x:c>
      <x:c r="R1130" s="9">
        <x:v>32777</x:v>
      </x:c>
      <x:c r="W1130" s="26" t="n">
        <x:v>4.64853</x:v>
      </x:c>
      <x:c r="X1130" s="26" t="n">
        <x:v>-75.72979</x:v>
      </x:c>
      <x:c r="Y1130">
        <x:v>1598.444</x:v>
      </x:c>
      <x:c r="Z1130">
        <x:v>1492</x:v>
      </x:c>
      <x:c r="AB1130" t="s">
        <x:v>7535</x:v>
      </x:c>
      <x:c r="AF1130" t="s">
        <x:v>50</x:v>
      </x:c>
      <x:c r="AG1130" t="s">
        <x:v>182</x:v>
      </x:c>
      <x:c r="AH1130" t="s">
        <x:v>320</x:v>
      </x:c>
      <x:c r="AI1130" t="s">
        <x:v>7536</x:v>
      </x:c>
      <x:c r="AJ1130">
        <x:v>1205</x:v>
      </x:c>
    </x:row>
    <x:row r="1131">
      <x:c r="A1131" t="s">
        <x:v>6974</x:v>
      </x:c>
      <x:c r="B1131" t="s">
        <x:v>6975</x:v>
      </x:c>
      <x:c r="C1131" t="s">
        <x:v>7537</x:v>
      </x:c>
      <x:c r="D1131" t="s">
        <x:v>7538</x:v>
      </x:c>
      <x:c r="E1131" t="s">
        <x:v>7539</x:v>
      </x:c>
      <x:c r="F1131">
        <x:v>1550</x:v>
      </x:c>
      <x:c r="G1131">
        <x:v>1550</x:v>
      </x:c>
      <x:c r="H1131">
        <x:v>1550</x:v>
      </x:c>
      <x:c r="I1131" t="s">
        <x:v>7540</x:v>
      </x:c>
      <x:c r="J1131" t="s">
        <x:v>7541</x:v>
      </x:c>
      <x:c r="K1131" t="s">
        <x:v>7542</x:v>
      </x:c>
      <x:c r="L1131" t="s">
        <x:v>7543</x:v>
      </x:c>
      <x:c r="M1131" t="s">
        <x:v>7544</x:v>
      </x:c>
      <x:c r="N1131" t="s">
        <x:v>7545</x:v>
      </x:c>
      <x:c r="O1131" t="s">
        <x:v>7546</x:v>
      </x:c>
      <x:c r="P1131" t="s">
        <x:v>7547</x:v>
      </x:c>
      <x:c r="R1131" s="9">
        <x:v>34753</x:v>
      </x:c>
      <x:c r="W1131" s="26" t="n">
        <x:v>4.59146</x:v>
      </x:c>
      <x:c r="X1131" s="26" t="n">
        <x:v>-75.68297</x:v>
      </x:c>
      <x:c r="Y1131">
        <x:v>1510.62</x:v>
      </x:c>
      <x:c r="Z1131">
        <x:v>1594</x:v>
      </x:c>
      <x:c r="AB1131" t="s">
        <x:v>7548</x:v>
      </x:c>
      <x:c r="AF1131" t="s">
        <x:v>50</x:v>
      </x:c>
      <x:c r="AG1131" t="s">
        <x:v>182</x:v>
      </x:c>
      <x:c r="AH1131" t="s">
        <x:v>7549</x:v>
      </x:c>
      <x:c r="AI1131" t="s">
        <x:v>7550</x:v>
      </x:c>
      <x:c r="AJ1131">
        <x:v>1206</x:v>
      </x:c>
    </x:row>
    <x:row r="1132">
      <x:c r="A1132" t="s">
        <x:v>6974</x:v>
      </x:c>
      <x:c r="B1132" t="s">
        <x:v>6975</x:v>
      </x:c>
      <x:c r="C1132" t="s">
        <x:v>7551</x:v>
      </x:c>
      <x:c r="D1132" t="s">
        <x:v>7552</x:v>
      </x:c>
      <x:c r="E1132" t="s">
        <x:v>7553</x:v>
      </x:c>
      <x:c r="F1132">
        <x:v>1560</x:v>
      </x:c>
      <x:c r="G1132">
        <x:v>1560</x:v>
      </x:c>
      <x:c r="H1132">
        <x:v>1560</x:v>
      </x:c>
      <x:c r="P1132" t="s">
        <x:v>80</x:v>
      </x:c>
      <x:c r="R1132" s="9">
        <x:v>35315</x:v>
      </x:c>
      <x:c r="W1132" s="26" t="n">
        <x:v>4.51003</x:v>
      </x:c>
      <x:c r="X1132" s="26" t="n">
        <x:v>-75.61334</x:v>
      </x:c>
      <x:c r="Y1132">
        <x:v>1215.27</x:v>
      </x:c>
      <x:c r="Z1132">
        <x:v>1766</x:v>
      </x:c>
      <x:c r="AB1132" t="s">
        <x:v>7554</x:v>
      </x:c>
      <x:c r="AF1132" t="s">
        <x:v>50</x:v>
      </x:c>
      <x:c r="AG1132" t="s">
        <x:v>182</x:v>
      </x:c>
      <x:c r="AH1132" t="s">
        <x:v>7555</x:v>
      </x:c>
      <x:c r="AI1132" t="s">
        <x:v>7556</x:v>
      </x:c>
      <x:c r="AJ1132">
        <x:v>1207</x:v>
      </x:c>
    </x:row>
    <x:row r="1133">
      <x:c r="A1133" t="s">
        <x:v>6974</x:v>
      </x:c>
      <x:c r="B1133" t="s">
        <x:v>6975</x:v>
      </x:c>
      <x:c r="C1133" t="s">
        <x:v>7557</x:v>
      </x:c>
      <x:c r="D1133" t="s">
        <x:v>7558</x:v>
      </x:c>
      <x:c r="E1133" t="s">
        <x:v>7559</x:v>
      </x:c>
      <x:c r="F1133">
        <x:v>1880</x:v>
      </x:c>
      <x:c r="G1133">
        <x:v>1880</x:v>
      </x:c>
      <x:c r="H1133">
        <x:v>1880</x:v>
      </x:c>
      <x:c r="I1133" t="s">
        <x:v>7560</x:v>
      </x:c>
      <x:c r="J1133" t="s">
        <x:v>7561</x:v>
      </x:c>
      <x:c r="K1133" t="s">
        <x:v>7562</x:v>
      </x:c>
      <x:c r="L1133" t="s">
        <x:v>7563</x:v>
      </x:c>
      <x:c r="M1133" t="s">
        <x:v>7564</x:v>
      </x:c>
      <x:c r="N1133" t="s">
        <x:v>7565</x:v>
      </x:c>
      <x:c r="O1133" t="s">
        <x:v>7566</x:v>
      </x:c>
      <x:c r="P1133" t="s">
        <x:v>7567</x:v>
      </x:c>
      <x:c r="R1133" s="9">
        <x:v>40011</x:v>
      </x:c>
      <x:c r="T1133" t="s">
        <x:v>119</x:v>
      </x:c>
      <x:c r="W1133" s="26" t="n">
        <x:v>4.68575</x:v>
      </x:c>
      <x:c r="X1133" s="26" t="n">
        <x:v>-75.6327</x:v>
      </x:c>
      <x:c r="Y1133">
        <x:v>593.35699999999997</x:v>
      </x:c>
      <x:c r="Z1133">
        <x:v>1935</x:v>
      </x:c>
      <x:c r="AB1133" t="s">
        <x:v>7568</x:v>
      </x:c>
      <x:c r="AF1133" t="s">
        <x:v>50</x:v>
      </x:c>
      <x:c r="AG1133" t="s">
        <x:v>182</x:v>
      </x:c>
      <x:c r="AH1133" t="s">
        <x:v>320</x:v>
      </x:c>
      <x:c r="AI1133" t="s">
        <x:v>7569</x:v>
      </x:c>
      <x:c r="AJ1133">
        <x:v>1208</x:v>
      </x:c>
    </x:row>
    <x:row r="1134">
      <x:c r="A1134" t="s">
        <x:v>6974</x:v>
      </x:c>
      <x:c r="B1134" t="s">
        <x:v>6975</x:v>
      </x:c>
      <x:c r="C1134" t="s">
        <x:v>7570</x:v>
      </x:c>
      <x:c r="D1134" t="s">
        <x:v>7571</x:v>
      </x:c>
      <x:c r="E1134" t="s">
        <x:v>7572</x:v>
      </x:c>
      <x:c r="F1134">
        <x:v>1700</x:v>
      </x:c>
      <x:c r="G1134">
        <x:v>1700</x:v>
      </x:c>
      <x:c r="H1134">
        <x:v>1700</x:v>
      </x:c>
      <x:c r="I1134" t="s">
        <x:v>797</x:v>
      </x:c>
      <x:c r="J1134" t="s">
        <x:v>798</x:v>
      </x:c>
      <x:c r="K1134" t="s">
        <x:v>4228</x:v>
      </x:c>
      <x:c r="L1134" t="s">
        <x:v>4229</x:v>
      </x:c>
      <x:c r="M1134" t="s">
        <x:v>7533</x:v>
      </x:c>
      <x:c r="N1134" t="s">
        <x:v>801</x:v>
      </x:c>
      <x:c r="O1134" t="s">
        <x:v>2437</x:v>
      </x:c>
      <x:c r="P1134" t="s">
        <x:v>7534</x:v>
      </x:c>
      <x:c r="R1134" s="9">
        <x:v>34943</x:v>
      </x:c>
      <x:c r="W1134" s="26" t="n">
        <x:v>4.6666667</x:v>
      </x:c>
      <x:c r="X1134" s="26" t="n">
        <x:v>-75.6333333</x:v>
      </x:c>
      <x:c r="AF1134" t="s">
        <x:v>50</x:v>
      </x:c>
      <x:c r="AG1134" t="s">
        <x:v>1671</x:v>
      </x:c>
      <x:c r="AH1134" t="s">
        <x:v>320</x:v>
      </x:c>
      <x:c r="AI1134" t="s">
        <x:v>7573</x:v>
      </x:c>
      <x:c r="AJ1134">
        <x:v>1209</x:v>
      </x:c>
    </x:row>
    <x:row r="1135">
      <x:c r="A1135" t="s">
        <x:v>6974</x:v>
      </x:c>
      <x:c r="B1135" t="s">
        <x:v>6975</x:v>
      </x:c>
      <x:c r="C1135" t="s">
        <x:v>7574</x:v>
      </x:c>
      <x:c r="D1135" t="s">
        <x:v>7575</x:v>
      </x:c>
      <x:c r="E1135" t="s">
        <x:v>7572</x:v>
      </x:c>
      <x:c r="F1135">
        <x:v>1700</x:v>
      </x:c>
      <x:c r="G1135">
        <x:v>1700</x:v>
      </x:c>
      <x:c r="H1135">
        <x:v>1700</x:v>
      </x:c>
      <x:c r="I1135" t="s">
        <x:v>797</x:v>
      </x:c>
      <x:c r="J1135" t="s">
        <x:v>798</x:v>
      </x:c>
      <x:c r="K1135" t="s">
        <x:v>4228</x:v>
      </x:c>
      <x:c r="L1135" t="s">
        <x:v>4229</x:v>
      </x:c>
      <x:c r="M1135" t="s">
        <x:v>7533</x:v>
      </x:c>
      <x:c r="N1135" t="s">
        <x:v>801</x:v>
      </x:c>
      <x:c r="O1135" t="s">
        <x:v>2437</x:v>
      </x:c>
      <x:c r="P1135" t="s">
        <x:v>7534</x:v>
      </x:c>
      <x:c r="R1135" s="9">
        <x:v>34943</x:v>
      </x:c>
      <x:c r="W1135" s="26" t="n">
        <x:v>4.6666667</x:v>
      </x:c>
      <x:c r="X1135" s="26" t="n">
        <x:v>-75.6333333</x:v>
      </x:c>
      <x:c r="AF1135" t="s">
        <x:v>50</x:v>
      </x:c>
      <x:c r="AG1135" t="s">
        <x:v>1671</x:v>
      </x:c>
      <x:c r="AH1135" t="s">
        <x:v>320</x:v>
      </x:c>
      <x:c r="AI1135" t="s">
        <x:v>7573</x:v>
      </x:c>
      <x:c r="AJ1135">
        <x:v>1210</x:v>
      </x:c>
    </x:row>
    <x:row r="1136">
      <x:c r="A1136" t="s">
        <x:v>6974</x:v>
      </x:c>
      <x:c r="B1136" t="s">
        <x:v>6975</x:v>
      </x:c>
      <x:c r="C1136" t="s">
        <x:v>7574</x:v>
      </x:c>
      <x:c r="D1136" t="s">
        <x:v>7571</x:v>
      </x:c>
      <x:c r="E1136" t="s">
        <x:v>7572</x:v>
      </x:c>
      <x:c r="F1136">
        <x:v>1700</x:v>
      </x:c>
      <x:c r="G1136">
        <x:v>1700</x:v>
      </x:c>
      <x:c r="H1136">
        <x:v>1700</x:v>
      </x:c>
      <x:c r="I1136" t="s">
        <x:v>797</x:v>
      </x:c>
      <x:c r="J1136" t="s">
        <x:v>798</x:v>
      </x:c>
      <x:c r="K1136" t="s">
        <x:v>4228</x:v>
      </x:c>
      <x:c r="L1136" t="s">
        <x:v>4229</x:v>
      </x:c>
      <x:c r="M1136" t="s">
        <x:v>7533</x:v>
      </x:c>
      <x:c r="N1136" t="s">
        <x:v>801</x:v>
      </x:c>
      <x:c r="O1136" t="s">
        <x:v>2437</x:v>
      </x:c>
      <x:c r="P1136" t="s">
        <x:v>7534</x:v>
      </x:c>
      <x:c r="R1136" s="9">
        <x:v>34943</x:v>
      </x:c>
      <x:c r="W1136" s="26" t="n">
        <x:v>4.6666667</x:v>
      </x:c>
      <x:c r="X1136" s="26" t="n">
        <x:v>-75.6333333</x:v>
      </x:c>
      <x:c r="AF1136" t="s">
        <x:v>50</x:v>
      </x:c>
      <x:c r="AG1136" t="s">
        <x:v>1671</x:v>
      </x:c>
      <x:c r="AH1136" t="s">
        <x:v>320</x:v>
      </x:c>
      <x:c r="AI1136" t="s">
        <x:v>7573</x:v>
      </x:c>
      <x:c r="AJ1136">
        <x:v>1211</x:v>
      </x:c>
    </x:row>
    <x:row r="1137">
      <x:c r="A1137" t="s">
        <x:v>6974</x:v>
      </x:c>
      <x:c r="B1137" t="s">
        <x:v>6975</x:v>
      </x:c>
      <x:c r="C1137" t="s">
        <x:v>7576</x:v>
      </x:c>
      <x:c r="D1137" t="s">
        <x:v>7577</x:v>
      </x:c>
      <x:c r="E1137" t="s">
        <x:v>7578</x:v>
      </x:c>
      <x:c r="F1137">
        <x:v>1200</x:v>
      </x:c>
      <x:c r="G1137">
        <x:v>1200</x:v>
      </x:c>
      <x:c r="H1137">
        <x:v>1200</x:v>
      </x:c>
      <x:c r="I1137" t="s">
        <x:v>7579</x:v>
      </x:c>
      <x:c r="J1137" t="s">
        <x:v>7580</x:v>
      </x:c>
      <x:c r="K1137" t="s">
        <x:v>7581</x:v>
      </x:c>
      <x:c r="L1137" t="s">
        <x:v>7582</x:v>
      </x:c>
      <x:c r="M1137" t="s">
        <x:v>7583</x:v>
      </x:c>
      <x:c r="N1137" t="s">
        <x:v>7584</x:v>
      </x:c>
      <x:c r="O1137" t="s">
        <x:v>7585</x:v>
      </x:c>
      <x:c r="P1137" t="s">
        <x:v>7586</x:v>
      </x:c>
      <x:c r="R1137" s="9">
        <x:v>35538</x:v>
      </x:c>
      <x:c r="W1137" s="26" t="n">
        <x:v>4.5579278</x:v>
      </x:c>
      <x:c r="X1137" s="26" t="n">
        <x:v>-75.7545917</x:v>
      </x:c>
      <x:c r="AF1137" t="s">
        <x:v>50</x:v>
      </x:c>
      <x:c r="AG1137" t="s">
        <x:v>1671</x:v>
      </x:c>
      <x:c r="AH1137" t="s">
        <x:v>7587</x:v>
      </x:c>
      <x:c r="AI1137" t="s">
        <x:v>7588</x:v>
      </x:c>
      <x:c r="AJ1137">
        <x:v>1212</x:v>
      </x:c>
    </x:row>
    <x:row r="1138">
      <x:c r="A1138" t="s">
        <x:v>6974</x:v>
      </x:c>
      <x:c r="B1138" t="s">
        <x:v>6975</x:v>
      </x:c>
      <x:c r="C1138" t="s">
        <x:v>7589</x:v>
      </x:c>
      <x:c r="D1138" t="s">
        <x:v>7590</x:v>
      </x:c>
      <x:c r="E1138" t="s">
        <x:v>7591</x:v>
      </x:c>
      <x:c r="F1138">
        <x:v>1480</x:v>
      </x:c>
      <x:c r="G1138">
        <x:v>1480</x:v>
      </x:c>
      <x:c r="H1138">
        <x:v>1480</x:v>
      </x:c>
      <x:c r="I1138" t="s">
        <x:v>7592</x:v>
      </x:c>
      <x:c r="J1138" t="s">
        <x:v>7593</x:v>
      </x:c>
      <x:c r="K1138" t="s">
        <x:v>7542</x:v>
      </x:c>
      <x:c r="L1138" t="s">
        <x:v>7543</x:v>
      </x:c>
      <x:c r="M1138" t="s">
        <x:v>7594</x:v>
      </x:c>
      <x:c r="N1138" t="s">
        <x:v>7545</x:v>
      </x:c>
      <x:c r="O1138" t="s">
        <x:v>7546</x:v>
      </x:c>
      <x:c r="P1138" t="s">
        <x:v>7547</x:v>
      </x:c>
      <x:c r="R1138" s="9">
        <x:v>36140</x:v>
      </x:c>
      <x:c r="W1138" s="26" t="n">
        <x:v>4.60903</x:v>
      </x:c>
      <x:c r="X1138" s="26" t="n">
        <x:v>-75.69347</x:v>
      </x:c>
      <x:c r="Y1138">
        <x:v>1765.595</x:v>
      </x:c>
      <x:c r="Z1138">
        <x:v>1485</x:v>
      </x:c>
      <x:c r="AB1138" t="s">
        <x:v>7595</x:v>
      </x:c>
      <x:c r="AF1138" t="s">
        <x:v>50</x:v>
      </x:c>
      <x:c r="AG1138" t="s">
        <x:v>1671</x:v>
      </x:c>
      <x:c r="AH1138" t="s">
        <x:v>7596</x:v>
      </x:c>
      <x:c r="AI1138" t="s">
        <x:v>7597</x:v>
      </x:c>
      <x:c r="AJ1138">
        <x:v>1213</x:v>
      </x:c>
    </x:row>
    <x:row r="1139">
      <x:c r="A1139" t="s">
        <x:v>6974</x:v>
      </x:c>
      <x:c r="B1139" t="s">
        <x:v>6975</x:v>
      </x:c>
      <x:c r="C1139" t="s">
        <x:v>7598</x:v>
      </x:c>
      <x:c r="D1139" t="s">
        <x:v>7188</x:v>
      </x:c>
      <x:c r="E1139" t="s">
        <x:v>6649</x:v>
      </x:c>
      <x:c r="F1139">
        <x:v>1783</x:v>
      </x:c>
      <x:c r="G1139">
        <x:v>1783</x:v>
      </x:c>
      <x:c r="H1139">
        <x:v>1783</x:v>
      </x:c>
      <x:c r="I1139" t="s">
        <x:v>3168</x:v>
      </x:c>
      <x:c r="J1139" t="s">
        <x:v>3169</x:v>
      </x:c>
      <x:c r="K1139" t="s">
        <x:v>3170</x:v>
      </x:c>
      <x:c r="L1139" t="s">
        <x:v>3171</x:v>
      </x:c>
      <x:c r="M1139" t="s">
        <x:v>3172</x:v>
      </x:c>
      <x:c r="N1139" t="s">
        <x:v>3173</x:v>
      </x:c>
      <x:c r="O1139" t="s">
        <x:v>3174</x:v>
      </x:c>
      <x:c r="P1139" t="s">
        <x:v>3175</x:v>
      </x:c>
      <x:c r="R1139" s="9">
        <x:v>41019</x:v>
      </x:c>
      <x:c r="T1139" t="s">
        <x:v>119</x:v>
      </x:c>
      <x:c r="W1139" s="26" t="n">
        <x:v>4.72879</x:v>
      </x:c>
      <x:c r="X1139" s="26" t="n">
        <x:v>-75.5779</x:v>
      </x:c>
      <x:c r="Y1139">
        <x:v>611.64800000000002</x:v>
      </x:c>
      <x:c r="Z1139">
        <x:v>1864</x:v>
      </x:c>
      <x:c r="AB1139" t="s">
        <x:v>359</x:v>
      </x:c>
      <x:c r="AF1139" t="s">
        <x:v>50</x:v>
      </x:c>
      <x:c r="AG1139" t="s">
        <x:v>360</x:v>
      </x:c>
      <x:c r="AH1139" t="s">
        <x:v>361</x:v>
      </x:c>
      <x:c r="AI1139" t="s">
        <x:v>6650</x:v>
      </x:c>
      <x:c r="AJ1139">
        <x:v>1214</x:v>
      </x:c>
    </x:row>
    <x:row r="1140">
      <x:c r="A1140" t="s">
        <x:v>6974</x:v>
      </x:c>
      <x:c r="B1140" t="s">
        <x:v>6975</x:v>
      </x:c>
      <x:c r="C1140" t="s">
        <x:v>7599</x:v>
      </x:c>
      <x:c r="D1140" t="s">
        <x:v>7600</x:v>
      </x:c>
      <x:c r="E1140" t="s">
        <x:v>7601</x:v>
      </x:c>
      <x:c r="F1140">
        <x:v>1900</x:v>
      </x:c>
      <x:c r="G1140">
        <x:v>1900</x:v>
      </x:c>
      <x:c r="H1140">
        <x:v>1900</x:v>
      </x:c>
      <x:c r="P1140" t="s">
        <x:v>80</x:v>
      </x:c>
      <x:c r="R1140" s="9">
        <x:v>30609</x:v>
      </x:c>
      <x:c r="T1140" t="s">
        <x:v>111</x:v>
      </x:c>
      <x:c r="W1140" s="26" t="n">
        <x:v>6.30231</x:v>
      </x:c>
      <x:c r="X1140" s="26" t="n">
        <x:v>-73.18924</x:v>
      </x:c>
      <x:c r="Y1140">
        <x:v>2196.1680000000001</x:v>
      </x:c>
      <x:c r="Z1140">
        <x:v>1819</x:v>
      </x:c>
      <x:c r="AB1140" t="s">
        <x:v>7602</x:v>
      </x:c>
      <x:c r="AF1140" t="s">
        <x:v>50</x:v>
      </x:c>
      <x:c r="AG1140" t="s">
        <x:v>224</x:v>
      </x:c>
      <x:c r="AH1140" t="s">
        <x:v>3217</x:v>
      </x:c>
      <x:c r="AI1140" t="s">
        <x:v>7603</x:v>
      </x:c>
      <x:c r="AJ1140">
        <x:v>1215</x:v>
      </x:c>
    </x:row>
    <x:row r="1141">
      <x:c r="A1141" t="s">
        <x:v>6974</x:v>
      </x:c>
      <x:c r="B1141" t="s">
        <x:v>6975</x:v>
      </x:c>
      <x:c r="C1141" t="s">
        <x:v>7604</x:v>
      </x:c>
      <x:c r="D1141" t="s">
        <x:v>7605</x:v>
      </x:c>
      <x:c r="E1141" t="s">
        <x:v>7606</x:v>
      </x:c>
      <x:c r="F1141">
        <x:v>2000</x:v>
      </x:c>
      <x:c r="G1141">
        <x:v>2000</x:v>
      </x:c>
      <x:c r="H1141">
        <x:v>2000</x:v>
      </x:c>
      <x:c r="P1141" t="s">
        <x:v>80</x:v>
      </x:c>
      <x:c r="R1141" s="9">
        <x:v>24203</x:v>
      </x:c>
      <x:c r="W1141" s="26" t="n">
        <x:v>3.94207</x:v>
      </x:c>
      <x:c r="X1141" s="26" t="n">
        <x:v>-74.59131</x:v>
      </x:c>
      <x:c r="Y1141">
        <x:v>1426.5070000000001</x:v>
      </x:c>
      <x:c r="Z1141">
        <x:v>1353</x:v>
      </x:c>
      <x:c r="AB1141" t="s">
        <x:v>7607</x:v>
      </x:c>
      <x:c r="AF1141" t="s">
        <x:v>50</x:v>
      </x:c>
      <x:c r="AG1141" t="s">
        <x:v>133</x:v>
      </x:c>
      <x:c r="AH1141" t="s">
        <x:v>7608</x:v>
      </x:c>
      <x:c r="AJ1141">
        <x:v>1216</x:v>
      </x:c>
    </x:row>
    <x:row r="1142">
      <x:c r="A1142" t="s">
        <x:v>6974</x:v>
      </x:c>
      <x:c r="B1142" t="s">
        <x:v>6975</x:v>
      </x:c>
      <x:c r="C1142" t="s">
        <x:v>7609</x:v>
      </x:c>
      <x:c r="D1142" t="s">
        <x:v>7610</x:v>
      </x:c>
      <x:c r="E1142" t="s">
        <x:v>7611</x:v>
      </x:c>
      <x:c r="F1142">
        <x:v>1150</x:v>
      </x:c>
      <x:c r="G1142">
        <x:v>1150</x:v>
      </x:c>
      <x:c r="H1142">
        <x:v>1150</x:v>
      </x:c>
      <x:c r="I1142" t="s">
        <x:v>5497</x:v>
      </x:c>
      <x:c r="J1142" t="s">
        <x:v>5498</x:v>
      </x:c>
      <x:c r="K1142" t="s">
        <x:v>4317</x:v>
      </x:c>
      <x:c r="L1142" t="s">
        <x:v>2307</x:v>
      </x:c>
      <x:c r="M1142" t="s">
        <x:v>5499</x:v>
      </x:c>
      <x:c r="N1142" t="s">
        <x:v>5500</x:v>
      </x:c>
      <x:c r="O1142" t="s">
        <x:v>2310</x:v>
      </x:c>
      <x:c r="P1142" t="s">
        <x:v>5501</x:v>
      </x:c>
      <x:c r="R1142" s="9">
        <x:v>39013</x:v>
      </x:c>
      <x:c r="W1142" s="26" t="n">
        <x:v>4.4333333</x:v>
      </x:c>
      <x:c r="X1142" s="26" t="n">
        <x:v>-75.2333333</x:v>
      </x:c>
      <x:c r="AF1142" t="s">
        <x:v>50</x:v>
      </x:c>
      <x:c r="AG1142" t="s">
        <x:v>133</x:v>
      </x:c>
      <x:c r="AH1142" t="s">
        <x:v>874</x:v>
      </x:c>
      <x:c r="AI1142" t="s">
        <x:v>7612</x:v>
      </x:c>
      <x:c r="AJ1142">
        <x:v>1217</x:v>
      </x:c>
    </x:row>
    <x:row r="1143">
      <x:c r="A1143" t="s">
        <x:v>6974</x:v>
      </x:c>
      <x:c r="B1143" t="s">
        <x:v>6975</x:v>
      </x:c>
      <x:c r="C1143" t="s">
        <x:v>7613</x:v>
      </x:c>
      <x:c r="D1143" t="s">
        <x:v>7614</x:v>
      </x:c>
      <x:c r="E1143" t="s">
        <x:v>7615</x:v>
      </x:c>
      <x:c r="P1143" t="s">
        <x:v>80</x:v>
      </x:c>
      <x:c r="R1143" s="9">
        <x:v>22375</x:v>
      </x:c>
      <x:c r="T1143" t="s">
        <x:v>119</x:v>
      </x:c>
      <x:c r="W1143" s="26" t="n">
        <x:v>4.00206</x:v>
      </x:c>
      <x:c r="X1143" s="26" t="n">
        <x:v>-76.97832</x:v>
      </x:c>
      <x:c r="Y1143">
        <x:v>7060.0810000000001</x:v>
      </x:c>
      <x:c r="Z1143">
        <x:v>20</x:v>
      </x:c>
      <x:c r="AB1143" t="s">
        <x:v>4129</x:v>
      </x:c>
      <x:c r="AF1143" t="s">
        <x:v>50</x:v>
      </x:c>
      <x:c r="AG1143" t="s">
        <x:v>3251</x:v>
      </x:c>
      <x:c r="AH1143" t="s">
        <x:v>7616</x:v>
      </x:c>
      <x:c r="AJ1143">
        <x:v>1218</x:v>
      </x:c>
    </x:row>
    <x:row r="1144">
      <x:c r="A1144" t="s">
        <x:v>6974</x:v>
      </x:c>
      <x:c r="B1144" t="s">
        <x:v>6975</x:v>
      </x:c>
      <x:c r="C1144" t="s">
        <x:v>7617</x:v>
      </x:c>
      <x:c r="D1144" t="s">
        <x:v>7618</x:v>
      </x:c>
      <x:c r="E1144" t="s">
        <x:v>7619</x:v>
      </x:c>
      <x:c r="F1144">
        <x:v>1050</x:v>
      </x:c>
      <x:c r="G1144">
        <x:v>1050</x:v>
      </x:c>
      <x:c r="H1144">
        <x:v>1050</x:v>
      </x:c>
      <x:c r="P1144" t="s">
        <x:v>80</x:v>
      </x:c>
      <x:c r="R1144" s="9">
        <x:v>24193</x:v>
      </x:c>
      <x:c r="W1144" s="26" t="n">
        <x:v>3.61633</x:v>
      </x:c>
      <x:c r="X1144" s="26" t="n">
        <x:v>-76.89806</x:v>
      </x:c>
      <x:c r="Y1144">
        <x:v>690.23800000000006</x:v>
      </x:c>
      <x:c r="Z1144">
        <x:v>330</x:v>
      </x:c>
      <x:c r="AB1144" t="s">
        <x:v>5632</x:v>
      </x:c>
      <x:c r="AF1144" t="s">
        <x:v>50</x:v>
      </x:c>
      <x:c r="AG1144" t="s">
        <x:v>3251</x:v>
      </x:c>
      <x:c r="AH1144" t="s">
        <x:v>7620</x:v>
      </x:c>
      <x:c r="AJ1144">
        <x:v>1219</x:v>
      </x:c>
    </x:row>
    <x:row r="1145">
      <x:c r="A1145" t="s">
        <x:v>6974</x:v>
      </x:c>
      <x:c r="B1145" t="s">
        <x:v>6975</x:v>
      </x:c>
      <x:c r="C1145" t="s">
        <x:v>7621</x:v>
      </x:c>
      <x:c r="D1145" t="s">
        <x:v>7622</x:v>
      </x:c>
      <x:c r="E1145" t="s">
        <x:v>7623</x:v>
      </x:c>
      <x:c r="F1145">
        <x:v>0</x:v>
      </x:c>
      <x:c r="G1145">
        <x:v>0</x:v>
      </x:c>
      <x:c r="H1145">
        <x:v>0</x:v>
      </x:c>
      <x:c r="P1145" t="s">
        <x:v>80</x:v>
      </x:c>
      <x:c r="R1145" s="9">
        <x:v>24733</x:v>
      </x:c>
      <x:c r="T1145" t="s">
        <x:v>119</x:v>
      </x:c>
      <x:c r="W1145" s="26" t="n">
        <x:v>3.9286</x:v>
      </x:c>
      <x:c r="X1145" s="26" t="n">
        <x:v>-77.35646</x:v>
      </x:c>
      <x:c r="Y1145">
        <x:v>96.674999999999997</x:v>
      </x:c>
      <x:c r="Z1145">
        <x:v>0</x:v>
      </x:c>
      <x:c r="AB1145" t="s">
        <x:v>7624</x:v>
      </x:c>
      <x:c r="AF1145" t="s">
        <x:v>50</x:v>
      </x:c>
      <x:c r="AG1145" t="s">
        <x:v>3251</x:v>
      </x:c>
      <x:c r="AH1145" t="s">
        <x:v>6683</x:v>
      </x:c>
      <x:c r="AI1145" t="s">
        <x:v>7625</x:v>
      </x:c>
      <x:c r="AJ1145">
        <x:v>1220</x:v>
      </x:c>
    </x:row>
    <x:row r="1146">
      <x:c r="A1146" t="s">
        <x:v>6974</x:v>
      </x:c>
      <x:c r="B1146" t="s">
        <x:v>6975</x:v>
      </x:c>
      <x:c r="C1146" t="s">
        <x:v>7626</x:v>
      </x:c>
      <x:c r="D1146" t="s">
        <x:v>7627</x:v>
      </x:c>
      <x:c r="E1146" t="s">
        <x:v>7619</x:v>
      </x:c>
      <x:c r="F1146">
        <x:v>400</x:v>
      </x:c>
      <x:c r="G1146">
        <x:v>400</x:v>
      </x:c>
      <x:c r="H1146">
        <x:v>400</x:v>
      </x:c>
      <x:c r="P1146" t="s">
        <x:v>80</x:v>
      </x:c>
      <x:c r="R1146" s="9">
        <x:v>26608</x:v>
      </x:c>
      <x:c r="W1146" s="26" t="n">
        <x:v>3.61633</x:v>
      </x:c>
      <x:c r="X1146" s="26" t="n">
        <x:v>-76.89806</x:v>
      </x:c>
      <x:c r="Y1146">
        <x:v>690.23800000000006</x:v>
      </x:c>
      <x:c r="Z1146">
        <x:v>330</x:v>
      </x:c>
      <x:c r="AB1146" t="s">
        <x:v>5632</x:v>
      </x:c>
      <x:c r="AF1146" t="s">
        <x:v>50</x:v>
      </x:c>
      <x:c r="AG1146" t="s">
        <x:v>3251</x:v>
      </x:c>
      <x:c r="AH1146" t="s">
        <x:v>7620</x:v>
      </x:c>
      <x:c r="AJ1146">
        <x:v>1221</x:v>
      </x:c>
    </x:row>
    <x:row r="1147">
      <x:c r="A1147" t="s">
        <x:v>6974</x:v>
      </x:c>
      <x:c r="B1147" t="s">
        <x:v>6975</x:v>
      </x:c>
      <x:c r="C1147" t="s">
        <x:v>7628</x:v>
      </x:c>
      <x:c r="D1147" t="s">
        <x:v>7629</x:v>
      </x:c>
      <x:c r="E1147" t="s">
        <x:v>7630</x:v>
      </x:c>
      <x:c r="F1147" t="s">
        <x:v>7631</x:v>
      </x:c>
      <x:c r="G1147" t="s">
        <x:v>7631</x:v>
      </x:c>
      <x:c r="H1147" t="s">
        <x:v>7631</x:v>
      </x:c>
      <x:c r="I1147" t="s">
        <x:v>7631</x:v>
      </x:c>
      <x:c r="K1147" t="s">
        <x:v>7631</x:v>
      </x:c>
      <x:c r="P1147" t="s">
        <x:v>80</x:v>
      </x:c>
      <x:c r="R1147" s="9">
        <x:v>27864</x:v>
      </x:c>
      <x:c r="W1147" s="26" t="n">
        <x:v>4.67096</x:v>
      </x:c>
      <x:c r="X1147" s="26" t="n">
        <x:v>-75.76828</x:v>
      </x:c>
      <x:c r="Y1147">
        <x:v>4353.2460000000001</x:v>
      </x:c>
      <x:c r="Z1147">
        <x:v>1260</x:v>
      </x:c>
      <x:c r="AB1147" t="s">
        <x:v>7632</x:v>
      </x:c>
      <x:c r="AF1147" t="s">
        <x:v>50</x:v>
      </x:c>
      <x:c r="AG1147" t="s">
        <x:v>3251</x:v>
      </x:c>
      <x:c r="AH1147" t="s">
        <x:v>7633</x:v>
      </x:c>
      <x:c r="AI1147" t="s">
        <x:v>7634</x:v>
      </x:c>
      <x:c r="AJ1147">
        <x:v>1222</x:v>
      </x:c>
    </x:row>
    <x:row r="1148">
      <x:c r="A1148" t="s">
        <x:v>6974</x:v>
      </x:c>
      <x:c r="B1148" t="s">
        <x:v>6975</x:v>
      </x:c>
      <x:c r="C1148" t="s">
        <x:v>7635</x:v>
      </x:c>
      <x:c r="D1148" t="s">
        <x:v>7636</x:v>
      </x:c>
      <x:c r="E1148" t="s">
        <x:v>7637</x:v>
      </x:c>
      <x:c r="F1148">
        <x:v>1110</x:v>
      </x:c>
      <x:c r="G1148">
        <x:v>1110</x:v>
      </x:c>
      <x:c r="H1148">
        <x:v>1110</x:v>
      </x:c>
      <x:c r="P1148" t="s">
        <x:v>80</x:v>
      </x:c>
      <x:c r="R1148" s="9">
        <x:v>29975</x:v>
      </x:c>
      <x:c r="T1148" t="s">
        <x:v>119</x:v>
      </x:c>
      <x:c r="W1148" s="26" t="n">
        <x:v>3.91164</x:v>
      </x:c>
      <x:c r="X1148" s="26" t="n">
        <x:v>-76.62072</x:v>
      </x:c>
      <x:c r="Y1148">
        <x:v>861.58199999999999</x:v>
      </x:c>
      <x:c r="Z1148">
        <x:v>1120</x:v>
      </x:c>
      <x:c r="AB1148" t="s">
        <x:v>7638</x:v>
      </x:c>
      <x:c r="AF1148" t="s">
        <x:v>50</x:v>
      </x:c>
      <x:c r="AG1148" t="s">
        <x:v>3251</x:v>
      </x:c>
      <x:c r="AH1148" t="s">
        <x:v>7639</x:v>
      </x:c>
      <x:c r="AI1148" t="s">
        <x:v>7640</x:v>
      </x:c>
      <x:c r="AJ1148">
        <x:v>1223</x:v>
      </x:c>
    </x:row>
    <x:row r="1149">
      <x:c r="A1149" t="s">
        <x:v>6974</x:v>
      </x:c>
      <x:c r="B1149" t="s">
        <x:v>6975</x:v>
      </x:c>
      <x:c r="C1149" t="s">
        <x:v>7641</x:v>
      </x:c>
      <x:c r="D1149" t="s">
        <x:v>7642</x:v>
      </x:c>
      <x:c r="E1149" t="s">
        <x:v>7643</x:v>
      </x:c>
      <x:c r="F1149">
        <x:v>976</x:v>
      </x:c>
      <x:c r="G1149">
        <x:v>976</x:v>
      </x:c>
      <x:c r="H1149">
        <x:v>976</x:v>
      </x:c>
      <x:c r="P1149" t="s">
        <x:v>80</x:v>
      </x:c>
      <x:c r="R1149" s="9">
        <x:v>32178</x:v>
      </x:c>
      <x:c r="T1149" t="s">
        <x:v>119</x:v>
      </x:c>
      <x:c r="W1149" s="26" t="n">
        <x:v>3.37498</x:v>
      </x:c>
      <x:c r="X1149" s="26" t="n">
        <x:v>-76.53448</x:v>
      </x:c>
      <x:c r="Y1149">
        <x:v>273.11900000000003</x:v>
      </x:c>
      <x:c r="Z1149">
        <x:v>987</x:v>
      </x:c>
      <x:c r="AB1149" t="s">
        <x:v>7644</x:v>
      </x:c>
      <x:c r="AF1149" t="s">
        <x:v>50</x:v>
      </x:c>
      <x:c r="AG1149" t="s">
        <x:v>3251</x:v>
      </x:c>
      <x:c r="AH1149" t="s">
        <x:v>3296</x:v>
      </x:c>
      <x:c r="AI1149" t="s">
        <x:v>7645</x:v>
      </x:c>
      <x:c r="AJ1149">
        <x:v>1224</x:v>
      </x:c>
    </x:row>
    <x:row r="1150">
      <x:c r="A1150" t="s">
        <x:v>6974</x:v>
      </x:c>
      <x:c r="B1150" t="s">
        <x:v>6975</x:v>
      </x:c>
      <x:c r="C1150" t="s">
        <x:v>7646</x:v>
      </x:c>
      <x:c r="D1150" t="s">
        <x:v>7647</x:v>
      </x:c>
      <x:c r="E1150" t="s">
        <x:v>7648</x:v>
      </x:c>
      <x:c r="F1150">
        <x:v>0</x:v>
      </x:c>
      <x:c r="G1150">
        <x:v>0</x:v>
      </x:c>
      <x:c r="H1150">
        <x:v>0</x:v>
      </x:c>
      <x:c r="P1150" t="s">
        <x:v>80</x:v>
      </x:c>
      <x:c r="R1150" s="9">
        <x:v>38365</x:v>
      </x:c>
      <x:c r="T1150" t="s">
        <x:v>111</x:v>
      </x:c>
      <x:c r="W1150" s="26" t="n">
        <x:v>3.93678</x:v>
      </x:c>
      <x:c r="X1150" s="26" t="n">
        <x:v>-77.36533</x:v>
      </x:c>
      <x:c r="Y1150">
        <x:v>1357.8019999999999</x:v>
      </x:c>
      <x:c r="Z1150">
        <x:v>0</x:v>
      </x:c>
      <x:c r="AB1150" t="s">
        <x:v>7649</x:v>
      </x:c>
      <x:c r="AF1150" t="s">
        <x:v>50</x:v>
      </x:c>
      <x:c r="AG1150" t="s">
        <x:v>3251</x:v>
      </x:c>
      <x:c r="AH1150" t="s">
        <x:v>7650</x:v>
      </x:c>
      <x:c r="AI1150" t="s">
        <x:v>7651</x:v>
      </x:c>
      <x:c r="AJ1150">
        <x:v>1225</x:v>
      </x:c>
    </x:row>
    <x:row r="1151">
      <x:c r="A1151" t="s">
        <x:v>6974</x:v>
      </x:c>
      <x:c r="B1151" t="s">
        <x:v>6975</x:v>
      </x:c>
      <x:c r="C1151" t="s">
        <x:v>7646</x:v>
      </x:c>
      <x:c r="D1151" t="s">
        <x:v>7652</x:v>
      </x:c>
      <x:c r="E1151" t="s">
        <x:v>7648</x:v>
      </x:c>
      <x:c r="F1151">
        <x:v>0</x:v>
      </x:c>
      <x:c r="G1151">
        <x:v>0</x:v>
      </x:c>
      <x:c r="H1151">
        <x:v>0</x:v>
      </x:c>
      <x:c r="P1151" t="s">
        <x:v>80</x:v>
      </x:c>
      <x:c r="R1151" s="9">
        <x:v>38365</x:v>
      </x:c>
      <x:c r="T1151" t="s">
        <x:v>111</x:v>
      </x:c>
      <x:c r="W1151" s="26" t="n">
        <x:v>3.93678</x:v>
      </x:c>
      <x:c r="X1151" s="26" t="n">
        <x:v>-77.36533</x:v>
      </x:c>
      <x:c r="Y1151">
        <x:v>1357.8019999999999</x:v>
      </x:c>
      <x:c r="Z1151">
        <x:v>0</x:v>
      </x:c>
      <x:c r="AB1151" t="s">
        <x:v>7649</x:v>
      </x:c>
      <x:c r="AF1151" t="s">
        <x:v>50</x:v>
      </x:c>
      <x:c r="AG1151" t="s">
        <x:v>3251</x:v>
      </x:c>
      <x:c r="AH1151" t="s">
        <x:v>7650</x:v>
      </x:c>
      <x:c r="AI1151" t="s">
        <x:v>7651</x:v>
      </x:c>
      <x:c r="AJ1151">
        <x:v>1226</x:v>
      </x:c>
    </x:row>
    <x:row r="1152">
      <x:c r="A1152" t="s">
        <x:v>6974</x:v>
      </x:c>
      <x:c r="B1152" t="s">
        <x:v>6975</x:v>
      </x:c>
      <x:c r="C1152" t="s">
        <x:v>7653</x:v>
      </x:c>
      <x:c r="D1152" t="s">
        <x:v>7654</x:v>
      </x:c>
      <x:c r="E1152" t="s">
        <x:v>7655</x:v>
      </x:c>
      <x:c r="F1152">
        <x:v>1200</x:v>
      </x:c>
      <x:c r="G1152">
        <x:v>1200</x:v>
      </x:c>
      <x:c r="H1152">
        <x:v>1200</x:v>
      </x:c>
      <x:c r="P1152" t="s">
        <x:v>80</x:v>
      </x:c>
      <x:c r="R1152" s="9">
        <x:v>32014</x:v>
      </x:c>
      <x:c r="T1152" t="s">
        <x:v>119</x:v>
      </x:c>
      <x:c r="W1152" s="26" t="n">
        <x:v>3.75279</x:v>
      </x:c>
      <x:c r="X1152" s="26" t="n">
        <x:v>-76.58179</x:v>
      </x:c>
      <x:c r="Y1152">
        <x:v>3086.2379999999998</x:v>
      </x:c>
      <x:c r="Z1152">
        <x:v>1283</x:v>
      </x:c>
      <x:c r="AB1152" t="s">
        <x:v>7656</x:v>
      </x:c>
      <x:c r="AF1152" t="s">
        <x:v>50</x:v>
      </x:c>
      <x:c r="AG1152" t="s">
        <x:v>3251</x:v>
      </x:c>
      <x:c r="AH1152" t="s">
        <x:v>7657</x:v>
      </x:c>
      <x:c r="AI1152" t="s">
        <x:v>7658</x:v>
      </x:c>
      <x:c r="AJ1152">
        <x:v>1227</x:v>
      </x:c>
    </x:row>
    <x:row r="1153">
      <x:c r="A1153" t="s">
        <x:v>6974</x:v>
      </x:c>
      <x:c r="B1153" t="s">
        <x:v>6975</x:v>
      </x:c>
      <x:c r="C1153" t="s">
        <x:v>7659</x:v>
      </x:c>
      <x:c r="D1153" t="s">
        <x:v>7660</x:v>
      </x:c>
      <x:c r="E1153" t="s">
        <x:v>7661</x:v>
      </x:c>
      <x:c r="F1153">
        <x:v>1050</x:v>
      </x:c>
      <x:c r="G1153">
        <x:v>1050</x:v>
      </x:c>
      <x:c r="H1153">
        <x:v>1050</x:v>
      </x:c>
      <x:c r="P1153" t="s">
        <x:v>80</x:v>
      </x:c>
      <x:c r="R1153" s="9">
        <x:v>24193</x:v>
      </x:c>
      <x:c r="T1153" t="s">
        <x:v>399</x:v>
      </x:c>
      <x:c r="W1153" s="26" t="n">
        <x:v>3.36338</x:v>
      </x:c>
      <x:c r="X1153" s="26" t="n">
        <x:v>-76.52325</x:v>
      </x:c>
      <x:c r="Y1153">
        <x:v>735.50199999999995</x:v>
      </x:c>
      <x:c r="Z1153">
        <x:v>974</x:v>
      </x:c>
      <x:c r="AB1153" t="s">
        <x:v>7662</x:v>
      </x:c>
      <x:c r="AF1153" t="s">
        <x:v>50</x:v>
      </x:c>
      <x:c r="AG1153" t="s">
        <x:v>83</x:v>
      </x:c>
      <x:c r="AH1153" t="s">
        <x:v>7663</x:v>
      </x:c>
      <x:c r="AJ1153">
        <x:v>1228</x:v>
      </x:c>
    </x:row>
    <x:row r="1154">
      <x:c r="A1154" t="s">
        <x:v>6974</x:v>
      </x:c>
      <x:c r="B1154" t="s">
        <x:v>6975</x:v>
      </x:c>
      <x:c r="C1154" t="s">
        <x:v>7664</x:v>
      </x:c>
      <x:c r="D1154" t="s">
        <x:v>2736</x:v>
      </x:c>
      <x:c r="E1154" t="s">
        <x:v>7665</x:v>
      </x:c>
      <x:c r="F1154">
        <x:v>3</x:v>
      </x:c>
      <x:c r="G1154">
        <x:v>3</x:v>
      </x:c>
      <x:c r="H1154">
        <x:v>3</x:v>
      </x:c>
      <x:c r="P1154" t="s">
        <x:v>80</x:v>
      </x:c>
      <x:c r="R1154" s="9">
        <x:v>40373</x:v>
      </x:c>
      <x:c r="T1154" t="s">
        <x:v>119</x:v>
      </x:c>
      <x:c r="W1154" s="26" t="n">
        <x:v>3.83698</x:v>
      </x:c>
      <x:c r="X1154" s="26" t="n">
        <x:v>-77.19119</x:v>
      </x:c>
      <x:c r="Y1154">
        <x:v>785.76599999999996</x:v>
      </x:c>
      <x:c r="Z1154">
        <x:v>0</x:v>
      </x:c>
      <x:c r="AB1154" t="s">
        <x:v>7666</x:v>
      </x:c>
      <x:c r="AF1154" t="s">
        <x:v>50</x:v>
      </x:c>
      <x:c r="AG1154" t="s">
        <x:v>83</x:v>
      </x:c>
      <x:c r="AH1154" t="s">
        <x:v>6683</x:v>
      </x:c>
      <x:c r="AI1154" t="s">
        <x:v>7667</x:v>
      </x:c>
      <x:c r="AJ1154">
        <x:v>1229</x:v>
      </x:c>
    </x:row>
    <x:row r="1155">
      <x:c r="A1155" t="s">
        <x:v>6974</x:v>
      </x:c>
      <x:c r="B1155" t="s">
        <x:v>6975</x:v>
      </x:c>
      <x:c r="C1155" t="s">
        <x:v>7668</x:v>
      </x:c>
      <x:c r="D1155" t="s">
        <x:v>7669</x:v>
      </x:c>
      <x:c r="E1155" t="s">
        <x:v>7670</x:v>
      </x:c>
      <x:c r="I1155" t="s">
        <x:v>7671</x:v>
      </x:c>
      <x:c r="J1155" t="s">
        <x:v>7672</x:v>
      </x:c>
      <x:c r="K1155" t="s">
        <x:v>7673</x:v>
      </x:c>
      <x:c r="L1155" t="s">
        <x:v>7674</x:v>
      </x:c>
      <x:c r="M1155" t="s">
        <x:v>7675</x:v>
      </x:c>
      <x:c r="N1155" t="s">
        <x:v>7676</x:v>
      </x:c>
      <x:c r="O1155" t="s">
        <x:v>7677</x:v>
      </x:c>
      <x:c r="P1155" t="s">
        <x:v>7678</x:v>
      </x:c>
      <x:c r="R1155" s="9">
        <x:v>19243</x:v>
      </x:c>
      <x:c r="T1155" t="s">
        <x:v>119</x:v>
      </x:c>
      <x:c r="W1155" s="26" t="n">
        <x:v>0.25</x:v>
      </x:c>
      <x:c r="X1155" s="26" t="n">
        <x:v>-70.5</x:v>
      </x:c>
      <x:c r="AF1155" t="s">
        <x:v>50</x:v>
      </x:c>
      <x:c r="AG1155" t="s">
        <x:v>7679</x:v>
      </x:c>
      <x:c r="AH1155" t="s">
        <x:v>7680</x:v>
      </x:c>
      <x:c r="AI1155" t="s">
        <x:v>7681</x:v>
      </x:c>
      <x:c r="AJ1155">
        <x:v>1230</x:v>
      </x:c>
    </x:row>
    <x:row r="1156">
      <x:c r="A1156" t="s">
        <x:v>6974</x:v>
      </x:c>
      <x:c r="B1156" t="s">
        <x:v>6975</x:v>
      </x:c>
      <x:c r="C1156" t="s">
        <x:v>7668</x:v>
      </x:c>
      <x:c r="D1156" t="s">
        <x:v>7682</x:v>
      </x:c>
      <x:c r="E1156" t="s">
        <x:v>7670</x:v>
      </x:c>
      <x:c r="I1156" t="s">
        <x:v>7671</x:v>
      </x:c>
      <x:c r="J1156" t="s">
        <x:v>7672</x:v>
      </x:c>
      <x:c r="K1156" t="s">
        <x:v>7673</x:v>
      </x:c>
      <x:c r="L1156" t="s">
        <x:v>7674</x:v>
      </x:c>
      <x:c r="M1156" t="s">
        <x:v>7675</x:v>
      </x:c>
      <x:c r="N1156" t="s">
        <x:v>7676</x:v>
      </x:c>
      <x:c r="O1156" t="s">
        <x:v>7677</x:v>
      </x:c>
      <x:c r="P1156" t="s">
        <x:v>7678</x:v>
      </x:c>
      <x:c r="R1156" s="9">
        <x:v>19243</x:v>
      </x:c>
      <x:c r="T1156" t="s">
        <x:v>119</x:v>
      </x:c>
      <x:c r="W1156" s="26" t="n">
        <x:v>0.25</x:v>
      </x:c>
      <x:c r="X1156" s="26" t="n">
        <x:v>-70.5</x:v>
      </x:c>
      <x:c r="AF1156" t="s">
        <x:v>50</x:v>
      </x:c>
      <x:c r="AG1156" t="s">
        <x:v>7679</x:v>
      </x:c>
      <x:c r="AH1156" t="s">
        <x:v>7680</x:v>
      </x:c>
      <x:c r="AI1156" t="s">
        <x:v>7681</x:v>
      </x:c>
      <x:c r="AJ1156">
        <x:v>1231</x:v>
      </x:c>
    </x:row>
    <x:row r="1157">
      <x:c r="A1157" t="s">
        <x:v>6974</x:v>
      </x:c>
      <x:c r="B1157" t="s">
        <x:v>6975</x:v>
      </x:c>
      <x:c r="C1157" t="s">
        <x:v>7683</x:v>
      </x:c>
      <x:c r="D1157" t="s">
        <x:v>7684</x:v>
      </x:c>
      <x:c r="E1157" t="s">
        <x:v>7685</x:v>
      </x:c>
      <x:c r="P1157" t="s">
        <x:v>80</x:v>
      </x:c>
      <x:c r="R1157" s="9">
        <x:v>26006</x:v>
      </x:c>
      <x:c r="W1157" s="26" t="n">
        <x:v>4.89466</x:v>
      </x:c>
      <x:c r="X1157" s="26" t="n">
        <x:v>-71.01073</x:v>
      </x:c>
      <x:c r="Y1157">
        <x:v>5403.9250000000002</x:v>
      </x:c>
      <x:c r="Z1157">
        <x:v>137</x:v>
      </x:c>
      <x:c r="AB1157" t="s">
        <x:v>7686</x:v>
      </x:c>
      <x:c r="AF1157" t="s">
        <x:v>50</x:v>
      </x:c>
      <x:c r="AG1157" t="s">
        <x:v>7687</x:v>
      </x:c>
      <x:c r="AH1157" t="s">
        <x:v>7688</x:v>
      </x:c>
      <x:c r="AI1157" t="s">
        <x:v>7689</x:v>
      </x:c>
      <x:c r="AJ1157">
        <x:v>1233</x:v>
      </x:c>
    </x:row>
    <x:row r="1158">
      <x:c r="A1158" t="s">
        <x:v>7690</x:v>
      </x:c>
      <x:c r="B1158" t="s">
        <x:v>7691</x:v>
      </x:c>
      <x:c r="C1158" t="s">
        <x:v>7692</x:v>
      </x:c>
      <x:c r="D1158" t="s">
        <x:v>7693</x:v>
      </x:c>
      <x:c r="E1158" t="s">
        <x:v>7694</x:v>
      </x:c>
      <x:c r="F1158" t="s">
        <x:v>7695</x:v>
      </x:c>
      <x:c r="G1158" t="s">
        <x:v>7695</x:v>
      </x:c>
      <x:c r="H1158" t="s">
        <x:v>7695</x:v>
      </x:c>
      <x:c r="I1158" t="s">
        <x:v>7696</x:v>
      </x:c>
      <x:c r="J1158" t="s">
        <x:v>7697</x:v>
      </x:c>
      <x:c r="K1158" t="s">
        <x:v>7698</x:v>
      </x:c>
      <x:c r="L1158" t="s">
        <x:v>7699</x:v>
      </x:c>
      <x:c r="M1158" t="s">
        <x:v>7700</x:v>
      </x:c>
      <x:c r="N1158" t="s">
        <x:v>7701</x:v>
      </x:c>
      <x:c r="O1158" t="s">
        <x:v>7702</x:v>
      </x:c>
      <x:c r="P1158" t="s">
        <x:v>7703</x:v>
      </x:c>
      <x:c r="R1158" s="9">
        <x:v>31934</x:v>
      </x:c>
      <x:c r="T1158" t="s">
        <x:v>119</x:v>
      </x:c>
      <x:c r="W1158" s="26" t="n">
        <x:v>7.8333333</x:v>
      </x:c>
      <x:c r="X1158" s="26" t="n">
        <x:v>-75.4166667</x:v>
      </x:c>
      <x:c r="AF1158" t="s">
        <x:v>50</x:v>
      </x:c>
      <x:c r="AG1158" t="s">
        <x:v>402</x:v>
      </x:c>
      <x:c r="AH1158" t="s">
        <x:v>7704</x:v>
      </x:c>
      <x:c r="AI1158" t="s">
        <x:v>7705</x:v>
      </x:c>
      <x:c r="AJ1158">
        <x:v>1235</x:v>
      </x:c>
    </x:row>
    <x:row r="1159">
      <x:c r="A1159" t="s">
        <x:v>7690</x:v>
      </x:c>
      <x:c r="B1159" t="s">
        <x:v>7691</x:v>
      </x:c>
      <x:c r="C1159" t="s">
        <x:v>7706</x:v>
      </x:c>
      <x:c r="D1159" t="s">
        <x:v>7707</x:v>
      </x:c>
      <x:c r="E1159" t="s">
        <x:v>7708</x:v>
      </x:c>
      <x:c r="F1159">
        <x:v>66</x:v>
      </x:c>
      <x:c r="G1159">
        <x:v>66</x:v>
      </x:c>
      <x:c r="H1159">
        <x:v>66</x:v>
      </x:c>
      <x:c r="I1159" t="s">
        <x:v>7709</x:v>
      </x:c>
      <x:c r="J1159" t="s">
        <x:v>7710</x:v>
      </x:c>
      <x:c r="K1159" t="s">
        <x:v>7711</x:v>
      </x:c>
      <x:c r="L1159" t="s">
        <x:v>7712</x:v>
      </x:c>
      <x:c r="M1159" t="s">
        <x:v>7713</x:v>
      </x:c>
      <x:c r="N1159" t="s">
        <x:v>7714</x:v>
      </x:c>
      <x:c r="O1159" t="s">
        <x:v>1861</x:v>
      </x:c>
      <x:c r="P1159" t="s">
        <x:v>7715</x:v>
      </x:c>
      <x:c r="R1159" s="9">
        <x:v>31934</x:v>
      </x:c>
      <x:c r="T1159" t="s">
        <x:v>119</x:v>
      </x:c>
      <x:c r="W1159" s="26" t="n">
        <x:v>7.2333333</x:v>
      </x:c>
      <x:c r="X1159" s="26" t="n">
        <x:v>-76.4166667</x:v>
      </x:c>
      <x:c r="AF1159" t="s">
        <x:v>50</x:v>
      </x:c>
      <x:c r="AG1159" t="s">
        <x:v>402</x:v>
      </x:c>
      <x:c r="AH1159" t="s">
        <x:v>7716</x:v>
      </x:c>
      <x:c r="AI1159" t="s">
        <x:v>7717</x:v>
      </x:c>
      <x:c r="AJ1159">
        <x:v>1236</x:v>
      </x:c>
    </x:row>
    <x:row r="1160">
      <x:c r="A1160" t="s">
        <x:v>7690</x:v>
      </x:c>
      <x:c r="B1160" t="s">
        <x:v>7691</x:v>
      </x:c>
      <x:c r="C1160" t="s">
        <x:v>7718</x:v>
      </x:c>
      <x:c r="D1160" t="s">
        <x:v>7719</x:v>
      </x:c>
      <x:c r="E1160" t="s">
        <x:v>7720</x:v>
      </x:c>
      <x:c r="F1160">
        <x:v>880</x:v>
      </x:c>
      <x:c r="G1160">
        <x:v>880</x:v>
      </x:c>
      <x:c r="H1160">
        <x:v>880</x:v>
      </x:c>
      <x:c r="I1160" t="s">
        <x:v>7721</x:v>
      </x:c>
      <x:c r="J1160" t="s">
        <x:v>7722</x:v>
      </x:c>
      <x:c r="K1160" t="s">
        <x:v>7723</x:v>
      </x:c>
      <x:c r="L1160" t="s">
        <x:v>7724</x:v>
      </x:c>
      <x:c r="M1160" t="s">
        <x:v>7725</x:v>
      </x:c>
      <x:c r="N1160" t="s">
        <x:v>7726</x:v>
      </x:c>
      <x:c r="O1160" t="s">
        <x:v>1609</x:v>
      </x:c>
      <x:c r="P1160" t="s">
        <x:v>7727</x:v>
      </x:c>
      <x:c r="R1160" s="9">
        <x:v>35972</x:v>
      </x:c>
      <x:c r="T1160" t="s">
        <x:v>119</x:v>
      </x:c>
      <x:c r="W1160" s="26" t="n">
        <x:v>4.7694444</x:v>
      </x:c>
      <x:c r="X1160" s="26" t="n">
        <x:v>-73.3238889</x:v>
      </x:c>
      <x:c r="AF1160" t="s">
        <x:v>50</x:v>
      </x:c>
      <x:c r="AG1160" t="s">
        <x:v>98</x:v>
      </x:c>
      <x:c r="AH1160" t="s">
        <x:v>7728</x:v>
      </x:c>
      <x:c r="AJ1160">
        <x:v>1237</x:v>
      </x:c>
    </x:row>
    <x:row r="1161" s="17" customFormat="1">
      <x:c r="A1161" s="17" t="s">
        <x:v>7690</x:v>
      </x:c>
      <x:c r="B1161" s="17" t="s">
        <x:v>7691</x:v>
      </x:c>
      <x:c r="C1161" s="17" t="s">
        <x:v>7729</x:v>
      </x:c>
      <x:c r="D1161" s="17" t="s">
        <x:v>7730</x:v>
      </x:c>
      <x:c r="E1161" s="17" t="s">
        <x:v>7731</x:v>
      </x:c>
      <x:c r="F1161" s="17">
        <x:v>1150</x:v>
      </x:c>
      <x:c r="G1161" s="17">
        <x:v>1150</x:v>
      </x:c>
      <x:c r="H1161" s="17">
        <x:v>1150</x:v>
      </x:c>
      <x:c r="I1161" s="17" t="s">
        <x:v>7732</x:v>
      </x:c>
      <x:c r="J1161" s="17" t="s">
        <x:v>7733</x:v>
      </x:c>
      <x:c r="K1161" s="17" t="s">
        <x:v>7734</x:v>
      </x:c>
      <x:c r="L1161" s="17" t="s">
        <x:v>7735</x:v>
      </x:c>
      <x:c r="M1161" s="17" t="s">
        <x:v>7736</x:v>
      </x:c>
      <x:c r="N1161" s="17" t="s">
        <x:v>7737</x:v>
      </x:c>
      <x:c r="O1161" s="17" t="s">
        <x:v>7738</x:v>
      </x:c>
      <x:c r="P1161" s="17" t="s">
        <x:v>7739</x:v>
      </x:c>
      <x:c r="R1161" s="19">
        <x:v>35976</x:v>
      </x:c>
      <x:c r="T1161" s="17" t="s">
        <x:v>119</x:v>
      </x:c>
      <x:c r="W1161" s="26" t="n">
        <x:v>4.7638889</x:v>
      </x:c>
      <x:c r="X1161" s="26" t="n">
        <x:v>-73.3488889</x:v>
      </x:c>
      <x:c r="AF1161" s="17" t="s">
        <x:v>50</x:v>
      </x:c>
      <x:c r="AG1161" s="17" t="s">
        <x:v>98</x:v>
      </x:c>
      <x:c r="AH1161" s="17" t="s">
        <x:v>7740</x:v>
      </x:c>
      <x:c r="AI1161" s="17" t="s">
        <x:v>7741</x:v>
      </x:c>
      <x:c r="AJ1161" s="17">
        <x:v>1238</x:v>
      </x:c>
    </x:row>
    <x:row r="1162">
      <x:c r="A1162" t="s">
        <x:v>7690</x:v>
      </x:c>
      <x:c r="B1162" t="s">
        <x:v>7691</x:v>
      </x:c>
      <x:c r="C1162" t="s">
        <x:v>7742</x:v>
      </x:c>
      <x:c r="D1162" t="s">
        <x:v>7743</x:v>
      </x:c>
      <x:c r="E1162" t="s">
        <x:v>7744</x:v>
      </x:c>
      <x:c r="P1162" t="s">
        <x:v>80</x:v>
      </x:c>
      <x:c r="R1162" s="9" t="s">
        <x:v>7745</x:v>
      </x:c>
      <x:c r="W1162" s="26" t="n">
        <x:v>8.39106</x:v>
      </x:c>
      <x:c r="X1162" s="26" t="n">
        <x:v>-73.28801</x:v>
      </x:c>
      <x:c r="Y1162">
        <x:v>512.47</x:v>
      </x:c>
      <x:c r="Z1162">
        <x:v>1078</x:v>
      </x:c>
      <x:c r="AB1162" t="s">
        <x:v>7746</x:v>
      </x:c>
      <x:c r="AF1162" t="s">
        <x:v>50</x:v>
      </x:c>
      <x:c r="AG1162" t="s">
        <x:v>7747</x:v>
      </x:c>
      <x:c r="AH1162" t="s">
        <x:v>7748</x:v>
      </x:c>
      <x:c r="AJ1162">
        <x:v>1239</x:v>
      </x:c>
    </x:row>
    <x:row r="1163">
      <x:c r="A1163" t="s">
        <x:v>7749</x:v>
      </x:c>
      <x:c r="B1163" t="s">
        <x:v>7750</x:v>
      </x:c>
      <x:c r="C1163" t="s">
        <x:v>7751</x:v>
      </x:c>
      <x:c r="D1163" t="s">
        <x:v>1060</x:v>
      </x:c>
      <x:c r="E1163" t="s">
        <x:v>7752</x:v>
      </x:c>
      <x:c r="F1163" t="s">
        <x:v>7753</x:v>
      </x:c>
      <x:c r="G1163">
        <x:v>2070</x:v>
      </x:c>
      <x:c r="H1163">
        <x:v>2200</x:v>
      </x:c>
      <x:c r="I1163" t="s">
        <x:v>7754</x:v>
      </x:c>
      <x:c r="J1163" t="s">
        <x:v>7755</x:v>
      </x:c>
      <x:c r="K1163" t="s">
        <x:v>1071</x:v>
      </x:c>
      <x:c r="L1163" t="s">
        <x:v>1071</x:v>
      </x:c>
      <x:c r="M1163" t="s">
        <x:v>7756</x:v>
      </x:c>
      <x:c r="N1163" t="s">
        <x:v>7757</x:v>
      </x:c>
      <x:c r="O1163" t="s">
        <x:v>1074</x:v>
      </x:c>
      <x:c r="P1163" t="s">
        <x:v>7758</x:v>
      </x:c>
      <x:c r="R1163" s="9">
        <x:v>39755</x:v>
      </x:c>
      <x:c r="T1163" t="s">
        <x:v>236</x:v>
      </x:c>
      <x:c r="W1163" s="26" t="n">
        <x:v>5.0833333</x:v>
      </x:c>
      <x:c r="X1163" s="26" t="n">
        <x:v>-75.5084722</x:v>
      </x:c>
      <x:c r="AF1163" t="s">
        <x:v>50</x:v>
      </x:c>
      <x:c r="AG1163" t="s">
        <x:v>167</x:v>
      </x:c>
      <x:c r="AH1163" t="s">
        <x:v>7759</x:v>
      </x:c>
      <x:c r="AI1163" t="s">
        <x:v>7760</x:v>
      </x:c>
      <x:c r="AJ1163">
        <x:v>1240</x:v>
      </x:c>
    </x:row>
    <x:row r="1164">
      <x:c r="A1164" t="s">
        <x:v>7761</x:v>
      </x:c>
      <x:c r="B1164" t="s">
        <x:v>7762</x:v>
      </x:c>
      <x:c r="C1164" t="s">
        <x:v>7763</x:v>
      </x:c>
      <x:c r="D1164" t="s">
        <x:v>7764</x:v>
      </x:c>
      <x:c r="E1164" t="s">
        <x:v>7765</x:v>
      </x:c>
      <x:c r="F1164">
        <x:v>1950</x:v>
      </x:c>
      <x:c r="G1164">
        <x:v>1950</x:v>
      </x:c>
      <x:c r="H1164">
        <x:v>1950</x:v>
      </x:c>
      <x:c r="I1164" t="s">
        <x:v>7766</x:v>
      </x:c>
      <x:c r="J1164" t="s">
        <x:v>7767</x:v>
      </x:c>
      <x:c r="K1164" t="s">
        <x:v>7768</x:v>
      </x:c>
      <x:c r="L1164" t="s">
        <x:v>7769</x:v>
      </x:c>
      <x:c r="M1164" t="s">
        <x:v>7770</x:v>
      </x:c>
      <x:c r="N1164" t="s">
        <x:v>7771</x:v>
      </x:c>
      <x:c r="O1164" t="s">
        <x:v>7772</x:v>
      </x:c>
      <x:c r="P1164" t="s">
        <x:v>7773</x:v>
      </x:c>
      <x:c r="R1164" s="9">
        <x:v>12175</x:v>
      </x:c>
      <x:c r="W1164" s="26" t="n">
        <x:v>5.7897889</x:v>
      </x:c>
      <x:c r="X1164" s="26" t="n">
        <x:v>-75.7851111</x:v>
      </x:c>
      <x:c r="AF1164" t="s">
        <x:v>50</x:v>
      </x:c>
      <x:c r="AG1164" t="s">
        <x:v>402</x:v>
      </x:c>
      <x:c r="AH1164" t="s">
        <x:v>7774</x:v>
      </x:c>
      <x:c r="AJ1164">
        <x:v>1241</x:v>
      </x:c>
    </x:row>
    <x:row r="1165">
      <x:c r="A1165" t="s">
        <x:v>7761</x:v>
      </x:c>
      <x:c r="B1165" t="s">
        <x:v>7762</x:v>
      </x:c>
      <x:c r="C1165" t="s">
        <x:v>7775</x:v>
      </x:c>
      <x:c r="D1165" t="s">
        <x:v>7776</x:v>
      </x:c>
      <x:c r="E1165" t="s">
        <x:v>7777</x:v>
      </x:c>
      <x:c r="F1165">
        <x:v>2122</x:v>
      </x:c>
      <x:c r="G1165">
        <x:v>2122</x:v>
      </x:c>
      <x:c r="H1165">
        <x:v>2122</x:v>
      </x:c>
      <x:c r="I1165" t="s">
        <x:v>474</x:v>
      </x:c>
      <x:c r="J1165" t="s">
        <x:v>475</x:v>
      </x:c>
      <x:c r="K1165" t="s">
        <x:v>3359</x:v>
      </x:c>
      <x:c r="L1165" t="s">
        <x:v>476</x:v>
      </x:c>
      <x:c r="M1165" t="s">
        <x:v>477</x:v>
      </x:c>
      <x:c r="N1165" t="s">
        <x:v>478</x:v>
      </x:c>
      <x:c r="O1165" t="s">
        <x:v>479</x:v>
      </x:c>
      <x:c r="P1165" t="s">
        <x:v>480</x:v>
      </x:c>
      <x:c r="R1165" s="9">
        <x:v>12754</x:v>
      </x:c>
      <x:c r="W1165" s="26" t="n">
        <x:v>6.155</x:v>
      </x:c>
      <x:c r="X1165" s="26" t="n">
        <x:v>-75.3888889</x:v>
      </x:c>
      <x:c r="AF1165" t="s">
        <x:v>50</x:v>
      </x:c>
      <x:c r="AG1165" t="s">
        <x:v>402</x:v>
      </x:c>
      <x:c r="AH1165" t="s">
        <x:v>7778</x:v>
      </x:c>
      <x:c r="AJ1165">
        <x:v>1242</x:v>
      </x:c>
    </x:row>
    <x:row r="1166">
      <x:c r="A1166" t="s">
        <x:v>7761</x:v>
      </x:c>
      <x:c r="B1166" t="s">
        <x:v>7762</x:v>
      </x:c>
      <x:c r="C1166" t="s">
        <x:v>7763</x:v>
      </x:c>
      <x:c r="D1166" t="s">
        <x:v>7779</x:v>
      </x:c>
      <x:c r="E1166" t="s">
        <x:v>7780</x:v>
      </x:c>
      <x:c r="F1166">
        <x:v>2148</x:v>
      </x:c>
      <x:c r="G1166">
        <x:v>2148</x:v>
      </x:c>
      <x:c r="H1166">
        <x:v>2148</x:v>
      </x:c>
      <x:c r="I1166" t="s">
        <x:v>541</x:v>
      </x:c>
      <x:c r="J1166" t="s">
        <x:v>542</x:v>
      </x:c>
      <x:c r="K1166" t="s">
        <x:v>543</x:v>
      </x:c>
      <x:c r="L1166" t="s">
        <x:v>544</x:v>
      </x:c>
      <x:c r="M1166" t="s">
        <x:v>545</x:v>
      </x:c>
      <x:c r="N1166" t="s">
        <x:v>546</x:v>
      </x:c>
      <x:c r="O1166" t="s">
        <x:v>547</x:v>
      </x:c>
      <x:c r="P1166" t="s">
        <x:v>548</x:v>
      </x:c>
      <x:c r="R1166" s="9">
        <x:v>13119</x:v>
      </x:c>
      <x:c r="W1166" s="26" t="n">
        <x:v>6.2800111</x:v>
      </x:c>
      <x:c r="X1166" s="26" t="n">
        <x:v>-75.4427333</x:v>
      </x:c>
      <x:c r="AF1166" t="s">
        <x:v>50</x:v>
      </x:c>
      <x:c r="AG1166" t="s">
        <x:v>402</x:v>
      </x:c>
      <x:c r="AH1166" t="s">
        <x:v>7781</x:v>
      </x:c>
      <x:c r="AJ1166">
        <x:v>1243</x:v>
      </x:c>
    </x:row>
    <x:row r="1167">
      <x:c r="A1167" t="s">
        <x:v>7761</x:v>
      </x:c>
      <x:c r="B1167" t="s">
        <x:v>7762</x:v>
      </x:c>
      <x:c r="C1167" t="s">
        <x:v>7782</x:v>
      </x:c>
      <x:c r="D1167" t="s">
        <x:v>7783</x:v>
      </x:c>
      <x:c r="E1167" t="s">
        <x:v>7784</x:v>
      </x:c>
      <x:c r="F1167">
        <x:v>2850</x:v>
      </x:c>
      <x:c r="G1167">
        <x:v>2850</x:v>
      </x:c>
      <x:c r="H1167">
        <x:v>2850</x:v>
      </x:c>
      <x:c r="I1167" t="s">
        <x:v>7785</x:v>
      </x:c>
      <x:c r="J1167" t="s">
        <x:v>7786</x:v>
      </x:c>
      <x:c r="K1167" t="s">
        <x:v>7787</x:v>
      </x:c>
      <x:c r="L1167" t="s">
        <x:v>7788</x:v>
      </x:c>
      <x:c r="M1167" t="s">
        <x:v>7789</x:v>
      </x:c>
      <x:c r="N1167" t="s">
        <x:v>7790</x:v>
      </x:c>
      <x:c r="O1167" t="s">
        <x:v>7791</x:v>
      </x:c>
      <x:c r="P1167" t="s">
        <x:v>7792</x:v>
      </x:c>
      <x:c r="R1167" s="9">
        <x:v>16469</x:v>
      </x:c>
      <x:c r="T1167" t="s">
        <x:v>119</x:v>
      </x:c>
      <x:c r="W1167" s="26" t="n">
        <x:v>2.1971583</x:v>
      </x:c>
      <x:c r="X1167" s="26" t="n">
        <x:v>-75.6382667</x:v>
      </x:c>
      <x:c r="AF1167" t="s">
        <x:v>50</x:v>
      </x:c>
      <x:c r="AG1167" t="s">
        <x:v>51</x:v>
      </x:c>
      <x:c r="AH1167" t="s">
        <x:v>7793</x:v>
      </x:c>
      <x:c r="AJ1167">
        <x:v>1244</x:v>
      </x:c>
    </x:row>
    <x:row r="1168">
      <x:c r="A1168" t="s">
        <x:v>7761</x:v>
      </x:c>
      <x:c r="B1168" t="s">
        <x:v>7762</x:v>
      </x:c>
      <x:c r="C1168" t="s">
        <x:v>7794</x:v>
      </x:c>
      <x:c r="D1168" t="s">
        <x:v>7795</x:v>
      </x:c>
      <x:c r="E1168" t="s">
        <x:v>7796</x:v>
      </x:c>
      <x:c r="F1168">
        <x:v>2500</x:v>
      </x:c>
      <x:c r="G1168">
        <x:v>2500</x:v>
      </x:c>
      <x:c r="H1168">
        <x:v>2500</x:v>
      </x:c>
      <x:c r="I1168" t="s">
        <x:v>5739</x:v>
      </x:c>
      <x:c r="J1168" t="s">
        <x:v>5740</x:v>
      </x:c>
      <x:c r="K1168" t="s">
        <x:v>557</x:v>
      </x:c>
      <x:c r="L1168" t="s">
        <x:v>558</x:v>
      </x:c>
      <x:c r="M1168" t="s">
        <x:v>5741</x:v>
      </x:c>
      <x:c r="N1168" t="s">
        <x:v>560</x:v>
      </x:c>
      <x:c r="O1168" t="s">
        <x:v>561</x:v>
      </x:c>
      <x:c r="P1168" t="s">
        <x:v>562</x:v>
      </x:c>
      <x:c r="R1168" s="9">
        <x:v>16733</x:v>
      </x:c>
      <x:c r="W1168" s="26" t="n">
        <x:v>6.22059</x:v>
      </x:c>
      <x:c r="X1168" s="26" t="n">
        <x:v>-75.55411</x:v>
      </x:c>
      <x:c r="Y1168">
        <x:v>3416.2629999999999</x:v>
      </x:c>
      <x:c r="Z1168">
        <x:v>1831</x:v>
      </x:c>
      <x:c r="AB1168" t="s">
        <x:v>7797</x:v>
      </x:c>
      <x:c r="AF1168" t="s">
        <x:v>50</x:v>
      </x:c>
      <x:c r="AG1168" t="s">
        <x:v>402</x:v>
      </x:c>
      <x:c r="AH1168" t="s">
        <x:v>7798</x:v>
      </x:c>
      <x:c r="AI1168" t="s">
        <x:v>7799</x:v>
      </x:c>
      <x:c r="AJ1168">
        <x:v>1246</x:v>
      </x:c>
    </x:row>
    <x:row r="1169">
      <x:c r="A1169" t="s">
        <x:v>7761</x:v>
      </x:c>
      <x:c r="B1169" t="s">
        <x:v>7762</x:v>
      </x:c>
      <x:c r="C1169" t="s">
        <x:v>7800</x:v>
      </x:c>
      <x:c r="D1169" t="s">
        <x:v>7801</x:v>
      </x:c>
      <x:c r="E1169" t="s">
        <x:v>7796</x:v>
      </x:c>
      <x:c r="F1169" t="s">
        <x:v>416</x:v>
      </x:c>
      <x:c r="G1169">
        <x:v>2300</x:v>
      </x:c>
      <x:c r="H1169">
        <x:v>2500</x:v>
      </x:c>
      <x:c r="I1169" t="s">
        <x:v>3514</x:v>
      </x:c>
      <x:c r="J1169" t="s">
        <x:v>3515</x:v>
      </x:c>
      <x:c r="K1169" t="s">
        <x:v>3516</x:v>
      </x:c>
      <x:c r="L1169" t="s">
        <x:v>3517</x:v>
      </x:c>
      <x:c r="M1169" t="s">
        <x:v>3518</x:v>
      </x:c>
      <x:c r="N1169" t="s">
        <x:v>3519</x:v>
      </x:c>
      <x:c r="O1169" t="s">
        <x:v>3520</x:v>
      </x:c>
      <x:c r="P1169" t="s">
        <x:v>3521</x:v>
      </x:c>
      <x:c r="R1169" s="9">
        <x:v>17460</x:v>
      </x:c>
      <x:c r="W1169" s="26" t="n">
        <x:v>6.22059</x:v>
      </x:c>
      <x:c r="X1169" s="26" t="n">
        <x:v>-75.55411</x:v>
      </x:c>
      <x:c r="Y1169">
        <x:v>3416.2629999999999</x:v>
      </x:c>
      <x:c r="Z1169">
        <x:v>1831</x:v>
      </x:c>
      <x:c r="AB1169" t="s">
        <x:v>7797</x:v>
      </x:c>
      <x:c r="AF1169" t="s">
        <x:v>50</x:v>
      </x:c>
      <x:c r="AG1169" t="s">
        <x:v>402</x:v>
      </x:c>
      <x:c r="AH1169" t="s">
        <x:v>7798</x:v>
      </x:c>
      <x:c r="AI1169" t="s">
        <x:v>7799</x:v>
      </x:c>
      <x:c r="AJ1169">
        <x:v>1247</x:v>
      </x:c>
    </x:row>
    <x:row r="1170">
      <x:c r="A1170" t="s">
        <x:v>7761</x:v>
      </x:c>
      <x:c r="B1170" t="s">
        <x:v>7762</x:v>
      </x:c>
      <x:c r="C1170" t="s">
        <x:v>7802</x:v>
      </x:c>
      <x:c r="D1170" t="s">
        <x:v>7803</x:v>
      </x:c>
      <x:c r="E1170" t="s">
        <x:v>7804</x:v>
      </x:c>
      <x:c r="F1170">
        <x:v>2575</x:v>
      </x:c>
      <x:c r="G1170">
        <x:v>2575</x:v>
      </x:c>
      <x:c r="H1170">
        <x:v>2575</x:v>
      </x:c>
      <x:c r="I1170" t="s">
        <x:v>4316</x:v>
      </x:c>
      <x:c r="J1170" t="s">
        <x:v>2306</x:v>
      </x:c>
      <x:c r="K1170" t="s">
        <x:v>4317</x:v>
      </x:c>
      <x:c r="L1170" t="s">
        <x:v>2307</x:v>
      </x:c>
      <x:c r="M1170" t="s">
        <x:v>2308</x:v>
      </x:c>
      <x:c r="N1170" t="s">
        <x:v>2309</x:v>
      </x:c>
      <x:c r="O1170" t="s">
        <x:v>2310</x:v>
      </x:c>
      <x:c r="P1170" t="s">
        <x:v>2311</x:v>
      </x:c>
      <x:c r="R1170" s="9">
        <x:v>17765</x:v>
      </x:c>
      <x:c r="W1170" s="26" t="n">
        <x:v>5.6833333</x:v>
      </x:c>
      <x:c r="X1170" s="26" t="n">
        <x:v>-75.2333333</x:v>
      </x:c>
      <x:c r="AF1170" t="s">
        <x:v>50</x:v>
      </x:c>
      <x:c r="AG1170" t="s">
        <x:v>3306</x:v>
      </x:c>
      <x:c r="AH1170" t="s">
        <x:v>7805</x:v>
      </x:c>
      <x:c r="AJ1170">
        <x:v>1249</x:v>
      </x:c>
    </x:row>
    <x:row r="1171">
      <x:c r="A1171" t="s">
        <x:v>7761</x:v>
      </x:c>
      <x:c r="B1171" t="s">
        <x:v>7762</x:v>
      </x:c>
      <x:c r="C1171" t="s">
        <x:v>7802</x:v>
      </x:c>
      <x:c r="D1171" t="s">
        <x:v>7803</x:v>
      </x:c>
      <x:c r="E1171" t="s">
        <x:v>7804</x:v>
      </x:c>
      <x:c r="F1171">
        <x:v>2575</x:v>
      </x:c>
      <x:c r="G1171">
        <x:v>2575</x:v>
      </x:c>
      <x:c r="H1171">
        <x:v>2575</x:v>
      </x:c>
      <x:c r="I1171" t="s">
        <x:v>4316</x:v>
      </x:c>
      <x:c r="J1171" t="s">
        <x:v>2306</x:v>
      </x:c>
      <x:c r="K1171" t="s">
        <x:v>4317</x:v>
      </x:c>
      <x:c r="L1171" t="s">
        <x:v>2307</x:v>
      </x:c>
      <x:c r="M1171" t="s">
        <x:v>2308</x:v>
      </x:c>
      <x:c r="N1171" t="s">
        <x:v>2309</x:v>
      </x:c>
      <x:c r="O1171" t="s">
        <x:v>2310</x:v>
      </x:c>
      <x:c r="P1171" t="s">
        <x:v>2311</x:v>
      </x:c>
      <x:c r="R1171" s="9">
        <x:v>17765</x:v>
      </x:c>
      <x:c r="W1171" s="26" t="n">
        <x:v>5.6833333</x:v>
      </x:c>
      <x:c r="X1171" s="26" t="n">
        <x:v>-75.2333333</x:v>
      </x:c>
      <x:c r="AF1171" t="s">
        <x:v>50</x:v>
      </x:c>
      <x:c r="AG1171" t="s">
        <x:v>3306</x:v>
      </x:c>
      <x:c r="AH1171" t="s">
        <x:v>7805</x:v>
      </x:c>
      <x:c r="AJ1171">
        <x:v>1250</x:v>
      </x:c>
    </x:row>
    <x:row r="1172">
      <x:c r="A1172" t="s">
        <x:v>7761</x:v>
      </x:c>
      <x:c r="B1172" t="s">
        <x:v>7762</x:v>
      </x:c>
      <x:c r="C1172" t="s">
        <x:v>7806</x:v>
      </x:c>
      <x:c r="D1172" t="s">
        <x:v>7807</x:v>
      </x:c>
      <x:c r="E1172" t="s">
        <x:v>7808</x:v>
      </x:c>
      <x:c r="F1172">
        <x:v>2800</x:v>
      </x:c>
      <x:c r="G1172">
        <x:v>2800</x:v>
      </x:c>
      <x:c r="H1172">
        <x:v>2800</x:v>
      </x:c>
      <x:c r="P1172" t="s">
        <x:v>80</x:v>
      </x:c>
      <x:c r="R1172" s="9">
        <x:v>25516</x:v>
      </x:c>
      <x:c r="T1172" t="s">
        <x:v>119</x:v>
      </x:c>
      <x:c r="W1172" s="26" t="n">
        <x:v>7.34367</x:v>
      </x:c>
      <x:c r="X1172" s="26" t="n">
        <x:v>-72.6416</x:v>
      </x:c>
      <x:c r="Y1172">
        <x:v>2111.6089999999999</x:v>
      </x:c>
      <x:c r="Z1172">
        <x:v>2884</x:v>
      </x:c>
      <x:c r="AB1172" t="s">
        <x:v>7809</x:v>
      </x:c>
      <x:c r="AF1172" t="s">
        <x:v>50</x:v>
      </x:c>
      <x:c r="AG1172" t="s">
        <x:v>7810</x:v>
      </x:c>
      <x:c r="AH1172" t="s">
        <x:v>7811</x:v>
      </x:c>
      <x:c r="AI1172" t="s">
        <x:v>7812</x:v>
      </x:c>
      <x:c r="AJ1172">
        <x:v>1252</x:v>
      </x:c>
    </x:row>
    <x:row r="1173">
      <x:c r="A1173" t="s">
        <x:v>7761</x:v>
      </x:c>
      <x:c r="B1173" t="s">
        <x:v>7762</x:v>
      </x:c>
      <x:c r="C1173" t="s">
        <x:v>7813</x:v>
      </x:c>
      <x:c r="D1173" t="s">
        <x:v>3665</x:v>
      </x:c>
      <x:c r="E1173" t="s">
        <x:v>7814</x:v>
      </x:c>
      <x:c r="F1173" t="s">
        <x:v>3667</x:v>
      </x:c>
      <x:c r="G1173">
        <x:v>2200</x:v>
      </x:c>
      <x:c r="H1173">
        <x:v>2600</x:v>
      </x:c>
      <x:c r="I1173" t="s">
        <x:v>4226</x:v>
      </x:c>
      <x:c r="J1173" t="s">
        <x:v>4227</x:v>
      </x:c>
      <x:c r="K1173" t="s">
        <x:v>799</x:v>
      </x:c>
      <x:c r="L1173" t="s">
        <x:v>419</x:v>
      </x:c>
      <x:c r="M1173" t="s">
        <x:v>7815</x:v>
      </x:c>
      <x:c r="N1173" t="s">
        <x:v>811</x:v>
      </x:c>
      <x:c r="O1173" t="s">
        <x:v>422</x:v>
      </x:c>
      <x:c r="P1173" t="s">
        <x:v>3671</x:v>
      </x:c>
      <x:c r="R1173" s="9">
        <x:v>26022</x:v>
      </x:c>
      <x:c r="W1173" s="26" t="n">
        <x:v>6.2833333</x:v>
      </x:c>
      <x:c r="X1173" s="26" t="n">
        <x:v>-75.5</x:v>
      </x:c>
      <x:c r="AF1173" t="s">
        <x:v>50</x:v>
      </x:c>
      <x:c r="AG1173" t="s">
        <x:v>402</x:v>
      </x:c>
      <x:c r="AH1173" t="s">
        <x:v>7816</x:v>
      </x:c>
      <x:c r="AI1173" t="s">
        <x:v>7817</x:v>
      </x:c>
      <x:c r="AJ1173">
        <x:v>1253</x:v>
      </x:c>
    </x:row>
    <x:row r="1174">
      <x:c r="A1174" t="s">
        <x:v>7761</x:v>
      </x:c>
      <x:c r="B1174" t="s">
        <x:v>7762</x:v>
      </x:c>
      <x:c r="C1174" t="s">
        <x:v>7813</x:v>
      </x:c>
      <x:c r="D1174" t="s">
        <x:v>7818</x:v>
      </x:c>
      <x:c r="E1174" t="s">
        <x:v>7814</x:v>
      </x:c>
      <x:c r="F1174" t="s">
        <x:v>3667</x:v>
      </x:c>
      <x:c r="G1174">
        <x:v>2200</x:v>
      </x:c>
      <x:c r="H1174">
        <x:v>2600</x:v>
      </x:c>
      <x:c r="I1174" t="s">
        <x:v>4226</x:v>
      </x:c>
      <x:c r="J1174" t="s">
        <x:v>4227</x:v>
      </x:c>
      <x:c r="K1174" t="s">
        <x:v>799</x:v>
      </x:c>
      <x:c r="L1174" t="s">
        <x:v>419</x:v>
      </x:c>
      <x:c r="M1174" t="s">
        <x:v>7815</x:v>
      </x:c>
      <x:c r="N1174" t="s">
        <x:v>811</x:v>
      </x:c>
      <x:c r="O1174" t="s">
        <x:v>422</x:v>
      </x:c>
      <x:c r="P1174" t="s">
        <x:v>3671</x:v>
      </x:c>
      <x:c r="R1174" s="9">
        <x:v>26022</x:v>
      </x:c>
      <x:c r="W1174" s="26" t="n">
        <x:v>6.2833333</x:v>
      </x:c>
      <x:c r="X1174" s="26" t="n">
        <x:v>-75.5</x:v>
      </x:c>
      <x:c r="AF1174" t="s">
        <x:v>50</x:v>
      </x:c>
      <x:c r="AG1174" t="s">
        <x:v>402</x:v>
      </x:c>
      <x:c r="AH1174" t="s">
        <x:v>7816</x:v>
      </x:c>
      <x:c r="AI1174" t="s">
        <x:v>7817</x:v>
      </x:c>
      <x:c r="AJ1174">
        <x:v>1254</x:v>
      </x:c>
    </x:row>
    <x:row r="1175">
      <x:c r="A1175" t="s">
        <x:v>7761</x:v>
      </x:c>
      <x:c r="B1175" t="s">
        <x:v>7762</x:v>
      </x:c>
      <x:c r="C1175" t="s">
        <x:v>7042</x:v>
      </x:c>
      <x:c r="D1175" t="s">
        <x:v>7043</x:v>
      </x:c>
      <x:c r="E1175" t="s">
        <x:v>7044</x:v>
      </x:c>
      <x:c r="F1175" t="s">
        <x:v>3834</x:v>
      </x:c>
      <x:c r="G1175">
        <x:v>400</x:v>
      </x:c>
      <x:c r="H1175">
        <x:v>700</x:v>
      </x:c>
      <x:c r="P1175" t="s">
        <x:v>80</x:v>
      </x:c>
      <x:c r="R1175" s="9">
        <x:v>26090</x:v>
      </x:c>
      <x:c r="T1175" t="s">
        <x:v>119</x:v>
      </x:c>
      <x:c r="W1175" s="26" t="n">
        <x:v>7.31676</x:v>
      </x:c>
      <x:c r="X1175" s="26" t="n">
        <x:v>-75.05643</x:v>
      </x:c>
      <x:c r="Y1175">
        <x:v>3115.4110000000001</x:v>
      </x:c>
      <x:c r="Z1175">
        <x:v>474</x:v>
      </x:c>
      <x:c r="AB1175" t="s">
        <x:v>3827</x:v>
      </x:c>
      <x:c r="AF1175" t="s">
        <x:v>50</x:v>
      </x:c>
      <x:c r="AG1175" t="s">
        <x:v>402</x:v>
      </x:c>
      <x:c r="AH1175" t="s">
        <x:v>1186</x:v>
      </x:c>
      <x:c r="AI1175" t="s">
        <x:v>7045</x:v>
      </x:c>
      <x:c r="AJ1175">
        <x:v>1255</x:v>
      </x:c>
    </x:row>
    <x:row r="1176">
      <x:c r="A1176" t="s">
        <x:v>7761</x:v>
      </x:c>
      <x:c r="B1176" t="s">
        <x:v>7762</x:v>
      </x:c>
      <x:c r="C1176" t="s">
        <x:v>7819</x:v>
      </x:c>
      <x:c r="D1176" t="s">
        <x:v>7820</x:v>
      </x:c>
      <x:c r="E1176" t="s">
        <x:v>7821</x:v>
      </x:c>
      <x:c r="F1176">
        <x:v>2200</x:v>
      </x:c>
      <x:c r="G1176">
        <x:v>2200</x:v>
      </x:c>
      <x:c r="H1176">
        <x:v>2200</x:v>
      </x:c>
      <x:c r="I1176" t="s">
        <x:v>541</x:v>
      </x:c>
      <x:c r="J1176" t="s">
        <x:v>542</x:v>
      </x:c>
      <x:c r="K1176" t="s">
        <x:v>543</x:v>
      </x:c>
      <x:c r="L1176" t="s">
        <x:v>544</x:v>
      </x:c>
      <x:c r="M1176" t="s">
        <x:v>545</x:v>
      </x:c>
      <x:c r="N1176" t="s">
        <x:v>546</x:v>
      </x:c>
      <x:c r="O1176" t="s">
        <x:v>547</x:v>
      </x:c>
      <x:c r="P1176" t="s">
        <x:v>548</x:v>
      </x:c>
      <x:c r="R1176" s="9">
        <x:v>26122</x:v>
      </x:c>
      <x:c r="T1176" t="s">
        <x:v>119</x:v>
      </x:c>
      <x:c r="W1176" s="26" t="n">
        <x:v>6.2800111</x:v>
      </x:c>
      <x:c r="X1176" s="26" t="n">
        <x:v>-75.4427333</x:v>
      </x:c>
      <x:c r="AF1176" t="s">
        <x:v>50</x:v>
      </x:c>
      <x:c r="AG1176" t="s">
        <x:v>402</x:v>
      </x:c>
      <x:c r="AH1176" t="s">
        <x:v>550</x:v>
      </x:c>
      <x:c r="AI1176" t="s">
        <x:v>7822</x:v>
      </x:c>
      <x:c r="AJ1176">
        <x:v>1256</x:v>
      </x:c>
    </x:row>
    <x:row r="1177">
      <x:c r="A1177" t="s">
        <x:v>7761</x:v>
      </x:c>
      <x:c r="B1177" t="s">
        <x:v>7762</x:v>
      </x:c>
      <x:c r="C1177" t="s">
        <x:v>7819</x:v>
      </x:c>
      <x:c r="D1177" t="s">
        <x:v>7823</x:v>
      </x:c>
      <x:c r="E1177" t="s">
        <x:v>7821</x:v>
      </x:c>
      <x:c r="F1177">
        <x:v>2200</x:v>
      </x:c>
      <x:c r="G1177">
        <x:v>2200</x:v>
      </x:c>
      <x:c r="H1177">
        <x:v>2200</x:v>
      </x:c>
      <x:c r="I1177" t="s">
        <x:v>541</x:v>
      </x:c>
      <x:c r="J1177" t="s">
        <x:v>542</x:v>
      </x:c>
      <x:c r="K1177" t="s">
        <x:v>543</x:v>
      </x:c>
      <x:c r="L1177" t="s">
        <x:v>544</x:v>
      </x:c>
      <x:c r="M1177" t="s">
        <x:v>545</x:v>
      </x:c>
      <x:c r="N1177" t="s">
        <x:v>546</x:v>
      </x:c>
      <x:c r="O1177" t="s">
        <x:v>547</x:v>
      </x:c>
      <x:c r="P1177" t="s">
        <x:v>548</x:v>
      </x:c>
      <x:c r="R1177" s="9">
        <x:v>26122</x:v>
      </x:c>
      <x:c r="W1177" s="26" t="n">
        <x:v>6.2800111</x:v>
      </x:c>
      <x:c r="X1177" s="26" t="n">
        <x:v>-75.4427333</x:v>
      </x:c>
      <x:c r="AF1177" t="s">
        <x:v>50</x:v>
      </x:c>
      <x:c r="AG1177" t="s">
        <x:v>402</x:v>
      </x:c>
      <x:c r="AH1177" t="s">
        <x:v>550</x:v>
      </x:c>
      <x:c r="AI1177" t="s">
        <x:v>7822</x:v>
      </x:c>
      <x:c r="AJ1177">
        <x:v>1257</x:v>
      </x:c>
    </x:row>
    <x:row r="1178">
      <x:c r="A1178" t="s">
        <x:v>7761</x:v>
      </x:c>
      <x:c r="B1178" t="s">
        <x:v>7762</x:v>
      </x:c>
      <x:c r="C1178" t="s">
        <x:v>7824</x:v>
      </x:c>
      <x:c r="D1178" t="s">
        <x:v>7825</x:v>
      </x:c>
      <x:c r="E1178" t="s">
        <x:v>7826</x:v>
      </x:c>
      <x:c r="F1178">
        <x:v>1476</x:v>
      </x:c>
      <x:c r="G1178">
        <x:v>1476</x:v>
      </x:c>
      <x:c r="H1178">
        <x:v>1476</x:v>
      </x:c>
      <x:c r="I1178" t="s">
        <x:v>3514</x:v>
      </x:c>
      <x:c r="J1178" t="s">
        <x:v>3515</x:v>
      </x:c>
      <x:c r="K1178" t="s">
        <x:v>3516</x:v>
      </x:c>
      <x:c r="L1178" t="s">
        <x:v>3517</x:v>
      </x:c>
      <x:c r="M1178" t="s">
        <x:v>3518</x:v>
      </x:c>
      <x:c r="N1178" t="s">
        <x:v>3519</x:v>
      </x:c>
      <x:c r="O1178" t="s">
        <x:v>3520</x:v>
      </x:c>
      <x:c r="P1178" t="s">
        <x:v>3521</x:v>
      </x:c>
      <x:c r="R1178" s="9">
        <x:v>27829</x:v>
      </x:c>
      <x:c r="W1178" s="26" t="n">
        <x:v>6.235925</x:v>
      </x:c>
      <x:c r="X1178" s="26" t="n">
        <x:v>-75.5751361</x:v>
      </x:c>
      <x:c r="AF1178" t="s">
        <x:v>50</x:v>
      </x:c>
      <x:c r="AG1178" t="s">
        <x:v>402</x:v>
      </x:c>
      <x:c r="AH1178" t="s">
        <x:v>855</x:v>
      </x:c>
      <x:c r="AI1178" t="s">
        <x:v>7827</x:v>
      </x:c>
      <x:c r="AJ1178">
        <x:v>1258</x:v>
      </x:c>
    </x:row>
    <x:row r="1179">
      <x:c r="A1179" t="s">
        <x:v>7761</x:v>
      </x:c>
      <x:c r="B1179" t="s">
        <x:v>7762</x:v>
      </x:c>
      <x:c r="C1179" t="s">
        <x:v>7828</x:v>
      </x:c>
      <x:c r="D1179" t="s">
        <x:v>7829</x:v>
      </x:c>
      <x:c r="E1179" t="s">
        <x:v>7830</x:v>
      </x:c>
      <x:c r="F1179">
        <x:v>2100</x:v>
      </x:c>
      <x:c r="G1179">
        <x:v>2100</x:v>
      </x:c>
      <x:c r="H1179">
        <x:v>2100</x:v>
      </x:c>
      <x:c r="I1179" t="s">
        <x:v>5739</x:v>
      </x:c>
      <x:c r="J1179" t="s">
        <x:v>5740</x:v>
      </x:c>
      <x:c r="K1179" t="s">
        <x:v>557</x:v>
      </x:c>
      <x:c r="L1179" t="s">
        <x:v>558</x:v>
      </x:c>
      <x:c r="M1179" t="s">
        <x:v>5741</x:v>
      </x:c>
      <x:c r="N1179" t="s">
        <x:v>560</x:v>
      </x:c>
      <x:c r="O1179" t="s">
        <x:v>561</x:v>
      </x:c>
      <x:c r="P1179" t="s">
        <x:v>562</x:v>
      </x:c>
      <x:c r="R1179" s="9">
        <x:v>30622</x:v>
      </x:c>
      <x:c r="W1179" s="26" t="n">
        <x:v>6.09</x:v>
      </x:c>
      <x:c r="X1179" s="26" t="n">
        <x:v>-75.638</x:v>
      </x:c>
      <x:c r="AF1179" t="s">
        <x:v>50</x:v>
      </x:c>
      <x:c r="AG1179" t="s">
        <x:v>402</x:v>
      </x:c>
      <x:c r="AH1179" t="s">
        <x:v>167</x:v>
      </x:c>
      <x:c r="AI1179" t="s">
        <x:v>7831</x:v>
      </x:c>
      <x:c r="AJ1179">
        <x:v>1260</x:v>
      </x:c>
    </x:row>
    <x:row r="1180">
      <x:c r="A1180" t="s">
        <x:v>7761</x:v>
      </x:c>
      <x:c r="B1180" t="s">
        <x:v>7762</x:v>
      </x:c>
      <x:c r="C1180" t="s">
        <x:v>7832</x:v>
      </x:c>
      <x:c r="D1180" t="s">
        <x:v>7833</x:v>
      </x:c>
      <x:c r="E1180" t="s">
        <x:v>7834</x:v>
      </x:c>
      <x:c r="F1180">
        <x:v>2290</x:v>
      </x:c>
      <x:c r="G1180">
        <x:v>2290</x:v>
      </x:c>
      <x:c r="H1180">
        <x:v>2290</x:v>
      </x:c>
      <x:c r="I1180" t="s">
        <x:v>541</x:v>
      </x:c>
      <x:c r="J1180" t="s">
        <x:v>542</x:v>
      </x:c>
      <x:c r="K1180" t="s">
        <x:v>543</x:v>
      </x:c>
      <x:c r="L1180" t="s">
        <x:v>544</x:v>
      </x:c>
      <x:c r="M1180" t="s">
        <x:v>545</x:v>
      </x:c>
      <x:c r="N1180" t="s">
        <x:v>546</x:v>
      </x:c>
      <x:c r="O1180" t="s">
        <x:v>547</x:v>
      </x:c>
      <x:c r="P1180" t="s">
        <x:v>548</x:v>
      </x:c>
      <x:c r="R1180" s="9">
        <x:v>30723</x:v>
      </x:c>
      <x:c r="W1180" s="26" t="n">
        <x:v>6.31122</x:v>
      </x:c>
      <x:c r="X1180" s="26" t="n">
        <x:v>-75.14609</x:v>
      </x:c>
      <x:c r="Y1180">
        <x:v>2681.63</x:v>
      </x:c>
      <x:c r="Z1180">
        <x:v>1854</x:v>
      </x:c>
      <x:c r="AB1180" t="s">
        <x:v>2229</x:v>
      </x:c>
      <x:c r="AF1180" t="s">
        <x:v>50</x:v>
      </x:c>
      <x:c r="AG1180" t="s">
        <x:v>402</x:v>
      </x:c>
      <x:c r="AH1180" t="s">
        <x:v>2230</x:v>
      </x:c>
      <x:c r="AI1180" t="s">
        <x:v>7835</x:v>
      </x:c>
      <x:c r="AJ1180">
        <x:v>1261</x:v>
      </x:c>
    </x:row>
    <x:row r="1181">
      <x:c r="A1181" t="s">
        <x:v>7761</x:v>
      </x:c>
      <x:c r="B1181" t="s">
        <x:v>7762</x:v>
      </x:c>
      <x:c r="C1181" t="s">
        <x:v>7836</x:v>
      </x:c>
      <x:c r="D1181" t="s">
        <x:v>7837</x:v>
      </x:c>
      <x:c r="E1181" t="s">
        <x:v>7838</x:v>
      </x:c>
      <x:c r="F1181">
        <x:v>2440</x:v>
      </x:c>
      <x:c r="G1181">
        <x:v>2440</x:v>
      </x:c>
      <x:c r="H1181">
        <x:v>2440</x:v>
      </x:c>
      <x:c r="I1181" t="s">
        <x:v>5739</x:v>
      </x:c>
      <x:c r="J1181" t="s">
        <x:v>5740</x:v>
      </x:c>
      <x:c r="K1181" t="s">
        <x:v>557</x:v>
      </x:c>
      <x:c r="L1181" t="s">
        <x:v>558</x:v>
      </x:c>
      <x:c r="M1181" t="s">
        <x:v>5741</x:v>
      </x:c>
      <x:c r="N1181" t="s">
        <x:v>560</x:v>
      </x:c>
      <x:c r="O1181" t="s">
        <x:v>561</x:v>
      </x:c>
      <x:c r="P1181" t="s">
        <x:v>562</x:v>
      </x:c>
      <x:c r="R1181" s="9">
        <x:v>30764</x:v>
      </x:c>
      <x:c r="W1181" s="26" t="n">
        <x:v>6.09</x:v>
      </x:c>
      <x:c r="X1181" s="26" t="n">
        <x:v>-75.638</x:v>
      </x:c>
      <x:c r="AF1181" t="s">
        <x:v>50</x:v>
      </x:c>
      <x:c r="AG1181" t="s">
        <x:v>402</x:v>
      </x:c>
      <x:c r="AH1181" t="s">
        <x:v>167</x:v>
      </x:c>
      <x:c r="AI1181" t="s">
        <x:v>7839</x:v>
      </x:c>
      <x:c r="AJ1181">
        <x:v>1262</x:v>
      </x:c>
    </x:row>
    <x:row r="1182">
      <x:c r="A1182" t="s">
        <x:v>7761</x:v>
      </x:c>
      <x:c r="B1182" t="s">
        <x:v>7762</x:v>
      </x:c>
      <x:c r="C1182" t="s">
        <x:v>7840</x:v>
      </x:c>
      <x:c r="D1182" t="s">
        <x:v>7841</x:v>
      </x:c>
      <x:c r="E1182" t="s">
        <x:v>7838</x:v>
      </x:c>
      <x:c r="F1182">
        <x:v>2440</x:v>
      </x:c>
      <x:c r="G1182">
        <x:v>2440</x:v>
      </x:c>
      <x:c r="H1182">
        <x:v>2440</x:v>
      </x:c>
      <x:c r="I1182" t="s">
        <x:v>5739</x:v>
      </x:c>
      <x:c r="J1182" t="s">
        <x:v>5740</x:v>
      </x:c>
      <x:c r="K1182" t="s">
        <x:v>557</x:v>
      </x:c>
      <x:c r="L1182" t="s">
        <x:v>558</x:v>
      </x:c>
      <x:c r="M1182" t="s">
        <x:v>5741</x:v>
      </x:c>
      <x:c r="N1182" t="s">
        <x:v>560</x:v>
      </x:c>
      <x:c r="O1182" t="s">
        <x:v>561</x:v>
      </x:c>
      <x:c r="P1182" t="s">
        <x:v>562</x:v>
      </x:c>
      <x:c r="R1182" s="9">
        <x:v>30764</x:v>
      </x:c>
      <x:c r="W1182" s="26" t="n">
        <x:v>6.09</x:v>
      </x:c>
      <x:c r="X1182" s="26" t="n">
        <x:v>-75.638</x:v>
      </x:c>
      <x:c r="AF1182" t="s">
        <x:v>50</x:v>
      </x:c>
      <x:c r="AG1182" t="s">
        <x:v>402</x:v>
      </x:c>
      <x:c r="AH1182" t="s">
        <x:v>167</x:v>
      </x:c>
      <x:c r="AI1182" t="s">
        <x:v>7839</x:v>
      </x:c>
      <x:c r="AJ1182">
        <x:v>1263</x:v>
      </x:c>
    </x:row>
    <x:row r="1183">
      <x:c r="A1183" t="s">
        <x:v>7761</x:v>
      </x:c>
      <x:c r="B1183" t="s">
        <x:v>7762</x:v>
      </x:c>
      <x:c r="C1183" t="s">
        <x:v>7842</x:v>
      </x:c>
      <x:c r="D1183" t="s">
        <x:v>7843</x:v>
      </x:c>
      <x:c r="E1183" t="s">
        <x:v>7844</x:v>
      </x:c>
      <x:c r="F1183">
        <x:v>2320</x:v>
      </x:c>
      <x:c r="G1183">
        <x:v>2320</x:v>
      </x:c>
      <x:c r="H1183">
        <x:v>2320</x:v>
      </x:c>
      <x:c r="I1183" t="s">
        <x:v>2164</x:v>
      </x:c>
      <x:c r="J1183" t="s">
        <x:v>2165</x:v>
      </x:c>
      <x:c r="K1183" t="s">
        <x:v>7845</x:v>
      </x:c>
      <x:c r="L1183" t="s">
        <x:v>7846</x:v>
      </x:c>
      <x:c r="M1183" t="s">
        <x:v>7847</x:v>
      </x:c>
      <x:c r="N1183" t="s">
        <x:v>2168</x:v>
      </x:c>
      <x:c r="O1183" t="s">
        <x:v>955</x:v>
      </x:c>
      <x:c r="P1183" t="s">
        <x:v>2169</x:v>
      </x:c>
      <x:c r="R1183" s="9">
        <x:v>30780</x:v>
      </x:c>
      <x:c r="W1183" s="26" t="n">
        <x:v>4.8697778</x:v>
      </x:c>
      <x:c r="X1183" s="26" t="n">
        <x:v>-75.1773528</x:v>
      </x:c>
      <x:c r="AF1183" t="s">
        <x:v>50</x:v>
      </x:c>
      <x:c r="AG1183" t="s">
        <x:v>133</x:v>
      </x:c>
      <x:c r="AH1183" t="s">
        <x:v>7848</x:v>
      </x:c>
      <x:c r="AI1183" t="s">
        <x:v>7849</x:v>
      </x:c>
      <x:c r="AJ1183">
        <x:v>1264</x:v>
      </x:c>
    </x:row>
    <x:row r="1184">
      <x:c r="A1184" t="s">
        <x:v>7761</x:v>
      </x:c>
      <x:c r="B1184" t="s">
        <x:v>7762</x:v>
      </x:c>
      <x:c r="C1184" t="s">
        <x:v>7850</x:v>
      </x:c>
      <x:c r="D1184" t="s">
        <x:v>7851</x:v>
      </x:c>
      <x:c r="E1184" t="s">
        <x:v>4294</x:v>
      </x:c>
      <x:c r="F1184" t="s">
        <x:v>2286</x:v>
      </x:c>
      <x:c r="G1184">
        <x:v>1600</x:v>
      </x:c>
      <x:c r="H1184">
        <x:v>1700</x:v>
      </x:c>
      <x:c r="I1184" t="s">
        <x:v>541</x:v>
      </x:c>
      <x:c r="J1184" t="s">
        <x:v>542</x:v>
      </x:c>
      <x:c r="K1184" t="s">
        <x:v>543</x:v>
      </x:c>
      <x:c r="L1184" t="s">
        <x:v>544</x:v>
      </x:c>
      <x:c r="M1184" t="s">
        <x:v>545</x:v>
      </x:c>
      <x:c r="N1184" t="s">
        <x:v>546</x:v>
      </x:c>
      <x:c r="O1184" t="s">
        <x:v>547</x:v>
      </x:c>
      <x:c r="P1184" t="s">
        <x:v>548</x:v>
      </x:c>
      <x:c r="R1184" s="9">
        <x:v>31920</x:v>
      </x:c>
      <x:c r="W1184" s="26" t="n">
        <x:v>6.2800111</x:v>
      </x:c>
      <x:c r="X1184" s="26" t="n">
        <x:v>-75.4427333</x:v>
      </x:c>
      <x:c r="AF1184" t="s">
        <x:v>50</x:v>
      </x:c>
      <x:c r="AG1184" t="s">
        <x:v>402</x:v>
      </x:c>
      <x:c r="AH1184" t="s">
        <x:v>4300</x:v>
      </x:c>
      <x:c r="AI1184" t="s">
        <x:v>4301</x:v>
      </x:c>
      <x:c r="AJ1184">
        <x:v>1265</x:v>
      </x:c>
    </x:row>
    <x:row r="1185">
      <x:c r="A1185" t="s">
        <x:v>7761</x:v>
      </x:c>
      <x:c r="B1185" t="s">
        <x:v>7762</x:v>
      </x:c>
      <x:c r="C1185" t="s">
        <x:v>7852</x:v>
      </x:c>
      <x:c r="D1185" t="s">
        <x:v>7853</x:v>
      </x:c>
      <x:c r="E1185" t="s">
        <x:v>7854</x:v>
      </x:c>
      <x:c r="F1185">
        <x:v>2680</x:v>
      </x:c>
      <x:c r="G1185">
        <x:v>2680</x:v>
      </x:c>
      <x:c r="H1185">
        <x:v>2680</x:v>
      </x:c>
      <x:c r="I1185" t="s">
        <x:v>4316</x:v>
      </x:c>
      <x:c r="J1185" t="s">
        <x:v>2306</x:v>
      </x:c>
      <x:c r="K1185" t="s">
        <x:v>4317</x:v>
      </x:c>
      <x:c r="L1185" t="s">
        <x:v>2307</x:v>
      </x:c>
      <x:c r="M1185" t="s">
        <x:v>2308</x:v>
      </x:c>
      <x:c r="N1185" t="s">
        <x:v>2309</x:v>
      </x:c>
      <x:c r="O1185" t="s">
        <x:v>2310</x:v>
      </x:c>
      <x:c r="P1185" t="s">
        <x:v>2311</x:v>
      </x:c>
      <x:c r="R1185" s="9">
        <x:v>31965</x:v>
      </x:c>
      <x:c r="T1185" t="s">
        <x:v>119</x:v>
      </x:c>
      <x:c r="W1185" s="26" t="n">
        <x:v>5.6833333</x:v>
      </x:c>
      <x:c r="X1185" s="26" t="n">
        <x:v>-75.2333333</x:v>
      </x:c>
      <x:c r="AF1185" t="s">
        <x:v>50</x:v>
      </x:c>
      <x:c r="AG1185" t="s">
        <x:v>402</x:v>
      </x:c>
      <x:c r="AH1185" t="s">
        <x:v>3306</x:v>
      </x:c>
      <x:c r="AI1185" t="s">
        <x:v>7855</x:v>
      </x:c>
      <x:c r="AJ1185">
        <x:v>1266</x:v>
      </x:c>
    </x:row>
    <x:row r="1186">
      <x:c r="A1186" t="s">
        <x:v>7761</x:v>
      </x:c>
      <x:c r="B1186" t="s">
        <x:v>7762</x:v>
      </x:c>
      <x:c r="C1186" t="s">
        <x:v>7856</x:v>
      </x:c>
      <x:c r="D1186" t="s">
        <x:v>7857</x:v>
      </x:c>
      <x:c r="E1186" t="s">
        <x:v>7854</x:v>
      </x:c>
      <x:c r="F1186">
        <x:v>2680</x:v>
      </x:c>
      <x:c r="G1186">
        <x:v>2680</x:v>
      </x:c>
      <x:c r="H1186">
        <x:v>2680</x:v>
      </x:c>
      <x:c r="I1186" t="s">
        <x:v>4316</x:v>
      </x:c>
      <x:c r="J1186" t="s">
        <x:v>2306</x:v>
      </x:c>
      <x:c r="K1186" t="s">
        <x:v>4317</x:v>
      </x:c>
      <x:c r="L1186" t="s">
        <x:v>2307</x:v>
      </x:c>
      <x:c r="M1186" t="s">
        <x:v>2308</x:v>
      </x:c>
      <x:c r="N1186" t="s">
        <x:v>2309</x:v>
      </x:c>
      <x:c r="O1186" t="s">
        <x:v>2310</x:v>
      </x:c>
      <x:c r="P1186" t="s">
        <x:v>2311</x:v>
      </x:c>
      <x:c r="R1186" s="9">
        <x:v>31965</x:v>
      </x:c>
      <x:c r="T1186" t="s">
        <x:v>119</x:v>
      </x:c>
      <x:c r="W1186" s="26" t="n">
        <x:v>5.6833333</x:v>
      </x:c>
      <x:c r="X1186" s="26" t="n">
        <x:v>-75.2333333</x:v>
      </x:c>
      <x:c r="AF1186" t="s">
        <x:v>50</x:v>
      </x:c>
      <x:c r="AG1186" t="s">
        <x:v>402</x:v>
      </x:c>
      <x:c r="AH1186" t="s">
        <x:v>3306</x:v>
      </x:c>
      <x:c r="AI1186" t="s">
        <x:v>7855</x:v>
      </x:c>
      <x:c r="AJ1186">
        <x:v>1267</x:v>
      </x:c>
    </x:row>
    <x:row r="1187">
      <x:c r="A1187" t="s">
        <x:v>7761</x:v>
      </x:c>
      <x:c r="B1187" t="s">
        <x:v>7762</x:v>
      </x:c>
      <x:c r="C1187" t="s">
        <x:v>7858</x:v>
      </x:c>
      <x:c r="D1187" t="s">
        <x:v>7859</x:v>
      </x:c>
      <x:c r="E1187" t="s">
        <x:v>7860</x:v>
      </x:c>
      <x:c r="F1187">
        <x:v>2700</x:v>
      </x:c>
      <x:c r="G1187">
        <x:v>2700</x:v>
      </x:c>
      <x:c r="H1187">
        <x:v>2700</x:v>
      </x:c>
      <x:c r="I1187" t="s">
        <x:v>6084</x:v>
      </x:c>
      <x:c r="J1187" t="s">
        <x:v>6085</x:v>
      </x:c>
      <x:c r="K1187" t="s">
        <x:v>4138</x:v>
      </x:c>
      <x:c r="L1187" t="s">
        <x:v>530</x:v>
      </x:c>
      <x:c r="M1187" t="s">
        <x:v>7861</x:v>
      </x:c>
      <x:c r="N1187" t="s">
        <x:v>1695</x:v>
      </x:c>
      <x:c r="O1187" t="s">
        <x:v>533</x:v>
      </x:c>
      <x:c r="P1187" t="s">
        <x:v>7862</x:v>
      </x:c>
      <x:c r="R1187" s="9">
        <x:v>32270</x:v>
      </x:c>
      <x:c r="T1187" t="s">
        <x:v>111</x:v>
      </x:c>
      <x:c r="W1187" s="26" t="n">
        <x:v>6.5</x:v>
      </x:c>
      <x:c r="X1187" s="26" t="n">
        <x:v>-75.5333333</x:v>
      </x:c>
      <x:c r="AF1187" t="s">
        <x:v>50</x:v>
      </x:c>
      <x:c r="AG1187" t="s">
        <x:v>402</x:v>
      </x:c>
      <x:c r="AH1187" t="s">
        <x:v>7748</x:v>
      </x:c>
      <x:c r="AI1187" t="s">
        <x:v>7863</x:v>
      </x:c>
      <x:c r="AJ1187">
        <x:v>1268</x:v>
      </x:c>
    </x:row>
    <x:row r="1188">
      <x:c r="A1188" t="s">
        <x:v>7761</x:v>
      </x:c>
      <x:c r="B1188" t="s">
        <x:v>7762</x:v>
      </x:c>
      <x:c r="C1188" t="s">
        <x:v>7864</x:v>
      </x:c>
      <x:c r="D1188" t="s">
        <x:v>7865</x:v>
      </x:c>
      <x:c r="E1188" t="s">
        <x:v>7866</x:v>
      </x:c>
      <x:c r="F1188" t="s">
        <x:v>2339</x:v>
      </x:c>
      <x:c r="G1188">
        <x:v>2205</x:v>
      </x:c>
      <x:c r="H1188">
        <x:v>2240</x:v>
      </x:c>
      <x:c r="I1188" t="s">
        <x:v>7867</x:v>
      </x:c>
      <x:c r="J1188" t="s">
        <x:v>7868</x:v>
      </x:c>
      <x:c r="K1188" t="s">
        <x:v>799</x:v>
      </x:c>
      <x:c r="L1188" t="s">
        <x:v>419</x:v>
      </x:c>
      <x:c r="M1188" t="s">
        <x:v>7869</x:v>
      </x:c>
      <x:c r="N1188" t="s">
        <x:v>2343</x:v>
      </x:c>
      <x:c r="O1188" t="s">
        <x:v>422</x:v>
      </x:c>
      <x:c r="P1188" t="s">
        <x:v>2344</x:v>
      </x:c>
      <x:c r="R1188" s="9">
        <x:v>32543</x:v>
      </x:c>
      <x:c r="W1188" s="26" t="n">
        <x:v>6.5333333</x:v>
      </x:c>
      <x:c r="X1188" s="26" t="n">
        <x:v>-75.5</x:v>
      </x:c>
      <x:c r="AF1188" t="s">
        <x:v>50</x:v>
      </x:c>
      <x:c r="AG1188" t="s">
        <x:v>402</x:v>
      </x:c>
      <x:c r="AH1188" t="s">
        <x:v>2345</x:v>
      </x:c>
      <x:c r="AI1188" t="s">
        <x:v>7870</x:v>
      </x:c>
      <x:c r="AJ1188">
        <x:v>1269</x:v>
      </x:c>
    </x:row>
    <x:row r="1189">
      <x:c r="A1189" t="s">
        <x:v>7761</x:v>
      </x:c>
      <x:c r="B1189" t="s">
        <x:v>7762</x:v>
      </x:c>
      <x:c r="C1189" t="s">
        <x:v>7871</x:v>
      </x:c>
      <x:c r="D1189" t="s">
        <x:v>7872</x:v>
      </x:c>
      <x:c r="E1189" t="s">
        <x:v>7873</x:v>
      </x:c>
      <x:c r="F1189">
        <x:v>2200</x:v>
      </x:c>
      <x:c r="G1189">
        <x:v>2200</x:v>
      </x:c>
      <x:c r="H1189">
        <x:v>2200</x:v>
      </x:c>
      <x:c r="I1189" t="s">
        <x:v>7874</x:v>
      </x:c>
      <x:c r="J1189" t="s">
        <x:v>7875</x:v>
      </x:c>
      <x:c r="K1189" t="s">
        <x:v>7876</x:v>
      </x:c>
      <x:c r="L1189" t="s">
        <x:v>7877</x:v>
      </x:c>
      <x:c r="M1189" t="s">
        <x:v>7878</x:v>
      </x:c>
      <x:c r="N1189" t="s">
        <x:v>7879</x:v>
      </x:c>
      <x:c r="O1189" t="s">
        <x:v>7880</x:v>
      </x:c>
      <x:c r="P1189" t="s">
        <x:v>7881</x:v>
      </x:c>
      <x:c r="R1189" s="9">
        <x:v>32818</x:v>
      </x:c>
      <x:c r="W1189" s="26" t="n">
        <x:v>6.2022472</x:v>
      </x:c>
      <x:c r="X1189" s="26" t="n">
        <x:v>-75.5181167</x:v>
      </x:c>
      <x:c r="AF1189" t="s">
        <x:v>50</x:v>
      </x:c>
      <x:c r="AG1189" t="s">
        <x:v>402</x:v>
      </x:c>
      <x:c r="AH1189" t="s">
        <x:v>7882</x:v>
      </x:c>
      <x:c r="AI1189" t="s">
        <x:v>7883</x:v>
      </x:c>
      <x:c r="AJ1189">
        <x:v>1271</x:v>
      </x:c>
    </x:row>
    <x:row r="1190">
      <x:c r="A1190" t="s">
        <x:v>7761</x:v>
      </x:c>
      <x:c r="B1190" t="s">
        <x:v>7762</x:v>
      </x:c>
      <x:c r="C1190" t="s">
        <x:v>7884</x:v>
      </x:c>
      <x:c r="D1190" t="s">
        <x:v>7885</x:v>
      </x:c>
      <x:c r="E1190" t="s">
        <x:v>7886</x:v>
      </x:c>
      <x:c r="F1190">
        <x:v>2300</x:v>
      </x:c>
      <x:c r="G1190">
        <x:v>2300</x:v>
      </x:c>
      <x:c r="H1190">
        <x:v>2300</x:v>
      </x:c>
      <x:c r="I1190" t="s">
        <x:v>4492</x:v>
      </x:c>
      <x:c r="J1190" t="s">
        <x:v>4493</x:v>
      </x:c>
      <x:c r="K1190" t="s">
        <x:v>4494</x:v>
      </x:c>
      <x:c r="L1190" t="s">
        <x:v>4495</x:v>
      </x:c>
      <x:c r="M1190" t="s">
        <x:v>4496</x:v>
      </x:c>
      <x:c r="N1190" t="s">
        <x:v>4497</x:v>
      </x:c>
      <x:c r="O1190" t="s">
        <x:v>4498</x:v>
      </x:c>
      <x:c r="P1190" t="s">
        <x:v>4499</x:v>
      </x:c>
      <x:c r="R1190" s="9">
        <x:v>34887</x:v>
      </x:c>
      <x:c r="W1190" s="26" t="n">
        <x:v>6.2666667</x:v>
      </x:c>
      <x:c r="X1190" s="26" t="n">
        <x:v>-75.5666667</x:v>
      </x:c>
      <x:c r="AF1190" t="s">
        <x:v>50</x:v>
      </x:c>
      <x:c r="AG1190" t="s">
        <x:v>402</x:v>
      </x:c>
      <x:c r="AH1190" t="s">
        <x:v>855</x:v>
      </x:c>
      <x:c r="AI1190" t="s">
        <x:v>7887</x:v>
      </x:c>
      <x:c r="AJ1190">
        <x:v>1273</x:v>
      </x:c>
    </x:row>
    <x:row r="1191">
      <x:c r="A1191" t="s">
        <x:v>7761</x:v>
      </x:c>
      <x:c r="B1191" t="s">
        <x:v>7762</x:v>
      </x:c>
      <x:c r="C1191" t="s">
        <x:v>7888</x:v>
      </x:c>
      <x:c r="D1191" t="s">
        <x:v>7889</x:v>
      </x:c>
      <x:c r="E1191" t="s">
        <x:v>7890</x:v>
      </x:c>
      <x:c r="F1191">
        <x:v>2800</x:v>
      </x:c>
      <x:c r="G1191">
        <x:v>2800</x:v>
      </x:c>
      <x:c r="H1191">
        <x:v>2800</x:v>
      </x:c>
      <x:c r="I1191" t="s">
        <x:v>7891</x:v>
      </x:c>
      <x:c r="J1191" t="s">
        <x:v>7892</x:v>
      </x:c>
      <x:c r="K1191" t="s">
        <x:v>4528</x:v>
      </x:c>
      <x:c r="L1191" t="s">
        <x:v>2445</x:v>
      </x:c>
      <x:c r="M1191" t="s">
        <x:v>7893</x:v>
      </x:c>
      <x:c r="N1191" t="s">
        <x:v>7894</x:v>
      </x:c>
      <x:c r="O1191" t="s">
        <x:v>2448</x:v>
      </x:c>
      <x:c r="P1191" t="s">
        <x:v>7895</x:v>
      </x:c>
      <x:c r="R1191" s="9">
        <x:v>35412</x:v>
      </x:c>
      <x:c r="W1191" s="26" t="n">
        <x:v>6.3219444</x:v>
      </x:c>
      <x:c r="X1191" s="26" t="n">
        <x:v>-75.5858333</x:v>
      </x:c>
      <x:c r="Z1191">
        <x:v>2672</x:v>
      </x:c>
      <x:c r="AB1191" t="s">
        <x:v>7896</x:v>
      </x:c>
      <x:c r="AF1191" t="s">
        <x:v>50</x:v>
      </x:c>
      <x:c r="AG1191" t="s">
        <x:v>402</x:v>
      </x:c>
      <x:c r="AH1191" t="s">
        <x:v>2450</x:v>
      </x:c>
      <x:c r="AI1191" t="s">
        <x:v>7897</x:v>
      </x:c>
      <x:c r="AJ1191">
        <x:v>1274</x:v>
      </x:c>
    </x:row>
    <x:row r="1192">
      <x:c r="A1192" t="s">
        <x:v>7761</x:v>
      </x:c>
      <x:c r="B1192" t="s">
        <x:v>7762</x:v>
      </x:c>
      <x:c r="C1192" t="s">
        <x:v>7898</x:v>
      </x:c>
      <x:c r="D1192" t="s">
        <x:v>7899</x:v>
      </x:c>
      <x:c r="E1192" t="s">
        <x:v>7900</x:v>
      </x:c>
      <x:c r="F1192">
        <x:v>2800</x:v>
      </x:c>
      <x:c r="G1192">
        <x:v>2800</x:v>
      </x:c>
      <x:c r="H1192">
        <x:v>2800</x:v>
      </x:c>
      <x:c r="I1192" t="s">
        <x:v>7901</x:v>
      </x:c>
      <x:c r="J1192" t="s">
        <x:v>7902</x:v>
      </x:c>
      <x:c r="K1192" t="s">
        <x:v>443</x:v>
      </x:c>
      <x:c r="L1192" t="s">
        <x:v>444</x:v>
      </x:c>
      <x:c r="M1192" t="s">
        <x:v>7903</x:v>
      </x:c>
      <x:c r="N1192" t="s">
        <x:v>446</x:v>
      </x:c>
      <x:c r="O1192" t="s">
        <x:v>447</x:v>
      </x:c>
      <x:c r="P1192" t="s">
        <x:v>448</x:v>
      </x:c>
      <x:c r="R1192" s="9">
        <x:v>36198</x:v>
      </x:c>
      <x:c r="T1192" t="s">
        <x:v>119</x:v>
      </x:c>
      <x:c r="W1192" s="26" t="n">
        <x:v>1.1758972</x:v>
      </x:c>
      <x:c r="X1192" s="26" t="n">
        <x:v>-76.8793556</x:v>
      </x:c>
      <x:c r="AF1192" t="s">
        <x:v>50</x:v>
      </x:c>
      <x:c r="AG1192" t="s">
        <x:v>67</x:v>
      </x:c>
      <x:c r="AH1192" t="s">
        <x:v>449</x:v>
      </x:c>
      <x:c r="AI1192" t="s">
        <x:v>7904</x:v>
      </x:c>
      <x:c r="AJ1192">
        <x:v>1275</x:v>
      </x:c>
    </x:row>
    <x:row r="1193">
      <x:c r="A1193" t="s">
        <x:v>7761</x:v>
      </x:c>
      <x:c r="B1193" t="s">
        <x:v>7762</x:v>
      </x:c>
      <x:c r="C1193" t="s">
        <x:v>7905</x:v>
      </x:c>
      <x:c r="D1193" t="s">
        <x:v>7906</x:v>
      </x:c>
      <x:c r="E1193" t="s">
        <x:v>7907</x:v>
      </x:c>
      <x:c r="F1193">
        <x:v>2400</x:v>
      </x:c>
      <x:c r="G1193">
        <x:v>2400</x:v>
      </x:c>
      <x:c r="H1193">
        <x:v>2400</x:v>
      </x:c>
      <x:c r="I1193" t="s">
        <x:v>7908</x:v>
      </x:c>
      <x:c r="J1193" t="s">
        <x:v>7909</x:v>
      </x:c>
      <x:c r="K1193" t="s">
        <x:v>1070</x:v>
      </x:c>
      <x:c r="L1193" t="s">
        <x:v>1071</x:v>
      </x:c>
      <x:c r="M1193" t="s">
        <x:v>7910</x:v>
      </x:c>
      <x:c r="N1193" t="s">
        <x:v>7911</x:v>
      </x:c>
      <x:c r="O1193" t="s">
        <x:v>1074</x:v>
      </x:c>
      <x:c r="P1193" t="s">
        <x:v>7912</x:v>
      </x:c>
      <x:c r="R1193" s="9">
        <x:v>36818</x:v>
      </x:c>
      <x:c r="T1193" t="s">
        <x:v>119</x:v>
      </x:c>
      <x:c r="W1193" s="26" t="n">
        <x:v>6.2621111</x:v>
      </x:c>
      <x:c r="X1193" s="26" t="n">
        <x:v>-75.5084722</x:v>
      </x:c>
      <x:c r="AF1193" t="s">
        <x:v>50</x:v>
      </x:c>
      <x:c r="AG1193" t="s">
        <x:v>402</x:v>
      </x:c>
      <x:c r="AH1193" t="s">
        <x:v>855</x:v>
      </x:c>
      <x:c r="AI1193" t="s">
        <x:v>7913</x:v>
      </x:c>
      <x:c r="AJ1193">
        <x:v>1276</x:v>
      </x:c>
    </x:row>
    <x:row r="1194">
      <x:c r="A1194" t="s">
        <x:v>7761</x:v>
      </x:c>
      <x:c r="B1194" t="s">
        <x:v>7762</x:v>
      </x:c>
      <x:c r="C1194" t="s">
        <x:v>7905</x:v>
      </x:c>
      <x:c r="D1194" t="s">
        <x:v>7914</x:v>
      </x:c>
      <x:c r="E1194" t="s">
        <x:v>7907</x:v>
      </x:c>
      <x:c r="F1194">
        <x:v>2400</x:v>
      </x:c>
      <x:c r="G1194">
        <x:v>2400</x:v>
      </x:c>
      <x:c r="H1194">
        <x:v>2400</x:v>
      </x:c>
      <x:c r="I1194" t="s">
        <x:v>7908</x:v>
      </x:c>
      <x:c r="J1194" t="s">
        <x:v>7909</x:v>
      </x:c>
      <x:c r="K1194" t="s">
        <x:v>1070</x:v>
      </x:c>
      <x:c r="L1194" t="s">
        <x:v>1071</x:v>
      </x:c>
      <x:c r="M1194" t="s">
        <x:v>7910</x:v>
      </x:c>
      <x:c r="N1194" t="s">
        <x:v>7911</x:v>
      </x:c>
      <x:c r="O1194" t="s">
        <x:v>1074</x:v>
      </x:c>
      <x:c r="P1194" t="s">
        <x:v>7912</x:v>
      </x:c>
      <x:c r="R1194" s="9">
        <x:v>36818</x:v>
      </x:c>
      <x:c r="W1194" s="26" t="n">
        <x:v>6.2621111</x:v>
      </x:c>
      <x:c r="X1194" s="26" t="n">
        <x:v>-75.5084722</x:v>
      </x:c>
      <x:c r="AF1194" t="s">
        <x:v>50</x:v>
      </x:c>
      <x:c r="AG1194" t="s">
        <x:v>402</x:v>
      </x:c>
      <x:c r="AH1194" t="s">
        <x:v>855</x:v>
      </x:c>
      <x:c r="AI1194" t="s">
        <x:v>7913</x:v>
      </x:c>
      <x:c r="AJ1194">
        <x:v>1277</x:v>
      </x:c>
    </x:row>
    <x:row r="1195">
      <x:c r="A1195" t="s">
        <x:v>7761</x:v>
      </x:c>
      <x:c r="B1195" t="s">
        <x:v>7762</x:v>
      </x:c>
      <x:c r="C1195" t="s">
        <x:v>7905</x:v>
      </x:c>
      <x:c r="D1195" t="s">
        <x:v>7915</x:v>
      </x:c>
      <x:c r="E1195" t="s">
        <x:v>7907</x:v>
      </x:c>
      <x:c r="F1195">
        <x:v>2400</x:v>
      </x:c>
      <x:c r="G1195">
        <x:v>2400</x:v>
      </x:c>
      <x:c r="H1195">
        <x:v>2400</x:v>
      </x:c>
      <x:c r="I1195" t="s">
        <x:v>7908</x:v>
      </x:c>
      <x:c r="J1195" t="s">
        <x:v>7909</x:v>
      </x:c>
      <x:c r="K1195" t="s">
        <x:v>1070</x:v>
      </x:c>
      <x:c r="L1195" t="s">
        <x:v>1071</x:v>
      </x:c>
      <x:c r="M1195" t="s">
        <x:v>7910</x:v>
      </x:c>
      <x:c r="N1195" t="s">
        <x:v>7911</x:v>
      </x:c>
      <x:c r="O1195" t="s">
        <x:v>1074</x:v>
      </x:c>
      <x:c r="P1195" t="s">
        <x:v>7912</x:v>
      </x:c>
      <x:c r="R1195" s="9">
        <x:v>36818</x:v>
      </x:c>
      <x:c r="W1195" s="26" t="n">
        <x:v>6.2621111</x:v>
      </x:c>
      <x:c r="X1195" s="26" t="n">
        <x:v>-75.5084722</x:v>
      </x:c>
      <x:c r="AF1195" t="s">
        <x:v>50</x:v>
      </x:c>
      <x:c r="AG1195" t="s">
        <x:v>402</x:v>
      </x:c>
      <x:c r="AH1195" t="s">
        <x:v>855</x:v>
      </x:c>
      <x:c r="AI1195" t="s">
        <x:v>7913</x:v>
      </x:c>
      <x:c r="AJ1195">
        <x:v>1278</x:v>
      </x:c>
    </x:row>
    <x:row r="1196">
      <x:c r="A1196" t="s">
        <x:v>7761</x:v>
      </x:c>
      <x:c r="B1196" t="s">
        <x:v>7762</x:v>
      </x:c>
      <x:c r="C1196" t="s">
        <x:v>7916</x:v>
      </x:c>
      <x:c r="D1196" t="s">
        <x:v>7917</x:v>
      </x:c>
      <x:c r="E1196" t="s">
        <x:v>7918</x:v>
      </x:c>
      <x:c r="F1196">
        <x:v>2600</x:v>
      </x:c>
      <x:c r="G1196">
        <x:v>2600</x:v>
      </x:c>
      <x:c r="H1196">
        <x:v>2600</x:v>
      </x:c>
      <x:c r="I1196" t="s">
        <x:v>3640</x:v>
      </x:c>
      <x:c r="J1196" t="s">
        <x:v>3641</x:v>
      </x:c>
      <x:c r="K1196" t="s">
        <x:v>3642</x:v>
      </x:c>
      <x:c r="L1196" t="s">
        <x:v>3643</x:v>
      </x:c>
      <x:c r="M1196" t="s">
        <x:v>3644</x:v>
      </x:c>
      <x:c r="N1196" t="s">
        <x:v>3645</x:v>
      </x:c>
      <x:c r="O1196" t="s">
        <x:v>3646</x:v>
      </x:c>
      <x:c r="P1196" t="s">
        <x:v>3647</x:v>
      </x:c>
      <x:c r="R1196" s="9">
        <x:v>36903</x:v>
      </x:c>
      <x:c r="W1196" s="26" t="n">
        <x:v>6.2035</x:v>
      </x:c>
      <x:c r="X1196" s="26" t="n">
        <x:v>-75.48725</x:v>
      </x:c>
      <x:c r="AF1196" t="s">
        <x:v>50</x:v>
      </x:c>
      <x:c r="AG1196" t="s">
        <x:v>402</x:v>
      </x:c>
      <x:c r="AH1196" t="s">
        <x:v>855</x:v>
      </x:c>
      <x:c r="AI1196" t="s">
        <x:v>7919</x:v>
      </x:c>
      <x:c r="AJ1196">
        <x:v>1279</x:v>
      </x:c>
    </x:row>
    <x:row r="1197">
      <x:c r="A1197" t="s">
        <x:v>7761</x:v>
      </x:c>
      <x:c r="B1197" t="s">
        <x:v>7762</x:v>
      </x:c>
      <x:c r="C1197" t="s">
        <x:v>7920</x:v>
      </x:c>
      <x:c r="D1197" t="s">
        <x:v>7921</x:v>
      </x:c>
      <x:c r="E1197" t="s">
        <x:v>7922</x:v>
      </x:c>
      <x:c r="F1197">
        <x:v>2465</x:v>
      </x:c>
      <x:c r="G1197">
        <x:v>2465</x:v>
      </x:c>
      <x:c r="H1197">
        <x:v>2465</x:v>
      </x:c>
      <x:c r="I1197" t="s">
        <x:v>7923</x:v>
      </x:c>
      <x:c r="J1197" t="s">
        <x:v>7924</x:v>
      </x:c>
      <x:c r="K1197" t="s">
        <x:v>7925</x:v>
      </x:c>
      <x:c r="L1197" t="s">
        <x:v>7926</x:v>
      </x:c>
      <x:c r="M1197" t="s">
        <x:v>7927</x:v>
      </x:c>
      <x:c r="N1197" t="s">
        <x:v>7928</x:v>
      </x:c>
      <x:c r="O1197" t="s">
        <x:v>7929</x:v>
      </x:c>
      <x:c r="P1197" t="s">
        <x:v>7930</x:v>
      </x:c>
      <x:c r="R1197" s="9">
        <x:v>37068</x:v>
      </x:c>
      <x:c r="W1197" s="26" t="n">
        <x:v>6.24974</x:v>
      </x:c>
      <x:c r="X1197" s="26" t="n">
        <x:v>-75.4854</x:v>
      </x:c>
      <x:c r="Y1197">
        <x:v>1065.097</x:v>
      </x:c>
      <x:c r="Z1197">
        <x:v>2500</x:v>
      </x:c>
      <x:c r="AB1197" t="s">
        <x:v>7931</x:v>
      </x:c>
      <x:c r="AF1197" t="s">
        <x:v>50</x:v>
      </x:c>
      <x:c r="AG1197" t="s">
        <x:v>402</x:v>
      </x:c>
      <x:c r="AH1197" t="s">
        <x:v>855</x:v>
      </x:c>
      <x:c r="AI1197" t="s">
        <x:v>7932</x:v>
      </x:c>
      <x:c r="AJ1197">
        <x:v>1280</x:v>
      </x:c>
    </x:row>
    <x:row r="1198">
      <x:c r="A1198" t="s">
        <x:v>7761</x:v>
      </x:c>
      <x:c r="B1198" t="s">
        <x:v>7762</x:v>
      </x:c>
      <x:c r="C1198" t="s">
        <x:v>7933</x:v>
      </x:c>
      <x:c r="D1198" t="s">
        <x:v>7934</x:v>
      </x:c>
      <x:c r="E1198" t="s">
        <x:v>7935</x:v>
      </x:c>
      <x:c r="F1198">
        <x:v>2600</x:v>
      </x:c>
      <x:c r="G1198">
        <x:v>2600</x:v>
      </x:c>
      <x:c r="H1198">
        <x:v>2600</x:v>
      </x:c>
      <x:c r="I1198" t="s">
        <x:v>7936</x:v>
      </x:c>
      <x:c r="J1198" t="s">
        <x:v>7937</x:v>
      </x:c>
      <x:c r="K1198" t="s">
        <x:v>7938</x:v>
      </x:c>
      <x:c r="L1198" t="s">
        <x:v>7939</x:v>
      </x:c>
      <x:c r="M1198" t="s">
        <x:v>7940</x:v>
      </x:c>
      <x:c r="N1198" t="s">
        <x:v>7941</x:v>
      </x:c>
      <x:c r="O1198" t="s">
        <x:v>7942</x:v>
      </x:c>
      <x:c r="P1198" t="s">
        <x:v>7943</x:v>
      </x:c>
      <x:c r="R1198" s="9">
        <x:v>37537</x:v>
      </x:c>
      <x:c r="W1198" s="26" t="n">
        <x:v>6.5870278</x:v>
      </x:c>
      <x:c r="X1198" s="26" t="n">
        <x:v>-75.6968889</x:v>
      </x:c>
      <x:c r="AF1198" t="s">
        <x:v>50</x:v>
      </x:c>
      <x:c r="AG1198" t="s">
        <x:v>402</x:v>
      </x:c>
      <x:c r="AH1198" t="s">
        <x:v>1710</x:v>
      </x:c>
      <x:c r="AI1198" t="s">
        <x:v>7944</x:v>
      </x:c>
      <x:c r="AJ1198">
        <x:v>1281</x:v>
      </x:c>
    </x:row>
    <x:row r="1199">
      <x:c r="A1199" t="s">
        <x:v>7761</x:v>
      </x:c>
      <x:c r="B1199" t="s">
        <x:v>7762</x:v>
      </x:c>
      <x:c r="C1199" t="s">
        <x:v>7933</x:v>
      </x:c>
      <x:c r="D1199" t="s">
        <x:v>7945</x:v>
      </x:c>
      <x:c r="E1199" t="s">
        <x:v>7935</x:v>
      </x:c>
      <x:c r="F1199">
        <x:v>2600</x:v>
      </x:c>
      <x:c r="G1199">
        <x:v>2600</x:v>
      </x:c>
      <x:c r="H1199">
        <x:v>2600</x:v>
      </x:c>
      <x:c r="I1199" t="s">
        <x:v>7936</x:v>
      </x:c>
      <x:c r="J1199" t="s">
        <x:v>7937</x:v>
      </x:c>
      <x:c r="K1199" t="s">
        <x:v>7938</x:v>
      </x:c>
      <x:c r="L1199" t="s">
        <x:v>7939</x:v>
      </x:c>
      <x:c r="M1199" t="s">
        <x:v>7940</x:v>
      </x:c>
      <x:c r="N1199" t="s">
        <x:v>7941</x:v>
      </x:c>
      <x:c r="O1199" t="s">
        <x:v>7942</x:v>
      </x:c>
      <x:c r="P1199" t="s">
        <x:v>7943</x:v>
      </x:c>
      <x:c r="R1199" s="9">
        <x:v>37537</x:v>
      </x:c>
      <x:c r="W1199" s="26" t="n">
        <x:v>6.5870278</x:v>
      </x:c>
      <x:c r="X1199" s="26" t="n">
        <x:v>-75.6968889</x:v>
      </x:c>
      <x:c r="AF1199" t="s">
        <x:v>50</x:v>
      </x:c>
      <x:c r="AG1199" t="s">
        <x:v>402</x:v>
      </x:c>
      <x:c r="AH1199" t="s">
        <x:v>1710</x:v>
      </x:c>
      <x:c r="AI1199" t="s">
        <x:v>7944</x:v>
      </x:c>
      <x:c r="AJ1199">
        <x:v>1282</x:v>
      </x:c>
    </x:row>
    <x:row r="1200">
      <x:c r="A1200" t="s">
        <x:v>7761</x:v>
      </x:c>
      <x:c r="B1200" t="s">
        <x:v>7762</x:v>
      </x:c>
      <x:c r="C1200" t="s">
        <x:v>7933</x:v>
      </x:c>
      <x:c r="D1200" t="s">
        <x:v>7946</x:v>
      </x:c>
      <x:c r="E1200" t="s">
        <x:v>7935</x:v>
      </x:c>
      <x:c r="F1200">
        <x:v>2600</x:v>
      </x:c>
      <x:c r="G1200">
        <x:v>2600</x:v>
      </x:c>
      <x:c r="H1200">
        <x:v>2600</x:v>
      </x:c>
      <x:c r="I1200" t="s">
        <x:v>7936</x:v>
      </x:c>
      <x:c r="J1200" t="s">
        <x:v>7937</x:v>
      </x:c>
      <x:c r="K1200" t="s">
        <x:v>7938</x:v>
      </x:c>
      <x:c r="L1200" t="s">
        <x:v>7939</x:v>
      </x:c>
      <x:c r="M1200" t="s">
        <x:v>7940</x:v>
      </x:c>
      <x:c r="N1200" t="s">
        <x:v>7941</x:v>
      </x:c>
      <x:c r="O1200" t="s">
        <x:v>7942</x:v>
      </x:c>
      <x:c r="P1200" t="s">
        <x:v>7943</x:v>
      </x:c>
      <x:c r="R1200" s="9">
        <x:v>37537</x:v>
      </x:c>
      <x:c r="T1200" t="s">
        <x:v>119</x:v>
      </x:c>
      <x:c r="W1200" s="26" t="n">
        <x:v>6.5870278</x:v>
      </x:c>
      <x:c r="X1200" s="26" t="n">
        <x:v>-75.6968889</x:v>
      </x:c>
      <x:c r="AF1200" t="s">
        <x:v>50</x:v>
      </x:c>
      <x:c r="AG1200" t="s">
        <x:v>402</x:v>
      </x:c>
      <x:c r="AH1200" t="s">
        <x:v>1710</x:v>
      </x:c>
      <x:c r="AI1200" t="s">
        <x:v>7944</x:v>
      </x:c>
      <x:c r="AJ1200">
        <x:v>1283</x:v>
      </x:c>
    </x:row>
    <x:row r="1201">
      <x:c r="A1201" t="s">
        <x:v>7761</x:v>
      </x:c>
      <x:c r="B1201" t="s">
        <x:v>7762</x:v>
      </x:c>
      <x:c r="C1201" t="s">
        <x:v>7947</x:v>
      </x:c>
      <x:c r="D1201" t="s">
        <x:v>7948</x:v>
      </x:c>
      <x:c r="E1201" t="s">
        <x:v>7949</x:v>
      </x:c>
      <x:c r="F1201">
        <x:v>2500</x:v>
      </x:c>
      <x:c r="G1201">
        <x:v>2500</x:v>
      </x:c>
      <x:c r="H1201">
        <x:v>2500</x:v>
      </x:c>
      <x:c r="I1201" t="s">
        <x:v>4595</x:v>
      </x:c>
      <x:c r="J1201" t="s">
        <x:v>974</x:v>
      </x:c>
      <x:c r="K1201" t="s">
        <x:v>4596</x:v>
      </x:c>
      <x:c r="L1201" t="s">
        <x:v>975</x:v>
      </x:c>
      <x:c r="M1201" t="s">
        <x:v>976</x:v>
      </x:c>
      <x:c r="N1201" t="s">
        <x:v>977</x:v>
      </x:c>
      <x:c r="O1201" t="s">
        <x:v>978</x:v>
      </x:c>
      <x:c r="P1201" t="s">
        <x:v>979</x:v>
      </x:c>
      <x:c r="R1201" s="9">
        <x:v>37667</x:v>
      </x:c>
      <x:c r="T1201" t="s">
        <x:v>119</x:v>
      </x:c>
      <x:c r="W1201" s="26" t="n">
        <x:v>6.2133333</x:v>
      </x:c>
      <x:c r="X1201" s="26" t="n">
        <x:v>-75.4922778</x:v>
      </x:c>
      <x:c r="AF1201" t="s">
        <x:v>50</x:v>
      </x:c>
      <x:c r="AG1201" t="s">
        <x:v>402</x:v>
      </x:c>
      <x:c r="AH1201" t="s">
        <x:v>855</x:v>
      </x:c>
      <x:c r="AI1201" t="s">
        <x:v>7950</x:v>
      </x:c>
      <x:c r="AJ1201">
        <x:v>1284</x:v>
      </x:c>
    </x:row>
    <x:row r="1202">
      <x:c r="A1202" t="s">
        <x:v>7761</x:v>
      </x:c>
      <x:c r="B1202" t="s">
        <x:v>7762</x:v>
      </x:c>
      <x:c r="C1202" t="s">
        <x:v>7951</x:v>
      </x:c>
      <x:c r="D1202" t="s">
        <x:v>7952</x:v>
      </x:c>
      <x:c r="E1202" t="s">
        <x:v>7953</x:v>
      </x:c>
      <x:c r="F1202">
        <x:v>2800</x:v>
      </x:c>
      <x:c r="G1202">
        <x:v>2800</x:v>
      </x:c>
      <x:c r="H1202">
        <x:v>2800</x:v>
      </x:c>
      <x:c r="P1202" t="s">
        <x:v>80</x:v>
      </x:c>
      <x:c r="R1202" s="9">
        <x:v>37878</x:v>
      </x:c>
      <x:c r="T1202" t="s">
        <x:v>111</x:v>
      </x:c>
      <x:c r="W1202" s="26" t="n">
        <x:v>4.99108</x:v>
      </x:c>
      <x:c r="X1202" s="26" t="n">
        <x:v>-74.13834</x:v>
      </x:c>
      <x:c r="Y1202">
        <x:v>1133.2280000000001</x:v>
      </x:c>
      <x:c r="Z1202">
        <x:v>2699</x:v>
      </x:c>
      <x:c r="AB1202" t="s">
        <x:v>7954</x:v>
      </x:c>
      <x:c r="AF1202" t="s">
        <x:v>50</x:v>
      </x:c>
      <x:c r="AG1202" t="s">
        <x:v>98</x:v>
      </x:c>
      <x:c r="AH1202" t="s">
        <x:v>4947</x:v>
      </x:c>
      <x:c r="AI1202" t="s">
        <x:v>7955</x:v>
      </x:c>
      <x:c r="AJ1202">
        <x:v>1285</x:v>
      </x:c>
    </x:row>
    <x:row r="1203">
      <x:c r="A1203" t="s">
        <x:v>7761</x:v>
      </x:c>
      <x:c r="B1203" t="s">
        <x:v>7762</x:v>
      </x:c>
      <x:c r="C1203" t="s">
        <x:v>7956</x:v>
      </x:c>
      <x:c r="D1203" t="s">
        <x:v>7957</x:v>
      </x:c>
      <x:c r="E1203" t="s">
        <x:v>7958</x:v>
      </x:c>
      <x:c r="F1203" t="s">
        <x:v>1025</x:v>
      </x:c>
      <x:c r="G1203">
        <x:v>2150</x:v>
      </x:c>
      <x:c r="H1203">
        <x:v>2250</x:v>
      </x:c>
      <x:c r="I1203" t="s">
        <x:v>4614</x:v>
      </x:c>
      <x:c r="J1203" t="s">
        <x:v>4615</x:v>
      </x:c>
      <x:c r="K1203" t="s">
        <x:v>4616</x:v>
      </x:c>
      <x:c r="L1203" t="s">
        <x:v>4617</x:v>
      </x:c>
      <x:c r="M1203" t="s">
        <x:v>4618</x:v>
      </x:c>
      <x:c r="N1203" t="s">
        <x:v>4619</x:v>
      </x:c>
      <x:c r="O1203" t="s">
        <x:v>2603</x:v>
      </x:c>
      <x:c r="P1203" t="s">
        <x:v>4620</x:v>
      </x:c>
      <x:c r="R1203" s="9">
        <x:v>38342</x:v>
      </x:c>
      <x:c r="W1203" s="26" t="n">
        <x:v>5.98865</x:v>
      </x:c>
      <x:c r="X1203" s="26" t="n">
        <x:v>-75.63363</x:v>
      </x:c>
      <x:c r="Y1203">
        <x:v>1605.1479999999999</x:v>
      </x:c>
      <x:c r="Z1203">
        <x:v>1982</x:v>
      </x:c>
      <x:c r="AB1203" t="s">
        <x:v>7959</x:v>
      </x:c>
      <x:c r="AF1203" t="s">
        <x:v>50</x:v>
      </x:c>
      <x:c r="AG1203" t="s">
        <x:v>402</x:v>
      </x:c>
      <x:c r="AH1203" t="s">
        <x:v>7960</x:v>
      </x:c>
      <x:c r="AI1203" t="s">
        <x:v>7961</x:v>
      </x:c>
      <x:c r="AJ1203">
        <x:v>1286</x:v>
      </x:c>
    </x:row>
    <x:row r="1204">
      <x:c r="A1204" t="s">
        <x:v>7761</x:v>
      </x:c>
      <x:c r="B1204" t="s">
        <x:v>7762</x:v>
      </x:c>
      <x:c r="C1204" t="s">
        <x:v>7962</x:v>
      </x:c>
      <x:c r="D1204" t="s">
        <x:v>7963</x:v>
      </x:c>
      <x:c r="E1204" t="s">
        <x:v>7964</x:v>
      </x:c>
      <x:c r="F1204">
        <x:v>2725</x:v>
      </x:c>
      <x:c r="G1204">
        <x:v>2725</x:v>
      </x:c>
      <x:c r="H1204">
        <x:v>2725</x:v>
      </x:c>
      <x:c r="I1204" t="s">
        <x:v>5811</x:v>
      </x:c>
      <x:c r="J1204" t="s">
        <x:v>5812</x:v>
      </x:c>
      <x:c r="K1204" t="s">
        <x:v>5813</x:v>
      </x:c>
      <x:c r="L1204" t="s">
        <x:v>5814</x:v>
      </x:c>
      <x:c r="M1204" t="s">
        <x:v>5815</x:v>
      </x:c>
      <x:c r="N1204" t="s">
        <x:v>5816</x:v>
      </x:c>
      <x:c r="O1204" t="s">
        <x:v>5817</x:v>
      </x:c>
      <x:c r="P1204" t="s">
        <x:v>5818</x:v>
      </x:c>
      <x:c r="R1204" s="9">
        <x:v>39016</x:v>
      </x:c>
      <x:c r="W1204" s="26" t="n">
        <x:v>6.2546472</x:v>
      </x:c>
      <x:c r="X1204" s="26" t="n">
        <x:v>-75.7113861</x:v>
      </x:c>
      <x:c r="AF1204" t="s">
        <x:v>50</x:v>
      </x:c>
      <x:c r="AG1204" t="s">
        <x:v>402</x:v>
      </x:c>
      <x:c r="AH1204" t="s">
        <x:v>855</x:v>
      </x:c>
      <x:c r="AI1204" t="s">
        <x:v>7965</x:v>
      </x:c>
      <x:c r="AJ1204">
        <x:v>1287</x:v>
      </x:c>
    </x:row>
    <x:row r="1205">
      <x:c r="A1205" t="s">
        <x:v>7761</x:v>
      </x:c>
      <x:c r="B1205" t="s">
        <x:v>7762</x:v>
      </x:c>
      <x:c r="C1205" t="s">
        <x:v>7966</x:v>
      </x:c>
      <x:c r="D1205" t="s">
        <x:v>7967</x:v>
      </x:c>
      <x:c r="E1205" t="s">
        <x:v>7968</x:v>
      </x:c>
      <x:c r="F1205">
        <x:v>2725</x:v>
      </x:c>
      <x:c r="G1205">
        <x:v>2725</x:v>
      </x:c>
      <x:c r="H1205">
        <x:v>2725</x:v>
      </x:c>
      <x:c r="I1205" t="s">
        <x:v>7969</x:v>
      </x:c>
      <x:c r="J1205" t="s">
        <x:v>7970</x:v>
      </x:c>
      <x:c r="K1205" t="s">
        <x:v>7971</x:v>
      </x:c>
      <x:c r="L1205" t="s">
        <x:v>7972</x:v>
      </x:c>
      <x:c r="M1205" t="s">
        <x:v>7973</x:v>
      </x:c>
      <x:c r="N1205" t="s">
        <x:v>7974</x:v>
      </x:c>
      <x:c r="O1205" t="s">
        <x:v>7975</x:v>
      </x:c>
      <x:c r="P1205" t="s">
        <x:v>7976</x:v>
      </x:c>
      <x:c r="R1205" s="9">
        <x:v>39017</x:v>
      </x:c>
      <x:c r="W1205" s="26" t="n">
        <x:v>6.2509611</x:v>
      </x:c>
      <x:c r="X1205" s="26" t="n">
        <x:v>-75.7125111</x:v>
      </x:c>
      <x:c r="AF1205" t="s">
        <x:v>50</x:v>
      </x:c>
      <x:c r="AG1205" t="s">
        <x:v>402</x:v>
      </x:c>
      <x:c r="AH1205" t="s">
        <x:v>855</x:v>
      </x:c>
      <x:c r="AI1205" t="s">
        <x:v>7977</x:v>
      </x:c>
      <x:c r="AJ1205">
        <x:v>1288</x:v>
      </x:c>
    </x:row>
    <x:row r="1206">
      <x:c r="A1206" t="s">
        <x:v>7761</x:v>
      </x:c>
      <x:c r="B1206" t="s">
        <x:v>7762</x:v>
      </x:c>
      <x:c r="C1206" t="s">
        <x:v>7978</x:v>
      </x:c>
      <x:c r="D1206" t="s">
        <x:v>7979</x:v>
      </x:c>
      <x:c r="E1206" t="s">
        <x:v>7980</x:v>
      </x:c>
      <x:c r="F1206">
        <x:v>1950</x:v>
      </x:c>
      <x:c r="G1206">
        <x:v>1950</x:v>
      </x:c>
      <x:c r="H1206">
        <x:v>1950</x:v>
      </x:c>
      <x:c r="I1206" t="s">
        <x:v>7981</x:v>
      </x:c>
      <x:c r="J1206" t="s">
        <x:v>7982</x:v>
      </x:c>
      <x:c r="K1206" t="s">
        <x:v>7983</x:v>
      </x:c>
      <x:c r="L1206" t="s">
        <x:v>7984</x:v>
      </x:c>
      <x:c r="M1206" t="s">
        <x:v>7985</x:v>
      </x:c>
      <x:c r="N1206" t="s">
        <x:v>7986</x:v>
      </x:c>
      <x:c r="O1206" t="s">
        <x:v>7987</x:v>
      </x:c>
      <x:c r="P1206" t="s">
        <x:v>7988</x:v>
      </x:c>
      <x:c r="R1206" s="9">
        <x:v>39022</x:v>
      </x:c>
      <x:c r="W1206" s="26" t="n">
        <x:v>2.5450833</x:v>
      </x:c>
      <x:c r="X1206" s="26" t="n">
        <x:v>-75.808375</x:v>
      </x:c>
      <x:c r="AF1206" t="s">
        <x:v>50</x:v>
      </x:c>
      <x:c r="AG1206" t="s">
        <x:v>51</x:v>
      </x:c>
      <x:c r="AH1206" t="s">
        <x:v>2951</x:v>
      </x:c>
      <x:c r="AI1206" t="s">
        <x:v>7989</x:v>
      </x:c>
      <x:c r="AJ1206">
        <x:v>1289</x:v>
      </x:c>
    </x:row>
    <x:row r="1207">
      <x:c r="A1207" t="s">
        <x:v>7761</x:v>
      </x:c>
      <x:c r="B1207" t="s">
        <x:v>7762</x:v>
      </x:c>
      <x:c r="C1207" t="s">
        <x:v>7990</x:v>
      </x:c>
      <x:c r="D1207" t="s">
        <x:v>7991</x:v>
      </x:c>
      <x:c r="E1207" t="s">
        <x:v>7992</x:v>
      </x:c>
      <x:c r="F1207">
        <x:v>2430</x:v>
      </x:c>
      <x:c r="G1207">
        <x:v>2430</x:v>
      </x:c>
      <x:c r="H1207">
        <x:v>2430</x:v>
      </x:c>
      <x:c r="I1207" t="s">
        <x:v>3600</x:v>
      </x:c>
      <x:c r="J1207" t="s">
        <x:v>3601</x:v>
      </x:c>
      <x:c r="K1207" t="s">
        <x:v>3602</x:v>
      </x:c>
      <x:c r="L1207" t="s">
        <x:v>3603</x:v>
      </x:c>
      <x:c r="M1207" t="s">
        <x:v>3604</x:v>
      </x:c>
      <x:c r="N1207" t="s">
        <x:v>2647</x:v>
      </x:c>
      <x:c r="O1207" t="s">
        <x:v>2648</x:v>
      </x:c>
      <x:c r="P1207" t="s">
        <x:v>2649</x:v>
      </x:c>
      <x:c r="R1207" s="9">
        <x:v>39029</x:v>
      </x:c>
      <x:c r="W1207" s="26" t="n">
        <x:v>6.2110278</x:v>
      </x:c>
      <x:c r="X1207" s="26" t="n">
        <x:v>-75.6551389</x:v>
      </x:c>
      <x:c r="AF1207" t="s">
        <x:v>50</x:v>
      </x:c>
      <x:c r="AG1207" t="s">
        <x:v>402</x:v>
      </x:c>
      <x:c r="AH1207" t="s">
        <x:v>855</x:v>
      </x:c>
      <x:c r="AI1207" t="s">
        <x:v>7993</x:v>
      </x:c>
      <x:c r="AJ1207">
        <x:v>1290</x:v>
      </x:c>
    </x:row>
    <x:row r="1208">
      <x:c r="A1208" t="s">
        <x:v>7761</x:v>
      </x:c>
      <x:c r="B1208" t="s">
        <x:v>7762</x:v>
      </x:c>
      <x:c r="C1208" t="s">
        <x:v>7994</x:v>
      </x:c>
      <x:c r="D1208" t="s">
        <x:v>1820</x:v>
      </x:c>
      <x:c r="E1208" t="s">
        <x:v>7995</x:v>
      </x:c>
      <x:c r="F1208">
        <x:v>2147</x:v>
      </x:c>
      <x:c r="G1208">
        <x:v>2147</x:v>
      </x:c>
      <x:c r="H1208">
        <x:v>2147</x:v>
      </x:c>
      <x:c r="I1208" t="s">
        <x:v>4066</x:v>
      </x:c>
      <x:c r="J1208" t="s">
        <x:v>4067</x:v>
      </x:c>
      <x:c r="K1208" t="s">
        <x:v>5001</x:v>
      </x:c>
      <x:c r="L1208" t="s">
        <x:v>5002</x:v>
      </x:c>
      <x:c r="M1208" t="s">
        <x:v>7996</x:v>
      </x:c>
      <x:c r="N1208" t="s">
        <x:v>7997</x:v>
      </x:c>
      <x:c r="O1208" t="s">
        <x:v>294</x:v>
      </x:c>
      <x:c r="P1208" t="s">
        <x:v>7998</x:v>
      </x:c>
      <x:c r="R1208" s="9">
        <x:v>39995</x:v>
      </x:c>
      <x:c r="T1208" t="s">
        <x:v>119</x:v>
      </x:c>
      <x:c r="W1208" s="26" t="n">
        <x:v>1.9998611</x:v>
      </x:c>
      <x:c r="X1208" s="26" t="n">
        <x:v>-76.2855028</x:v>
      </x:c>
      <x:c r="AF1208" t="s">
        <x:v>50</x:v>
      </x:c>
      <x:c r="AG1208" t="s">
        <x:v>51</x:v>
      </x:c>
      <x:c r="AH1208" t="s">
        <x:v>52</x:v>
      </x:c>
      <x:c r="AI1208" t="s">
        <x:v>7999</x:v>
      </x:c>
      <x:c r="AJ1208">
        <x:v>1291</x:v>
      </x:c>
    </x:row>
    <x:row r="1209">
      <x:c r="A1209" t="s">
        <x:v>7761</x:v>
      </x:c>
      <x:c r="B1209" t="s">
        <x:v>7762</x:v>
      </x:c>
      <x:c r="C1209" t="s">
        <x:v>8000</x:v>
      </x:c>
      <x:c r="D1209" t="s">
        <x:v>1820</x:v>
      </x:c>
      <x:c r="E1209" t="s">
        <x:v>8001</x:v>
      </x:c>
      <x:c r="F1209">
        <x:v>1925</x:v>
      </x:c>
      <x:c r="G1209">
        <x:v>1925</x:v>
      </x:c>
      <x:c r="H1209">
        <x:v>1925</x:v>
      </x:c>
      <x:c r="I1209" t="s">
        <x:v>5007</x:v>
      </x:c>
      <x:c r="J1209" t="s">
        <x:v>5008</x:v>
      </x:c>
      <x:c r="K1209" t="s">
        <x:v>5009</x:v>
      </x:c>
      <x:c r="L1209" t="s">
        <x:v>5010</x:v>
      </x:c>
      <x:c r="M1209" t="s">
        <x:v>5011</x:v>
      </x:c>
      <x:c r="N1209" t="s">
        <x:v>2958</x:v>
      </x:c>
      <x:c r="O1209" t="s">
        <x:v>329</x:v>
      </x:c>
      <x:c r="P1209" t="s">
        <x:v>2959</x:v>
      </x:c>
      <x:c r="R1209" s="9">
        <x:v>40022</x:v>
      </x:c>
      <x:c r="T1209" t="s">
        <x:v>119</x:v>
      </x:c>
      <x:c r="W1209" s="26" t="n">
        <x:v>1.7689806</x:v>
      </x:c>
      <x:c r="X1209" s="26" t="n">
        <x:v>-76.0187333</x:v>
      </x:c>
      <x:c r="AF1209" t="s">
        <x:v>50</x:v>
      </x:c>
      <x:c r="AG1209" t="s">
        <x:v>51</x:v>
      </x:c>
      <x:c r="AH1209" t="s">
        <x:v>140</x:v>
      </x:c>
      <x:c r="AI1209" t="s">
        <x:v>8002</x:v>
      </x:c>
      <x:c r="AJ1209">
        <x:v>1292</x:v>
      </x:c>
    </x:row>
    <x:row r="1210">
      <x:c r="A1210" t="s">
        <x:v>7761</x:v>
      </x:c>
      <x:c r="B1210" t="s">
        <x:v>7762</x:v>
      </x:c>
      <x:c r="C1210" t="s">
        <x:v>8003</x:v>
      </x:c>
      <x:c r="D1210" t="s">
        <x:v>8004</x:v>
      </x:c>
      <x:c r="E1210" t="s">
        <x:v>8005</x:v>
      </x:c>
      <x:c r="F1210">
        <x:v>1850</x:v>
      </x:c>
      <x:c r="G1210">
        <x:v>1850</x:v>
      </x:c>
      <x:c r="H1210">
        <x:v>1850</x:v>
      </x:c>
      <x:c r="I1210" t="s">
        <x:v>8006</x:v>
      </x:c>
      <x:c r="J1210" t="s">
        <x:v>529</x:v>
      </x:c>
      <x:c r="K1210" t="s">
        <x:v>6237</x:v>
      </x:c>
      <x:c r="L1210" t="s">
        <x:v>3682</x:v>
      </x:c>
      <x:c r="M1210" t="s">
        <x:v>8007</x:v>
      </x:c>
      <x:c r="N1210" t="s">
        <x:v>532</x:v>
      </x:c>
      <x:c r="O1210" t="s">
        <x:v>2365</x:v>
      </x:c>
      <x:c r="P1210" t="s">
        <x:v>2366</x:v>
      </x:c>
      <x:c r="R1210" s="9">
        <x:v>33172</x:v>
      </x:c>
      <x:c r="T1210" t="s">
        <x:v>119</x:v>
      </x:c>
      <x:c r="W1210" s="26" t="n">
        <x:v>6.31122</x:v>
      </x:c>
      <x:c r="X1210" s="26" t="n">
        <x:v>-75.14609</x:v>
      </x:c>
      <x:c r="Y1210">
        <x:v>2681.63</x:v>
      </x:c>
      <x:c r="Z1210">
        <x:v>1854</x:v>
      </x:c>
      <x:c r="AB1210" t="s">
        <x:v>2229</x:v>
      </x:c>
      <x:c r="AF1210" t="s">
        <x:v>50</x:v>
      </x:c>
      <x:c r="AG1210" t="s">
        <x:v>402</x:v>
      </x:c>
      <x:c r="AH1210" t="s">
        <x:v>2230</x:v>
      </x:c>
      <x:c r="AI1210" t="s">
        <x:v>8008</x:v>
      </x:c>
      <x:c r="AJ1210">
        <x:v>1293</x:v>
      </x:c>
    </x:row>
    <x:row r="1211">
      <x:c r="A1211" t="s">
        <x:v>7761</x:v>
      </x:c>
      <x:c r="B1211" t="s">
        <x:v>7762</x:v>
      </x:c>
      <x:c r="C1211" t="s">
        <x:v>8009</x:v>
      </x:c>
      <x:c r="D1211" t="s">
        <x:v>8010</x:v>
      </x:c>
      <x:c r="E1211" t="s">
        <x:v>8011</x:v>
      </x:c>
      <x:c r="F1211" t="s">
        <x:v>8012</x:v>
      </x:c>
      <x:c r="G1211">
        <x:v>2300</x:v>
      </x:c>
      <x:c r="H1211">
        <x:v>2000</x:v>
      </x:c>
      <x:c r="P1211" t="s">
        <x:v>80</x:v>
      </x:c>
      <x:c r="R1211" s="9">
        <x:v>25914</x:v>
      </x:c>
      <x:c r="T1211" t="s">
        <x:v>119</x:v>
      </x:c>
      <x:c r="W1211" s="26" t="n">
        <x:v>5.62831</x:v>
      </x:c>
      <x:c r="X1211" s="26" t="n">
        <x:v>-73.90248</x:v>
      </x:c>
      <x:c r="Y1211">
        <x:v>2202.0929999999998</x:v>
      </x:c>
      <x:c r="Z1211">
        <x:v>2286</x:v>
      </x:c>
      <x:c r="AB1211" t="s">
        <x:v>112</x:v>
      </x:c>
      <x:c r="AF1211" t="s">
        <x:v>50</x:v>
      </x:c>
      <x:c r="AG1211" t="s">
        <x:v>90</x:v>
      </x:c>
      <x:c r="AH1211" t="s">
        <x:v>8013</x:v>
      </x:c>
      <x:c r="AI1211" t="s">
        <x:v>8014</x:v>
      </x:c>
      <x:c r="AJ1211">
        <x:v>1294</x:v>
      </x:c>
    </x:row>
    <x:row r="1212">
      <x:c r="A1212" t="s">
        <x:v>1434</x:v>
      </x:c>
      <x:c r="B1212" t="s">
        <x:v>1435</x:v>
      </x:c>
      <x:c r="C1212" t="s">
        <x:v>8015</x:v>
      </x:c>
      <x:c r="D1212" t="s">
        <x:v>8016</x:v>
      </x:c>
      <x:c r="E1212" t="s">
        <x:v>8017</x:v>
      </x:c>
      <x:c r="F1212" t="s">
        <x:v>1445</x:v>
      </x:c>
      <x:c r="G1212">
        <x:v>2700</x:v>
      </x:c>
      <x:c r="H1212">
        <x:v>2800</x:v>
      </x:c>
      <x:c r="J1212" s="11"/>
      <x:c r="R1212" s="9">
        <x:v>42420</x:v>
      </x:c>
      <x:c r="W1212" s="26" t="n">
        <x:v>1.8788889</x:v>
      </x:c>
      <x:c r="X1212" s="26" t="n">
        <x:v>-75.6827778</x:v>
      </x:c>
    </x:row>
    <x:row r="1213">
      <x:c r="A1213" t="s">
        <x:v>1434</x:v>
      </x:c>
      <x:c r="B1213" t="s">
        <x:v>1435</x:v>
      </x:c>
      <x:c r="C1213" t="s">
        <x:v>8018</x:v>
      </x:c>
      <x:c r="D1213" t="s">
        <x:v>6017</x:v>
      </x:c>
      <x:c r="E1213" t="s">
        <x:v>8019</x:v>
      </x:c>
      <x:c r="F1213">
        <x:v>2190</x:v>
      </x:c>
      <x:c r="R1213" s="9">
        <x:v>42461</x:v>
      </x:c>
      <x:c r="W1213" s="26" t="n">
        <x:v>1.7697222</x:v>
      </x:c>
      <x:c r="X1213" s="26" t="n">
        <x:v>-75.7770889</x:v>
      </x:c>
    </x:row>
    <x:row r="1214">
      <x:c r="A1214" t="s">
        <x:v>1170</x:v>
      </x:c>
      <x:c r="B1214" t="s">
        <x:v>1171</x:v>
      </x:c>
      <x:c r="C1214" t="s">
        <x:v>8020</x:v>
      </x:c>
      <x:c r="D1214" t="s">
        <x:v>6008</x:v>
      </x:c>
      <x:c r="E1214" t="s">
        <x:v>8021</x:v>
      </x:c>
      <x:c r="F1214">
        <x:v>1570</x:v>
      </x:c>
      <x:c r="I1214" s="5" t="s">
        <x:v>8022</x:v>
      </x:c>
      <x:c r="J1214" s="5" t="s">
        <x:v>8023</x:v>
      </x:c>
      <x:c r="R1214" s="9">
        <x:v>33890</x:v>
      </x:c>
      <x:c r="W1214" s="26" t="n">
        <x:v>5.52821</x:v>
      </x:c>
      <x:c r="X1214" s="26" t="n">
        <x:v>-75.03066</x:v>
      </x:c>
      <x:c r="Y1214" t="s">
        <x:v>8024</x:v>
      </x:c>
      <x:c r="Z1214">
        <x:v>1416</x:v>
      </x:c>
    </x:row>
    <x:row r="1215">
      <x:c r="A1215" t="s">
        <x:v>1389</x:v>
      </x:c>
      <x:c r="B1215" t="s">
        <x:v>1390</x:v>
      </x:c>
      <x:c r="C1215" t="s">
        <x:v>8025</x:v>
      </x:c>
      <x:c r="D1215" t="s">
        <x:v>6017</x:v>
      </x:c>
      <x:c r="E1215" t="s">
        <x:v>8026</x:v>
      </x:c>
      <x:c r="F1215">
        <x:v>700</x:v>
      </x:c>
      <x:c r="R1215" s="9">
        <x:v>16316</x:v>
      </x:c>
      <x:c r="W1215" s="26"/>
      <x:c r="X1215" s="26"/>
    </x:row>
    <x:row r="1216" ht="13.199999809265137" customHeight="1">
      <x:c r="A1216" t="s">
        <x:v>1389</x:v>
      </x:c>
      <x:c r="B1216" t="s">
        <x:v>1390</x:v>
      </x:c>
      <x:c r="C1216" t="s">
        <x:v>8027</x:v>
      </x:c>
      <x:c r="D1216" t="s">
        <x:v>8028</x:v>
      </x:c>
      <x:c r="E1216" t="s">
        <x:v>8029</x:v>
      </x:c>
      <x:c r="R1216" s="9">
        <x:v>367</x:v>
      </x:c>
      <x:c r="W1216" s="26"/>
      <x:c r="X1216" s="26"/>
    </x:row>
    <x:row r="1217">
      <x:c r="A1217" t="s">
        <x:v>1389</x:v>
      </x:c>
      <x:c r="B1217" t="s">
        <x:v>1390</x:v>
      </x:c>
      <x:c r="C1217" t="s">
        <x:v>8030</x:v>
      </x:c>
      <x:c r="D1217" t="s">
        <x:v>8031</x:v>
      </x:c>
      <x:c r="E1217" t="s">
        <x:v>8032</x:v>
      </x:c>
      <x:c r="F1217">
        <x:v>360</x:v>
      </x:c>
      <x:c r="R1217" s="9">
        <x:v>42663</x:v>
      </x:c>
      <x:c r="W1217" s="26" t="n">
        <x:v>2.3623111</x:v>
      </x:c>
      <x:c r="X1217" s="27" t="n">
        <x:v>-72.8260083</x:v>
      </x:c>
    </x:row>
    <x:row r="1218">
      <x:c r="A1218" t="s">
        <x:v>1389</x:v>
      </x:c>
      <x:c r="B1218" t="s">
        <x:v>1390</x:v>
      </x:c>
      <x:c r="C1218" t="s">
        <x:v>8033</x:v>
      </x:c>
      <x:c r="D1218" t="s">
        <x:v>8034</x:v>
      </x:c>
      <x:c r="E1218" t="s">
        <x:v>8035</x:v>
      </x:c>
      <x:c r="F1218">
        <x:v>360</x:v>
      </x:c>
      <x:c r="P1218" t="s">
        <x:v>8036</x:v>
      </x:c>
      <x:c r="R1218" s="9">
        <x:v>38281</x:v>
      </x:c>
      <x:c r="W1218" s="26" t="n">
        <x:v>2.22486</x:v>
      </x:c>
      <x:c r="X1218" s="26" t="n">
        <x:v>-73.80461</x:v>
      </x:c>
      <x:c r="Y1218" t="s">
        <x:v>8037</x:v>
      </x:c>
      <x:c r="Z1218">
        <x:v>352</x:v>
      </x:c>
      <x:c r="AB1218" t="s">
        <x:v>8034</x:v>
      </x:c>
    </x:row>
    <x:row r="1219">
      <x:c r="A1219" t="s">
        <x:v>1389</x:v>
      </x:c>
      <x:c r="B1219" t="s">
        <x:v>1390</x:v>
      </x:c>
      <x:c r="C1219" t="s">
        <x:v>8038</x:v>
      </x:c>
      <x:c r="D1219" t="s">
        <x:v>8039</x:v>
      </x:c>
      <x:c r="E1219" t="s">
        <x:v>8040</x:v>
      </x:c>
      <x:c r="F1219">
        <x:v>310</x:v>
      </x:c>
      <x:c r="R1219" s="9">
        <x:v>42938</x:v>
      </x:c>
      <x:c r="W1219" s="26" t="n">
        <x:v>2.5308333</x:v>
      </x:c>
      <x:c r="X1219" s="26" t="n">
        <x:v>-72.8108333</x:v>
      </x:c>
    </x:row>
    <x:row r="1220">
      <x:c r="A1220" t="s">
        <x:v>1389</x:v>
      </x:c>
      <x:c r="B1220" t="s">
        <x:v>1390</x:v>
      </x:c>
      <x:c r="C1220" t="s">
        <x:v>8041</x:v>
      </x:c>
      <x:c r="D1220" t="s">
        <x:v>8042</x:v>
      </x:c>
      <x:c r="E1220" t="s">
        <x:v>8043</x:v>
      </x:c>
      <x:c r="F1220">
        <x:v>201</x:v>
      </x:c>
      <x:c r="W1220" s="26" t="n">
        <x:v>3.901155</x:v>
      </x:c>
      <x:c r="X1220" s="26" t="n">
        <x:v>-73.073369</x:v>
      </x:c>
    </x:row>
    <x:row r="1221" ht="14.399999618530273" customHeight="1">
      <x:c r="A1221" t="s">
        <x:v>1283</x:v>
      </x:c>
      <x:c r="B1221" t="s">
        <x:v>1284</x:v>
      </x:c>
      <x:c r="C1221" t="s">
        <x:v>8044</x:v>
      </x:c>
      <x:c r="D1221" t="s">
        <x:v>6017</x:v>
      </x:c>
      <x:c r="E1221" s="15" t="s">
        <x:v>8045</x:v>
      </x:c>
      <x:c r="F1221">
        <x:v>1285</x:v>
      </x:c>
      <x:c r="R1221" s="9">
        <x:v>42293</x:v>
      </x:c>
      <x:c r="W1221" s="26" t="n">
        <x:v>1.7472222</x:v>
      </x:c>
      <x:c r="X1221" s="26" t="n">
        <x:v>-75.6783333</x:v>
      </x:c>
    </x:row>
    <x:row r="1222" ht="15">
      <x:c r="A1222" t="s">
        <x:v>5576</x:v>
      </x:c>
      <x:c r="B1222" t="s">
        <x:v>5577</x:v>
      </x:c>
      <x:c r="C1222" t="s">
        <x:v>8046</x:v>
      </x:c>
      <x:c r="D1222" t="s">
        <x:v>8047</x:v>
      </x:c>
      <x:c r="E1222" t="s">
        <x:v>8048</x:v>
      </x:c>
      <x:c r="F1222" t="s">
        <x:v>685</x:v>
      </x:c>
      <x:c r="G1222">
        <x:v>1800</x:v>
      </x:c>
      <x:c r="H1222">
        <x:v>1850</x:v>
      </x:c>
      <x:c r="R1222" s="9">
        <x:v>33006</x:v>
      </x:c>
      <x:c r="W1222" s="26" t="n">
        <x:v>1.1</x:v>
      </x:c>
      <x:c r="X1222" s="28" t="n">
        <x:v>-77.8833333</x:v>
      </x:c>
    </x:row>
    <x:row r="1223">
      <x:c r="A1223" t="s">
        <x:v>7690</x:v>
      </x:c>
      <x:c r="B1223" t="s">
        <x:v>7691</x:v>
      </x:c>
      <x:c r="C1223" t="s">
        <x:v>8049</x:v>
      </x:c>
      <x:c r="D1223" t="s">
        <x:v>8050</x:v>
      </x:c>
      <x:c r="E1223" t="s">
        <x:v>8051</x:v>
      </x:c>
      <x:c r="G1223">
        <x:v>250</x:v>
      </x:c>
      <x:c r="H1223">
        <x:v>300</x:v>
      </x:c>
      <x:c r="R1223" s="9">
        <x:v>27959</x:v>
      </x:c>
      <x:c r="W1223" s="26" t="n">
        <x:v>8.12</x:v>
      </x:c>
      <x:c r="X1223" s="26" t="n">
        <x:v>-77.1336111</x:v>
      </x:c>
    </x:row>
    <x:row r="1224">
      <x:c r="A1224" t="s">
        <x:v>7690</x:v>
      </x:c>
      <x:c r="B1224" t="s">
        <x:v>7691</x:v>
      </x:c>
      <x:c r="C1224" t="s">
        <x:v>8052</x:v>
      </x:c>
      <x:c r="D1224" t="s">
        <x:v>8050</x:v>
      </x:c>
      <x:c r="E1224" t="s">
        <x:v>8053</x:v>
      </x:c>
      <x:c r="F1224">
        <x:v>500</x:v>
      </x:c>
      <x:c r="R1224" s="9">
        <x:v>32733</x:v>
      </x:c>
      <x:c r="W1224" s="26" t="n">
        <x:v>7.1177778</x:v>
      </x:c>
      <x:c r="X1224" s="26" t="n">
        <x:v>-74.2683333</x:v>
      </x:c>
    </x:row>
  </x:sheetData>
  <x:conditionalFormatting sqref="E1217:E1220 E1222:E1222 D1045:D1224 D1226:D1048576 D1:D1043 E921:E921">
    <x:cfRule type="duplicateValues" dxfId="441" priority="480"/>
  </x:conditionalFormatting>
  <x:conditionalFormatting sqref="AB4:AB4">
    <x:cfRule type="duplicateValues" dxfId="440" priority="136"/>
  </x:conditionalFormatting>
  <x:conditionalFormatting sqref="AB8:AB8">
    <x:cfRule type="duplicateValues" dxfId="439" priority="134"/>
  </x:conditionalFormatting>
  <x:conditionalFormatting sqref="AB12:AB12">
    <x:cfRule type="duplicateValues" dxfId="438" priority="132"/>
  </x:conditionalFormatting>
  <x:conditionalFormatting sqref="AB13:AB13">
    <x:cfRule type="duplicateValues" dxfId="437" priority="131"/>
  </x:conditionalFormatting>
  <x:conditionalFormatting sqref="AB14:AB15">
    <x:cfRule type="duplicateValues" dxfId="436" priority="130"/>
  </x:conditionalFormatting>
  <x:conditionalFormatting sqref="AB16:AB16">
    <x:cfRule type="duplicateValues" dxfId="435" priority="129"/>
  </x:conditionalFormatting>
  <x:conditionalFormatting sqref="AB17:AB17">
    <x:cfRule type="duplicateValues" dxfId="434" priority="128"/>
  </x:conditionalFormatting>
  <x:conditionalFormatting sqref="AB18:AB18">
    <x:cfRule type="duplicateValues" dxfId="433" priority="126"/>
  </x:conditionalFormatting>
  <x:conditionalFormatting sqref="AB19:AB19">
    <x:cfRule type="duplicateValues" dxfId="432" priority="127"/>
  </x:conditionalFormatting>
  <x:conditionalFormatting sqref="AB26:AB26">
    <x:cfRule type="duplicateValues" dxfId="431" priority="125"/>
  </x:conditionalFormatting>
  <x:conditionalFormatting sqref="AB30:AB31">
    <x:cfRule type="duplicateValues" dxfId="430" priority="124"/>
  </x:conditionalFormatting>
  <x:conditionalFormatting sqref="AB77:AB77">
    <x:cfRule type="duplicateValues" dxfId="429" priority="123"/>
  </x:conditionalFormatting>
  <x:conditionalFormatting sqref="AB78:AB79">
    <x:cfRule type="duplicateValues" dxfId="428" priority="122"/>
  </x:conditionalFormatting>
  <x:conditionalFormatting sqref="AB93:AB93">
    <x:cfRule type="duplicateValues" dxfId="427" priority="121"/>
  </x:conditionalFormatting>
  <x:conditionalFormatting sqref="AB100:AB100">
    <x:cfRule type="duplicateValues" dxfId="426" priority="120"/>
  </x:conditionalFormatting>
  <x:conditionalFormatting sqref="AB101:AB101">
    <x:cfRule type="duplicateValues" dxfId="425" priority="119"/>
  </x:conditionalFormatting>
  <x:conditionalFormatting sqref="AB103:AB103">
    <x:cfRule type="duplicateValues" dxfId="424" priority="118"/>
  </x:conditionalFormatting>
  <x:conditionalFormatting sqref="AB119:AB121">
    <x:cfRule type="duplicateValues" dxfId="423" priority="117"/>
  </x:conditionalFormatting>
  <x:conditionalFormatting sqref="AB123:AB123">
    <x:cfRule type="duplicateValues" dxfId="422" priority="116"/>
  </x:conditionalFormatting>
  <x:conditionalFormatting sqref="AB132:AB132">
    <x:cfRule type="duplicateValues" dxfId="421" priority="479"/>
  </x:conditionalFormatting>
  <x:conditionalFormatting sqref="AB146:AB146">
    <x:cfRule type="duplicateValues" dxfId="420" priority="115"/>
  </x:conditionalFormatting>
  <x:conditionalFormatting sqref="AB172:AB172">
    <x:cfRule type="duplicateValues" dxfId="419" priority="114"/>
  </x:conditionalFormatting>
  <x:conditionalFormatting sqref="AB174:AB174">
    <x:cfRule type="duplicateValues" dxfId="418" priority="113"/>
  </x:conditionalFormatting>
  <x:conditionalFormatting sqref="AB177:AB177">
    <x:cfRule type="duplicateValues" dxfId="417" priority="112"/>
  </x:conditionalFormatting>
  <x:conditionalFormatting sqref="AB178:AB178">
    <x:cfRule type="duplicateValues" dxfId="416" priority="111"/>
  </x:conditionalFormatting>
  <x:conditionalFormatting sqref="AB183:AB183">
    <x:cfRule type="duplicateValues" dxfId="415" priority="478"/>
  </x:conditionalFormatting>
  <x:conditionalFormatting sqref="AB184:AB184">
    <x:cfRule type="duplicateValues" dxfId="414" priority="110"/>
  </x:conditionalFormatting>
  <x:conditionalFormatting sqref="AB194:AB194">
    <x:cfRule type="duplicateValues" dxfId="413" priority="477"/>
  </x:conditionalFormatting>
  <x:conditionalFormatting sqref="AB201:AB201">
    <x:cfRule type="duplicateValues" dxfId="412" priority="476"/>
  </x:conditionalFormatting>
  <x:conditionalFormatting sqref="AB202:AB209">
    <x:cfRule type="duplicateValues" dxfId="411" priority="493"/>
  </x:conditionalFormatting>
  <x:conditionalFormatting sqref="AB210:AB210">
    <x:cfRule type="duplicateValues" dxfId="410" priority="475"/>
  </x:conditionalFormatting>
  <x:conditionalFormatting sqref="AB212:AB212">
    <x:cfRule type="duplicateValues" dxfId="409" priority="106"/>
  </x:conditionalFormatting>
  <x:conditionalFormatting sqref="AB213:AB213 AB211:AB211">
    <x:cfRule type="duplicateValues" dxfId="408" priority="474"/>
  </x:conditionalFormatting>
  <x:conditionalFormatting sqref="AB214:AB214">
    <x:cfRule type="duplicateValues" dxfId="407" priority="473"/>
  </x:conditionalFormatting>
  <x:conditionalFormatting sqref="AB215:AB217">
    <x:cfRule type="duplicateValues" dxfId="406" priority="105"/>
  </x:conditionalFormatting>
  <x:conditionalFormatting sqref="AB218:AB224">
    <x:cfRule type="duplicateValues" dxfId="405" priority="488"/>
  </x:conditionalFormatting>
  <x:conditionalFormatting sqref="AB225:AB227">
    <x:cfRule type="duplicateValues" dxfId="404" priority="484"/>
  </x:conditionalFormatting>
  <x:conditionalFormatting sqref="AB230:AB233">
    <x:cfRule type="duplicateValues" dxfId="403" priority="102"/>
  </x:conditionalFormatting>
  <x:conditionalFormatting sqref="AB234:AB234">
    <x:cfRule type="duplicateValues" dxfId="402" priority="100"/>
  </x:conditionalFormatting>
  <x:conditionalFormatting sqref="AB235:AB235">
    <x:cfRule type="duplicateValues" dxfId="401" priority="101"/>
  </x:conditionalFormatting>
  <x:conditionalFormatting sqref="AB252:AB252">
    <x:cfRule type="duplicateValues" dxfId="400" priority="99"/>
  </x:conditionalFormatting>
  <x:conditionalFormatting sqref="AB253:AB253">
    <x:cfRule type="duplicateValues" dxfId="399" priority="471"/>
  </x:conditionalFormatting>
  <x:conditionalFormatting sqref="AB254:AB255">
    <x:cfRule type="duplicateValues" dxfId="398" priority="98"/>
  </x:conditionalFormatting>
  <x:conditionalFormatting sqref="AB265:AB265">
    <x:cfRule type="duplicateValues" dxfId="397" priority="97"/>
  </x:conditionalFormatting>
  <x:conditionalFormatting sqref="AB271:AB271">
    <x:cfRule type="duplicateValues" dxfId="396" priority="470"/>
  </x:conditionalFormatting>
  <x:conditionalFormatting sqref="AB283:AB283">
    <x:cfRule type="duplicateValues" dxfId="395" priority="96"/>
  </x:conditionalFormatting>
  <x:conditionalFormatting sqref="AB285:AB285">
    <x:cfRule type="duplicateValues" dxfId="394" priority="95"/>
  </x:conditionalFormatting>
  <x:conditionalFormatting sqref="AB305:AB305">
    <x:cfRule type="duplicateValues" dxfId="393" priority="94"/>
  </x:conditionalFormatting>
  <x:conditionalFormatting sqref="AB306:AB306">
    <x:cfRule type="duplicateValues" dxfId="392" priority="93"/>
  </x:conditionalFormatting>
  <x:conditionalFormatting sqref="AB307:AB307">
    <x:cfRule type="duplicateValues" dxfId="391" priority="92"/>
  </x:conditionalFormatting>
  <x:conditionalFormatting sqref="AB315:AB315">
    <x:cfRule type="duplicateValues" dxfId="390" priority="468"/>
  </x:conditionalFormatting>
  <x:conditionalFormatting sqref="AB316:AB316">
    <x:cfRule type="duplicateValues" dxfId="389" priority="4"/>
  </x:conditionalFormatting>
  <x:conditionalFormatting sqref="AB319:AB319">
    <x:cfRule type="duplicateValues" dxfId="388" priority="91"/>
  </x:conditionalFormatting>
  <x:conditionalFormatting sqref="AB320:AB320">
    <x:cfRule type="duplicateValues" dxfId="387" priority="90"/>
  </x:conditionalFormatting>
  <x:conditionalFormatting sqref="AB323:AB323">
    <x:cfRule type="duplicateValues" dxfId="386" priority="467"/>
  </x:conditionalFormatting>
  <x:conditionalFormatting sqref="AB328:AB328">
    <x:cfRule type="duplicateValues" dxfId="385" priority="89"/>
  </x:conditionalFormatting>
  <x:conditionalFormatting sqref="AB329:AB329">
    <x:cfRule type="duplicateValues" dxfId="384" priority="88"/>
  </x:conditionalFormatting>
  <x:conditionalFormatting sqref="AB333:AB334 AB330:AB330">
    <x:cfRule type="duplicateValues" dxfId="383" priority="87"/>
  </x:conditionalFormatting>
  <x:conditionalFormatting sqref="AB335:AB335">
    <x:cfRule type="duplicateValues" dxfId="382" priority="497"/>
  </x:conditionalFormatting>
  <x:conditionalFormatting sqref="AB340:AB340">
    <x:cfRule type="duplicateValues" dxfId="381" priority="85"/>
  </x:conditionalFormatting>
  <x:conditionalFormatting sqref="AB343:AB343">
    <x:cfRule type="duplicateValues" dxfId="380" priority="84"/>
  </x:conditionalFormatting>
  <x:conditionalFormatting sqref="AB344:AB345">
    <x:cfRule type="duplicateValues" dxfId="379" priority="83"/>
  </x:conditionalFormatting>
  <x:conditionalFormatting sqref="AB351:AB351">
    <x:cfRule type="duplicateValues" dxfId="378" priority="82"/>
  </x:conditionalFormatting>
  <x:conditionalFormatting sqref="AB360:AB360">
    <x:cfRule type="duplicateValues" dxfId="377" priority="81"/>
  </x:conditionalFormatting>
  <x:conditionalFormatting sqref="AB361:AB361">
    <x:cfRule type="duplicateValues" dxfId="376" priority="80"/>
  </x:conditionalFormatting>
  <x:conditionalFormatting sqref="AB362:AB362">
    <x:cfRule type="duplicateValues" dxfId="375" priority="79"/>
  </x:conditionalFormatting>
  <x:conditionalFormatting sqref="AB363:AB363">
    <x:cfRule type="duplicateValues" dxfId="374" priority="466"/>
  </x:conditionalFormatting>
  <x:conditionalFormatting sqref="AB365:AB365">
    <x:cfRule type="duplicateValues" dxfId="373" priority="78"/>
  </x:conditionalFormatting>
  <x:conditionalFormatting sqref="AB375:AB375">
    <x:cfRule type="duplicateValues" dxfId="372" priority="76"/>
  </x:conditionalFormatting>
  <x:conditionalFormatting sqref="AB376:AB378">
    <x:cfRule type="duplicateValues" dxfId="371" priority="74"/>
  </x:conditionalFormatting>
  <x:conditionalFormatting sqref="AB379:AB379">
    <x:cfRule type="duplicateValues" dxfId="370" priority="75"/>
  </x:conditionalFormatting>
  <x:conditionalFormatting sqref="AB380:AB380">
    <x:cfRule type="duplicateValues" dxfId="369" priority="465"/>
  </x:conditionalFormatting>
  <x:conditionalFormatting sqref="AB387:AB388">
    <x:cfRule type="duplicateValues" dxfId="368" priority="464"/>
  </x:conditionalFormatting>
  <x:conditionalFormatting sqref="AB389:AB389">
    <x:cfRule type="duplicateValues" dxfId="367" priority="73"/>
  </x:conditionalFormatting>
  <x:conditionalFormatting sqref="AB390:AB390">
    <x:cfRule type="duplicateValues" dxfId="366" priority="463"/>
  </x:conditionalFormatting>
  <x:conditionalFormatting sqref="AB391:AB391">
    <x:cfRule type="duplicateValues" dxfId="365" priority="72"/>
  </x:conditionalFormatting>
  <x:conditionalFormatting sqref="AB392:AB392">
    <x:cfRule type="duplicateValues" dxfId="364" priority="462"/>
  </x:conditionalFormatting>
  <x:conditionalFormatting sqref="AB393:AB393">
    <x:cfRule type="duplicateValues" dxfId="363" priority="461"/>
  </x:conditionalFormatting>
  <x:conditionalFormatting sqref="AB403:AB403">
    <x:cfRule type="duplicateValues" dxfId="362" priority="71"/>
  </x:conditionalFormatting>
  <x:conditionalFormatting sqref="AB408:AB408">
    <x:cfRule type="duplicateValues" dxfId="361" priority="460"/>
  </x:conditionalFormatting>
  <x:conditionalFormatting sqref="AB420:AB420">
    <x:cfRule type="duplicateValues" dxfId="360" priority="459"/>
  </x:conditionalFormatting>
  <x:conditionalFormatting sqref="AB421:AB421">
    <x:cfRule type="duplicateValues" dxfId="359" priority="458"/>
  </x:conditionalFormatting>
  <x:conditionalFormatting sqref="AB422:AB422">
    <x:cfRule type="duplicateValues" dxfId="358" priority="457"/>
  </x:conditionalFormatting>
  <x:conditionalFormatting sqref="AB423:AB423">
    <x:cfRule type="duplicateValues" dxfId="357" priority="141"/>
  </x:conditionalFormatting>
  <x:conditionalFormatting sqref="AB424:AB424">
    <x:cfRule type="duplicateValues" dxfId="356" priority="456"/>
  </x:conditionalFormatting>
  <x:conditionalFormatting sqref="AB425:AB426">
    <x:cfRule type="duplicateValues" dxfId="355" priority="455"/>
  </x:conditionalFormatting>
  <x:conditionalFormatting sqref="AB427:AB427">
    <x:cfRule type="duplicateValues" dxfId="354" priority="454"/>
  </x:conditionalFormatting>
  <x:conditionalFormatting sqref="AB428:AB428">
    <x:cfRule type="duplicateValues" dxfId="353" priority="453"/>
  </x:conditionalFormatting>
  <x:conditionalFormatting sqref="AB429:AB429">
    <x:cfRule type="duplicateValues" dxfId="352" priority="452"/>
  </x:conditionalFormatting>
  <x:conditionalFormatting sqref="AB430:AB430">
    <x:cfRule type="duplicateValues" dxfId="351" priority="451"/>
  </x:conditionalFormatting>
  <x:conditionalFormatting sqref="AB433:AB433">
    <x:cfRule type="duplicateValues" dxfId="350" priority="450"/>
  </x:conditionalFormatting>
  <x:conditionalFormatting sqref="AB434:AB434">
    <x:cfRule type="duplicateValues" dxfId="349" priority="449"/>
  </x:conditionalFormatting>
  <x:conditionalFormatting sqref="AB435:AB435">
    <x:cfRule type="duplicateValues" dxfId="348" priority="448"/>
  </x:conditionalFormatting>
  <x:conditionalFormatting sqref="AB436:AB436">
    <x:cfRule type="duplicateValues" dxfId="347" priority="447"/>
  </x:conditionalFormatting>
  <x:conditionalFormatting sqref="AB437:AB437">
    <x:cfRule type="duplicateValues" dxfId="346" priority="446"/>
  </x:conditionalFormatting>
  <x:conditionalFormatting sqref="AB439:AB439">
    <x:cfRule type="duplicateValues" dxfId="345" priority="445"/>
  </x:conditionalFormatting>
  <x:conditionalFormatting sqref="AB440:AB440">
    <x:cfRule type="duplicateValues" dxfId="344" priority="444"/>
  </x:conditionalFormatting>
  <x:conditionalFormatting sqref="AB441:AB441">
    <x:cfRule type="duplicateValues" dxfId="343" priority="137"/>
  </x:conditionalFormatting>
  <x:conditionalFormatting sqref="AB442:AB442">
    <x:cfRule type="duplicateValues" dxfId="342" priority="443"/>
  </x:conditionalFormatting>
  <x:conditionalFormatting sqref="AB443:AB443">
    <x:cfRule type="duplicateValues" dxfId="341" priority="140"/>
  </x:conditionalFormatting>
  <x:conditionalFormatting sqref="AB444:AB444">
    <x:cfRule type="duplicateValues" dxfId="340" priority="442"/>
  </x:conditionalFormatting>
  <x:conditionalFormatting sqref="AB446:AB446">
    <x:cfRule type="duplicateValues" dxfId="339" priority="441"/>
  </x:conditionalFormatting>
  <x:conditionalFormatting sqref="AB447:AB447">
    <x:cfRule type="duplicateValues" dxfId="338" priority="440"/>
  </x:conditionalFormatting>
  <x:conditionalFormatting sqref="AB448:AB448">
    <x:cfRule type="duplicateValues" dxfId="337" priority="139"/>
  </x:conditionalFormatting>
  <x:conditionalFormatting sqref="AB449:AB449">
    <x:cfRule type="duplicateValues" dxfId="336" priority="138"/>
  </x:conditionalFormatting>
  <x:conditionalFormatting sqref="AB450:AB450">
    <x:cfRule type="duplicateValues" dxfId="335" priority="438"/>
  </x:conditionalFormatting>
  <x:conditionalFormatting sqref="AB451:AB451">
    <x:cfRule type="duplicateValues" dxfId="334" priority="437"/>
  </x:conditionalFormatting>
  <x:conditionalFormatting sqref="AB475:AB475">
    <x:cfRule type="duplicateValues" dxfId="333" priority="435"/>
  </x:conditionalFormatting>
  <x:conditionalFormatting sqref="AB496:AB496">
    <x:cfRule type="duplicateValues" dxfId="332" priority="434"/>
  </x:conditionalFormatting>
  <x:conditionalFormatting sqref="AB505:AB505">
    <x:cfRule type="duplicateValues" dxfId="331" priority="433"/>
  </x:conditionalFormatting>
  <x:conditionalFormatting sqref="AB527:AB527">
    <x:cfRule type="duplicateValues" dxfId="330" priority="70"/>
  </x:conditionalFormatting>
  <x:conditionalFormatting sqref="AB528:AB528">
    <x:cfRule type="duplicateValues" dxfId="329" priority="69"/>
  </x:conditionalFormatting>
  <x:conditionalFormatting sqref="AB530:AB530">
    <x:cfRule type="duplicateValues" dxfId="328" priority="68"/>
  </x:conditionalFormatting>
  <x:conditionalFormatting sqref="AB532:AB532">
    <x:cfRule type="duplicateValues" dxfId="327" priority="67"/>
  </x:conditionalFormatting>
  <x:conditionalFormatting sqref="AB534:AB534">
    <x:cfRule type="duplicateValues" dxfId="326" priority="432"/>
  </x:conditionalFormatting>
  <x:conditionalFormatting sqref="AB537:AB537">
    <x:cfRule type="duplicateValues" dxfId="325" priority="431"/>
  </x:conditionalFormatting>
  <x:conditionalFormatting sqref="AB540:AB540">
    <x:cfRule type="duplicateValues" dxfId="324" priority="430"/>
  </x:conditionalFormatting>
  <x:conditionalFormatting sqref="AB548:AB548">
    <x:cfRule type="duplicateValues" dxfId="323" priority="142"/>
  </x:conditionalFormatting>
  <x:conditionalFormatting sqref="AB549:AB549">
    <x:cfRule type="duplicateValues" dxfId="322" priority="144"/>
  </x:conditionalFormatting>
  <x:conditionalFormatting sqref="AB560:AB560">
    <x:cfRule type="duplicateValues" dxfId="321" priority="429"/>
  </x:conditionalFormatting>
  <x:conditionalFormatting sqref="AB561:AB561">
    <x:cfRule type="duplicateValues" dxfId="320" priority="428"/>
  </x:conditionalFormatting>
  <x:conditionalFormatting sqref="AB565:AB565">
    <x:cfRule type="duplicateValues" dxfId="319" priority="427"/>
  </x:conditionalFormatting>
  <x:conditionalFormatting sqref="AB576:AB576">
    <x:cfRule type="duplicateValues" dxfId="318" priority="424"/>
  </x:conditionalFormatting>
  <x:conditionalFormatting sqref="AB577:AB577">
    <x:cfRule type="duplicateValues" dxfId="317" priority="423"/>
  </x:conditionalFormatting>
  <x:conditionalFormatting sqref="AB578:AB583">
    <x:cfRule type="duplicateValues" dxfId="316" priority="65"/>
  </x:conditionalFormatting>
  <x:conditionalFormatting sqref="AB584:AB584">
    <x:cfRule type="duplicateValues" dxfId="315" priority="421"/>
  </x:conditionalFormatting>
  <x:conditionalFormatting sqref="AB586:AB586">
    <x:cfRule type="duplicateValues" dxfId="314" priority="420"/>
  </x:conditionalFormatting>
  <x:conditionalFormatting sqref="AB587:AB587">
    <x:cfRule type="duplicateValues" dxfId="313" priority="419"/>
  </x:conditionalFormatting>
  <x:conditionalFormatting sqref="AB588:AB588">
    <x:cfRule type="duplicateValues" dxfId="312" priority="418"/>
  </x:conditionalFormatting>
  <x:conditionalFormatting sqref="AB589:AB589">
    <x:cfRule type="duplicateValues" dxfId="311" priority="417"/>
  </x:conditionalFormatting>
  <x:conditionalFormatting sqref="AB590:AB590">
    <x:cfRule type="duplicateValues" dxfId="310" priority="416"/>
  </x:conditionalFormatting>
  <x:conditionalFormatting sqref="AB591:AB591">
    <x:cfRule type="duplicateValues" dxfId="309" priority="64"/>
  </x:conditionalFormatting>
  <x:conditionalFormatting sqref="AB594:AB594">
    <x:cfRule type="duplicateValues" dxfId="308" priority="415"/>
  </x:conditionalFormatting>
  <x:conditionalFormatting sqref="AB634:AB634">
    <x:cfRule type="duplicateValues" dxfId="307" priority="413"/>
  </x:conditionalFormatting>
  <x:conditionalFormatting sqref="AB640:AB640">
    <x:cfRule type="duplicateValues" dxfId="306" priority="61"/>
  </x:conditionalFormatting>
  <x:conditionalFormatting sqref="AB641:AB641">
    <x:cfRule type="duplicateValues" dxfId="305" priority="412"/>
  </x:conditionalFormatting>
  <x:conditionalFormatting sqref="AB642:AB643">
    <x:cfRule type="duplicateValues" dxfId="304" priority="411"/>
  </x:conditionalFormatting>
  <x:conditionalFormatting sqref="AB644:AB644">
    <x:cfRule type="duplicateValues" dxfId="303" priority="410"/>
  </x:conditionalFormatting>
  <x:conditionalFormatting sqref="AB646:AB646">
    <x:cfRule type="duplicateValues" dxfId="302" priority="60"/>
  </x:conditionalFormatting>
  <x:conditionalFormatting sqref="AB649:AB649">
    <x:cfRule type="duplicateValues" dxfId="301" priority="59"/>
  </x:conditionalFormatting>
  <x:conditionalFormatting sqref="AB651:AB651">
    <x:cfRule type="duplicateValues" dxfId="300" priority="409"/>
  </x:conditionalFormatting>
  <x:conditionalFormatting sqref="AB654:AB654">
    <x:cfRule type="duplicateValues" dxfId="299" priority="408"/>
  </x:conditionalFormatting>
  <x:conditionalFormatting sqref="AB655:AB655">
    <x:cfRule type="duplicateValues" dxfId="298" priority="407"/>
  </x:conditionalFormatting>
  <x:conditionalFormatting sqref="AB656:AB656">
    <x:cfRule type="duplicateValues" dxfId="297" priority="406"/>
  </x:conditionalFormatting>
  <x:conditionalFormatting sqref="AB657:AB657">
    <x:cfRule type="duplicateValues" dxfId="296" priority="405"/>
  </x:conditionalFormatting>
  <x:conditionalFormatting sqref="AB659:AB659">
    <x:cfRule type="duplicateValues" dxfId="295" priority="58"/>
  </x:conditionalFormatting>
  <x:conditionalFormatting sqref="AB660:AB660">
    <x:cfRule type="duplicateValues" dxfId="294" priority="56"/>
  </x:conditionalFormatting>
  <x:conditionalFormatting sqref="AB662:AB662">
    <x:cfRule type="duplicateValues" dxfId="293" priority="57"/>
  </x:conditionalFormatting>
  <x:conditionalFormatting sqref="AB664:AB664">
    <x:cfRule type="duplicateValues" dxfId="292" priority="404"/>
  </x:conditionalFormatting>
  <x:conditionalFormatting sqref="AB665:AB665">
    <x:cfRule type="duplicateValues" dxfId="291" priority="403"/>
  </x:conditionalFormatting>
  <x:conditionalFormatting sqref="AB666:AB666">
    <x:cfRule type="duplicateValues" dxfId="290" priority="402"/>
  </x:conditionalFormatting>
  <x:conditionalFormatting sqref="AB667:AB667">
    <x:cfRule type="duplicateValues" dxfId="289" priority="401"/>
  </x:conditionalFormatting>
  <x:conditionalFormatting sqref="AB669:AB669">
    <x:cfRule type="duplicateValues" dxfId="288" priority="400"/>
  </x:conditionalFormatting>
  <x:conditionalFormatting sqref="AB670:AB670">
    <x:cfRule type="duplicateValues" dxfId="287" priority="399"/>
  </x:conditionalFormatting>
  <x:conditionalFormatting sqref="AB671:AB671">
    <x:cfRule type="duplicateValues" dxfId="286" priority="398"/>
  </x:conditionalFormatting>
  <x:conditionalFormatting sqref="AB672:AB672">
    <x:cfRule type="duplicateValues" dxfId="285" priority="397"/>
  </x:conditionalFormatting>
  <x:conditionalFormatting sqref="AB673:AB673">
    <x:cfRule type="duplicateValues" dxfId="284" priority="396"/>
  </x:conditionalFormatting>
  <x:conditionalFormatting sqref="AB674:AB674">
    <x:cfRule type="duplicateValues" dxfId="283" priority="395"/>
  </x:conditionalFormatting>
  <x:conditionalFormatting sqref="AB682:AB682">
    <x:cfRule type="duplicateValues" dxfId="282" priority="394"/>
  </x:conditionalFormatting>
  <x:conditionalFormatting sqref="AB683:AB683">
    <x:cfRule type="duplicateValues" dxfId="281" priority="393"/>
  </x:conditionalFormatting>
  <x:conditionalFormatting sqref="AB684:AB684">
    <x:cfRule type="duplicateValues" dxfId="280" priority="392"/>
  </x:conditionalFormatting>
  <x:conditionalFormatting sqref="AB685:AB685">
    <x:cfRule type="duplicateValues" dxfId="279" priority="391"/>
  </x:conditionalFormatting>
  <x:conditionalFormatting sqref="AB686:AB686">
    <x:cfRule type="duplicateValues" dxfId="278" priority="390"/>
  </x:conditionalFormatting>
  <x:conditionalFormatting sqref="AB687:AB687">
    <x:cfRule type="duplicateValues" dxfId="277" priority="389"/>
  </x:conditionalFormatting>
  <x:conditionalFormatting sqref="AB691:AB691">
    <x:cfRule type="duplicateValues" dxfId="276" priority="388"/>
  </x:conditionalFormatting>
  <x:conditionalFormatting sqref="AB692:AB692">
    <x:cfRule type="duplicateValues" dxfId="275" priority="3"/>
  </x:conditionalFormatting>
  <x:conditionalFormatting sqref="AB693:AB693">
    <x:cfRule type="duplicateValues" dxfId="274" priority="387"/>
  </x:conditionalFormatting>
  <x:conditionalFormatting sqref="AB694:AB694">
    <x:cfRule type="duplicateValues" dxfId="273" priority="386"/>
  </x:conditionalFormatting>
  <x:conditionalFormatting sqref="AB695:AB695">
    <x:cfRule type="duplicateValues" dxfId="272" priority="145"/>
  </x:conditionalFormatting>
  <x:conditionalFormatting sqref="AB696:AB696">
    <x:cfRule type="duplicateValues" dxfId="271" priority="55"/>
  </x:conditionalFormatting>
  <x:conditionalFormatting sqref="AB698:AB698">
    <x:cfRule type="duplicateValues" dxfId="270" priority="385"/>
  </x:conditionalFormatting>
  <x:conditionalFormatting sqref="AB699:AB699">
    <x:cfRule type="duplicateValues" dxfId="269" priority="384"/>
  </x:conditionalFormatting>
  <x:conditionalFormatting sqref="AB700:AB700">
    <x:cfRule type="duplicateValues" dxfId="268" priority="383"/>
  </x:conditionalFormatting>
  <x:conditionalFormatting sqref="AB701:AB701">
    <x:cfRule type="duplicateValues" dxfId="267" priority="382"/>
  </x:conditionalFormatting>
  <x:conditionalFormatting sqref="AB702:AB704">
    <x:cfRule type="duplicateValues" dxfId="266" priority="381"/>
  </x:conditionalFormatting>
  <x:conditionalFormatting sqref="AB706:AB706">
    <x:cfRule type="duplicateValues" dxfId="265" priority="380"/>
  </x:conditionalFormatting>
  <x:conditionalFormatting sqref="AB707:AB709">
    <x:cfRule type="duplicateValues" dxfId="264" priority="379"/>
  </x:conditionalFormatting>
  <x:conditionalFormatting sqref="AB710:AB710">
    <x:cfRule type="duplicateValues" dxfId="263" priority="378"/>
  </x:conditionalFormatting>
  <x:conditionalFormatting sqref="AB711:AB711">
    <x:cfRule type="duplicateValues" dxfId="262" priority="377"/>
  </x:conditionalFormatting>
  <x:conditionalFormatting sqref="AB712:AB712">
    <x:cfRule type="duplicateValues" dxfId="261" priority="376"/>
  </x:conditionalFormatting>
  <x:conditionalFormatting sqref="AB713:AB713">
    <x:cfRule type="duplicateValues" dxfId="260" priority="375"/>
  </x:conditionalFormatting>
  <x:conditionalFormatting sqref="AB714:AB714">
    <x:cfRule type="duplicateValues" dxfId="259" priority="374"/>
  </x:conditionalFormatting>
  <x:conditionalFormatting sqref="AB715:AB715">
    <x:cfRule type="duplicateValues" dxfId="258" priority="373"/>
  </x:conditionalFormatting>
  <x:conditionalFormatting sqref="AB716:AB716">
    <x:cfRule type="duplicateValues" dxfId="257" priority="372"/>
  </x:conditionalFormatting>
  <x:conditionalFormatting sqref="AB717:AB717">
    <x:cfRule type="duplicateValues" dxfId="256" priority="371"/>
  </x:conditionalFormatting>
  <x:conditionalFormatting sqref="AB719:AB719">
    <x:cfRule type="duplicateValues" dxfId="255" priority="370"/>
  </x:conditionalFormatting>
  <x:conditionalFormatting sqref="AB720:AB720">
    <x:cfRule type="duplicateValues" dxfId="254" priority="369"/>
  </x:conditionalFormatting>
  <x:conditionalFormatting sqref="AB721:AB721">
    <x:cfRule type="duplicateValues" dxfId="253" priority="368"/>
  </x:conditionalFormatting>
  <x:conditionalFormatting sqref="AB722:AB722">
    <x:cfRule type="duplicateValues" dxfId="252" priority="367"/>
  </x:conditionalFormatting>
  <x:conditionalFormatting sqref="AB723:AB723">
    <x:cfRule type="duplicateValues" dxfId="251" priority="366"/>
  </x:conditionalFormatting>
  <x:conditionalFormatting sqref="AB724:AB724">
    <x:cfRule type="duplicateValues" dxfId="250" priority="365"/>
  </x:conditionalFormatting>
  <x:conditionalFormatting sqref="AB725:AB725">
    <x:cfRule type="duplicateValues" dxfId="249" priority="364"/>
  </x:conditionalFormatting>
  <x:conditionalFormatting sqref="AB726:AB727">
    <x:cfRule type="duplicateValues" dxfId="248" priority="363"/>
  </x:conditionalFormatting>
  <x:conditionalFormatting sqref="AB728:AB728">
    <x:cfRule type="duplicateValues" dxfId="247" priority="362"/>
  </x:conditionalFormatting>
  <x:conditionalFormatting sqref="AB729:AB729">
    <x:cfRule type="duplicateValues" dxfId="246" priority="361"/>
  </x:conditionalFormatting>
  <x:conditionalFormatting sqref="AB730:AB730">
    <x:cfRule type="duplicateValues" dxfId="245" priority="360"/>
  </x:conditionalFormatting>
  <x:conditionalFormatting sqref="AB731:AB731">
    <x:cfRule type="duplicateValues" dxfId="244" priority="359"/>
  </x:conditionalFormatting>
  <x:conditionalFormatting sqref="AB732:AB732">
    <x:cfRule type="duplicateValues" dxfId="243" priority="358"/>
  </x:conditionalFormatting>
  <x:conditionalFormatting sqref="AB733:AB733">
    <x:cfRule type="duplicateValues" dxfId="242" priority="357"/>
  </x:conditionalFormatting>
  <x:conditionalFormatting sqref="AB734:AB734">
    <x:cfRule type="duplicateValues" dxfId="241" priority="356"/>
  </x:conditionalFormatting>
  <x:conditionalFormatting sqref="AB735:AB735">
    <x:cfRule type="duplicateValues" dxfId="240" priority="355"/>
  </x:conditionalFormatting>
  <x:conditionalFormatting sqref="AB736:AB736">
    <x:cfRule type="duplicateValues" dxfId="239" priority="354"/>
  </x:conditionalFormatting>
  <x:conditionalFormatting sqref="AB738:AB738">
    <x:cfRule type="duplicateValues" dxfId="238" priority="353"/>
  </x:conditionalFormatting>
  <x:conditionalFormatting sqref="AB739:AB739">
    <x:cfRule type="duplicateValues" dxfId="237" priority="352"/>
  </x:conditionalFormatting>
  <x:conditionalFormatting sqref="AB740:AB740">
    <x:cfRule type="duplicateValues" dxfId="236" priority="351"/>
  </x:conditionalFormatting>
  <x:conditionalFormatting sqref="AB741:AB741">
    <x:cfRule type="duplicateValues" dxfId="235" priority="350"/>
  </x:conditionalFormatting>
  <x:conditionalFormatting sqref="AB742:AB742">
    <x:cfRule type="duplicateValues" dxfId="234" priority="349"/>
  </x:conditionalFormatting>
  <x:conditionalFormatting sqref="AB743:AB743">
    <x:cfRule type="duplicateValues" dxfId="233" priority="348"/>
  </x:conditionalFormatting>
  <x:conditionalFormatting sqref="AB744:AB744">
    <x:cfRule type="duplicateValues" dxfId="232" priority="347"/>
  </x:conditionalFormatting>
  <x:conditionalFormatting sqref="AB745:AB745">
    <x:cfRule type="duplicateValues" dxfId="231" priority="346"/>
  </x:conditionalFormatting>
  <x:conditionalFormatting sqref="AB746:AB746">
    <x:cfRule type="duplicateValues" dxfId="230" priority="345"/>
  </x:conditionalFormatting>
  <x:conditionalFormatting sqref="AB747:AB747">
    <x:cfRule type="duplicateValues" dxfId="229" priority="344"/>
  </x:conditionalFormatting>
  <x:conditionalFormatting sqref="AB748:AB748">
    <x:cfRule type="duplicateValues" dxfId="228" priority="343"/>
  </x:conditionalFormatting>
  <x:conditionalFormatting sqref="AB749:AB749">
    <x:cfRule type="duplicateValues" dxfId="227" priority="342"/>
  </x:conditionalFormatting>
  <x:conditionalFormatting sqref="AB750:AB750">
    <x:cfRule type="duplicateValues" dxfId="226" priority="341"/>
  </x:conditionalFormatting>
  <x:conditionalFormatting sqref="AB751:AB751">
    <x:cfRule type="duplicateValues" dxfId="225" priority="340"/>
  </x:conditionalFormatting>
  <x:conditionalFormatting sqref="AB752:AB753">
    <x:cfRule type="duplicateValues" dxfId="224" priority="339"/>
  </x:conditionalFormatting>
  <x:conditionalFormatting sqref="AB754:AB754">
    <x:cfRule type="duplicateValues" dxfId="223" priority="338"/>
  </x:conditionalFormatting>
  <x:conditionalFormatting sqref="AB756:AB756">
    <x:cfRule type="duplicateValues" dxfId="222" priority="54"/>
  </x:conditionalFormatting>
  <x:conditionalFormatting sqref="AB758:AB758">
    <x:cfRule type="duplicateValues" dxfId="221" priority="337"/>
  </x:conditionalFormatting>
  <x:conditionalFormatting sqref="AB759:AB759">
    <x:cfRule type="duplicateValues" dxfId="220" priority="336"/>
  </x:conditionalFormatting>
  <x:conditionalFormatting sqref="AB760:AB760">
    <x:cfRule type="duplicateValues" dxfId="219" priority="335"/>
  </x:conditionalFormatting>
  <x:conditionalFormatting sqref="AB761:AB761">
    <x:cfRule type="duplicateValues" dxfId="218" priority="334"/>
  </x:conditionalFormatting>
  <x:conditionalFormatting sqref="AB764:AB764">
    <x:cfRule type="duplicateValues" dxfId="217" priority="333"/>
  </x:conditionalFormatting>
  <x:conditionalFormatting sqref="AB765:AB765">
    <x:cfRule type="duplicateValues" dxfId="216" priority="332"/>
  </x:conditionalFormatting>
  <x:conditionalFormatting sqref="AB766:AB766">
    <x:cfRule type="duplicateValues" dxfId="215" priority="331"/>
  </x:conditionalFormatting>
  <x:conditionalFormatting sqref="AB767:AB767">
    <x:cfRule type="duplicateValues" dxfId="214" priority="2"/>
  </x:conditionalFormatting>
  <x:conditionalFormatting sqref="AB768:AB768">
    <x:cfRule type="duplicateValues" dxfId="213" priority="330"/>
  </x:conditionalFormatting>
  <x:conditionalFormatting sqref="AB769:AB769">
    <x:cfRule type="duplicateValues" dxfId="212" priority="329"/>
  </x:conditionalFormatting>
  <x:conditionalFormatting sqref="AB770:AB770">
    <x:cfRule type="duplicateValues" dxfId="211" priority="327"/>
  </x:conditionalFormatting>
  <x:conditionalFormatting sqref="AB771:AB771">
    <x:cfRule type="duplicateValues" dxfId="210" priority="326"/>
  </x:conditionalFormatting>
  <x:conditionalFormatting sqref="AB772:AB772">
    <x:cfRule type="duplicateValues" dxfId="209" priority="325"/>
  </x:conditionalFormatting>
  <x:conditionalFormatting sqref="AB773:AB773">
    <x:cfRule type="duplicateValues" dxfId="208" priority="324"/>
  </x:conditionalFormatting>
  <x:conditionalFormatting sqref="AB774:AB774">
    <x:cfRule type="duplicateValues" dxfId="207" priority="323"/>
  </x:conditionalFormatting>
  <x:conditionalFormatting sqref="AB775:AB775">
    <x:cfRule type="duplicateValues" dxfId="206" priority="322"/>
  </x:conditionalFormatting>
  <x:conditionalFormatting sqref="AB776:AB776">
    <x:cfRule type="duplicateValues" dxfId="205" priority="321"/>
  </x:conditionalFormatting>
  <x:conditionalFormatting sqref="AB777:AB777">
    <x:cfRule type="duplicateValues" dxfId="204" priority="320"/>
  </x:conditionalFormatting>
  <x:conditionalFormatting sqref="AB778:AB778">
    <x:cfRule type="duplicateValues" dxfId="203" priority="53"/>
  </x:conditionalFormatting>
  <x:conditionalFormatting sqref="AB779:AB779">
    <x:cfRule type="duplicateValues" dxfId="202" priority="319"/>
  </x:conditionalFormatting>
  <x:conditionalFormatting sqref="AB780:AB780">
    <x:cfRule type="duplicateValues" dxfId="201" priority="318"/>
  </x:conditionalFormatting>
  <x:conditionalFormatting sqref="AB781:AB781">
    <x:cfRule type="duplicateValues" dxfId="200" priority="317"/>
  </x:conditionalFormatting>
  <x:conditionalFormatting sqref="AB783:AB783">
    <x:cfRule type="duplicateValues" dxfId="199" priority="316"/>
  </x:conditionalFormatting>
  <x:conditionalFormatting sqref="AB785:AB785">
    <x:cfRule type="duplicateValues" dxfId="198" priority="314"/>
  </x:conditionalFormatting>
  <x:conditionalFormatting sqref="AB786:AB786">
    <x:cfRule type="duplicateValues" dxfId="197" priority="313"/>
  </x:conditionalFormatting>
  <x:conditionalFormatting sqref="AB787:AB787">
    <x:cfRule type="duplicateValues" dxfId="196" priority="312"/>
  </x:conditionalFormatting>
  <x:conditionalFormatting sqref="AB789:AB789">
    <x:cfRule type="duplicateValues" dxfId="195" priority="311"/>
  </x:conditionalFormatting>
  <x:conditionalFormatting sqref="AB790:AB790">
    <x:cfRule type="duplicateValues" dxfId="194" priority="310"/>
  </x:conditionalFormatting>
  <x:conditionalFormatting sqref="AB791:AB791">
    <x:cfRule type="duplicateValues" dxfId="193" priority="309"/>
  </x:conditionalFormatting>
  <x:conditionalFormatting sqref="AB794:AB794">
    <x:cfRule type="duplicateValues" dxfId="192" priority="308"/>
  </x:conditionalFormatting>
  <x:conditionalFormatting sqref="AB796:AB796">
    <x:cfRule type="duplicateValues" dxfId="191" priority="306"/>
  </x:conditionalFormatting>
  <x:conditionalFormatting sqref="AB801:AB801">
    <x:cfRule type="duplicateValues" dxfId="190" priority="304"/>
  </x:conditionalFormatting>
  <x:conditionalFormatting sqref="AB802:AB806">
    <x:cfRule type="duplicateValues" dxfId="189" priority="303"/>
  </x:conditionalFormatting>
  <x:conditionalFormatting sqref="AB807:AB807">
    <x:cfRule type="duplicateValues" dxfId="188" priority="302"/>
  </x:conditionalFormatting>
  <x:conditionalFormatting sqref="AB808:AB808">
    <x:cfRule type="duplicateValues" dxfId="187" priority="301"/>
  </x:conditionalFormatting>
  <x:conditionalFormatting sqref="AB813:AB813">
    <x:cfRule type="duplicateValues" dxfId="186" priority="299"/>
  </x:conditionalFormatting>
  <x:conditionalFormatting sqref="AB816:AB816">
    <x:cfRule type="duplicateValues" dxfId="185" priority="298"/>
  </x:conditionalFormatting>
  <x:conditionalFormatting sqref="AB822:AB822">
    <x:cfRule type="duplicateValues" dxfId="184" priority="297"/>
  </x:conditionalFormatting>
  <x:conditionalFormatting sqref="AB838:AB838">
    <x:cfRule type="duplicateValues" dxfId="183" priority="296"/>
  </x:conditionalFormatting>
  <x:conditionalFormatting sqref="AB847:AB847">
    <x:cfRule type="duplicateValues" dxfId="182" priority="295"/>
  </x:conditionalFormatting>
  <x:conditionalFormatting sqref="AB848:AB848">
    <x:cfRule type="duplicateValues" dxfId="181" priority="294"/>
  </x:conditionalFormatting>
  <x:conditionalFormatting sqref="AB850:AB850">
    <x:cfRule type="duplicateValues" dxfId="180" priority="293"/>
  </x:conditionalFormatting>
  <x:conditionalFormatting sqref="AB852:AB852">
    <x:cfRule type="duplicateValues" dxfId="179" priority="292"/>
  </x:conditionalFormatting>
  <x:conditionalFormatting sqref="AB853:AB853">
    <x:cfRule type="duplicateValues" dxfId="178" priority="291"/>
  </x:conditionalFormatting>
  <x:conditionalFormatting sqref="AB854:AB854">
    <x:cfRule type="duplicateValues" dxfId="177" priority="290"/>
  </x:conditionalFormatting>
  <x:conditionalFormatting sqref="AB858:AB865">
    <x:cfRule type="duplicateValues" dxfId="176" priority="288"/>
  </x:conditionalFormatting>
  <x:conditionalFormatting sqref="AB866:AB866">
    <x:cfRule type="duplicateValues" dxfId="175" priority="289"/>
  </x:conditionalFormatting>
  <x:conditionalFormatting sqref="AB867:AB867">
    <x:cfRule type="duplicateValues" dxfId="174" priority="284"/>
  </x:conditionalFormatting>
  <x:conditionalFormatting sqref="AB868:AB868">
    <x:cfRule type="duplicateValues" dxfId="173" priority="283"/>
  </x:conditionalFormatting>
  <x:conditionalFormatting sqref="AB872:AB872">
    <x:cfRule type="duplicateValues" dxfId="172" priority="281"/>
  </x:conditionalFormatting>
  <x:conditionalFormatting sqref="AB873:AB873">
    <x:cfRule type="duplicateValues" dxfId="171" priority="280"/>
  </x:conditionalFormatting>
  <x:conditionalFormatting sqref="AB875:AB875">
    <x:cfRule type="duplicateValues" dxfId="170" priority="279"/>
  </x:conditionalFormatting>
  <x:conditionalFormatting sqref="AB877:AB877">
    <x:cfRule type="duplicateValues" dxfId="169" priority="278"/>
  </x:conditionalFormatting>
  <x:conditionalFormatting sqref="AB878:AB878">
    <x:cfRule type="duplicateValues" dxfId="168" priority="276"/>
  </x:conditionalFormatting>
  <x:conditionalFormatting sqref="AB879:AB879">
    <x:cfRule type="duplicateValues" dxfId="167" priority="277"/>
  </x:conditionalFormatting>
  <x:conditionalFormatting sqref="AB880:AB880">
    <x:cfRule type="duplicateValues" dxfId="166" priority="275"/>
  </x:conditionalFormatting>
  <x:conditionalFormatting sqref="AB881:AB881">
    <x:cfRule type="duplicateValues" dxfId="165" priority="274"/>
  </x:conditionalFormatting>
  <x:conditionalFormatting sqref="AB882:AB882">
    <x:cfRule type="duplicateValues" dxfId="164" priority="273"/>
  </x:conditionalFormatting>
  <x:conditionalFormatting sqref="AB883:AB883">
    <x:cfRule type="duplicateValues" dxfId="163" priority="272"/>
  </x:conditionalFormatting>
  <x:conditionalFormatting sqref="AB884:AB884">
    <x:cfRule type="duplicateValues" dxfId="162" priority="271"/>
  </x:conditionalFormatting>
  <x:conditionalFormatting sqref="AB885:AB885">
    <x:cfRule type="duplicateValues" dxfId="161" priority="270"/>
  </x:conditionalFormatting>
  <x:conditionalFormatting sqref="AB886:AB886">
    <x:cfRule type="duplicateValues" dxfId="160" priority="269"/>
  </x:conditionalFormatting>
  <x:conditionalFormatting sqref="AB887:AB887">
    <x:cfRule type="duplicateValues" dxfId="159" priority="268"/>
  </x:conditionalFormatting>
  <x:conditionalFormatting sqref="AB888:AB888">
    <x:cfRule type="duplicateValues" dxfId="158" priority="266"/>
  </x:conditionalFormatting>
  <x:conditionalFormatting sqref="AB889:AB889">
    <x:cfRule type="duplicateValues" dxfId="157" priority="267"/>
  </x:conditionalFormatting>
  <x:conditionalFormatting sqref="AB890:AB890">
    <x:cfRule type="duplicateValues" dxfId="156" priority="265"/>
  </x:conditionalFormatting>
  <x:conditionalFormatting sqref="AB891:AB891">
    <x:cfRule type="duplicateValues" dxfId="155" priority="264"/>
  </x:conditionalFormatting>
  <x:conditionalFormatting sqref="AB892:AB892">
    <x:cfRule type="duplicateValues" dxfId="154" priority="263"/>
  </x:conditionalFormatting>
  <x:conditionalFormatting sqref="AB893:AB893">
    <x:cfRule type="duplicateValues" dxfId="153" priority="262"/>
  </x:conditionalFormatting>
  <x:conditionalFormatting sqref="AB894:AB894">
    <x:cfRule type="duplicateValues" dxfId="152" priority="261"/>
  </x:conditionalFormatting>
  <x:conditionalFormatting sqref="AB895:AB895">
    <x:cfRule type="duplicateValues" dxfId="151" priority="260"/>
  </x:conditionalFormatting>
  <x:conditionalFormatting sqref="AB896:AB896">
    <x:cfRule type="duplicateValues" dxfId="150" priority="259"/>
  </x:conditionalFormatting>
  <x:conditionalFormatting sqref="AB897:AB897">
    <x:cfRule type="duplicateValues" dxfId="149" priority="258"/>
  </x:conditionalFormatting>
  <x:conditionalFormatting sqref="AB898:AB898">
    <x:cfRule type="duplicateValues" dxfId="148" priority="257"/>
  </x:conditionalFormatting>
  <x:conditionalFormatting sqref="AB900:AB900">
    <x:cfRule type="duplicateValues" dxfId="147" priority="256"/>
  </x:conditionalFormatting>
  <x:conditionalFormatting sqref="AB901:AB901">
    <x:cfRule type="duplicateValues" dxfId="146" priority="255"/>
  </x:conditionalFormatting>
  <x:conditionalFormatting sqref="AB902:AB902">
    <x:cfRule type="duplicateValues" dxfId="145" priority="254"/>
  </x:conditionalFormatting>
  <x:conditionalFormatting sqref="AB903:AB903">
    <x:cfRule type="duplicateValues" dxfId="144" priority="49"/>
  </x:conditionalFormatting>
  <x:conditionalFormatting sqref="AB904:AB904">
    <x:cfRule type="duplicateValues" dxfId="143" priority="48"/>
  </x:conditionalFormatting>
  <x:conditionalFormatting sqref="AB905:AB905">
    <x:cfRule type="duplicateValues" dxfId="142" priority="253"/>
  </x:conditionalFormatting>
  <x:conditionalFormatting sqref="AB909:AB909">
    <x:cfRule type="duplicateValues" dxfId="141" priority="252"/>
  </x:conditionalFormatting>
  <x:conditionalFormatting sqref="AB915:AB915">
    <x:cfRule type="duplicateValues" dxfId="140" priority="52"/>
  </x:conditionalFormatting>
  <x:conditionalFormatting sqref="AB919:AB919 AB921:AB921">
    <x:cfRule type="duplicateValues" dxfId="139" priority="250"/>
  </x:conditionalFormatting>
  <x:conditionalFormatting sqref="AB922:AB922">
    <x:cfRule type="duplicateValues" dxfId="138" priority="50"/>
  </x:conditionalFormatting>
  <x:conditionalFormatting sqref="AB932:AB936">
    <x:cfRule type="duplicateValues" dxfId="137" priority="507"/>
  </x:conditionalFormatting>
  <x:conditionalFormatting sqref="AB937:AB937">
    <x:cfRule type="duplicateValues" dxfId="136" priority="45"/>
  </x:conditionalFormatting>
  <x:conditionalFormatting sqref="AB938:AB938">
    <x:cfRule type="duplicateValues" dxfId="135" priority="44"/>
  </x:conditionalFormatting>
  <x:conditionalFormatting sqref="AB939:AB939">
    <x:cfRule type="duplicateValues" dxfId="134" priority="249"/>
  </x:conditionalFormatting>
  <x:conditionalFormatting sqref="AB942:AB942">
    <x:cfRule type="duplicateValues" dxfId="133" priority="248"/>
  </x:conditionalFormatting>
  <x:conditionalFormatting sqref="AB945:AB945">
    <x:cfRule type="duplicateValues" dxfId="132" priority="43"/>
  </x:conditionalFormatting>
  <x:conditionalFormatting sqref="AB946:AB946">
    <x:cfRule type="duplicateValues" dxfId="131" priority="244"/>
  </x:conditionalFormatting>
  <x:conditionalFormatting sqref="AB947:AB947">
    <x:cfRule type="duplicateValues" dxfId="130" priority="243"/>
  </x:conditionalFormatting>
  <x:conditionalFormatting sqref="AB948:AB948">
    <x:cfRule type="duplicateValues" dxfId="129" priority="242"/>
  </x:conditionalFormatting>
  <x:conditionalFormatting sqref="AB949:AB949">
    <x:cfRule type="duplicateValues" dxfId="128" priority="42"/>
  </x:conditionalFormatting>
  <x:conditionalFormatting sqref="AB951:AB951">
    <x:cfRule type="duplicateValues" dxfId="127" priority="241"/>
  </x:conditionalFormatting>
  <x:conditionalFormatting sqref="AB952:AB952">
    <x:cfRule type="duplicateValues" dxfId="126" priority="240"/>
  </x:conditionalFormatting>
  <x:conditionalFormatting sqref="AB953:AB953">
    <x:cfRule type="duplicateValues" dxfId="125" priority="247"/>
  </x:conditionalFormatting>
  <x:conditionalFormatting sqref="AB954:AB955">
    <x:cfRule type="duplicateValues" dxfId="124" priority="40"/>
  </x:conditionalFormatting>
  <x:conditionalFormatting sqref="AB956:AB956">
    <x:cfRule type="duplicateValues" dxfId="123" priority="41"/>
  </x:conditionalFormatting>
  <x:conditionalFormatting sqref="AB961:AB961">
    <x:cfRule type="duplicateValues" dxfId="122" priority="246"/>
  </x:conditionalFormatting>
  <x:conditionalFormatting sqref="AB963:AB963">
    <x:cfRule type="duplicateValues" dxfId="121" priority="239"/>
  </x:conditionalFormatting>
  <x:conditionalFormatting sqref="AB964:AB964">
    <x:cfRule type="duplicateValues" dxfId="120" priority="245"/>
  </x:conditionalFormatting>
  <x:conditionalFormatting sqref="AB967:AB967">
    <x:cfRule type="duplicateValues" dxfId="119" priority="39"/>
  </x:conditionalFormatting>
  <x:conditionalFormatting sqref="AB968:AB968">
    <x:cfRule type="duplicateValues" dxfId="118" priority="38"/>
  </x:conditionalFormatting>
  <x:conditionalFormatting sqref="AB972:AB972">
    <x:cfRule type="duplicateValues" dxfId="117" priority="238"/>
  </x:conditionalFormatting>
  <x:conditionalFormatting sqref="AB973:AB973">
    <x:cfRule type="duplicateValues" dxfId="116" priority="237"/>
  </x:conditionalFormatting>
  <x:conditionalFormatting sqref="AB974:AB974">
    <x:cfRule type="duplicateValues" dxfId="115" priority="234"/>
  </x:conditionalFormatting>
  <x:conditionalFormatting sqref="AB975:AB975">
    <x:cfRule type="duplicateValues" dxfId="114" priority="233"/>
  </x:conditionalFormatting>
  <x:conditionalFormatting sqref="AB976:AB976">
    <x:cfRule type="duplicateValues" dxfId="113" priority="232"/>
  </x:conditionalFormatting>
  <x:conditionalFormatting sqref="AB977:AB977">
    <x:cfRule type="duplicateValues" dxfId="112" priority="231"/>
  </x:conditionalFormatting>
  <x:conditionalFormatting sqref="AB978:AB978">
    <x:cfRule type="duplicateValues" dxfId="111" priority="230"/>
  </x:conditionalFormatting>
  <x:conditionalFormatting sqref="AB979:AB979">
    <x:cfRule type="duplicateValues" dxfId="110" priority="229"/>
  </x:conditionalFormatting>
  <x:conditionalFormatting sqref="AB981:AB981">
    <x:cfRule type="duplicateValues" dxfId="109" priority="228"/>
  </x:conditionalFormatting>
  <x:conditionalFormatting sqref="AB982:AB982">
    <x:cfRule type="duplicateValues" dxfId="108" priority="226"/>
  </x:conditionalFormatting>
  <x:conditionalFormatting sqref="AB986:AB986">
    <x:cfRule type="duplicateValues" dxfId="107" priority="225"/>
  </x:conditionalFormatting>
  <x:conditionalFormatting sqref="AB987:AB987">
    <x:cfRule type="duplicateValues" dxfId="106" priority="37"/>
  </x:conditionalFormatting>
  <x:conditionalFormatting sqref="AB988:AB988">
    <x:cfRule type="duplicateValues" dxfId="105" priority="224"/>
  </x:conditionalFormatting>
  <x:conditionalFormatting sqref="AB989:AB989">
    <x:cfRule type="duplicateValues" dxfId="104" priority="36"/>
  </x:conditionalFormatting>
  <x:conditionalFormatting sqref="AB990:AB991">
    <x:cfRule type="duplicateValues" dxfId="103" priority="35"/>
  </x:conditionalFormatting>
  <x:conditionalFormatting sqref="AB993:AB993">
    <x:cfRule type="duplicateValues" dxfId="102" priority="223"/>
  </x:conditionalFormatting>
  <x:conditionalFormatting sqref="AB996:AB996">
    <x:cfRule type="duplicateValues" dxfId="101" priority="34"/>
  </x:conditionalFormatting>
  <x:conditionalFormatting sqref="AB997:AB997">
    <x:cfRule type="duplicateValues" dxfId="100" priority="33"/>
  </x:conditionalFormatting>
  <x:conditionalFormatting sqref="AB998:AB998">
    <x:cfRule type="duplicateValues" dxfId="99" priority="222"/>
  </x:conditionalFormatting>
  <x:conditionalFormatting sqref="AB999:AB999">
    <x:cfRule type="duplicateValues" dxfId="98" priority="221"/>
  </x:conditionalFormatting>
  <x:conditionalFormatting sqref="AB1000:AB1000">
    <x:cfRule type="duplicateValues" dxfId="97" priority="220"/>
  </x:conditionalFormatting>
  <x:conditionalFormatting sqref="AB1001:AB1001">
    <x:cfRule type="duplicateValues" dxfId="96" priority="219"/>
  </x:conditionalFormatting>
  <x:conditionalFormatting sqref="AB1002:AB1002">
    <x:cfRule type="duplicateValues" dxfId="95" priority="218"/>
  </x:conditionalFormatting>
  <x:conditionalFormatting sqref="AB1008:AB1008">
    <x:cfRule type="duplicateValues" dxfId="94" priority="217"/>
  </x:conditionalFormatting>
  <x:conditionalFormatting sqref="AB1011:AB1011">
    <x:cfRule type="duplicateValues" dxfId="93" priority="216"/>
  </x:conditionalFormatting>
  <x:conditionalFormatting sqref="AB1012:AB1012">
    <x:cfRule type="duplicateValues" dxfId="92" priority="215"/>
  </x:conditionalFormatting>
  <x:conditionalFormatting sqref="AB1014:AB1014">
    <x:cfRule type="duplicateValues" dxfId="91" priority="32"/>
  </x:conditionalFormatting>
  <x:conditionalFormatting sqref="AB1015:AB1015">
    <x:cfRule type="duplicateValues" dxfId="90" priority="31"/>
  </x:conditionalFormatting>
  <x:conditionalFormatting sqref="AB1016:AB1016">
    <x:cfRule type="duplicateValues" dxfId="89" priority="30"/>
  </x:conditionalFormatting>
  <x:conditionalFormatting sqref="AB1022:AB1022">
    <x:cfRule type="duplicateValues" dxfId="88" priority="214"/>
  </x:conditionalFormatting>
  <x:conditionalFormatting sqref="AB1023:AB1023">
    <x:cfRule type="duplicateValues" dxfId="87" priority="213"/>
  </x:conditionalFormatting>
  <x:conditionalFormatting sqref="AB1024:AB1025">
    <x:cfRule type="duplicateValues" dxfId="86" priority="29"/>
  </x:conditionalFormatting>
  <x:conditionalFormatting sqref="AB1027:AB1027">
    <x:cfRule type="duplicateValues" dxfId="85" priority="28"/>
  </x:conditionalFormatting>
  <x:conditionalFormatting sqref="AB1028:AB1028">
    <x:cfRule type="duplicateValues" dxfId="84" priority="212"/>
  </x:conditionalFormatting>
  <x:conditionalFormatting sqref="AB1029:AB1029">
    <x:cfRule type="duplicateValues" dxfId="83" priority="211"/>
  </x:conditionalFormatting>
  <x:conditionalFormatting sqref="AB1030:AB1030">
    <x:cfRule type="duplicateValues" dxfId="82" priority="27"/>
  </x:conditionalFormatting>
  <x:conditionalFormatting sqref="AB1031:AB1031">
    <x:cfRule type="duplicateValues" dxfId="81" priority="26"/>
  </x:conditionalFormatting>
  <x:conditionalFormatting sqref="AB1032:AB1033">
    <x:cfRule type="duplicateValues" dxfId="80" priority="25"/>
  </x:conditionalFormatting>
  <x:conditionalFormatting sqref="AB1036:AB1036">
    <x:cfRule type="duplicateValues" dxfId="79" priority="210"/>
  </x:conditionalFormatting>
  <x:conditionalFormatting sqref="AB1037:AB1037">
    <x:cfRule type="duplicateValues" dxfId="78" priority="24"/>
  </x:conditionalFormatting>
  <x:conditionalFormatting sqref="AB1046:AB1046">
    <x:cfRule type="duplicateValues" dxfId="77" priority="209"/>
  </x:conditionalFormatting>
  <x:conditionalFormatting sqref="AB1063:AB1063">
    <x:cfRule type="duplicateValues" dxfId="76" priority="207"/>
  </x:conditionalFormatting>
  <x:conditionalFormatting sqref="AB1064:AB1064">
    <x:cfRule type="duplicateValues" dxfId="75" priority="23"/>
  </x:conditionalFormatting>
  <x:conditionalFormatting sqref="AB1068:AB1068">
    <x:cfRule type="duplicateValues" dxfId="74" priority="22"/>
  </x:conditionalFormatting>
  <x:conditionalFormatting sqref="AB1074:AB1074">
    <x:cfRule type="duplicateValues" dxfId="73" priority="206"/>
  </x:conditionalFormatting>
  <x:conditionalFormatting sqref="AB1075:AB1075">
    <x:cfRule type="duplicateValues" dxfId="72" priority="205"/>
  </x:conditionalFormatting>
  <x:conditionalFormatting sqref="AB1078:AB1078">
    <x:cfRule type="duplicateValues" dxfId="71" priority="21"/>
  </x:conditionalFormatting>
  <x:conditionalFormatting sqref="AB1079:AB1079">
    <x:cfRule type="duplicateValues" dxfId="70" priority="19"/>
  </x:conditionalFormatting>
  <x:conditionalFormatting sqref="AB1080:AB1080">
    <x:cfRule type="duplicateValues" dxfId="69" priority="13"/>
  </x:conditionalFormatting>
  <x:conditionalFormatting sqref="AB1081:AB1081">
    <x:cfRule type="duplicateValues" dxfId="68" priority="18"/>
  </x:conditionalFormatting>
  <x:conditionalFormatting sqref="AB1082:AB1082">
    <x:cfRule type="duplicateValues" dxfId="67" priority="12"/>
  </x:conditionalFormatting>
  <x:conditionalFormatting sqref="AB1083:AB1084">
    <x:cfRule type="duplicateValues" dxfId="66" priority="17"/>
  </x:conditionalFormatting>
  <x:conditionalFormatting sqref="AB1085:AB1085">
    <x:cfRule type="duplicateValues" dxfId="65" priority="204"/>
  </x:conditionalFormatting>
  <x:conditionalFormatting sqref="AB1086:AB1086">
    <x:cfRule type="duplicateValues" dxfId="64" priority="16"/>
  </x:conditionalFormatting>
  <x:conditionalFormatting sqref="AB1087:AB1087">
    <x:cfRule type="duplicateValues" dxfId="63" priority="20"/>
  </x:conditionalFormatting>
  <x:conditionalFormatting sqref="AB1088:AB1089">
    <x:cfRule type="duplicateValues" dxfId="62" priority="15"/>
  </x:conditionalFormatting>
  <x:conditionalFormatting sqref="AB1090:AB1090">
    <x:cfRule type="duplicateValues" dxfId="61" priority="201"/>
  </x:conditionalFormatting>
  <x:conditionalFormatting sqref="AB1091:AB1091">
    <x:cfRule type="duplicateValues" dxfId="60" priority="11"/>
  </x:conditionalFormatting>
  <x:conditionalFormatting sqref="AB1092:AB1095">
    <x:cfRule type="duplicateValues" dxfId="59" priority="502"/>
  </x:conditionalFormatting>
  <x:conditionalFormatting sqref="AB1097:AB1097">
    <x:cfRule type="duplicateValues" dxfId="58" priority="10"/>
  </x:conditionalFormatting>
  <x:conditionalFormatting sqref="AB1104:AB1104">
    <x:cfRule type="duplicateValues" dxfId="57" priority="200"/>
  </x:conditionalFormatting>
  <x:conditionalFormatting sqref="AB1105:AB1105">
    <x:cfRule type="duplicateValues" dxfId="56" priority="199"/>
  </x:conditionalFormatting>
  <x:conditionalFormatting sqref="AB1106:AB1106">
    <x:cfRule type="duplicateValues" dxfId="55" priority="198"/>
  </x:conditionalFormatting>
  <x:conditionalFormatting sqref="AB1110:AB1110">
    <x:cfRule type="duplicateValues" dxfId="54" priority="197"/>
  </x:conditionalFormatting>
  <x:conditionalFormatting sqref="AB1112:AB1112">
    <x:cfRule type="duplicateValues" dxfId="53" priority="196"/>
  </x:conditionalFormatting>
  <x:conditionalFormatting sqref="AB1117:AB1117">
    <x:cfRule type="duplicateValues" dxfId="52" priority="195"/>
  </x:conditionalFormatting>
  <x:conditionalFormatting sqref="AB1120:AB1120">
    <x:cfRule type="duplicateValues" dxfId="51" priority="194"/>
  </x:conditionalFormatting>
  <x:conditionalFormatting sqref="AB1123:AB1123">
    <x:cfRule type="duplicateValues" dxfId="50" priority="193"/>
  </x:conditionalFormatting>
  <x:conditionalFormatting sqref="AB1125:AB1125">
    <x:cfRule type="duplicateValues" dxfId="49" priority="192"/>
  </x:conditionalFormatting>
  <x:conditionalFormatting sqref="AB1126:AB1126">
    <x:cfRule type="duplicateValues" dxfId="48" priority="191"/>
  </x:conditionalFormatting>
  <x:conditionalFormatting sqref="AB1127:AB1127">
    <x:cfRule type="duplicateValues" dxfId="47" priority="190"/>
  </x:conditionalFormatting>
  <x:conditionalFormatting sqref="AB1128:AB1128">
    <x:cfRule type="duplicateValues" dxfId="46" priority="189"/>
  </x:conditionalFormatting>
  <x:conditionalFormatting sqref="AB1129:AB1129">
    <x:cfRule type="duplicateValues" dxfId="45" priority="188"/>
  </x:conditionalFormatting>
  <x:conditionalFormatting sqref="AB1130:AB1130">
    <x:cfRule type="duplicateValues" dxfId="44" priority="187"/>
  </x:conditionalFormatting>
  <x:conditionalFormatting sqref="AB1131:AB1131">
    <x:cfRule type="duplicateValues" dxfId="43" priority="186"/>
  </x:conditionalFormatting>
  <x:conditionalFormatting sqref="AB1132:AB1132">
    <x:cfRule type="duplicateValues" dxfId="42" priority="185"/>
  </x:conditionalFormatting>
  <x:conditionalFormatting sqref="AB1133:AB1133">
    <x:cfRule type="duplicateValues" dxfId="41" priority="184"/>
  </x:conditionalFormatting>
  <x:conditionalFormatting sqref="AB1134:AB1134">
    <x:cfRule type="duplicateValues" dxfId="40" priority="183"/>
  </x:conditionalFormatting>
  <x:conditionalFormatting sqref="AB1135:AB1135">
    <x:cfRule type="duplicateValues" dxfId="39" priority="182"/>
  </x:conditionalFormatting>
  <x:conditionalFormatting sqref="AB1155:AB1155">
    <x:cfRule type="duplicateValues" dxfId="38" priority="9"/>
  </x:conditionalFormatting>
  <x:conditionalFormatting sqref="AB1156:AB1156">
    <x:cfRule type="duplicateValues" dxfId="37" priority="8"/>
  </x:conditionalFormatting>
  <x:conditionalFormatting sqref="AB1159:AB1159">
    <x:cfRule type="duplicateValues" dxfId="36" priority="181"/>
  </x:conditionalFormatting>
  <x:conditionalFormatting sqref="AB1160:AB1160">
    <x:cfRule type="duplicateValues" dxfId="35" priority="180"/>
  </x:conditionalFormatting>
  <x:conditionalFormatting sqref="AB1163:AB1163">
    <x:cfRule type="duplicateValues" dxfId="34" priority="179"/>
  </x:conditionalFormatting>
  <x:conditionalFormatting sqref="AB1164:AB1164">
    <x:cfRule type="duplicateValues" dxfId="33" priority="178"/>
  </x:conditionalFormatting>
  <x:conditionalFormatting sqref="AB1165:AB1165">
    <x:cfRule type="duplicateValues" dxfId="32" priority="146"/>
  </x:conditionalFormatting>
  <x:conditionalFormatting sqref="AB1167:AB1167">
    <x:cfRule type="duplicateValues" dxfId="31" priority="177"/>
  </x:conditionalFormatting>
  <x:conditionalFormatting sqref="AB1170:AB1170">
    <x:cfRule type="duplicateValues" dxfId="30" priority="175"/>
  </x:conditionalFormatting>
  <x:conditionalFormatting sqref="AB1171:AB1171">
    <x:cfRule type="duplicateValues" dxfId="29" priority="174"/>
  </x:conditionalFormatting>
  <x:conditionalFormatting sqref="AB1172:AB1172">
    <x:cfRule type="duplicateValues" dxfId="28" priority="172"/>
  </x:conditionalFormatting>
  <x:conditionalFormatting sqref="AB1173:AB1173">
    <x:cfRule type="duplicateValues" dxfId="27" priority="171"/>
  </x:conditionalFormatting>
  <x:conditionalFormatting sqref="AB1174:AB1174">
    <x:cfRule type="duplicateValues" dxfId="26" priority="5"/>
  </x:conditionalFormatting>
  <x:conditionalFormatting sqref="AB1175:AB1175">
    <x:cfRule type="duplicateValues" dxfId="25" priority="170"/>
  </x:conditionalFormatting>
  <x:conditionalFormatting sqref="AB1176:AB1176">
    <x:cfRule type="duplicateValues" dxfId="24" priority="169"/>
  </x:conditionalFormatting>
  <x:conditionalFormatting sqref="AB1177:AB1177">
    <x:cfRule type="duplicateValues" dxfId="23" priority="168"/>
  </x:conditionalFormatting>
  <x:conditionalFormatting sqref="AB1178:AB1178">
    <x:cfRule type="duplicateValues" dxfId="22" priority="167"/>
  </x:conditionalFormatting>
  <x:conditionalFormatting sqref="AB1179:AB1179">
    <x:cfRule type="duplicateValues" dxfId="21" priority="165"/>
  </x:conditionalFormatting>
  <x:conditionalFormatting sqref="AB1180:AB1180">
    <x:cfRule type="duplicateValues" dxfId="20" priority="7"/>
  </x:conditionalFormatting>
  <x:conditionalFormatting sqref="AB1183:AB1183">
    <x:cfRule type="duplicateValues" dxfId="19" priority="164"/>
  </x:conditionalFormatting>
  <x:conditionalFormatting sqref="AB1184:AB1184">
    <x:cfRule type="duplicateValues" dxfId="18" priority="163"/>
  </x:conditionalFormatting>
  <x:conditionalFormatting sqref="AB1185:AB1185">
    <x:cfRule type="duplicateValues" dxfId="17" priority="162"/>
  </x:conditionalFormatting>
  <x:conditionalFormatting sqref="AB1193:AB1193">
    <x:cfRule type="duplicateValues" dxfId="16" priority="161"/>
  </x:conditionalFormatting>
  <x:conditionalFormatting sqref="AB1194:AB1194">
    <x:cfRule type="duplicateValues" dxfId="15" priority="160"/>
  </x:conditionalFormatting>
  <x:conditionalFormatting sqref="AB1195:AB1195">
    <x:cfRule type="duplicateValues" dxfId="14" priority="159"/>
  </x:conditionalFormatting>
  <x:conditionalFormatting sqref="AB1196:AB1196">
    <x:cfRule type="duplicateValues" dxfId="13" priority="6"/>
  </x:conditionalFormatting>
  <x:conditionalFormatting sqref="AB1197:AB1197">
    <x:cfRule type="duplicateValues" dxfId="12" priority="158"/>
  </x:conditionalFormatting>
  <x:conditionalFormatting sqref="AB1198:AB1198">
    <x:cfRule type="duplicateValues" dxfId="11" priority="157"/>
  </x:conditionalFormatting>
  <x:conditionalFormatting sqref="AB1199:AB1199">
    <x:cfRule type="duplicateValues" dxfId="10" priority="156"/>
  </x:conditionalFormatting>
  <x:conditionalFormatting sqref="AB1200:AB1200">
    <x:cfRule type="duplicateValues" dxfId="9" priority="155"/>
  </x:conditionalFormatting>
  <x:conditionalFormatting sqref="AB1201:AB1201">
    <x:cfRule type="duplicateValues" dxfId="8" priority="154"/>
  </x:conditionalFormatting>
  <x:conditionalFormatting sqref="AB1202:AB1202">
    <x:cfRule type="duplicateValues" dxfId="7" priority="153"/>
  </x:conditionalFormatting>
  <x:conditionalFormatting sqref="AB1203:AB1203">
    <x:cfRule type="duplicateValues" dxfId="6" priority="152"/>
  </x:conditionalFormatting>
  <x:conditionalFormatting sqref="AB1204:AB1204">
    <x:cfRule type="duplicateValues" dxfId="5" priority="151"/>
  </x:conditionalFormatting>
  <x:conditionalFormatting sqref="AB1205:AB1205">
    <x:cfRule type="duplicateValues" dxfId="4" priority="150"/>
  </x:conditionalFormatting>
  <x:conditionalFormatting sqref="AB1207:AB1207">
    <x:cfRule type="duplicateValues" dxfId="3" priority="149"/>
  </x:conditionalFormatting>
  <x:conditionalFormatting sqref="AB1208:AB1208">
    <x:cfRule type="duplicateValues" dxfId="2" priority="148"/>
  </x:conditionalFormatting>
  <x:conditionalFormatting sqref="AB1211:AB1211">
    <x:cfRule type="duplicateValues" dxfId="1" priority="147"/>
  </x:conditionalFormatting>
  <x:conditionalFormatting sqref="D1044:D1044">
    <x:cfRule type="duplicateValues" dxfId="0" priority="1"/>
  </x:conditionalFormatting>
  <x:dataValidations count="2">
    <x:dataValidation type="decimal" operator="between" sqref="W2:W1224">
      <x:formula1>-90</x:formula1>
      <x:formula2>90</x:formula2>
    </x:dataValidation>
    <x:dataValidation type="decimal" operator="between" sqref="X2:X1224">
      <x:formula1>-180</x:formula1>
      <x:formula2>180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 ht="28" customHeight="1">
      <x:c r="A1" s="33" t="str">
        <x:v>FASE 1 · Normalización de coordenadas</x:v>
      </x:c>
      <x:c r="B1" s="33"/>
      <x:c r="C1" s="33"/>
      <x:c r="D1" s="33"/>
      <x:c r="E1" s="33"/>
      <x:c r="F1" s="33"/>
    </x:row>
    <x:row r="2">
      <x:c r="A2" s="29"/>
      <x:c r="B2" s="29"/>
      <x:c r="C2" s="29"/>
      <x:c r="D2" s="29"/>
      <x:c r="E2" s="29"/>
      <x:c r="F2" s="29"/>
    </x:row>
    <x:row r="3">
      <x:c r="A3" s="36" t="str">
        <x:v>Indicador</x:v>
      </x:c>
      <x:c r="B3" s="36" t="str">
        <x:v>Resultado</x:v>
      </x:c>
      <x:c r="C3" s="29"/>
      <x:c r="D3" s="29"/>
      <x:c r="E3" s="29"/>
      <x:c r="F3" s="29"/>
    </x:row>
    <x:row r="4">
      <x:c r="A4" s="37" t="str">
        <x:v>Filas de datos</x:v>
      </x:c>
      <x:c r="B4" s="38" t="n">
        <x:f>ROWS('Sheet1'!W2:W1224)</x:f>
        <x:v>1223</x:v>
      </x:c>
      <x:c r="C4" s="29"/>
      <x:c r="D4" s="29"/>
      <x:c r="E4" s="29"/>
      <x:c r="F4" s="29"/>
    </x:row>
    <x:row r="5">
      <x:c r="A5" s="39" t="str">
        <x:v>Latitudes numéricas finales</x:v>
      </x:c>
      <x:c r="B5" s="40" t="n">
        <x:f>COUNT('Sheet1'!W2:W1224)</x:f>
        <x:v>1217</x:v>
      </x:c>
      <x:c r="C5" s="29"/>
      <x:c r="D5" s="29"/>
      <x:c r="E5" s="29"/>
      <x:c r="F5" s="29"/>
    </x:row>
    <x:row r="6">
      <x:c r="A6" s="39" t="str">
        <x:v>Longitudes numéricas finales</x:v>
      </x:c>
      <x:c r="B6" s="40" t="n">
        <x:f>COUNT('Sheet1'!X2:X1224)</x:f>
        <x:v>1217</x:v>
      </x:c>
      <x:c r="C6" s="29"/>
      <x:c r="D6" s="29"/>
      <x:c r="E6" s="29"/>
      <x:c r="F6" s="29"/>
    </x:row>
    <x:row r="7">
      <x:c r="A7" s="39" t="str">
        <x:v>Pares completos y válidos</x:v>
      </x:c>
      <x:c r="B7" s="40" t="n">
        <x:f>COUNTIFS('Sheet1'!W2:W1224,"&lt;&gt;",'Sheet1'!X2:X1224,"&lt;&gt;",'Sheet1'!W2:W1224,"&gt;=-90",'Sheet1'!W2:W1224,"&lt;=90",'Sheet1'!X2:X1224,"&gt;=-180",'Sheet1'!X2:X1224,"&lt;=180")</x:f>
        <x:v>1217</x:v>
      </x:c>
      <x:c r="C7" s="29"/>
      <x:c r="D7" s="29"/>
      <x:c r="E7" s="29"/>
      <x:c r="F7" s="29"/>
    </x:row>
    <x:row r="8">
      <x:c r="A8" s="39" t="str">
        <x:v>Filas sin latitud y longitud</x:v>
      </x:c>
      <x:c r="B8" s="40" t="n">
        <x:f>COUNTIF('QC_Coordenadas'!I2:I1224,"Latitud y longitud vacías")</x:f>
        <x:v>6</x:v>
      </x:c>
      <x:c r="C8" s="29"/>
      <x:c r="D8" s="29"/>
      <x:c r="E8" s="29"/>
      <x:c r="F8" s="29"/>
    </x:row>
    <x:row r="9">
      <x:c r="A9" s="39" t="str">
        <x:v>Filas con solo una coordenada ausente</x:v>
      </x:c>
      <x:c r="B9" s="40" t="n">
        <x:f>COUNTIF('QC_Coordenadas'!I2:I1224,"Falta latitud")+COUNTIF('QC_Coordenadas'!I2:I1224,"Falta longitud")</x:f>
        <x:v>0</x:v>
      </x:c>
      <x:c r="C9" s="29"/>
      <x:c r="D9" s="29"/>
      <x:c r="E9" s="29"/>
      <x:c r="F9" s="29"/>
    </x:row>
    <x:row r="10">
      <x:c r="A10" s="39" t="str">
        <x:v>Valores no convertibles</x:v>
      </x:c>
      <x:c r="B10" s="40" t="n">
        <x:f>COUNTIF('QC_Coordenadas'!H2:H1224,"ERROR_COORDENADA")</x:f>
        <x:v>0</x:v>
      </x:c>
      <x:c r="C10" s="29"/>
      <x:c r="D10" s="29"/>
      <x:c r="E10" s="29"/>
      <x:c r="F10" s="29"/>
    </x:row>
    <x:row r="11">
      <x:c r="A11" s="39" t="str">
        <x:v>Pares de coordenadas únicos</x:v>
      </x:c>
      <x:c r="B11" s="40" t="n">
        <x:f>COUNTA('QC_Coordenadas'!J2:J1224)</x:f>
        <x:v>646</x:v>
      </x:c>
      <x:c r="C11" s="29"/>
      <x:c r="D11" s="29"/>
      <x:c r="E11" s="29"/>
      <x:c r="F11" s="29"/>
    </x:row>
    <x:row r="12">
      <x:c r="A12" s="39" t="str">
        <x:v>Registros adicionales en coordenadas repetidas</x:v>
      </x:c>
      <x:c r="B12" s="40" t="n">
        <x:f>SUM('QC_Coordenadas'!K2:K1224)</x:f>
        <x:v>571</x:v>
      </x:c>
      <x:c r="C12" s="29"/>
      <x:c r="D12" s="29"/>
      <x:c r="E12" s="29"/>
      <x:c r="F12" s="29"/>
    </x:row>
    <x:row r="13">
      <x:c r="A13" s="41" t="str">
        <x:v>Columnas corregidas</x:v>
      </x:c>
      <x:c r="B13" s="42" t="str">
        <x:v>W = Latitud; X = Longitud</x:v>
      </x:c>
      <x:c r="C13" s="29"/>
      <x:c r="D13" s="29"/>
      <x:c r="E13" s="29"/>
      <x:c r="F13" s="29"/>
    </x:row>
    <x:row r="14">
      <x:c r="A14" s="29"/>
      <x:c r="B14" s="29"/>
      <x:c r="C14" s="29"/>
      <x:c r="D14" s="29"/>
      <x:c r="E14" s="29"/>
      <x:c r="F14" s="29"/>
    </x:row>
    <x:row r="15">
      <x:c r="A15" s="44" t="str">
        <x:v>Reglas aplicadas</x:v>
      </x:c>
      <x:c r="B15" s="44"/>
      <x:c r="C15" s="44"/>
      <x:c r="D15" s="44"/>
      <x:c r="E15" s="44"/>
      <x:c r="F15" s="44"/>
    </x:row>
    <x:row r="16">
      <x:c r="A16" s="45" t="str">
        <x:v>1. Se eliminaron espacios, tabulaciones y espacios no separables únicamente dentro de las coordenadas.</x:v>
      </x:c>
      <x:c r="B16" s="45"/>
      <x:c r="C16" s="45"/>
      <x:c r="D16" s="45"/>
      <x:c r="E16" s="45"/>
      <x:c r="F16" s="45"/>
    </x:row>
    <x:row r="17">
      <x:c r="A17" s="45" t="str">
        <x:v>2. La coma decimal se sustituyó por punto antes de convertir el valor.</x:v>
      </x:c>
      <x:c r="B17" s="45"/>
      <x:c r="C17" s="45"/>
      <x:c r="D17" s="45"/>
      <x:c r="E17" s="45"/>
      <x:c r="F17" s="45"/>
    </x:row>
    <x:row r="18">
      <x:c r="A18" s="45" t="str">
        <x:v>3. Los valores no vacíos se almacenaron como números reales, no como texto.</x:v>
      </x:c>
      <x:c r="B18" s="45"/>
      <x:c r="C18" s="45"/>
      <x:c r="D18" s="45"/>
      <x:c r="E18" s="45"/>
      <x:c r="F18" s="45"/>
    </x:row>
    <x:row r="19">
      <x:c r="A19" s="45" t="str">
        <x:v>4. Se validó latitud entre −90 y 90 y longitud entre −180 y 180.</x:v>
      </x:c>
      <x:c r="B19" s="45"/>
      <x:c r="C19" s="45"/>
      <x:c r="D19" s="45"/>
      <x:c r="E19" s="45"/>
      <x:c r="F19" s="45"/>
    </x:row>
    <x:row r="20">
      <x:c r="A20" s="45" t="str">
        <x:v>5. No se corrigieron signos, posiciones, localidades ni duplicados por inferencia.</x:v>
      </x:c>
      <x:c r="B20" s="45"/>
      <x:c r="C20" s="45"/>
      <x:c r="D20" s="45"/>
      <x:c r="E20" s="45"/>
      <x:c r="F20" s="45"/>
    </x:row>
    <x:row r="21">
      <x:c r="A21" s="45" t="str">
        <x:v>6. Los valores originales y cada acción de conversión quedaron registrados en QC_Coordenadas.</x:v>
      </x:c>
      <x:c r="B21" s="45"/>
      <x:c r="C21" s="45"/>
      <x:c r="D21" s="45"/>
      <x:c r="E21" s="45"/>
      <x:c r="F21" s="45"/>
    </x:row>
    <x:row r="22">
      <x:c r="A22" s="45"/>
      <x:c r="B22" s="45"/>
      <x:c r="C22" s="45"/>
      <x:c r="D22" s="45"/>
      <x:c r="E22" s="45"/>
      <x:c r="F22" s="45"/>
    </x:row>
    <x:row r="23">
      <x:c r="A23" s="46" t="str">
        <x:v>Interpretación</x:v>
      </x:c>
      <x:c r="B23" s="46"/>
      <x:c r="C23" s="46"/>
      <x:c r="D23" s="46"/>
      <x:c r="E23" s="46"/>
      <x:c r="F23" s="46"/>
    </x:row>
    <x:row r="24" ht="34" customHeight="1">
      <x:c r="A24" s="49" t="str">
        <x:v>Las coordenadas están listas para importarse en R como variables numéricas. Los registros sin coordenadas permanecen vacíos y deberán georreferenciarse o excluirse posteriormente mediante una regla explícita.</x:v>
      </x:c>
      <x:c r="B24" s="49"/>
      <x:c r="C24" s="49"/>
      <x:c r="D24" s="49"/>
      <x:c r="E24" s="49"/>
      <x:c r="F24" s="49"/>
    </x:row>
    <x:row r="25" ht="34" customHeight="1">
      <x:c r="A25" s="49" t="str">
        <x:v>Los registros repetidos solo se contabilizaron; no se eliminaron, porque cada fila representa un ejemplar de herbario.</x:v>
      </x:c>
      <x:c r="B25" s="49"/>
      <x:c r="C25" s="49"/>
      <x:c r="D25" s="49"/>
      <x:c r="E25" s="49"/>
      <x:c r="F25" s="49"/>
    </x:row>
    <x:row r="26" ht="34" customHeight="1">
      <x:c r="A26" s="49" t="str">
        <x:v>La validación espacial contra límites de Colombia, localidades y capas de QGIS corresponde a una fase posterior.</x:v>
      </x:c>
      <x:c r="B26" s="49"/>
      <x:c r="C26" s="49"/>
      <x:c r="D26" s="49"/>
      <x:c r="E26" s="49"/>
      <x:c r="F26" s="49"/>
    </x:row>
  </x:sheetData>
  <x:mergeCells>
    <x:mergeCell ref="A1:F1"/>
    <x:mergeCell ref="A15:F15"/>
    <x:mergeCell ref="A16:F16"/>
    <x:mergeCell ref="A17:F17"/>
    <x:mergeCell ref="A18:F18"/>
    <x:mergeCell ref="A19:F19"/>
    <x:mergeCell ref="A20:F20"/>
    <x:mergeCell ref="A21:F21"/>
    <x:mergeCell ref="A23:F23"/>
    <x:mergeCell ref="A24:F24"/>
    <x:mergeCell ref="A25:F25"/>
    <x:mergeCell ref="A26:F2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9" hidden="0" customWidth="1"/>
    <x:col min="3" max="3" width="19" hidden="0" customWidth="1"/>
    <x:col min="4" max="4" width="16" hidden="0" customWidth="1"/>
    <x:col min="5" max="5" width="16" hidden="0" customWidth="1"/>
    <x:col min="6" max="6" width="28" hidden="0" customWidth="1"/>
    <x:col min="7" max="7" width="28" hidden="0" customWidth="1"/>
    <x:col min="8" max="8" width="20" hidden="0" customWidth="1"/>
    <x:col min="9" max="9" width="34" hidden="0" customWidth="1"/>
    <x:col min="10" max="10" width="25" hidden="0" customWidth="1"/>
    <x:col min="11" max="11" width="20" hidden="0" customWidth="1"/>
  </x:cols>
  <x:sheetData>
    <x:row r="1">
      <x:c r="A1" s="66" t="str">
        <x:v>Fila_excel</x:v>
      </x:c>
      <x:c r="B1" s="67" t="str">
        <x:v>Latitud_original</x:v>
      </x:c>
      <x:c r="C1" s="67" t="str">
        <x:v>Longitud_original</x:v>
      </x:c>
      <x:c r="D1" s="67" t="str">
        <x:v>Latitud_final</x:v>
      </x:c>
      <x:c r="E1" s="67" t="str">
        <x:v>Longitud_final</x:v>
      </x:c>
      <x:c r="F1" s="67" t="str">
        <x:v>Acción_latitud</x:v>
      </x:c>
      <x:c r="G1" s="67" t="str">
        <x:v>Acción_longitud</x:v>
      </x:c>
      <x:c r="H1" s="67" t="str">
        <x:v>Estado_QC</x:v>
      </x:c>
      <x:c r="I1" s="67" t="str">
        <x:v>Observación</x:v>
      </x:c>
      <x:c r="J1" s="67" t="str">
        <x:v>Par_unico</x:v>
      </x:c>
      <x:c r="K1" s="67" t="str">
        <x:v>Duplicados_adicionales</x:v>
      </x:c>
    </x:row>
    <x:row r="2">
      <x:c r="A2" s="76" t="n">
        <x:v>2</x:v>
      </x:c>
      <x:c r="B2" s="69" t="str">
        <x:v>1.8767333</x:v>
      </x:c>
      <x:c r="C2" s="69" t="str">
        <x:v>-76.2681861</x:v>
      </x:c>
      <x:c r="D2" s="78" t="n">
        <x:v>1.8767333</x:v>
      </x:c>
      <x:c r="E2" s="78" t="n">
        <x:v>-76.2681861</x:v>
      </x:c>
      <x:c r="F2" s="69" t="str">
        <x:v>Texto→número</x:v>
      </x:c>
      <x:c r="G2" s="69" t="str">
        <x:v>Texto→número</x:v>
      </x:c>
      <x:c r="H2" s="80" t="str">
        <x:v>OK</x:v>
      </x:c>
      <x:c r="I2" s="69" t="str"/>
      <x:c r="J2" s="69" t="str">
        <x:v>1.8767333|-76.2681861</x:v>
      </x:c>
      <x:c r="K2" s="82" t="n">
        <x:v>0</x:v>
      </x:c>
    </x:row>
    <x:row r="3">
      <x:c r="A3" s="76" t="n">
        <x:v>3</x:v>
      </x:c>
      <x:c r="B3" s="69" t="str">
        <x:v>1.08259</x:v>
      </x:c>
      <x:c r="C3" s="69" t="str">
        <x:v>-76.66412</x:v>
      </x:c>
      <x:c r="D3" s="78" t="n">
        <x:v>1.08259</x:v>
      </x:c>
      <x:c r="E3" s="78" t="n">
        <x:v>-76.66412</x:v>
      </x:c>
      <x:c r="F3" s="69" t="str">
        <x:v>Texto→número</x:v>
      </x:c>
      <x:c r="G3" s="69" t="str">
        <x:v>Texto→número</x:v>
      </x:c>
      <x:c r="H3" s="80" t="str">
        <x:v>OK</x:v>
      </x:c>
      <x:c r="I3" s="69" t="str"/>
      <x:c r="J3" s="69" t="str">
        <x:v>1.08259|-76.66412</x:v>
      </x:c>
      <x:c r="K3" s="82" t="n">
        <x:v>0</x:v>
      </x:c>
    </x:row>
    <x:row r="4">
      <x:c r="A4" s="76" t="n">
        <x:v>4</x:v>
      </x:c>
      <x:c r="B4" s="69" t="str">
        <x:v>1.08259</x:v>
      </x:c>
      <x:c r="C4" s="69" t="str">
        <x:v>-76.66412</x:v>
      </x:c>
      <x:c r="D4" s="78" t="n">
        <x:v>1.08259</x:v>
      </x:c>
      <x:c r="E4" s="78" t="n">
        <x:v>-76.66412</x:v>
      </x:c>
      <x:c r="F4" s="69" t="str">
        <x:v>Texto→número</x:v>
      </x:c>
      <x:c r="G4" s="69" t="str">
        <x:v>Texto→número</x:v>
      </x:c>
      <x:c r="H4" s="80" t="str">
        <x:v>OK</x:v>
      </x:c>
      <x:c r="I4" s="69" t="str"/>
      <x:c r="J4" s="69"/>
      <x:c r="K4" s="82" t="n">
        <x:v>1</x:v>
      </x:c>
    </x:row>
    <x:row r="5">
      <x:c r="A5" s="76" t="n">
        <x:v>5</x:v>
      </x:c>
      <x:c r="B5" s="69" t="str">
        <x:v>3.44733</x:v>
      </x:c>
      <x:c r="C5" s="69" t="str">
        <x:v>-76.54198</x:v>
      </x:c>
      <x:c r="D5" s="78" t="n">
        <x:v>3.44733</x:v>
      </x:c>
      <x:c r="E5" s="78" t="n">
        <x:v>-76.54198</x:v>
      </x:c>
      <x:c r="F5" s="69" t="str">
        <x:v>Texto→número</x:v>
      </x:c>
      <x:c r="G5" s="69" t="str">
        <x:v>Texto→número</x:v>
      </x:c>
      <x:c r="H5" s="80" t="str">
        <x:v>OK</x:v>
      </x:c>
      <x:c r="I5" s="69" t="str"/>
      <x:c r="J5" s="69" t="str">
        <x:v>3.44733|-76.54198</x:v>
      </x:c>
      <x:c r="K5" s="82" t="n">
        <x:v>0</x:v>
      </x:c>
    </x:row>
    <x:row r="6">
      <x:c r="A6" s="76" t="n">
        <x:v>6</x:v>
      </x:c>
      <x:c r="B6" s="69" t="str">
        <x:v>6.78302</x:v>
      </x:c>
      <x:c r="C6" s="69" t="str">
        <x:v>-72.0829</x:v>
      </x:c>
      <x:c r="D6" s="78" t="n">
        <x:v>6.78302</x:v>
      </x:c>
      <x:c r="E6" s="78" t="n">
        <x:v>-72.0829</x:v>
      </x:c>
      <x:c r="F6" s="69" t="str">
        <x:v>Texto→número</x:v>
      </x:c>
      <x:c r="G6" s="69" t="str">
        <x:v>Texto→número</x:v>
      </x:c>
      <x:c r="H6" s="80" t="str">
        <x:v>OK</x:v>
      </x:c>
      <x:c r="I6" s="69" t="str"/>
      <x:c r="J6" s="69" t="str">
        <x:v>6.78302|-72.0829</x:v>
      </x:c>
      <x:c r="K6" s="82" t="n">
        <x:v>0</x:v>
      </x:c>
    </x:row>
    <x:row r="7">
      <x:c r="A7" s="76" t="n">
        <x:v>7</x:v>
      </x:c>
      <x:c r="B7" s="69" t="str">
        <x:v>4.9794</x:v>
      </x:c>
      <x:c r="C7" s="69" t="str">
        <x:v>-74.31008</x:v>
      </x:c>
      <x:c r="D7" s="78" t="n">
        <x:v>4.9794</x:v>
      </x:c>
      <x:c r="E7" s="78" t="n">
        <x:v>-74.31008</x:v>
      </x:c>
      <x:c r="F7" s="69" t="str">
        <x:v>Texto→número</x:v>
      </x:c>
      <x:c r="G7" s="69" t="str">
        <x:v>Texto→número</x:v>
      </x:c>
      <x:c r="H7" s="80" t="str">
        <x:v>OK</x:v>
      </x:c>
      <x:c r="I7" s="69" t="str"/>
      <x:c r="J7" s="69" t="str">
        <x:v>4.9794|-74.31008</x:v>
      </x:c>
      <x:c r="K7" s="82" t="n">
        <x:v>0</x:v>
      </x:c>
    </x:row>
    <x:row r="8">
      <x:c r="A8" s="76" t="n">
        <x:v>8</x:v>
      </x:c>
      <x:c r="B8" s="69" t="str">
        <x:v>4.41479</x:v>
      </x:c>
      <x:c r="C8" s="69" t="str">
        <x:v>-74.32969</x:v>
      </x:c>
      <x:c r="D8" s="78" t="n">
        <x:v>4.41479</x:v>
      </x:c>
      <x:c r="E8" s="78" t="n">
        <x:v>-74.32969</x:v>
      </x:c>
      <x:c r="F8" s="69" t="str">
        <x:v>Texto→número</x:v>
      </x:c>
      <x:c r="G8" s="69" t="str">
        <x:v>Texto→número</x:v>
      </x:c>
      <x:c r="H8" s="80" t="str">
        <x:v>OK</x:v>
      </x:c>
      <x:c r="I8" s="69" t="str"/>
      <x:c r="J8" s="69" t="str">
        <x:v>4.41479|-74.32969</x:v>
      </x:c>
      <x:c r="K8" s="82" t="n">
        <x:v>0</x:v>
      </x:c>
    </x:row>
    <x:row r="9">
      <x:c r="A9" s="76" t="n">
        <x:v>9</x:v>
      </x:c>
      <x:c r="B9" s="69" t="str">
        <x:v>5.62831</x:v>
      </x:c>
      <x:c r="C9" s="69" t="str">
        <x:v>-73.90248</x:v>
      </x:c>
      <x:c r="D9" s="78" t="n">
        <x:v>5.62831</x:v>
      </x:c>
      <x:c r="E9" s="78" t="n">
        <x:v>-73.90248</x:v>
      </x:c>
      <x:c r="F9" s="69" t="str">
        <x:v>Texto→número</x:v>
      </x:c>
      <x:c r="G9" s="69" t="str">
        <x:v>Texto→número</x:v>
      </x:c>
      <x:c r="H9" s="80" t="str">
        <x:v>OK</x:v>
      </x:c>
      <x:c r="I9" s="69" t="str"/>
      <x:c r="J9" s="69" t="str">
        <x:v>5.62831|-73.90248</x:v>
      </x:c>
      <x:c r="K9" s="82" t="n">
        <x:v>0</x:v>
      </x:c>
    </x:row>
    <x:row r="10">
      <x:c r="A10" s="76" t="n">
        <x:v>10</x:v>
      </x:c>
      <x:c r="B10" s="69" t="str">
        <x:v>4.7552</x:v>
      </x:c>
      <x:c r="C10" s="69" t="str">
        <x:v>-76.28734</x:v>
      </x:c>
      <x:c r="D10" s="78" t="n">
        <x:v>4.7552</x:v>
      </x:c>
      <x:c r="E10" s="78" t="n">
        <x:v>-76.28734</x:v>
      </x:c>
      <x:c r="F10" s="69" t="str">
        <x:v>Texto→número</x:v>
      </x:c>
      <x:c r="G10" s="69" t="str">
        <x:v>Texto→número</x:v>
      </x:c>
      <x:c r="H10" s="80" t="str">
        <x:v>OK</x:v>
      </x:c>
      <x:c r="I10" s="69" t="str"/>
      <x:c r="J10" s="69" t="str">
        <x:v>4.7552|-76.28734</x:v>
      </x:c>
      <x:c r="K10" s="82" t="n">
        <x:v>0</x:v>
      </x:c>
    </x:row>
    <x:row r="11">
      <x:c r="A11" s="76" t="n">
        <x:v>11</x:v>
      </x:c>
      <x:c r="B11" s="69" t="str">
        <x:v>1.53403</x:v>
      </x:c>
      <x:c r="C11" s="69" t="str">
        <x:v>-78.06769</x:v>
      </x:c>
      <x:c r="D11" s="78" t="n">
        <x:v>1.53403</x:v>
      </x:c>
      <x:c r="E11" s="78" t="n">
        <x:v>-78.06769</x:v>
      </x:c>
      <x:c r="F11" s="69" t="str">
        <x:v>Texto→número</x:v>
      </x:c>
      <x:c r="G11" s="69" t="str">
        <x:v>Texto→número</x:v>
      </x:c>
      <x:c r="H11" s="80" t="str">
        <x:v>OK</x:v>
      </x:c>
      <x:c r="I11" s="69" t="str"/>
      <x:c r="J11" s="69" t="str">
        <x:v>1.53403|-78.06769</x:v>
      </x:c>
      <x:c r="K11" s="82" t="n">
        <x:v>0</x:v>
      </x:c>
    </x:row>
    <x:row r="12">
      <x:c r="A12" s="76" t="n">
        <x:v>12</x:v>
      </x:c>
      <x:c r="B12" s="69" t="str">
        <x:v>4.71798</x:v>
      </x:c>
      <x:c r="C12" s="69" t="str">
        <x:v>-75.07741</x:v>
      </x:c>
      <x:c r="D12" s="78" t="n">
        <x:v>4.71798</x:v>
      </x:c>
      <x:c r="E12" s="78" t="n">
        <x:v>-75.07741</x:v>
      </x:c>
      <x:c r="F12" s="69" t="str">
        <x:v>Texto→número</x:v>
      </x:c>
      <x:c r="G12" s="69" t="str">
        <x:v>Texto→número</x:v>
      </x:c>
      <x:c r="H12" s="80" t="str">
        <x:v>OK</x:v>
      </x:c>
      <x:c r="I12" s="69" t="str"/>
      <x:c r="J12" s="69" t="str">
        <x:v>4.71798|-75.07741</x:v>
      </x:c>
      <x:c r="K12" s="82" t="n">
        <x:v>0</x:v>
      </x:c>
    </x:row>
    <x:row r="13">
      <x:c r="A13" s="76" t="n">
        <x:v>13</x:v>
      </x:c>
      <x:c r="B13" s="69" t="str">
        <x:v>1.96004</x:v>
      </x:c>
      <x:c r="C13" s="69" t="str">
        <x:v>-76.08114</x:v>
      </x:c>
      <x:c r="D13" s="78" t="n">
        <x:v>1.96004</x:v>
      </x:c>
      <x:c r="E13" s="78" t="n">
        <x:v>-76.08114</x:v>
      </x:c>
      <x:c r="F13" s="69" t="str">
        <x:v>Texto→número</x:v>
      </x:c>
      <x:c r="G13" s="69" t="str">
        <x:v>Texto→número</x:v>
      </x:c>
      <x:c r="H13" s="80" t="str">
        <x:v>OK</x:v>
      </x:c>
      <x:c r="I13" s="69" t="str"/>
      <x:c r="J13" s="69" t="str">
        <x:v>1.96004|-76.08114</x:v>
      </x:c>
      <x:c r="K13" s="82" t="n">
        <x:v>0</x:v>
      </x:c>
    </x:row>
    <x:row r="14">
      <x:c r="A14" s="76" t="n">
        <x:v>14</x:v>
      </x:c>
      <x:c r="B14" s="69" t="str">
        <x:v>4.74141</x:v>
      </x:c>
      <x:c r="C14" s="69" t="str">
        <x:v>-76.11797</x:v>
      </x:c>
      <x:c r="D14" s="78" t="n">
        <x:v>4.74141</x:v>
      </x:c>
      <x:c r="E14" s="78" t="n">
        <x:v>-76.11797</x:v>
      </x:c>
      <x:c r="F14" s="69" t="str">
        <x:v>Texto→número</x:v>
      </x:c>
      <x:c r="G14" s="69" t="str">
        <x:v>Texto→número</x:v>
      </x:c>
      <x:c r="H14" s="80" t="str">
        <x:v>OK</x:v>
      </x:c>
      <x:c r="I14" s="69" t="str"/>
      <x:c r="J14" s="69" t="str">
        <x:v>4.74141|-76.11797</x:v>
      </x:c>
      <x:c r="K14" s="82" t="n">
        <x:v>0</x:v>
      </x:c>
    </x:row>
    <x:row r="15">
      <x:c r="A15" s="76" t="n">
        <x:v>15</x:v>
      </x:c>
      <x:c r="B15" s="69" t="str">
        <x:v>4.74141</x:v>
      </x:c>
      <x:c r="C15" s="69" t="str">
        <x:v>-76.11797</x:v>
      </x:c>
      <x:c r="D15" s="78" t="n">
        <x:v>4.74141</x:v>
      </x:c>
      <x:c r="E15" s="78" t="n">
        <x:v>-76.11797</x:v>
      </x:c>
      <x:c r="F15" s="69" t="str">
        <x:v>Texto→número</x:v>
      </x:c>
      <x:c r="G15" s="69" t="str">
        <x:v>Texto→número</x:v>
      </x:c>
      <x:c r="H15" s="80" t="str">
        <x:v>OK</x:v>
      </x:c>
      <x:c r="I15" s="69" t="str"/>
      <x:c r="J15" s="69"/>
      <x:c r="K15" s="82" t="n">
        <x:v>1</x:v>
      </x:c>
    </x:row>
    <x:row r="16">
      <x:c r="A16" s="76" t="n">
        <x:v>16</x:v>
      </x:c>
      <x:c r="B16" s="69" t="str">
        <x:v>3.96918</x:v>
      </x:c>
      <x:c r="C16" s="69" t="str">
        <x:v>-76.0801</x:v>
      </x:c>
      <x:c r="D16" s="78" t="n">
        <x:v>3.96918</x:v>
      </x:c>
      <x:c r="E16" s="78" t="n">
        <x:v>-76.0801</x:v>
      </x:c>
      <x:c r="F16" s="69" t="str">
        <x:v>Texto→número</x:v>
      </x:c>
      <x:c r="G16" s="69" t="str">
        <x:v>Texto→número</x:v>
      </x:c>
      <x:c r="H16" s="80" t="str">
        <x:v>OK</x:v>
      </x:c>
      <x:c r="I16" s="69" t="str"/>
      <x:c r="J16" s="69" t="str">
        <x:v>3.96918|-76.0801</x:v>
      </x:c>
      <x:c r="K16" s="82" t="n">
        <x:v>0</x:v>
      </x:c>
    </x:row>
    <x:row r="17">
      <x:c r="A17" s="76" t="n">
        <x:v>17</x:v>
      </x:c>
      <x:c r="B17" s="69" t="str">
        <x:v>5.0577778</x:v>
      </x:c>
      <x:c r="C17" s="69" t="str">
        <x:v>-75.4994444</x:v>
      </x:c>
      <x:c r="D17" s="78" t="n">
        <x:v>5.0577778</x:v>
      </x:c>
      <x:c r="E17" s="78" t="n">
        <x:v>-75.4994444</x:v>
      </x:c>
      <x:c r="F17" s="69" t="str">
        <x:v>Texto→número</x:v>
      </x:c>
      <x:c r="G17" s="69" t="str">
        <x:v>Texto→número</x:v>
      </x:c>
      <x:c r="H17" s="80" t="str">
        <x:v>OK</x:v>
      </x:c>
      <x:c r="I17" s="69" t="str"/>
      <x:c r="J17" s="69" t="str">
        <x:v>5.0577778|-75.4994444</x:v>
      </x:c>
      <x:c r="K17" s="82" t="n">
        <x:v>0</x:v>
      </x:c>
    </x:row>
    <x:row r="18">
      <x:c r="A18" s="76" t="n">
        <x:v>18</x:v>
      </x:c>
      <x:c r="B18" s="69" t="str">
        <x:v>4.40125</x:v>
      </x:c>
      <x:c r="C18" s="69" t="str">
        <x:v>-75.60015</x:v>
      </x:c>
      <x:c r="D18" s="78" t="n">
        <x:v>4.40125</x:v>
      </x:c>
      <x:c r="E18" s="78" t="n">
        <x:v>-75.60015</x:v>
      </x:c>
      <x:c r="F18" s="69" t="str">
        <x:v>Texto→número</x:v>
      </x:c>
      <x:c r="G18" s="69" t="str">
        <x:v>Texto→número</x:v>
      </x:c>
      <x:c r="H18" s="80" t="str">
        <x:v>OK</x:v>
      </x:c>
      <x:c r="I18" s="69" t="str"/>
      <x:c r="J18" s="69" t="str">
        <x:v>4.40125|-75.60015</x:v>
      </x:c>
      <x:c r="K18" s="82" t="n">
        <x:v>0</x:v>
      </x:c>
    </x:row>
    <x:row r="19">
      <x:c r="A19" s="76" t="n">
        <x:v>19</x:v>
      </x:c>
      <x:c r="B19" s="69" t="str">
        <x:v>2.8136111</x:v>
      </x:c>
      <x:c r="C19" s="69" t="str">
        <x:v>-74.8386111</x:v>
      </x:c>
      <x:c r="D19" s="78" t="n">
        <x:v>2.8136111</x:v>
      </x:c>
      <x:c r="E19" s="78" t="n">
        <x:v>-74.8386111</x:v>
      </x:c>
      <x:c r="F19" s="69" t="str">
        <x:v>Texto→número</x:v>
      </x:c>
      <x:c r="G19" s="69" t="str">
        <x:v>Texto→número</x:v>
      </x:c>
      <x:c r="H19" s="80" t="str">
        <x:v>OK</x:v>
      </x:c>
      <x:c r="I19" s="69" t="str"/>
      <x:c r="J19" s="69" t="str">
        <x:v>2.8136111|-74.8386111</x:v>
      </x:c>
      <x:c r="K19" s="82" t="n">
        <x:v>0</x:v>
      </x:c>
    </x:row>
    <x:row r="20">
      <x:c r="A20" s="76" t="n">
        <x:v>20</x:v>
      </x:c>
      <x:c r="B20" s="69" t="str">
        <x:v>2.8152778</x:v>
      </x:c>
      <x:c r="C20" s="69" t="str">
        <x:v>-74.8419444</x:v>
      </x:c>
      <x:c r="D20" s="78" t="n">
        <x:v>2.8152778</x:v>
      </x:c>
      <x:c r="E20" s="78" t="n">
        <x:v>-74.8419444</x:v>
      </x:c>
      <x:c r="F20" s="69" t="str">
        <x:v>Texto→número</x:v>
      </x:c>
      <x:c r="G20" s="69" t="str">
        <x:v>Texto→número</x:v>
      </x:c>
      <x:c r="H20" s="80" t="str">
        <x:v>OK</x:v>
      </x:c>
      <x:c r="I20" s="69" t="str"/>
      <x:c r="J20" s="69" t="str">
        <x:v>2.8152778|-74.8419444</x:v>
      </x:c>
      <x:c r="K20" s="82" t="n">
        <x:v>0</x:v>
      </x:c>
    </x:row>
    <x:row r="21">
      <x:c r="A21" s="76" t="n">
        <x:v>21</x:v>
      </x:c>
      <x:c r="B21" s="69" t="str">
        <x:v>2.8152778</x:v>
      </x:c>
      <x:c r="C21" s="69" t="str">
        <x:v>-74.8419444</x:v>
      </x:c>
      <x:c r="D21" s="78" t="n">
        <x:v>2.8152778</x:v>
      </x:c>
      <x:c r="E21" s="78" t="n">
        <x:v>-74.8419444</x:v>
      </x:c>
      <x:c r="F21" s="69" t="str">
        <x:v>Texto→número</x:v>
      </x:c>
      <x:c r="G21" s="69" t="str">
        <x:v>Texto→número</x:v>
      </x:c>
      <x:c r="H21" s="80" t="str">
        <x:v>OK</x:v>
      </x:c>
      <x:c r="I21" s="69" t="str"/>
      <x:c r="J21" s="69"/>
      <x:c r="K21" s="82" t="n">
        <x:v>1</x:v>
      </x:c>
    </x:row>
    <x:row r="22">
      <x:c r="A22" s="76" t="n">
        <x:v>22</x:v>
      </x:c>
      <x:c r="B22" s="69" t="str">
        <x:v>4.89964</x:v>
      </x:c>
      <x:c r="C22" s="69" t="str">
        <x:v>-74.42438</x:v>
      </x:c>
      <x:c r="D22" s="78" t="n">
        <x:v>4.89964</x:v>
      </x:c>
      <x:c r="E22" s="78" t="n">
        <x:v>-74.42438</x:v>
      </x:c>
      <x:c r="F22" s="69" t="str">
        <x:v>Texto→número</x:v>
      </x:c>
      <x:c r="G22" s="69" t="str">
        <x:v>Texto→número</x:v>
      </x:c>
      <x:c r="H22" s="80" t="str">
        <x:v>OK</x:v>
      </x:c>
      <x:c r="I22" s="69" t="str"/>
      <x:c r="J22" s="69" t="str">
        <x:v>4.89964|-74.42438</x:v>
      </x:c>
      <x:c r="K22" s="82" t="n">
        <x:v>0</x:v>
      </x:c>
    </x:row>
    <x:row r="23">
      <x:c r="A23" s="76" t="n">
        <x:v>23</x:v>
      </x:c>
      <x:c r="B23" s="69" t="str">
        <x:v>4.89964</x:v>
      </x:c>
      <x:c r="C23" s="69" t="str">
        <x:v>-74.42438</x:v>
      </x:c>
      <x:c r="D23" s="78" t="n">
        <x:v>4.89964</x:v>
      </x:c>
      <x:c r="E23" s="78" t="n">
        <x:v>-74.42438</x:v>
      </x:c>
      <x:c r="F23" s="69" t="str">
        <x:v>Texto→número</x:v>
      </x:c>
      <x:c r="G23" s="69" t="str">
        <x:v>Texto→número</x:v>
      </x:c>
      <x:c r="H23" s="80" t="str">
        <x:v>OK</x:v>
      </x:c>
      <x:c r="I23" s="69" t="str"/>
      <x:c r="J23" s="69"/>
      <x:c r="K23" s="82" t="n">
        <x:v>1</x:v>
      </x:c>
    </x:row>
    <x:row r="24">
      <x:c r="A24" s="76" t="n">
        <x:v>24</x:v>
      </x:c>
      <x:c r="B24" s="69" t="str">
        <x:v>4.89964</x:v>
      </x:c>
      <x:c r="C24" s="69" t="str">
        <x:v>-74.42438</x:v>
      </x:c>
      <x:c r="D24" s="78" t="n">
        <x:v>4.89964</x:v>
      </x:c>
      <x:c r="E24" s="78" t="n">
        <x:v>-74.42438</x:v>
      </x:c>
      <x:c r="F24" s="69" t="str">
        <x:v>Texto→número</x:v>
      </x:c>
      <x:c r="G24" s="69" t="str">
        <x:v>Texto→número</x:v>
      </x:c>
      <x:c r="H24" s="80" t="str">
        <x:v>OK</x:v>
      </x:c>
      <x:c r="I24" s="69" t="str"/>
      <x:c r="J24" s="69"/>
      <x:c r="K24" s="82" t="n">
        <x:v>1</x:v>
      </x:c>
    </x:row>
    <x:row r="25">
      <x:c r="A25" s="76" t="n">
        <x:v>25</x:v>
      </x:c>
      <x:c r="B25" s="69" t="str">
        <x:v>7.14189</x:v>
      </x:c>
      <x:c r="C25" s="69" t="str">
        <x:v>-73.02469</x:v>
      </x:c>
      <x:c r="D25" s="78" t="n">
        <x:v>7.14189</x:v>
      </x:c>
      <x:c r="E25" s="78" t="n">
        <x:v>-73.02469</x:v>
      </x:c>
      <x:c r="F25" s="69" t="str">
        <x:v>Texto→número</x:v>
      </x:c>
      <x:c r="G25" s="69" t="str">
        <x:v>Texto→número</x:v>
      </x:c>
      <x:c r="H25" s="80" t="str">
        <x:v>OK</x:v>
      </x:c>
      <x:c r="I25" s="69" t="str"/>
      <x:c r="J25" s="69" t="str">
        <x:v>7.14189|-73.02469</x:v>
      </x:c>
      <x:c r="K25" s="82" t="n">
        <x:v>0</x:v>
      </x:c>
    </x:row>
    <x:row r="26">
      <x:c r="A26" s="76" t="n">
        <x:v>26</x:v>
      </x:c>
      <x:c r="B26" s="69" t="str">
        <x:v>5.1625</x:v>
      </x:c>
      <x:c r="C26" s="69" t="str">
        <x:v>-75.49528</x:v>
      </x:c>
      <x:c r="D26" s="78" t="n">
        <x:v>5.1625</x:v>
      </x:c>
      <x:c r="E26" s="78" t="n">
        <x:v>-75.49528</x:v>
      </x:c>
      <x:c r="F26" s="69" t="str">
        <x:v>Texto→número</x:v>
      </x:c>
      <x:c r="G26" s="69" t="str">
        <x:v>Texto→número</x:v>
      </x:c>
      <x:c r="H26" s="80" t="str">
        <x:v>OK</x:v>
      </x:c>
      <x:c r="I26" s="69" t="str"/>
      <x:c r="J26" s="69" t="str">
        <x:v>5.1625|-75.49528</x:v>
      </x:c>
      <x:c r="K26" s="82" t="n">
        <x:v>0</x:v>
      </x:c>
    </x:row>
    <x:row r="27">
      <x:c r="A27" s="76" t="n">
        <x:v>27</x:v>
      </x:c>
      <x:c r="B27" s="69" t="str">
        <x:v>1.809</x:v>
      </x:c>
      <x:c r="C27" s="69" t="str">
        <x:v>-76.0165</x:v>
      </x:c>
      <x:c r="D27" s="78" t="n">
        <x:v>1.809</x:v>
      </x:c>
      <x:c r="E27" s="78" t="n">
        <x:v>-76.0165</x:v>
      </x:c>
      <x:c r="F27" s="69" t="str">
        <x:v>Texto→número</x:v>
      </x:c>
      <x:c r="G27" s="69" t="str">
        <x:v>Texto→número</x:v>
      </x:c>
      <x:c r="H27" s="80" t="str">
        <x:v>OK</x:v>
      </x:c>
      <x:c r="I27" s="69" t="str"/>
      <x:c r="J27" s="69" t="str">
        <x:v>1.809|-76.0165</x:v>
      </x:c>
      <x:c r="K27" s="82" t="n">
        <x:v>0</x:v>
      </x:c>
    </x:row>
    <x:row r="28">
      <x:c r="A28" s="76" t="n">
        <x:v>28</x:v>
      </x:c>
      <x:c r="B28" s="69" t="str">
        <x:v>2.2122222</x:v>
      </x:c>
      <x:c r="C28" s="69" t="str">
        <x:v>-75.9397222</x:v>
      </x:c>
      <x:c r="D28" s="78" t="n">
        <x:v>2.2122222</x:v>
      </x:c>
      <x:c r="E28" s="78" t="n">
        <x:v>-75.9397222</x:v>
      </x:c>
      <x:c r="F28" s="69" t="str">
        <x:v>Texto→número</x:v>
      </x:c>
      <x:c r="G28" s="69" t="str">
        <x:v>Texto→número</x:v>
      </x:c>
      <x:c r="H28" s="80" t="str">
        <x:v>OK</x:v>
      </x:c>
      <x:c r="I28" s="69" t="str"/>
      <x:c r="J28" s="69" t="str">
        <x:v>2.2122222|-75.9397222</x:v>
      </x:c>
      <x:c r="K28" s="82" t="n">
        <x:v>0</x:v>
      </x:c>
    </x:row>
    <x:row r="29">
      <x:c r="A29" s="76" t="n">
        <x:v>29</x:v>
      </x:c>
      <x:c r="B29" s="69" t="str">
        <x:v>2.2130556</x:v>
      </x:c>
      <x:c r="C29" s="69" t="str">
        <x:v>-75.9472222</x:v>
      </x:c>
      <x:c r="D29" s="78" t="n">
        <x:v>2.2130556</x:v>
      </x:c>
      <x:c r="E29" s="78" t="n">
        <x:v>-75.9472222</x:v>
      </x:c>
      <x:c r="F29" s="69" t="str">
        <x:v>Texto→número</x:v>
      </x:c>
      <x:c r="G29" s="69" t="str">
        <x:v>Texto→número</x:v>
      </x:c>
      <x:c r="H29" s="80" t="str">
        <x:v>OK</x:v>
      </x:c>
      <x:c r="I29" s="69" t="str"/>
      <x:c r="J29" s="69" t="str">
        <x:v>2.2130556|-75.9472222</x:v>
      </x:c>
      <x:c r="K29" s="82" t="n">
        <x:v>0</x:v>
      </x:c>
    </x:row>
    <x:row r="30">
      <x:c r="A30" s="76" t="n">
        <x:v>30</x:v>
      </x:c>
      <x:c r="B30" s="69" t="str">
        <x:v>2.2130556</x:v>
      </x:c>
      <x:c r="C30" s="69" t="str">
        <x:v>-75.9472222</x:v>
      </x:c>
      <x:c r="D30" s="78" t="n">
        <x:v>2.2130556</x:v>
      </x:c>
      <x:c r="E30" s="78" t="n">
        <x:v>-75.9472222</x:v>
      </x:c>
      <x:c r="F30" s="69" t="str">
        <x:v>Texto→número</x:v>
      </x:c>
      <x:c r="G30" s="69" t="str">
        <x:v>Texto→número</x:v>
      </x:c>
      <x:c r="H30" s="80" t="str">
        <x:v>OK</x:v>
      </x:c>
      <x:c r="I30" s="69" t="str"/>
      <x:c r="J30" s="69"/>
      <x:c r="K30" s="82" t="n">
        <x:v>1</x:v>
      </x:c>
    </x:row>
    <x:row r="31">
      <x:c r="A31" s="76" t="n">
        <x:v>31</x:v>
      </x:c>
      <x:c r="B31" s="69" t="str">
        <x:v>2.2130556</x:v>
      </x:c>
      <x:c r="C31" s="69" t="str">
        <x:v>-75.9472222</x:v>
      </x:c>
      <x:c r="D31" s="78" t="n">
        <x:v>2.2130556</x:v>
      </x:c>
      <x:c r="E31" s="78" t="n">
        <x:v>-75.9472222</x:v>
      </x:c>
      <x:c r="F31" s="69" t="str">
        <x:v>Texto→número</x:v>
      </x:c>
      <x:c r="G31" s="69" t="str">
        <x:v>Texto→número</x:v>
      </x:c>
      <x:c r="H31" s="80" t="str">
        <x:v>OK</x:v>
      </x:c>
      <x:c r="I31" s="69" t="str"/>
      <x:c r="J31" s="69"/>
      <x:c r="K31" s="82" t="n">
        <x:v>1</x:v>
      </x:c>
    </x:row>
    <x:row r="32">
      <x:c r="A32" s="76" t="n">
        <x:v>32</x:v>
      </x:c>
      <x:c r="B32" s="69" t="str">
        <x:v>2.51058</x:v>
      </x:c>
      <x:c r="C32" s="69" t="str">
        <x:v>-76.98421</x:v>
      </x:c>
      <x:c r="D32" s="78" t="n">
        <x:v>2.51058</x:v>
      </x:c>
      <x:c r="E32" s="78" t="n">
        <x:v>-76.98421</x:v>
      </x:c>
      <x:c r="F32" s="69" t="str">
        <x:v>Texto→número</x:v>
      </x:c>
      <x:c r="G32" s="69" t="str">
        <x:v>Texto→número</x:v>
      </x:c>
      <x:c r="H32" s="80" t="str">
        <x:v>OK</x:v>
      </x:c>
      <x:c r="I32" s="69" t="str"/>
      <x:c r="J32" s="69" t="str">
        <x:v>2.51058|-76.98421</x:v>
      </x:c>
      <x:c r="K32" s="82" t="n">
        <x:v>0</x:v>
      </x:c>
    </x:row>
    <x:row r="33">
      <x:c r="A33" s="76" t="n">
        <x:v>33</x:v>
      </x:c>
      <x:c r="B33" s="69" t="str">
        <x:v>1.9849861</x:v>
      </x:c>
      <x:c r="C33" s="69" t="str">
        <x:v>-76.2855028</x:v>
      </x:c>
      <x:c r="D33" s="78" t="n">
        <x:v>1.9849861</x:v>
      </x:c>
      <x:c r="E33" s="78" t="n">
        <x:v>-76.2855028</x:v>
      </x:c>
      <x:c r="F33" s="69" t="str">
        <x:v>Texto→número</x:v>
      </x:c>
      <x:c r="G33" s="69" t="str">
        <x:v>Texto→número</x:v>
      </x:c>
      <x:c r="H33" s="80" t="str">
        <x:v>OK</x:v>
      </x:c>
      <x:c r="I33" s="69" t="str"/>
      <x:c r="J33" s="69" t="str">
        <x:v>1.9849861|-76.2855028</x:v>
      </x:c>
      <x:c r="K33" s="82" t="n">
        <x:v>0</x:v>
      </x:c>
    </x:row>
    <x:row r="34">
      <x:c r="A34" s="76" t="n">
        <x:v>34</x:v>
      </x:c>
      <x:c r="B34" s="69" t="str">
        <x:v>4.98488</x:v>
      </x:c>
      <x:c r="C34" s="69" t="str">
        <x:v>-75.45116</x:v>
      </x:c>
      <x:c r="D34" s="78" t="n">
        <x:v>4.98488</x:v>
      </x:c>
      <x:c r="E34" s="78" t="n">
        <x:v>-75.45116</x:v>
      </x:c>
      <x:c r="F34" s="69" t="str">
        <x:v>Texto→número</x:v>
      </x:c>
      <x:c r="G34" s="69" t="str">
        <x:v>Texto→número</x:v>
      </x:c>
      <x:c r="H34" s="80" t="str">
        <x:v>OK</x:v>
      </x:c>
      <x:c r="I34" s="69" t="str"/>
      <x:c r="J34" s="69" t="str">
        <x:v>4.98488|-75.45116</x:v>
      </x:c>
      <x:c r="K34" s="82" t="n">
        <x:v>0</x:v>
      </x:c>
    </x:row>
    <x:row r="35">
      <x:c r="A35" s="76" t="n">
        <x:v>35</x:v>
      </x:c>
      <x:c r="B35" s="69" t="str">
        <x:v>4.68067</x:v>
      </x:c>
      <x:c r="C35" s="69" t="str">
        <x:v>-75.63452</x:v>
      </x:c>
      <x:c r="D35" s="78" t="n">
        <x:v>4.68067</x:v>
      </x:c>
      <x:c r="E35" s="78" t="n">
        <x:v>-75.63452</x:v>
      </x:c>
      <x:c r="F35" s="69" t="str">
        <x:v>Texto→número</x:v>
      </x:c>
      <x:c r="G35" s="69" t="str">
        <x:v>Texto→número</x:v>
      </x:c>
      <x:c r="H35" s="80" t="str">
        <x:v>OK</x:v>
      </x:c>
      <x:c r="I35" s="69" t="str"/>
      <x:c r="J35" s="69" t="str">
        <x:v>4.68067|-75.63452</x:v>
      </x:c>
      <x:c r="K35" s="82" t="n">
        <x:v>0</x:v>
      </x:c>
    </x:row>
    <x:row r="36">
      <x:c r="A36" s="76" t="n">
        <x:v>36</x:v>
      </x:c>
      <x:c r="B36" s="69" t="str">
        <x:v>1.76895</x:v>
      </x:c>
      <x:c r="C36" s="69" t="str">
        <x:v>-76.0187333</x:v>
      </x:c>
      <x:c r="D36" s="78" t="n">
        <x:v>1.76895</x:v>
      </x:c>
      <x:c r="E36" s="78" t="n">
        <x:v>-76.0187333</x:v>
      </x:c>
      <x:c r="F36" s="69" t="str">
        <x:v>Texto→número</x:v>
      </x:c>
      <x:c r="G36" s="69" t="str">
        <x:v>Texto→número</x:v>
      </x:c>
      <x:c r="H36" s="80" t="str">
        <x:v>OK</x:v>
      </x:c>
      <x:c r="I36" s="69" t="str"/>
      <x:c r="J36" s="69" t="str">
        <x:v>1.76895|-76.0187333</x:v>
      </x:c>
      <x:c r="K36" s="82" t="n">
        <x:v>0</x:v>
      </x:c>
    </x:row>
    <x:row r="37">
      <x:c r="A37" s="76" t="n">
        <x:v>37</x:v>
      </x:c>
      <x:c r="B37" s="69" t="str">
        <x:v>1.9033</x:v>
      </x:c>
      <x:c r="C37" s="69" t="str">
        <x:v>-76.26571</x:v>
      </x:c>
      <x:c r="D37" s="78" t="n">
        <x:v>1.9033</x:v>
      </x:c>
      <x:c r="E37" s="78" t="n">
        <x:v>-76.26571</x:v>
      </x:c>
      <x:c r="F37" s="69" t="str">
        <x:v>Texto→número</x:v>
      </x:c>
      <x:c r="G37" s="69" t="str">
        <x:v>Texto→número</x:v>
      </x:c>
      <x:c r="H37" s="80" t="str">
        <x:v>OK</x:v>
      </x:c>
      <x:c r="I37" s="69" t="str"/>
      <x:c r="J37" s="69" t="str">
        <x:v>1.9033|-76.26571</x:v>
      </x:c>
      <x:c r="K37" s="82" t="n">
        <x:v>0</x:v>
      </x:c>
    </x:row>
    <x:row r="38">
      <x:c r="A38" s="76" t="n">
        <x:v>38</x:v>
      </x:c>
      <x:c r="B38" s="69" t="str">
        <x:v>1.9033</x:v>
      </x:c>
      <x:c r="C38" s="69" t="str">
        <x:v>-76.26571</x:v>
      </x:c>
      <x:c r="D38" s="78" t="n">
        <x:v>1.9033</x:v>
      </x:c>
      <x:c r="E38" s="78" t="n">
        <x:v>-76.26571</x:v>
      </x:c>
      <x:c r="F38" s="69" t="str">
        <x:v>Texto→número</x:v>
      </x:c>
      <x:c r="G38" s="69" t="str">
        <x:v>Texto→número</x:v>
      </x:c>
      <x:c r="H38" s="80" t="str">
        <x:v>OK</x:v>
      </x:c>
      <x:c r="I38" s="69" t="str"/>
      <x:c r="J38" s="69"/>
      <x:c r="K38" s="82" t="n">
        <x:v>1</x:v>
      </x:c>
    </x:row>
    <x:row r="39">
      <x:c r="A39" s="76" t="n">
        <x:v>39</x:v>
      </x:c>
      <x:c r="B39" s="69" t="str">
        <x:v>4.55835</x:v>
      </x:c>
      <x:c r="C39" s="69" t="str">
        <x:v>-75.32021</x:v>
      </x:c>
      <x:c r="D39" s="78" t="n">
        <x:v>4.55835</x:v>
      </x:c>
      <x:c r="E39" s="78" t="n">
        <x:v>-75.32021</x:v>
      </x:c>
      <x:c r="F39" s="69" t="str">
        <x:v>Texto→número</x:v>
      </x:c>
      <x:c r="G39" s="69" t="str">
        <x:v>Texto→número</x:v>
      </x:c>
      <x:c r="H39" s="80" t="str">
        <x:v>OK</x:v>
      </x:c>
      <x:c r="I39" s="69" t="str"/>
      <x:c r="J39" s="69" t="str">
        <x:v>4.55835|-75.32021</x:v>
      </x:c>
      <x:c r="K39" s="82" t="n">
        <x:v>0</x:v>
      </x:c>
    </x:row>
    <x:row r="40">
      <x:c r="A40" s="76" t="n">
        <x:v>40</x:v>
      </x:c>
      <x:c r="B40" s="69" t="str">
        <x:v>4.72879</x:v>
      </x:c>
      <x:c r="C40" s="69" t="str">
        <x:v>-75.5779</x:v>
      </x:c>
      <x:c r="D40" s="78" t="n">
        <x:v>4.72879</x:v>
      </x:c>
      <x:c r="E40" s="78" t="n">
        <x:v>-75.5779</x:v>
      </x:c>
      <x:c r="F40" s="69" t="str">
        <x:v>Texto→número</x:v>
      </x:c>
      <x:c r="G40" s="69" t="str">
        <x:v>Texto→número</x:v>
      </x:c>
      <x:c r="H40" s="80" t="str">
        <x:v>OK</x:v>
      </x:c>
      <x:c r="I40" s="69" t="str"/>
      <x:c r="J40" s="69" t="str">
        <x:v>4.72879|-75.5779</x:v>
      </x:c>
      <x:c r="K40" s="82" t="n">
        <x:v>0</x:v>
      </x:c>
    </x:row>
    <x:row r="41">
      <x:c r="A41" s="76" t="n">
        <x:v>41</x:v>
      </x:c>
      <x:c r="B41" s="69" t="str">
        <x:v>5.12169</x:v>
      </x:c>
      <x:c r="C41" s="69" t="str">
        <x:v>-76.00899</x:v>
      </x:c>
      <x:c r="D41" s="78" t="n">
        <x:v>5.12169</x:v>
      </x:c>
      <x:c r="E41" s="78" t="n">
        <x:v>-76.00899</x:v>
      </x:c>
      <x:c r="F41" s="69" t="str">
        <x:v>Texto→número</x:v>
      </x:c>
      <x:c r="G41" s="69" t="str">
        <x:v>Texto→número</x:v>
      </x:c>
      <x:c r="H41" s="80" t="str">
        <x:v>OK</x:v>
      </x:c>
      <x:c r="I41" s="69" t="str"/>
      <x:c r="J41" s="69" t="str">
        <x:v>5.12169|-76.00899</x:v>
      </x:c>
      <x:c r="K41" s="82" t="n">
        <x:v>0</x:v>
      </x:c>
    </x:row>
    <x:row r="42">
      <x:c r="A42" s="76" t="n">
        <x:v>42</x:v>
      </x:c>
      <x:c r="B42" s="69" t="str">
        <x:v>4.76574</x:v>
      </x:c>
      <x:c r="C42" s="69" t="str">
        <x:v>-76.48307</x:v>
      </x:c>
      <x:c r="D42" s="78" t="n">
        <x:v>4.76574</x:v>
      </x:c>
      <x:c r="E42" s="78" t="n">
        <x:v>-76.48307</x:v>
      </x:c>
      <x:c r="F42" s="69" t="str">
        <x:v>Texto→número</x:v>
      </x:c>
      <x:c r="G42" s="69" t="str">
        <x:v>Texto→número</x:v>
      </x:c>
      <x:c r="H42" s="80" t="str">
        <x:v>OK</x:v>
      </x:c>
      <x:c r="I42" s="69" t="str"/>
      <x:c r="J42" s="69" t="str">
        <x:v>4.76574|-76.48307</x:v>
      </x:c>
      <x:c r="K42" s="82" t="n">
        <x:v>0</x:v>
      </x:c>
    </x:row>
    <x:row r="43">
      <x:c r="A43" s="76" t="n">
        <x:v>43</x:v>
      </x:c>
      <x:c r="B43" s="69" t="str">
        <x:v>4.68312</x:v>
      </x:c>
      <x:c r="C43" s="69" t="str">
        <x:v>-74.38963</x:v>
      </x:c>
      <x:c r="D43" s="78" t="n">
        <x:v>4.68312</x:v>
      </x:c>
      <x:c r="E43" s="78" t="n">
        <x:v>-74.38963</x:v>
      </x:c>
      <x:c r="F43" s="69" t="str">
        <x:v>Texto→número</x:v>
      </x:c>
      <x:c r="G43" s="69" t="str">
        <x:v>Texto→número</x:v>
      </x:c>
      <x:c r="H43" s="80" t="str">
        <x:v>OK</x:v>
      </x:c>
      <x:c r="I43" s="69" t="str"/>
      <x:c r="J43" s="69" t="str">
        <x:v>4.68312|-74.38963</x:v>
      </x:c>
      <x:c r="K43" s="82" t="n">
        <x:v>0</x:v>
      </x:c>
    </x:row>
    <x:row r="44">
      <x:c r="A44" s="76" t="n">
        <x:v>44</x:v>
      </x:c>
      <x:c r="B44" s="69" t="str">
        <x:v>4.74141</x:v>
      </x:c>
      <x:c r="C44" s="69" t="str">
        <x:v>-76.11797</x:v>
      </x:c>
      <x:c r="D44" s="78" t="n">
        <x:v>4.74141</x:v>
      </x:c>
      <x:c r="E44" s="78" t="n">
        <x:v>-76.11797</x:v>
      </x:c>
      <x:c r="F44" s="69" t="str">
        <x:v>Texto→número</x:v>
      </x:c>
      <x:c r="G44" s="69" t="str">
        <x:v>Texto→número</x:v>
      </x:c>
      <x:c r="H44" s="80" t="str">
        <x:v>OK</x:v>
      </x:c>
      <x:c r="I44" s="69" t="str"/>
      <x:c r="J44" s="69"/>
      <x:c r="K44" s="82" t="n">
        <x:v>1</x:v>
      </x:c>
    </x:row>
    <x:row r="45">
      <x:c r="A45" s="76" t="n">
        <x:v>45</x:v>
      </x:c>
      <x:c r="B45" s="69" t="str">
        <x:v>6.01479</x:v>
      </x:c>
      <x:c r="C45" s="69" t="str">
        <x:v>-75.39219</x:v>
      </x:c>
      <x:c r="D45" s="78" t="n">
        <x:v>6.01479</x:v>
      </x:c>
      <x:c r="E45" s="78" t="n">
        <x:v>-75.39219</x:v>
      </x:c>
      <x:c r="F45" s="69" t="str">
        <x:v>Texto→número</x:v>
      </x:c>
      <x:c r="G45" s="69" t="str">
        <x:v>Texto→número</x:v>
      </x:c>
      <x:c r="H45" s="80" t="str">
        <x:v>OK</x:v>
      </x:c>
      <x:c r="I45" s="69" t="str"/>
      <x:c r="J45" s="69" t="str">
        <x:v>6.01479|-75.39219</x:v>
      </x:c>
      <x:c r="K45" s="82" t="n">
        <x:v>0</x:v>
      </x:c>
    </x:row>
    <x:row r="46">
      <x:c r="A46" s="76" t="n">
        <x:v>46</x:v>
      </x:c>
      <x:c r="B46" s="69" t="str">
        <x:v>1.80071</x:v>
      </x:c>
      <x:c r="C46" s="69" t="str">
        <x:v>-75.74261</x:v>
      </x:c>
      <x:c r="D46" s="78" t="n">
        <x:v>1.80071</x:v>
      </x:c>
      <x:c r="E46" s="78" t="n">
        <x:v>-75.74261</x:v>
      </x:c>
      <x:c r="F46" s="69" t="str">
        <x:v>Texto→número</x:v>
      </x:c>
      <x:c r="G46" s="69" t="str">
        <x:v>Texto→número</x:v>
      </x:c>
      <x:c r="H46" s="80" t="str">
        <x:v>OK</x:v>
      </x:c>
      <x:c r="I46" s="69" t="str"/>
      <x:c r="J46" s="69" t="str">
        <x:v>1.80071|-75.74261</x:v>
      </x:c>
      <x:c r="K46" s="82" t="n">
        <x:v>0</x:v>
      </x:c>
    </x:row>
    <x:row r="47">
      <x:c r="A47" s="76" t="n">
        <x:v>47</x:v>
      </x:c>
      <x:c r="B47" s="69" t="str">
        <x:v>	6.2166667</x:v>
      </x:c>
      <x:c r="C47" s="69" t="str">
        <x:v> -75.5</x:v>
      </x:c>
      <x:c r="D47" s="78" t="n">
        <x:v>6.2166667</x:v>
      </x:c>
      <x:c r="E47" s="78" t="n">
        <x:v>-75.5</x:v>
      </x:c>
      <x:c r="F47" s="69" t="str">
        <x:v>Espacios eliminados; Texto→número</x:v>
      </x:c>
      <x:c r="G47" s="69" t="str">
        <x:v>Espacios eliminados; Texto→número</x:v>
      </x:c>
      <x:c r="H47" s="80" t="str">
        <x:v>OK</x:v>
      </x:c>
      <x:c r="I47" s="69" t="str"/>
      <x:c r="J47" s="69" t="str">
        <x:v>6.2166667|-75.5</x:v>
      </x:c>
      <x:c r="K47" s="82" t="n">
        <x:v>0</x:v>
      </x:c>
    </x:row>
    <x:row r="48">
      <x:c r="A48" s="76" t="n">
        <x:v>48</x:v>
      </x:c>
      <x:c r="B48" s="69" t="str">
        <x:v>	6.2166667</x:v>
      </x:c>
      <x:c r="C48" s="69" t="str">
        <x:v> -75.5</x:v>
      </x:c>
      <x:c r="D48" s="78" t="n">
        <x:v>6.2166667</x:v>
      </x:c>
      <x:c r="E48" s="78" t="n">
        <x:v>-75.5</x:v>
      </x:c>
      <x:c r="F48" s="69" t="str">
        <x:v>Espacios eliminados; Texto→número</x:v>
      </x:c>
      <x:c r="G48" s="69" t="str">
        <x:v>Espacios eliminados; Texto→número</x:v>
      </x:c>
      <x:c r="H48" s="80" t="str">
        <x:v>OK</x:v>
      </x:c>
      <x:c r="I48" s="69" t="str"/>
      <x:c r="J48" s="69"/>
      <x:c r="K48" s="82" t="n">
        <x:v>1</x:v>
      </x:c>
    </x:row>
    <x:row r="49">
      <x:c r="A49" s="76" t="n">
        <x:v>49</x:v>
      </x:c>
      <x:c r="B49" s="69" t="str">
        <x:v>6.21667</x:v>
      </x:c>
      <x:c r="C49" s="69" t="str">
        <x:v>-75.5</x:v>
      </x:c>
      <x:c r="D49" s="78" t="n">
        <x:v>6.21667</x:v>
      </x:c>
      <x:c r="E49" s="78" t="n">
        <x:v>-75.5</x:v>
      </x:c>
      <x:c r="F49" s="69" t="str">
        <x:v>Texto→número</x:v>
      </x:c>
      <x:c r="G49" s="69" t="str">
        <x:v>Texto→número</x:v>
      </x:c>
      <x:c r="H49" s="80" t="str">
        <x:v>OK</x:v>
      </x:c>
      <x:c r="I49" s="69" t="str"/>
      <x:c r="J49" s="69" t="str">
        <x:v>6.21667|-75.5</x:v>
      </x:c>
      <x:c r="K49" s="82" t="n">
        <x:v>0</x:v>
      </x:c>
    </x:row>
    <x:row r="50">
      <x:c r="A50" s="76" t="n">
        <x:v>50</x:v>
      </x:c>
      <x:c r="B50" s="69" t="str">
        <x:v>1.1758972</x:v>
      </x:c>
      <x:c r="C50" s="69" t="str">
        <x:v>-76.8793556</x:v>
      </x:c>
      <x:c r="D50" s="78" t="n">
        <x:v>1.1758972</x:v>
      </x:c>
      <x:c r="E50" s="78" t="n">
        <x:v>-76.8793556</x:v>
      </x:c>
      <x:c r="F50" s="69" t="str">
        <x:v>Texto→número</x:v>
      </x:c>
      <x:c r="G50" s="69" t="str">
        <x:v>Texto→número</x:v>
      </x:c>
      <x:c r="H50" s="80" t="str">
        <x:v>OK</x:v>
      </x:c>
      <x:c r="I50" s="69" t="str"/>
      <x:c r="J50" s="69" t="str">
        <x:v>1.1758972|-76.8793556</x:v>
      </x:c>
      <x:c r="K50" s="82" t="n">
        <x:v>0</x:v>
      </x:c>
    </x:row>
    <x:row r="51">
      <x:c r="A51" s="76" t="n">
        <x:v>51</x:v>
      </x:c>
      <x:c r="B51" s="69" t="str">
        <x:v>2.5291667</x:v>
      </x:c>
      <x:c r="C51" s="69" t="str">
        <x:v>-76.4686111</x:v>
      </x:c>
      <x:c r="D51" s="78" t="n">
        <x:v>2.5291667</x:v>
      </x:c>
      <x:c r="E51" s="78" t="n">
        <x:v>-76.4686111</x:v>
      </x:c>
      <x:c r="F51" s="69" t="str">
        <x:v>Texto→número</x:v>
      </x:c>
      <x:c r="G51" s="69" t="str">
        <x:v>Texto→número</x:v>
      </x:c>
      <x:c r="H51" s="80" t="str">
        <x:v>OK</x:v>
      </x:c>
      <x:c r="I51" s="69" t="str"/>
      <x:c r="J51" s="69" t="str">
        <x:v>2.5291667|-76.4686111</x:v>
      </x:c>
      <x:c r="K51" s="82" t="n">
        <x:v>0</x:v>
      </x:c>
    </x:row>
    <x:row r="52">
      <x:c r="A52" s="76" t="n">
        <x:v>52</x:v>
      </x:c>
      <x:c r="B52" s="69" t="str">
        <x:v>2.5291667</x:v>
      </x:c>
      <x:c r="C52" s="69" t="str">
        <x:v>-76.4686111</x:v>
      </x:c>
      <x:c r="D52" s="78" t="n">
        <x:v>2.5291667</x:v>
      </x:c>
      <x:c r="E52" s="78" t="n">
        <x:v>-76.4686111</x:v>
      </x:c>
      <x:c r="F52" s="69" t="str">
        <x:v>Texto→número</x:v>
      </x:c>
      <x:c r="G52" s="69" t="str">
        <x:v>Texto→número</x:v>
      </x:c>
      <x:c r="H52" s="80" t="str">
        <x:v>OK</x:v>
      </x:c>
      <x:c r="I52" s="69" t="str"/>
      <x:c r="J52" s="69"/>
      <x:c r="K52" s="82" t="n">
        <x:v>1</x:v>
      </x:c>
    </x:row>
    <x:row r="53">
      <x:c r="A53" s="76" t="n">
        <x:v>53</x:v>
      </x:c>
      <x:c r="B53" s="69" t="str">
        <x:v>6.17624</x:v>
      </x:c>
      <x:c r="C53" s="69" t="str">
        <x:v>-75.45785</x:v>
      </x:c>
      <x:c r="D53" s="78" t="n">
        <x:v>6.17624</x:v>
      </x:c>
      <x:c r="E53" s="78" t="n">
        <x:v>-75.45785</x:v>
      </x:c>
      <x:c r="F53" s="69" t="str">
        <x:v>Texto→número</x:v>
      </x:c>
      <x:c r="G53" s="69" t="str">
        <x:v>Texto→número</x:v>
      </x:c>
      <x:c r="H53" s="80" t="str">
        <x:v>OK</x:v>
      </x:c>
      <x:c r="I53" s="69" t="str"/>
      <x:c r="J53" s="69" t="str">
        <x:v>6.17624|-75.45785</x:v>
      </x:c>
      <x:c r="K53" s="82" t="n">
        <x:v>0</x:v>
      </x:c>
    </x:row>
    <x:row r="54">
      <x:c r="A54" s="76" t="n">
        <x:v>54</x:v>
      </x:c>
      <x:c r="B54" s="69" t="str">
        <x:v>6.17624</x:v>
      </x:c>
      <x:c r="C54" s="69" t="str">
        <x:v>-75.45785</x:v>
      </x:c>
      <x:c r="D54" s="78" t="n">
        <x:v>6.17624</x:v>
      </x:c>
      <x:c r="E54" s="78" t="n">
        <x:v>-75.45785</x:v>
      </x:c>
      <x:c r="F54" s="69" t="str">
        <x:v>Texto→número</x:v>
      </x:c>
      <x:c r="G54" s="69" t="str">
        <x:v>Texto→número</x:v>
      </x:c>
      <x:c r="H54" s="80" t="str">
        <x:v>OK</x:v>
      </x:c>
      <x:c r="I54" s="69" t="str"/>
      <x:c r="J54" s="69"/>
      <x:c r="K54" s="82" t="n">
        <x:v>1</x:v>
      </x:c>
    </x:row>
    <x:row r="55">
      <x:c r="A55" s="76" t="n">
        <x:v>55</x:v>
      </x:c>
      <x:c r="B55" s="69" t="str">
        <x:v>6.17624</x:v>
      </x:c>
      <x:c r="C55" s="69" t="str">
        <x:v>-75.45785</x:v>
      </x:c>
      <x:c r="D55" s="78" t="n">
        <x:v>6.17624</x:v>
      </x:c>
      <x:c r="E55" s="78" t="n">
        <x:v>-75.45785</x:v>
      </x:c>
      <x:c r="F55" s="69" t="str">
        <x:v>Texto→número</x:v>
      </x:c>
      <x:c r="G55" s="69" t="str">
        <x:v>Texto→número</x:v>
      </x:c>
      <x:c r="H55" s="80" t="str">
        <x:v>OK</x:v>
      </x:c>
      <x:c r="I55" s="69" t="str"/>
      <x:c r="J55" s="69"/>
      <x:c r="K55" s="82" t="n">
        <x:v>1</x:v>
      </x:c>
    </x:row>
    <x:row r="56">
      <x:c r="A56" s="76" t="n">
        <x:v>56</x:v>
      </x:c>
      <x:c r="B56" s="69" t="str">
        <x:v>6.17624</x:v>
      </x:c>
      <x:c r="C56" s="69" t="str">
        <x:v>-75.45785</x:v>
      </x:c>
      <x:c r="D56" s="78" t="n">
        <x:v>6.17624</x:v>
      </x:c>
      <x:c r="E56" s="78" t="n">
        <x:v>-75.45785</x:v>
      </x:c>
      <x:c r="F56" s="69" t="str">
        <x:v>Texto→número</x:v>
      </x:c>
      <x:c r="G56" s="69" t="str">
        <x:v>Texto→número</x:v>
      </x:c>
      <x:c r="H56" s="80" t="str">
        <x:v>OK</x:v>
      </x:c>
      <x:c r="I56" s="69" t="str"/>
      <x:c r="J56" s="69"/>
      <x:c r="K56" s="82" t="n">
        <x:v>1</x:v>
      </x:c>
    </x:row>
    <x:row r="57">
      <x:c r="A57" s="76" t="n">
        <x:v>57</x:v>
      </x:c>
      <x:c r="B57" s="69" t="str">
        <x:v>5.5259389</x:v>
      </x:c>
      <x:c r="C57" s="69" t="str">
        <x:v>-75.4592333</x:v>
      </x:c>
      <x:c r="D57" s="78" t="n">
        <x:v>5.5259389</x:v>
      </x:c>
      <x:c r="E57" s="78" t="n">
        <x:v>-75.4592333</x:v>
      </x:c>
      <x:c r="F57" s="69" t="str">
        <x:v>Texto→número</x:v>
      </x:c>
      <x:c r="G57" s="69" t="str">
        <x:v>Texto→número</x:v>
      </x:c>
      <x:c r="H57" s="80" t="str">
        <x:v>OK</x:v>
      </x:c>
      <x:c r="I57" s="69" t="str"/>
      <x:c r="J57" s="69" t="str">
        <x:v>5.5259389|-75.4592333</x:v>
      </x:c>
      <x:c r="K57" s="82" t="n">
        <x:v>0</x:v>
      </x:c>
    </x:row>
    <x:row r="58">
      <x:c r="A58" s="76" t="n">
        <x:v>58</x:v>
      </x:c>
      <x:c r="B58" s="69" t="str">
        <x:v>5.52802</x:v>
      </x:c>
      <x:c r="C58" s="69" t="str">
        <x:v>-75.44232</x:v>
      </x:c>
      <x:c r="D58" s="78" t="n">
        <x:v>5.52802</x:v>
      </x:c>
      <x:c r="E58" s="78" t="n">
        <x:v>-75.44232</x:v>
      </x:c>
      <x:c r="F58" s="69" t="str">
        <x:v>Texto→número</x:v>
      </x:c>
      <x:c r="G58" s="69" t="str">
        <x:v>Texto→número</x:v>
      </x:c>
      <x:c r="H58" s="80" t="str">
        <x:v>OK</x:v>
      </x:c>
      <x:c r="I58" s="69" t="str"/>
      <x:c r="J58" s="69" t="str">
        <x:v>5.52802|-75.44232</x:v>
      </x:c>
      <x:c r="K58" s="82" t="n">
        <x:v>0</x:v>
      </x:c>
    </x:row>
    <x:row r="59">
      <x:c r="A59" s="76" t="n">
        <x:v>59</x:v>
      </x:c>
      <x:c r="B59" s="69" t="str">
        <x:v>5.12169</x:v>
      </x:c>
      <x:c r="C59" s="69" t="str">
        <x:v>-76.00899</x:v>
      </x:c>
      <x:c r="D59" s="78" t="n">
        <x:v>5.12169</x:v>
      </x:c>
      <x:c r="E59" s="78" t="n">
        <x:v>-76.00899</x:v>
      </x:c>
      <x:c r="F59" s="69" t="str">
        <x:v>Texto→número</x:v>
      </x:c>
      <x:c r="G59" s="69" t="str">
        <x:v>Texto→número</x:v>
      </x:c>
      <x:c r="H59" s="80" t="str">
        <x:v>OK</x:v>
      </x:c>
      <x:c r="I59" s="69" t="str"/>
      <x:c r="J59" s="69"/>
      <x:c r="K59" s="82" t="n">
        <x:v>1</x:v>
      </x:c>
    </x:row>
    <x:row r="60">
      <x:c r="A60" s="76" t="n">
        <x:v>60</x:v>
      </x:c>
      <x:c r="B60" s="69" t="str">
        <x:v>5.0724639</x:v>
      </x:c>
      <x:c r="C60" s="69" t="str">
        <x:v>-75.9623472</x:v>
      </x:c>
      <x:c r="D60" s="78" t="n">
        <x:v>5.0724639</x:v>
      </x:c>
      <x:c r="E60" s="78" t="n">
        <x:v>-75.9623472</x:v>
      </x:c>
      <x:c r="F60" s="69" t="str">
        <x:v>Texto→número</x:v>
      </x:c>
      <x:c r="G60" s="69" t="str">
        <x:v>Texto→número</x:v>
      </x:c>
      <x:c r="H60" s="80" t="str">
        <x:v>OK</x:v>
      </x:c>
      <x:c r="I60" s="69" t="str"/>
      <x:c r="J60" s="69" t="str">
        <x:v>5.0724639|-75.9623472</x:v>
      </x:c>
      <x:c r="K60" s="82" t="n">
        <x:v>0</x:v>
      </x:c>
    </x:row>
    <x:row r="61">
      <x:c r="A61" s="76" t="n">
        <x:v>61</x:v>
      </x:c>
      <x:c r="B61" s="69" t="str">
        <x:v>6.04939</x:v>
      </x:c>
      <x:c r="C61" s="69" t="str">
        <x:v>-75.59898</x:v>
      </x:c>
      <x:c r="D61" s="78" t="n">
        <x:v>6.04939</x:v>
      </x:c>
      <x:c r="E61" s="78" t="n">
        <x:v>-75.59898</x:v>
      </x:c>
      <x:c r="F61" s="69" t="str">
        <x:v>Texto→número</x:v>
      </x:c>
      <x:c r="G61" s="69" t="str">
        <x:v>Texto→número</x:v>
      </x:c>
      <x:c r="H61" s="80" t="str">
        <x:v>OK</x:v>
      </x:c>
      <x:c r="I61" s="69" t="str"/>
      <x:c r="J61" s="69" t="str">
        <x:v>6.04939|-75.59898</x:v>
      </x:c>
      <x:c r="K61" s="82" t="n">
        <x:v>0</x:v>
      </x:c>
    </x:row>
    <x:row r="62">
      <x:c r="A62" s="76" t="n">
        <x:v>62</x:v>
      </x:c>
      <x:c r="B62" s="69" t="str">
        <x:v>6.27657</x:v>
      </x:c>
      <x:c r="C62" s="69" t="str">
        <x:v>-75.47632</x:v>
      </x:c>
      <x:c r="D62" s="78" t="n">
        <x:v>6.27657</x:v>
      </x:c>
      <x:c r="E62" s="78" t="n">
        <x:v>-75.47632</x:v>
      </x:c>
      <x:c r="F62" s="69" t="str">
        <x:v>Texto→número</x:v>
      </x:c>
      <x:c r="G62" s="69" t="str">
        <x:v>Texto→número</x:v>
      </x:c>
      <x:c r="H62" s="80" t="str">
        <x:v>OK</x:v>
      </x:c>
      <x:c r="I62" s="69" t="str"/>
      <x:c r="J62" s="69" t="str">
        <x:v>6.27657|-75.47632</x:v>
      </x:c>
      <x:c r="K62" s="82" t="n">
        <x:v>0</x:v>
      </x:c>
    </x:row>
    <x:row r="63">
      <x:c r="A63" s="76" t="n">
        <x:v>63</x:v>
      </x:c>
      <x:c r="B63" s="69" t="str">
        <x:v>6.08067</x:v>
      </x:c>
      <x:c r="C63" s="69" t="str">
        <x:v>-75.59585</x:v>
      </x:c>
      <x:c r="D63" s="78" t="n">
        <x:v>6.08067</x:v>
      </x:c>
      <x:c r="E63" s="78" t="n">
        <x:v>-75.59585</x:v>
      </x:c>
      <x:c r="F63" s="69" t="str">
        <x:v>Texto→número</x:v>
      </x:c>
      <x:c r="G63" s="69" t="str">
        <x:v>Texto→número</x:v>
      </x:c>
      <x:c r="H63" s="80" t="str">
        <x:v>OK</x:v>
      </x:c>
      <x:c r="I63" s="69" t="str"/>
      <x:c r="J63" s="69" t="str">
        <x:v>6.08067|-75.59585</x:v>
      </x:c>
      <x:c r="K63" s="82" t="n">
        <x:v>0</x:v>
      </x:c>
    </x:row>
    <x:row r="64">
      <x:c r="A64" s="76" t="n">
        <x:v>64</x:v>
      </x:c>
      <x:c r="B64" s="69" t="str">
        <x:v>5.0577778</x:v>
      </x:c>
      <x:c r="C64" s="69" t="str">
        <x:v>-75.4994444</x:v>
      </x:c>
      <x:c r="D64" s="78" t="n">
        <x:v>5.0577778</x:v>
      </x:c>
      <x:c r="E64" s="78" t="n">
        <x:v>-75.4994444</x:v>
      </x:c>
      <x:c r="F64" s="69" t="str">
        <x:v>Texto→número</x:v>
      </x:c>
      <x:c r="G64" s="69" t="str">
        <x:v>Texto→número</x:v>
      </x:c>
      <x:c r="H64" s="80" t="str">
        <x:v>OK</x:v>
      </x:c>
      <x:c r="I64" s="69" t="str"/>
      <x:c r="J64" s="69"/>
      <x:c r="K64" s="82" t="n">
        <x:v>1</x:v>
      </x:c>
    </x:row>
    <x:row r="65">
      <x:c r="A65" s="76" t="n">
        <x:v>65</x:v>
      </x:c>
      <x:c r="B65" s="69" t="str">
        <x:v>5.0577778</x:v>
      </x:c>
      <x:c r="C65" s="69" t="str">
        <x:v>-75.4994444</x:v>
      </x:c>
      <x:c r="D65" s="78" t="n">
        <x:v>5.0577778</x:v>
      </x:c>
      <x:c r="E65" s="78" t="n">
        <x:v>-75.4994444</x:v>
      </x:c>
      <x:c r="F65" s="69" t="str">
        <x:v>Texto→número</x:v>
      </x:c>
      <x:c r="G65" s="69" t="str">
        <x:v>Texto→número</x:v>
      </x:c>
      <x:c r="H65" s="80" t="str">
        <x:v>OK</x:v>
      </x:c>
      <x:c r="I65" s="69" t="str"/>
      <x:c r="J65" s="69"/>
      <x:c r="K65" s="82" t="n">
        <x:v>1</x:v>
      </x:c>
    </x:row>
    <x:row r="66">
      <x:c r="A66" s="76" t="n">
        <x:v>66</x:v>
      </x:c>
      <x:c r="B66" s="69" t="str">
        <x:v>5.0671333</x:v>
      </x:c>
      <x:c r="C66" s="69" t="str">
        <x:v>-75.5182889</x:v>
      </x:c>
      <x:c r="D66" s="78" t="n">
        <x:v>5.0671333</x:v>
      </x:c>
      <x:c r="E66" s="78" t="n">
        <x:v>-75.5182889</x:v>
      </x:c>
      <x:c r="F66" s="69" t="str">
        <x:v>Texto→número</x:v>
      </x:c>
      <x:c r="G66" s="69" t="str">
        <x:v>Texto→número</x:v>
      </x:c>
      <x:c r="H66" s="80" t="str">
        <x:v>OK</x:v>
      </x:c>
      <x:c r="I66" s="69" t="str"/>
      <x:c r="J66" s="69" t="str">
        <x:v>5.0671333|-75.5182889</x:v>
      </x:c>
      <x:c r="K66" s="82" t="n">
        <x:v>0</x:v>
      </x:c>
    </x:row>
    <x:row r="67">
      <x:c r="A67" s="76" t="n">
        <x:v>67</x:v>
      </x:c>
      <x:c r="B67" s="69" t="str">
        <x:v>5.0577778</x:v>
      </x:c>
      <x:c r="C67" s="69" t="str">
        <x:v>-75.4994444</x:v>
      </x:c>
      <x:c r="D67" s="78" t="n">
        <x:v>5.0577778</x:v>
      </x:c>
      <x:c r="E67" s="78" t="n">
        <x:v>-75.4994444</x:v>
      </x:c>
      <x:c r="F67" s="69" t="str">
        <x:v>Texto→número</x:v>
      </x:c>
      <x:c r="G67" s="69" t="str">
        <x:v>Texto→número</x:v>
      </x:c>
      <x:c r="H67" s="80" t="str">
        <x:v>OK</x:v>
      </x:c>
      <x:c r="I67" s="69" t="str"/>
      <x:c r="J67" s="69"/>
      <x:c r="K67" s="82" t="n">
        <x:v>1</x:v>
      </x:c>
    </x:row>
    <x:row r="68">
      <x:c r="A68" s="76" t="n">
        <x:v>68</x:v>
      </x:c>
      <x:c r="B68" s="69" t="str">
        <x:v>5.0577778</x:v>
      </x:c>
      <x:c r="C68" s="69" t="str">
        <x:v>-75.4994444</x:v>
      </x:c>
      <x:c r="D68" s="78" t="n">
        <x:v>5.0577778</x:v>
      </x:c>
      <x:c r="E68" s="78" t="n">
        <x:v>-75.4994444</x:v>
      </x:c>
      <x:c r="F68" s="69" t="str">
        <x:v>Texto→número</x:v>
      </x:c>
      <x:c r="G68" s="69" t="str">
        <x:v>Texto→número</x:v>
      </x:c>
      <x:c r="H68" s="80" t="str">
        <x:v>OK</x:v>
      </x:c>
      <x:c r="I68" s="69" t="str"/>
      <x:c r="J68" s="69"/>
      <x:c r="K68" s="82" t="n">
        <x:v>1</x:v>
      </x:c>
    </x:row>
    <x:row r="69">
      <x:c r="A69" s="76" t="n">
        <x:v>69</x:v>
      </x:c>
      <x:c r="B69" s="69" t="str">
        <x:v>6.08067</x:v>
      </x:c>
      <x:c r="C69" s="69" t="str">
        <x:v>-75.59585</x:v>
      </x:c>
      <x:c r="D69" s="78" t="n">
        <x:v>6.08067</x:v>
      </x:c>
      <x:c r="E69" s="78" t="n">
        <x:v>-75.59585</x:v>
      </x:c>
      <x:c r="F69" s="69" t="str">
        <x:v>Texto→número</x:v>
      </x:c>
      <x:c r="G69" s="69" t="str">
        <x:v>Texto→número</x:v>
      </x:c>
      <x:c r="H69" s="80" t="str">
        <x:v>OK</x:v>
      </x:c>
      <x:c r="I69" s="69" t="str"/>
      <x:c r="J69" s="69"/>
      <x:c r="K69" s="82" t="n">
        <x:v>1</x:v>
      </x:c>
    </x:row>
    <x:row r="70">
      <x:c r="A70" s="76" t="n">
        <x:v>70</x:v>
      </x:c>
      <x:c r="B70" s="69" t="str">
        <x:v>5.07803</x:v>
      </x:c>
      <x:c r="C70" s="69" t="str">
        <x:v>-75.4967</x:v>
      </x:c>
      <x:c r="D70" s="78" t="n">
        <x:v>5.07803</x:v>
      </x:c>
      <x:c r="E70" s="78" t="n">
        <x:v>-75.4967</x:v>
      </x:c>
      <x:c r="F70" s="69" t="str">
        <x:v>Texto→número</x:v>
      </x:c>
      <x:c r="G70" s="69" t="str">
        <x:v>Texto→número</x:v>
      </x:c>
      <x:c r="H70" s="80" t="str">
        <x:v>OK</x:v>
      </x:c>
      <x:c r="I70" s="69" t="str"/>
      <x:c r="J70" s="69" t="str">
        <x:v>5.07803|-75.4967</x:v>
      </x:c>
      <x:c r="K70" s="82" t="n">
        <x:v>0</x:v>
      </x:c>
    </x:row>
    <x:row r="71">
      <x:c r="A71" s="76" t="n">
        <x:v>71</x:v>
      </x:c>
      <x:c r="B71" s="69" t="str">
        <x:v>4.98575</x:v>
      </x:c>
      <x:c r="C71" s="69" t="str">
        <x:v>-75.60696</x:v>
      </x:c>
      <x:c r="D71" s="78" t="n">
        <x:v>4.98575</x:v>
      </x:c>
      <x:c r="E71" s="78" t="n">
        <x:v>-75.60696</x:v>
      </x:c>
      <x:c r="F71" s="69" t="str">
        <x:v>Texto→número</x:v>
      </x:c>
      <x:c r="G71" s="69" t="str">
        <x:v>Texto→número</x:v>
      </x:c>
      <x:c r="H71" s="80" t="str">
        <x:v>OK</x:v>
      </x:c>
      <x:c r="I71" s="69" t="str"/>
      <x:c r="J71" s="69" t="str">
        <x:v>4.98575|-75.60696</x:v>
      </x:c>
      <x:c r="K71" s="82" t="n">
        <x:v>0</x:v>
      </x:c>
    </x:row>
    <x:row r="72">
      <x:c r="A72" s="76" t="n">
        <x:v>72</x:v>
      </x:c>
      <x:c r="B72" s="69" t="str">
        <x:v>5.92288</x:v>
      </x:c>
      <x:c r="C72" s="69" t="str">
        <x:v>-75.30358</x:v>
      </x:c>
      <x:c r="D72" s="78" t="n">
        <x:v>5.92288</x:v>
      </x:c>
      <x:c r="E72" s="78" t="n">
        <x:v>-75.30358</x:v>
      </x:c>
      <x:c r="F72" s="69" t="str">
        <x:v>Texto→número</x:v>
      </x:c>
      <x:c r="G72" s="69" t="str">
        <x:v>Texto→número</x:v>
      </x:c>
      <x:c r="H72" s="80" t="str">
        <x:v>OK</x:v>
      </x:c>
      <x:c r="I72" s="69" t="str"/>
      <x:c r="J72" s="69" t="str">
        <x:v>5.92288|-75.30358</x:v>
      </x:c>
      <x:c r="K72" s="82" t="n">
        <x:v>0</x:v>
      </x:c>
    </x:row>
    <x:row r="73">
      <x:c r="A73" s="76" t="n">
        <x:v>73</x:v>
      </x:c>
      <x:c r="B73" s="69" t="str">
        <x:v>5.5</x:v>
      </x:c>
      <x:c r="C73" s="69" t="str">
        <x:v>-75.8333333</x:v>
      </x:c>
      <x:c r="D73" s="78" t="n">
        <x:v>5.5</x:v>
      </x:c>
      <x:c r="E73" s="78" t="n">
        <x:v>-75.8333333</x:v>
      </x:c>
      <x:c r="F73" s="69" t="str">
        <x:v>Texto→número</x:v>
      </x:c>
      <x:c r="G73" s="69" t="str">
        <x:v>Texto→número</x:v>
      </x:c>
      <x:c r="H73" s="80" t="str">
        <x:v>OK</x:v>
      </x:c>
      <x:c r="I73" s="69" t="str"/>
      <x:c r="J73" s="69" t="str">
        <x:v>5.5|-75.8333333</x:v>
      </x:c>
      <x:c r="K73" s="82" t="n">
        <x:v>0</x:v>
      </x:c>
    </x:row>
    <x:row r="74">
      <x:c r="A74" s="76" t="n">
        <x:v>74</x:v>
      </x:c>
      <x:c r="B74" s="69" t="str">
        <x:v>5.9609972</x:v>
      </x:c>
      <x:c r="C74" s="69" t="str">
        <x:v>-75.974625</x:v>
      </x:c>
      <x:c r="D74" s="78" t="n">
        <x:v>5.9609972</x:v>
      </x:c>
      <x:c r="E74" s="78" t="n">
        <x:v>-75.974625</x:v>
      </x:c>
      <x:c r="F74" s="69" t="str">
        <x:v>Texto→número</x:v>
      </x:c>
      <x:c r="G74" s="69" t="str">
        <x:v>Texto→número</x:v>
      </x:c>
      <x:c r="H74" s="80" t="str">
        <x:v>OK</x:v>
      </x:c>
      <x:c r="I74" s="69" t="str"/>
      <x:c r="J74" s="69" t="str">
        <x:v>5.9609972|-75.974625</x:v>
      </x:c>
      <x:c r="K74" s="82" t="n">
        <x:v>0</x:v>
      </x:c>
    </x:row>
    <x:row r="75">
      <x:c r="A75" s="76" t="n">
        <x:v>75</x:v>
      </x:c>
      <x:c r="B75" s="69" t="str">
        <x:v>1.1666667</x:v>
      </x:c>
      <x:c r="C75" s="69" t="str">
        <x:v>-77.9666667</x:v>
      </x:c>
      <x:c r="D75" s="78" t="n">
        <x:v>1.1666667</x:v>
      </x:c>
      <x:c r="E75" s="78" t="n">
        <x:v>-77.9666667</x:v>
      </x:c>
      <x:c r="F75" s="69" t="str">
        <x:v>Texto→número</x:v>
      </x:c>
      <x:c r="G75" s="69" t="str">
        <x:v>Texto→número</x:v>
      </x:c>
      <x:c r="H75" s="80" t="str">
        <x:v>OK</x:v>
      </x:c>
      <x:c r="I75" s="69" t="str"/>
      <x:c r="J75" s="69" t="str">
        <x:v>1.1666667|-77.9666667</x:v>
      </x:c>
      <x:c r="K75" s="82" t="n">
        <x:v>0</x:v>
      </x:c>
    </x:row>
    <x:row r="76">
      <x:c r="A76" s="76" t="n">
        <x:v>76</x:v>
      </x:c>
      <x:c r="B76" s="69" t="str">
        <x:v>1.1666667</x:v>
      </x:c>
      <x:c r="C76" s="69" t="str">
        <x:v>-77.9666667</x:v>
      </x:c>
      <x:c r="D76" s="78" t="n">
        <x:v>1.1666667</x:v>
      </x:c>
      <x:c r="E76" s="78" t="n">
        <x:v>-77.9666667</x:v>
      </x:c>
      <x:c r="F76" s="69" t="str">
        <x:v>Texto→número</x:v>
      </x:c>
      <x:c r="G76" s="69" t="str">
        <x:v>Texto→número</x:v>
      </x:c>
      <x:c r="H76" s="80" t="str">
        <x:v>OK</x:v>
      </x:c>
      <x:c r="I76" s="69" t="str"/>
      <x:c r="J76" s="69"/>
      <x:c r="K76" s="82" t="n">
        <x:v>1</x:v>
      </x:c>
    </x:row>
    <x:row r="77">
      <x:c r="A77" s="76" t="n">
        <x:v>77</x:v>
      </x:c>
      <x:c r="B77" s="69" t="str">
        <x:v>1.1666667</x:v>
      </x:c>
      <x:c r="C77" s="69" t="str">
        <x:v>-77.9666667</x:v>
      </x:c>
      <x:c r="D77" s="78" t="n">
        <x:v>1.1666667</x:v>
      </x:c>
      <x:c r="E77" s="78" t="n">
        <x:v>-77.9666667</x:v>
      </x:c>
      <x:c r="F77" s="69" t="str">
        <x:v>Texto→número</x:v>
      </x:c>
      <x:c r="G77" s="69" t="str">
        <x:v>Texto→número</x:v>
      </x:c>
      <x:c r="H77" s="80" t="str">
        <x:v>OK</x:v>
      </x:c>
      <x:c r="I77" s="69" t="str"/>
      <x:c r="J77" s="69"/>
      <x:c r="K77" s="82" t="n">
        <x:v>1</x:v>
      </x:c>
    </x:row>
    <x:row r="78">
      <x:c r="A78" s="76" t="n">
        <x:v>78</x:v>
      </x:c>
      <x:c r="B78" s="69" t="str">
        <x:v>1.1666667</x:v>
      </x:c>
      <x:c r="C78" s="69" t="str">
        <x:v>-77.9666667</x:v>
      </x:c>
      <x:c r="D78" s="78" t="n">
        <x:v>1.1666667</x:v>
      </x:c>
      <x:c r="E78" s="78" t="n">
        <x:v>-77.9666667</x:v>
      </x:c>
      <x:c r="F78" s="69" t="str">
        <x:v>Texto→número</x:v>
      </x:c>
      <x:c r="G78" s="69" t="str">
        <x:v>Texto→número</x:v>
      </x:c>
      <x:c r="H78" s="80" t="str">
        <x:v>OK</x:v>
      </x:c>
      <x:c r="I78" s="69" t="str"/>
      <x:c r="J78" s="69"/>
      <x:c r="K78" s="82" t="n">
        <x:v>1</x:v>
      </x:c>
    </x:row>
    <x:row r="79">
      <x:c r="A79" s="76" t="n">
        <x:v>79</x:v>
      </x:c>
      <x:c r="B79" s="69" t="str">
        <x:v>4.72086</x:v>
      </x:c>
      <x:c r="C79" s="69" t="str">
        <x:v>-75.56629</x:v>
      </x:c>
      <x:c r="D79" s="78" t="n">
        <x:v>4.72086</x:v>
      </x:c>
      <x:c r="E79" s="78" t="n">
        <x:v>-75.56629</x:v>
      </x:c>
      <x:c r="F79" s="69" t="str">
        <x:v>Texto→número</x:v>
      </x:c>
      <x:c r="G79" s="69" t="str">
        <x:v>Texto→número</x:v>
      </x:c>
      <x:c r="H79" s="80" t="str">
        <x:v>OK</x:v>
      </x:c>
      <x:c r="I79" s="69" t="str"/>
      <x:c r="J79" s="69" t="str">
        <x:v>4.72086|-75.56629</x:v>
      </x:c>
      <x:c r="K79" s="82" t="n">
        <x:v>0</x:v>
      </x:c>
    </x:row>
    <x:row r="80">
      <x:c r="A80" s="76" t="n">
        <x:v>80</x:v>
      </x:c>
      <x:c r="B80" s="69" t="str">
        <x:v>1.14345</x:v>
      </x:c>
      <x:c r="C80" s="69" t="str">
        <x:v>-77.99567</x:v>
      </x:c>
      <x:c r="D80" s="78" t="n">
        <x:v>1.14345</x:v>
      </x:c>
      <x:c r="E80" s="78" t="n">
        <x:v>-77.99567</x:v>
      </x:c>
      <x:c r="F80" s="69" t="str">
        <x:v>Texto→número</x:v>
      </x:c>
      <x:c r="G80" s="69" t="str">
        <x:v>Texto→número</x:v>
      </x:c>
      <x:c r="H80" s="80" t="str">
        <x:v>OK</x:v>
      </x:c>
      <x:c r="I80" s="69" t="str"/>
      <x:c r="J80" s="69" t="str">
        <x:v>1.14345|-77.99567</x:v>
      </x:c>
      <x:c r="K80" s="82" t="n">
        <x:v>0</x:v>
      </x:c>
    </x:row>
    <x:row r="81">
      <x:c r="A81" s="76" t="n">
        <x:v>81</x:v>
      </x:c>
      <x:c r="B81" s="69" t="str">
        <x:v>3.5899</x:v>
      </x:c>
      <x:c r="C81" s="69" t="str">
        <x:v>-74.70934</x:v>
      </x:c>
      <x:c r="D81" s="78" t="n">
        <x:v>3.5899</x:v>
      </x:c>
      <x:c r="E81" s="78" t="n">
        <x:v>-74.70934</x:v>
      </x:c>
      <x:c r="F81" s="69" t="str">
        <x:v>Texto→número</x:v>
      </x:c>
      <x:c r="G81" s="69" t="str">
        <x:v>Texto→número</x:v>
      </x:c>
      <x:c r="H81" s="80" t="str">
        <x:v>OK</x:v>
      </x:c>
      <x:c r="I81" s="69" t="str"/>
      <x:c r="J81" s="69" t="str">
        <x:v>3.5899|-74.70934</x:v>
      </x:c>
      <x:c r="K81" s="82" t="n">
        <x:v>0</x:v>
      </x:c>
    </x:row>
    <x:row r="82">
      <x:c r="A82" s="76" t="n">
        <x:v>82</x:v>
      </x:c>
      <x:c r="B82" s="69" t="str">
        <x:v>2.4333333</x:v>
      </x:c>
      <x:c r="C82" s="69" t="str">
        <x:v>-76.5166667</x:v>
      </x:c>
      <x:c r="D82" s="78" t="n">
        <x:v>2.4333333</x:v>
      </x:c>
      <x:c r="E82" s="78" t="n">
        <x:v>-76.5166667</x:v>
      </x:c>
      <x:c r="F82" s="69" t="str">
        <x:v>Texto→número</x:v>
      </x:c>
      <x:c r="G82" s="69" t="str">
        <x:v>Texto→número</x:v>
      </x:c>
      <x:c r="H82" s="80" t="str">
        <x:v>OK</x:v>
      </x:c>
      <x:c r="I82" s="69" t="str"/>
      <x:c r="J82" s="69" t="str">
        <x:v>2.4333333|-76.5166667</x:v>
      </x:c>
      <x:c r="K82" s="82" t="n">
        <x:v>0</x:v>
      </x:c>
    </x:row>
    <x:row r="83">
      <x:c r="A83" s="76" t="n">
        <x:v>83</x:v>
      </x:c>
      <x:c r="B83" s="69" t="str">
        <x:v>5.4333333</x:v>
      </x:c>
      <x:c r="C83" s="69" t="str">
        <x:v>-76.0333333</x:v>
      </x:c>
      <x:c r="D83" s="78" t="n">
        <x:v>5.4333333</x:v>
      </x:c>
      <x:c r="E83" s="78" t="n">
        <x:v>-76.0333333</x:v>
      </x:c>
      <x:c r="F83" s="69" t="str">
        <x:v>Texto→número</x:v>
      </x:c>
      <x:c r="G83" s="69" t="str">
        <x:v>Texto→número</x:v>
      </x:c>
      <x:c r="H83" s="80" t="str">
        <x:v>OK</x:v>
      </x:c>
      <x:c r="I83" s="69" t="str"/>
      <x:c r="J83" s="69" t="str">
        <x:v>5.4333333|-76.0333333</x:v>
      </x:c>
      <x:c r="K83" s="82" t="n">
        <x:v>0</x:v>
      </x:c>
    </x:row>
    <x:row r="84">
      <x:c r="A84" s="76" t="n">
        <x:v>84</x:v>
      </x:c>
      <x:c r="B84" s="69" t="str">
        <x:v>7.21026</x:v>
      </x:c>
      <x:c r="C84" s="69" t="str">
        <x:v>-75.33591</x:v>
      </x:c>
      <x:c r="D84" s="78" t="n">
        <x:v>7.21026</x:v>
      </x:c>
      <x:c r="E84" s="78" t="n">
        <x:v>-75.33591</x:v>
      </x:c>
      <x:c r="F84" s="69" t="str">
        <x:v>Texto→número</x:v>
      </x:c>
      <x:c r="G84" s="69" t="str">
        <x:v>Texto→número</x:v>
      </x:c>
      <x:c r="H84" s="80" t="str">
        <x:v>OK</x:v>
      </x:c>
      <x:c r="I84" s="69" t="str"/>
      <x:c r="J84" s="69" t="str">
        <x:v>7.21026|-75.33591</x:v>
      </x:c>
      <x:c r="K84" s="82" t="n">
        <x:v>0</x:v>
      </x:c>
    </x:row>
    <x:row r="85">
      <x:c r="A85" s="76" t="n">
        <x:v>85</x:v>
      </x:c>
      <x:c r="B85" s="69" t="str">
        <x:v>2.7806583</x:v>
      </x:c>
      <x:c r="C85" s="69" t="str">
        <x:v>-75.2566556</x:v>
      </x:c>
      <x:c r="D85" s="78" t="n">
        <x:v>2.7806583</x:v>
      </x:c>
      <x:c r="E85" s="78" t="n">
        <x:v>-75.2566556</x:v>
      </x:c>
      <x:c r="F85" s="69" t="str">
        <x:v>Texto→número</x:v>
      </x:c>
      <x:c r="G85" s="69" t="str">
        <x:v>Texto→número</x:v>
      </x:c>
      <x:c r="H85" s="80" t="str">
        <x:v>OK</x:v>
      </x:c>
      <x:c r="I85" s="69" t="str"/>
      <x:c r="J85" s="69" t="str">
        <x:v>2.7806583|-75.2566556</x:v>
      </x:c>
      <x:c r="K85" s="82" t="n">
        <x:v>0</x:v>
      </x:c>
    </x:row>
    <x:row r="86">
      <x:c r="A86" s="76" t="n">
        <x:v>86</x:v>
      </x:c>
      <x:c r="B86" s="69" t="str">
        <x:v>2.77707</x:v>
      </x:c>
      <x:c r="C86" s="69" t="str">
        <x:v>-75.19954</x:v>
      </x:c>
      <x:c r="D86" s="78" t="n">
        <x:v>2.77707</x:v>
      </x:c>
      <x:c r="E86" s="78" t="n">
        <x:v>-75.19954</x:v>
      </x:c>
      <x:c r="F86" s="69" t="str">
        <x:v>Texto→número</x:v>
      </x:c>
      <x:c r="G86" s="69" t="str">
        <x:v>Texto→número</x:v>
      </x:c>
      <x:c r="H86" s="80" t="str">
        <x:v>OK</x:v>
      </x:c>
      <x:c r="I86" s="69" t="str"/>
      <x:c r="J86" s="69" t="str">
        <x:v>2.77707|-75.19954</x:v>
      </x:c>
      <x:c r="K86" s="82" t="n">
        <x:v>0</x:v>
      </x:c>
    </x:row>
    <x:row r="87">
      <x:c r="A87" s="76" t="n">
        <x:v>87</x:v>
      </x:c>
      <x:c r="B87" s="69" t="str">
        <x:v>6.30362</x:v>
      </x:c>
      <x:c r="C87" s="69" t="str">
        <x:v>-75.51861</x:v>
      </x:c>
      <x:c r="D87" s="78" t="n">
        <x:v>6.30362</x:v>
      </x:c>
      <x:c r="E87" s="78" t="n">
        <x:v>-75.51861</x:v>
      </x:c>
      <x:c r="F87" s="69" t="str">
        <x:v>Texto→número</x:v>
      </x:c>
      <x:c r="G87" s="69" t="str">
        <x:v>Texto→número</x:v>
      </x:c>
      <x:c r="H87" s="80" t="str">
        <x:v>OK</x:v>
      </x:c>
      <x:c r="I87" s="69" t="str"/>
      <x:c r="J87" s="69" t="str">
        <x:v>6.30362|-75.51861</x:v>
      </x:c>
      <x:c r="K87" s="82" t="n">
        <x:v>0</x:v>
      </x:c>
    </x:row>
    <x:row r="88">
      <x:c r="A88" s="76" t="n">
        <x:v>88</x:v>
      </x:c>
      <x:c r="B88" s="69" t="str">
        <x:v>6.30362</x:v>
      </x:c>
      <x:c r="C88" s="69" t="str">
        <x:v>-75.51861</x:v>
      </x:c>
      <x:c r="D88" s="78" t="n">
        <x:v>6.30362</x:v>
      </x:c>
      <x:c r="E88" s="78" t="n">
        <x:v>-75.51861</x:v>
      </x:c>
      <x:c r="F88" s="69" t="str">
        <x:v>Texto→número</x:v>
      </x:c>
      <x:c r="G88" s="69" t="str">
        <x:v>Texto→número</x:v>
      </x:c>
      <x:c r="H88" s="80" t="str">
        <x:v>OK</x:v>
      </x:c>
      <x:c r="I88" s="69" t="str"/>
      <x:c r="J88" s="69"/>
      <x:c r="K88" s="82" t="n">
        <x:v>1</x:v>
      </x:c>
    </x:row>
    <x:row r="89">
      <x:c r="A89" s="76" t="n">
        <x:v>89</x:v>
      </x:c>
      <x:c r="B89" s="69" t="str">
        <x:v>2.45</x:v>
      </x:c>
      <x:c r="C89" s="69" t="str">
        <x:v>-76.6166667</x:v>
      </x:c>
      <x:c r="D89" s="78" t="n">
        <x:v>2.45</x:v>
      </x:c>
      <x:c r="E89" s="78" t="n">
        <x:v>-76.6166667</x:v>
      </x:c>
      <x:c r="F89" s="69" t="str">
        <x:v>Texto→número</x:v>
      </x:c>
      <x:c r="G89" s="69" t="str">
        <x:v>Texto→número</x:v>
      </x:c>
      <x:c r="H89" s="80" t="str">
        <x:v>OK</x:v>
      </x:c>
      <x:c r="I89" s="69" t="str"/>
      <x:c r="J89" s="69" t="str">
        <x:v>2.45|-76.6166667</x:v>
      </x:c>
      <x:c r="K89" s="82" t="n">
        <x:v>0</x:v>
      </x:c>
    </x:row>
    <x:row r="90">
      <x:c r="A90" s="76" t="n">
        <x:v>90</x:v>
      </x:c>
      <x:c r="B90" s="69" t="str">
        <x:v>2.4333333</x:v>
      </x:c>
      <x:c r="C90" s="69" t="str">
        <x:v>-76.6166667</x:v>
      </x:c>
      <x:c r="D90" s="78" t="n">
        <x:v>2.4333333</x:v>
      </x:c>
      <x:c r="E90" s="78" t="n">
        <x:v>-76.6166667</x:v>
      </x:c>
      <x:c r="F90" s="69" t="str">
        <x:v>Texto→número</x:v>
      </x:c>
      <x:c r="G90" s="69" t="str">
        <x:v>Texto→número</x:v>
      </x:c>
      <x:c r="H90" s="80" t="str">
        <x:v>OK</x:v>
      </x:c>
      <x:c r="I90" s="69" t="str"/>
      <x:c r="J90" s="69" t="str">
        <x:v>2.4333333|-76.6166667</x:v>
      </x:c>
      <x:c r="K90" s="82" t="n">
        <x:v>0</x:v>
      </x:c>
    </x:row>
    <x:row r="91">
      <x:c r="A91" s="76" t="n">
        <x:v>91</x:v>
      </x:c>
      <x:c r="B91" s="69" t="str">
        <x:v>2.5039278</x:v>
      </x:c>
      <x:c r="C91" s="69" t="str">
        <x:v>-76.3912278</x:v>
      </x:c>
      <x:c r="D91" s="78" t="n">
        <x:v>2.5039278</x:v>
      </x:c>
      <x:c r="E91" s="78" t="n">
        <x:v>-76.3912278</x:v>
      </x:c>
      <x:c r="F91" s="69" t="str">
        <x:v>Texto→número</x:v>
      </x:c>
      <x:c r="G91" s="69" t="str">
        <x:v>Texto→número</x:v>
      </x:c>
      <x:c r="H91" s="80" t="str">
        <x:v>OK</x:v>
      </x:c>
      <x:c r="I91" s="69" t="str"/>
      <x:c r="J91" s="69" t="str">
        <x:v>2.5039278|-76.3912278</x:v>
      </x:c>
      <x:c r="K91" s="82" t="n">
        <x:v>0</x:v>
      </x:c>
    </x:row>
    <x:row r="92">
      <x:c r="A92" s="76" t="n">
        <x:v>92</x:v>
      </x:c>
      <x:c r="B92" s="69" t="str">
        <x:v>4.6666667</x:v>
      </x:c>
      <x:c r="C92" s="69" t="str">
        <x:v>-75.5</x:v>
      </x:c>
      <x:c r="D92" s="78" t="n">
        <x:v>4.6666667</x:v>
      </x:c>
      <x:c r="E92" s="78" t="n">
        <x:v>-75.5</x:v>
      </x:c>
      <x:c r="F92" s="69" t="str">
        <x:v>Texto→número</x:v>
      </x:c>
      <x:c r="G92" s="69" t="str">
        <x:v>Texto→número</x:v>
      </x:c>
      <x:c r="H92" s="80" t="str">
        <x:v>OK</x:v>
      </x:c>
      <x:c r="I92" s="69" t="str"/>
      <x:c r="J92" s="69" t="str">
        <x:v>4.6666667|-75.5</x:v>
      </x:c>
      <x:c r="K92" s="82" t="n">
        <x:v>0</x:v>
      </x:c>
    </x:row>
    <x:row r="93">
      <x:c r="A93" s="76" t="n">
        <x:v>93</x:v>
      </x:c>
      <x:c r="B93" s="69" t="str">
        <x:v>6.2833333</x:v>
      </x:c>
      <x:c r="C93" s="69" t="str">
        <x:v>-75.5333333</x:v>
      </x:c>
      <x:c r="D93" s="78" t="n">
        <x:v>6.2833333</x:v>
      </x:c>
      <x:c r="E93" s="78" t="n">
        <x:v>-75.5333333</x:v>
      </x:c>
      <x:c r="F93" s="69" t="str">
        <x:v>Texto→número</x:v>
      </x:c>
      <x:c r="G93" s="69" t="str">
        <x:v>Texto→número</x:v>
      </x:c>
      <x:c r="H93" s="80" t="str">
        <x:v>OK</x:v>
      </x:c>
      <x:c r="I93" s="69" t="str"/>
      <x:c r="J93" s="69" t="str">
        <x:v>6.2833333|-75.5333333</x:v>
      </x:c>
      <x:c r="K93" s="82" t="n">
        <x:v>0</x:v>
      </x:c>
    </x:row>
    <x:row r="94">
      <x:c r="A94" s="76" t="n">
        <x:v>94</x:v>
      </x:c>
      <x:c r="B94" s="69" t="str">
        <x:v>2.4333333</x:v>
      </x:c>
      <x:c r="C94" s="69" t="str">
        <x:v>-76.6166667</x:v>
      </x:c>
      <x:c r="D94" s="78" t="n">
        <x:v>2.4333333</x:v>
      </x:c>
      <x:c r="E94" s="78" t="n">
        <x:v>-76.6166667</x:v>
      </x:c>
      <x:c r="F94" s="69" t="str">
        <x:v>Texto→número</x:v>
      </x:c>
      <x:c r="G94" s="69" t="str">
        <x:v>Texto→número</x:v>
      </x:c>
      <x:c r="H94" s="80" t="str">
        <x:v>OK</x:v>
      </x:c>
      <x:c r="I94" s="69" t="str"/>
      <x:c r="J94" s="69"/>
      <x:c r="K94" s="82" t="n">
        <x:v>1</x:v>
      </x:c>
    </x:row>
    <x:row r="95">
      <x:c r="A95" s="76" t="n">
        <x:v>95</x:v>
      </x:c>
      <x:c r="B95" s="69" t="str">
        <x:v>2.45</x:v>
      </x:c>
      <x:c r="C95" s="69" t="str">
        <x:v>-76.6166667</x:v>
      </x:c>
      <x:c r="D95" s="78" t="n">
        <x:v>2.45</x:v>
      </x:c>
      <x:c r="E95" s="78" t="n">
        <x:v>-76.6166667</x:v>
      </x:c>
      <x:c r="F95" s="69" t="str">
        <x:v>Texto→número</x:v>
      </x:c>
      <x:c r="G95" s="69" t="str">
        <x:v>Texto→número</x:v>
      </x:c>
      <x:c r="H95" s="80" t="str">
        <x:v>OK</x:v>
      </x:c>
      <x:c r="I95" s="69" t="str"/>
      <x:c r="J95" s="69"/>
      <x:c r="K95" s="82" t="n">
        <x:v>1</x:v>
      </x:c>
    </x:row>
    <x:row r="96">
      <x:c r="A96" s="76" t="n">
        <x:v>96</x:v>
      </x:c>
      <x:c r="B96" s="69" t="str">
        <x:v>4.72879</x:v>
      </x:c>
      <x:c r="C96" s="69" t="str">
        <x:v>-75.5779</x:v>
      </x:c>
      <x:c r="D96" s="78" t="n">
        <x:v>4.72879</x:v>
      </x:c>
      <x:c r="E96" s="78" t="n">
        <x:v>-75.5779</x:v>
      </x:c>
      <x:c r="F96" s="69" t="str">
        <x:v>Texto→número</x:v>
      </x:c>
      <x:c r="G96" s="69" t="str">
        <x:v>Texto→número</x:v>
      </x:c>
      <x:c r="H96" s="80" t="str">
        <x:v>OK</x:v>
      </x:c>
      <x:c r="I96" s="69" t="str"/>
      <x:c r="J96" s="69"/>
      <x:c r="K96" s="82" t="n">
        <x:v>1</x:v>
      </x:c>
    </x:row>
    <x:row r="97">
      <x:c r="A97" s="76" t="n">
        <x:v>97</x:v>
      </x:c>
      <x:c r="B97" s="69" t="str">
        <x:v>6.29835</x:v>
      </x:c>
      <x:c r="C97" s="69" t="str">
        <x:v>-75.50933</x:v>
      </x:c>
      <x:c r="D97" s="78" t="n">
        <x:v>6.29835</x:v>
      </x:c>
      <x:c r="E97" s="78" t="n">
        <x:v>-75.50933</x:v>
      </x:c>
      <x:c r="F97" s="69" t="str">
        <x:v>Texto→número</x:v>
      </x:c>
      <x:c r="G97" s="69" t="str">
        <x:v>Texto→número</x:v>
      </x:c>
      <x:c r="H97" s="80" t="str">
        <x:v>OK</x:v>
      </x:c>
      <x:c r="I97" s="69" t="str"/>
      <x:c r="J97" s="69" t="str">
        <x:v>6.29835|-75.50933</x:v>
      </x:c>
      <x:c r="K97" s="82" t="n">
        <x:v>0</x:v>
      </x:c>
    </x:row>
    <x:row r="98">
      <x:c r="A98" s="76" t="n">
        <x:v>98</x:v>
      </x:c>
      <x:c r="B98" s="69" t="str">
        <x:v>6.29835</x:v>
      </x:c>
      <x:c r="C98" s="69" t="str">
        <x:v>-75.50933</x:v>
      </x:c>
      <x:c r="D98" s="78" t="n">
        <x:v>6.29835</x:v>
      </x:c>
      <x:c r="E98" s="78" t="n">
        <x:v>-75.50933</x:v>
      </x:c>
      <x:c r="F98" s="69" t="str">
        <x:v>Texto→número</x:v>
      </x:c>
      <x:c r="G98" s="69" t="str">
        <x:v>Texto→número</x:v>
      </x:c>
      <x:c r="H98" s="80" t="str">
        <x:v>OK</x:v>
      </x:c>
      <x:c r="I98" s="69" t="str"/>
      <x:c r="J98" s="69"/>
      <x:c r="K98" s="82" t="n">
        <x:v>1</x:v>
      </x:c>
    </x:row>
    <x:row r="99">
      <x:c r="A99" s="76" t="n">
        <x:v>99</x:v>
      </x:c>
      <x:c r="B99" s="69" t="str">
        <x:v>2.45</x:v>
      </x:c>
      <x:c r="C99" s="69" t="str">
        <x:v>-76.6166667</x:v>
      </x:c>
      <x:c r="D99" s="78" t="n">
        <x:v>2.45</x:v>
      </x:c>
      <x:c r="E99" s="78" t="n">
        <x:v>-76.6166667</x:v>
      </x:c>
      <x:c r="F99" s="69" t="str">
        <x:v>Texto→número</x:v>
      </x:c>
      <x:c r="G99" s="69" t="str">
        <x:v>Texto→número</x:v>
      </x:c>
      <x:c r="H99" s="80" t="str">
        <x:v>OK</x:v>
      </x:c>
      <x:c r="I99" s="69" t="str"/>
      <x:c r="J99" s="69"/>
      <x:c r="K99" s="82" t="n">
        <x:v>1</x:v>
      </x:c>
    </x:row>
    <x:row r="100">
      <x:c r="A100" s="76" t="n">
        <x:v>100</x:v>
      </x:c>
      <x:c r="B100" s="69" t="str">
        <x:v>5.05678</x:v>
      </x:c>
      <x:c r="C100" s="69" t="str">
        <x:v>-75.49541</x:v>
      </x:c>
      <x:c r="D100" s="78" t="n">
        <x:v>5.05678</x:v>
      </x:c>
      <x:c r="E100" s="78" t="n">
        <x:v>-75.49541</x:v>
      </x:c>
      <x:c r="F100" s="69" t="str">
        <x:v>Texto→número</x:v>
      </x:c>
      <x:c r="G100" s="69" t="str">
        <x:v>Texto→número</x:v>
      </x:c>
      <x:c r="H100" s="80" t="str">
        <x:v>OK</x:v>
      </x:c>
      <x:c r="I100" s="69" t="str"/>
      <x:c r="J100" s="69" t="str">
        <x:v>5.05678|-75.49541</x:v>
      </x:c>
      <x:c r="K100" s="82" t="n">
        <x:v>0</x:v>
      </x:c>
    </x:row>
    <x:row r="101">
      <x:c r="A101" s="76" t="n">
        <x:v>101</x:v>
      </x:c>
      <x:c r="B101" s="69" t="str">
        <x:v>4.55835</x:v>
      </x:c>
      <x:c r="C101" s="69" t="str">
        <x:v>-75.32021</x:v>
      </x:c>
      <x:c r="D101" s="78" t="n">
        <x:v>4.55835</x:v>
      </x:c>
      <x:c r="E101" s="78" t="n">
        <x:v>-75.32021</x:v>
      </x:c>
      <x:c r="F101" s="69" t="str">
        <x:v>Texto→número</x:v>
      </x:c>
      <x:c r="G101" s="69" t="str">
        <x:v>Texto→número</x:v>
      </x:c>
      <x:c r="H101" s="80" t="str">
        <x:v>OK</x:v>
      </x:c>
      <x:c r="I101" s="69" t="str"/>
      <x:c r="J101" s="69"/>
      <x:c r="K101" s="82" t="n">
        <x:v>1</x:v>
      </x:c>
    </x:row>
    <x:row r="102">
      <x:c r="A102" s="76" t="n">
        <x:v>102</x:v>
      </x:c>
      <x:c r="B102" s="69" t="str">
        <x:v>6.69603</x:v>
      </x:c>
      <x:c r="C102" s="69" t="str">
        <x:v>-75.59755</x:v>
      </x:c>
      <x:c r="D102" s="78" t="n">
        <x:v>6.69603</x:v>
      </x:c>
      <x:c r="E102" s="78" t="n">
        <x:v>-75.59755</x:v>
      </x:c>
      <x:c r="F102" s="69" t="str">
        <x:v>Texto→número</x:v>
      </x:c>
      <x:c r="G102" s="69" t="str">
        <x:v>Texto→número</x:v>
      </x:c>
      <x:c r="H102" s="80" t="str">
        <x:v>OK</x:v>
      </x:c>
      <x:c r="I102" s="69" t="str"/>
      <x:c r="J102" s="69" t="str">
        <x:v>6.69603|-75.59755</x:v>
      </x:c>
      <x:c r="K102" s="82" t="n">
        <x:v>0</x:v>
      </x:c>
    </x:row>
    <x:row r="103">
      <x:c r="A103" s="76" t="n">
        <x:v>103</x:v>
      </x:c>
      <x:c r="B103" s="69" t="str">
        <x:v>6.69603</x:v>
      </x:c>
      <x:c r="C103" s="69" t="str">
        <x:v>-75.59755</x:v>
      </x:c>
      <x:c r="D103" s="78" t="n">
        <x:v>6.69603</x:v>
      </x:c>
      <x:c r="E103" s="78" t="n">
        <x:v>-75.59755</x:v>
      </x:c>
      <x:c r="F103" s="69" t="str">
        <x:v>Texto→número</x:v>
      </x:c>
      <x:c r="G103" s="69" t="str">
        <x:v>Texto→número</x:v>
      </x:c>
      <x:c r="H103" s="80" t="str">
        <x:v>OK</x:v>
      </x:c>
      <x:c r="I103" s="69" t="str"/>
      <x:c r="J103" s="69"/>
      <x:c r="K103" s="82" t="n">
        <x:v>1</x:v>
      </x:c>
    </x:row>
    <x:row r="104">
      <x:c r="A104" s="76" t="n">
        <x:v>104</x:v>
      </x:c>
      <x:c r="B104" s="69" t="str">
        <x:v>6.77278</x:v>
      </x:c>
      <x:c r="C104" s="69" t="str">
        <x:v>-75.79203</x:v>
      </x:c>
      <x:c r="D104" s="78" t="n">
        <x:v>6.77278</x:v>
      </x:c>
      <x:c r="E104" s="78" t="n">
        <x:v>-75.79203</x:v>
      </x:c>
      <x:c r="F104" s="69" t="str">
        <x:v>Texto→número</x:v>
      </x:c>
      <x:c r="G104" s="69" t="str">
        <x:v>Texto→número</x:v>
      </x:c>
      <x:c r="H104" s="80" t="str">
        <x:v>OK</x:v>
      </x:c>
      <x:c r="I104" s="69" t="str"/>
      <x:c r="J104" s="69" t="str">
        <x:v>6.77278|-75.79203</x:v>
      </x:c>
      <x:c r="K104" s="82" t="n">
        <x:v>0</x:v>
      </x:c>
    </x:row>
    <x:row r="105">
      <x:c r="A105" s="76" t="n">
        <x:v>105</x:v>
      </x:c>
      <x:c r="B105" s="69" t="str">
        <x:v>6.60408</x:v>
      </x:c>
      <x:c r="C105" s="69" t="str">
        <x:v>-75.73611</x:v>
      </x:c>
      <x:c r="D105" s="78" t="n">
        <x:v>6.60408</x:v>
      </x:c>
      <x:c r="E105" s="78" t="n">
        <x:v>-75.73611</x:v>
      </x:c>
      <x:c r="F105" s="69" t="str">
        <x:v>Texto→número</x:v>
      </x:c>
      <x:c r="G105" s="69" t="str">
        <x:v>Texto→número</x:v>
      </x:c>
      <x:c r="H105" s="80" t="str">
        <x:v>OK</x:v>
      </x:c>
      <x:c r="I105" s="69" t="str"/>
      <x:c r="J105" s="69" t="str">
        <x:v>6.60408|-75.73611</x:v>
      </x:c>
      <x:c r="K105" s="82" t="n">
        <x:v>0</x:v>
      </x:c>
    </x:row>
    <x:row r="106">
      <x:c r="A106" s="76" t="n">
        <x:v>106</x:v>
      </x:c>
      <x:c r="B106" s="69" t="str">
        <x:v>6.60408</x:v>
      </x:c>
      <x:c r="C106" s="69" t="str">
        <x:v>-75.73611</x:v>
      </x:c>
      <x:c r="D106" s="78" t="n">
        <x:v>6.60408</x:v>
      </x:c>
      <x:c r="E106" s="78" t="n">
        <x:v>-75.73611</x:v>
      </x:c>
      <x:c r="F106" s="69" t="str">
        <x:v>Texto→número</x:v>
      </x:c>
      <x:c r="G106" s="69" t="str">
        <x:v>Texto→número</x:v>
      </x:c>
      <x:c r="H106" s="80" t="str">
        <x:v>OK</x:v>
      </x:c>
      <x:c r="I106" s="69" t="str"/>
      <x:c r="J106" s="69"/>
      <x:c r="K106" s="82" t="n">
        <x:v>1</x:v>
      </x:c>
    </x:row>
    <x:row r="107">
      <x:c r="A107" s="76" t="n">
        <x:v>107</x:v>
      </x:c>
      <x:c r="B107" s="69" t="str">
        <x:v>5.06348</x:v>
      </x:c>
      <x:c r="C107" s="69" t="str">
        <x:v>-75.48487</x:v>
      </x:c>
      <x:c r="D107" s="78" t="n">
        <x:v>5.06348</x:v>
      </x:c>
      <x:c r="E107" s="78" t="n">
        <x:v>-75.48487</x:v>
      </x:c>
      <x:c r="F107" s="69" t="str">
        <x:v>Texto→número</x:v>
      </x:c>
      <x:c r="G107" s="69" t="str">
        <x:v>Texto→número</x:v>
      </x:c>
      <x:c r="H107" s="80" t="str">
        <x:v>OK</x:v>
      </x:c>
      <x:c r="I107" s="69" t="str"/>
      <x:c r="J107" s="69" t="str">
        <x:v>5.06348|-75.48487</x:v>
      </x:c>
      <x:c r="K107" s="82" t="n">
        <x:v>0</x:v>
      </x:c>
    </x:row>
    <x:row r="108">
      <x:c r="A108" s="76" t="n">
        <x:v>108</x:v>
      </x:c>
      <x:c r="B108" s="69" t="str">
        <x:v>1.9963</x:v>
      </x:c>
      <x:c r="C108" s="69" t="str">
        <x:v>-76.93901</x:v>
      </x:c>
      <x:c r="D108" s="78" t="n">
        <x:v>1.9963</x:v>
      </x:c>
      <x:c r="E108" s="78" t="n">
        <x:v>-76.93901</x:v>
      </x:c>
      <x:c r="F108" s="69" t="str">
        <x:v>Texto→número</x:v>
      </x:c>
      <x:c r="G108" s="69" t="str">
        <x:v>Texto→número</x:v>
      </x:c>
      <x:c r="H108" s="80" t="str">
        <x:v>OK</x:v>
      </x:c>
      <x:c r="I108" s="69" t="str"/>
      <x:c r="J108" s="69" t="str">
        <x:v>1.9963|-76.93901</x:v>
      </x:c>
      <x:c r="K108" s="82" t="n">
        <x:v>0</x:v>
      </x:c>
    </x:row>
    <x:row r="109">
      <x:c r="A109" s="76" t="n">
        <x:v>109</x:v>
      </x:c>
      <x:c r="B109" s="69" t="str">
        <x:v>4.9031117</x:v>
      </x:c>
      <x:c r="C109" s="69" t="str">
        <x:v>-75.1773528</x:v>
      </x:c>
      <x:c r="D109" s="78" t="n">
        <x:v>4.9031117</x:v>
      </x:c>
      <x:c r="E109" s="78" t="n">
        <x:v>-75.1773528</x:v>
      </x:c>
      <x:c r="F109" s="69" t="str">
        <x:v>Texto→número</x:v>
      </x:c>
      <x:c r="G109" s="69" t="str">
        <x:v>Texto→número</x:v>
      </x:c>
      <x:c r="H109" s="80" t="str">
        <x:v>OK</x:v>
      </x:c>
      <x:c r="I109" s="69" t="str"/>
      <x:c r="J109" s="69" t="str">
        <x:v>4.9031117|-75.1773528</x:v>
      </x:c>
      <x:c r="K109" s="82" t="n">
        <x:v>0</x:v>
      </x:c>
    </x:row>
    <x:row r="110">
      <x:c r="A110" s="76" t="n">
        <x:v>110</x:v>
      </x:c>
      <x:c r="B110" s="69" t="str">
        <x:v>1.8244444</x:v>
      </x:c>
      <x:c r="C110" s="69" t="str">
        <x:v>-76.8833333</x:v>
      </x:c>
      <x:c r="D110" s="78" t="n">
        <x:v>1.8244444</x:v>
      </x:c>
      <x:c r="E110" s="78" t="n">
        <x:v>-76.8833333</x:v>
      </x:c>
      <x:c r="F110" s="69" t="str">
        <x:v>Texto→número</x:v>
      </x:c>
      <x:c r="G110" s="69" t="str">
        <x:v>Texto→número</x:v>
      </x:c>
      <x:c r="H110" s="80" t="str">
        <x:v>OK</x:v>
      </x:c>
      <x:c r="I110" s="69" t="str"/>
      <x:c r="J110" s="69" t="str">
        <x:v>1.8244444|-76.8833333</x:v>
      </x:c>
      <x:c r="K110" s="82" t="n">
        <x:v>0</x:v>
      </x:c>
    </x:row>
    <x:row r="111">
      <x:c r="A111" s="76" t="n">
        <x:v>111</x:v>
      </x:c>
      <x:c r="B111" s="69" t="str">
        <x:v>6.20892</x:v>
      </x:c>
      <x:c r="C111" s="69" t="str">
        <x:v>-75.49086</x:v>
      </x:c>
      <x:c r="D111" s="78" t="n">
        <x:v>6.20892</x:v>
      </x:c>
      <x:c r="E111" s="78" t="n">
        <x:v>-75.49086</x:v>
      </x:c>
      <x:c r="F111" s="69" t="str">
        <x:v>Texto→número</x:v>
      </x:c>
      <x:c r="G111" s="69" t="str">
        <x:v>Texto→número</x:v>
      </x:c>
      <x:c r="H111" s="80" t="str">
        <x:v>OK</x:v>
      </x:c>
      <x:c r="I111" s="69" t="str"/>
      <x:c r="J111" s="69" t="str">
        <x:v>6.20892|-75.49086</x:v>
      </x:c>
      <x:c r="K111" s="82" t="n">
        <x:v>0</x:v>
      </x:c>
    </x:row>
    <x:row r="112">
      <x:c r="A112" s="76" t="n">
        <x:v>112</x:v>
      </x:c>
      <x:c r="B112" s="69" t="str">
        <x:v>5.03103</x:v>
      </x:c>
      <x:c r="C112" s="69" t="str">
        <x:v>-75.51113</x:v>
      </x:c>
      <x:c r="D112" s="78" t="n">
        <x:v>5.03103</x:v>
      </x:c>
      <x:c r="E112" s="78" t="n">
        <x:v>-75.51113</x:v>
      </x:c>
      <x:c r="F112" s="69" t="str">
        <x:v>Texto→número</x:v>
      </x:c>
      <x:c r="G112" s="69" t="str">
        <x:v>Texto→número</x:v>
      </x:c>
      <x:c r="H112" s="80" t="str">
        <x:v>OK</x:v>
      </x:c>
      <x:c r="I112" s="69" t="str"/>
      <x:c r="J112" s="69" t="str">
        <x:v>5.03103|-75.51113</x:v>
      </x:c>
      <x:c r="K112" s="82" t="n">
        <x:v>0</x:v>
      </x:c>
    </x:row>
    <x:row r="113">
      <x:c r="A113" s="76" t="n">
        <x:v>113</x:v>
      </x:c>
      <x:c r="B113" s="69" t="str">
        <x:v>5.1661667</x:v>
      </x:c>
      <x:c r="C113" s="69" t="str">
        <x:v>-75.4019444</x:v>
      </x:c>
      <x:c r="D113" s="78" t="n">
        <x:v>5.1661667</x:v>
      </x:c>
      <x:c r="E113" s="78" t="n">
        <x:v>-75.4019444</x:v>
      </x:c>
      <x:c r="F113" s="69" t="str">
        <x:v>Texto→número</x:v>
      </x:c>
      <x:c r="G113" s="69" t="str">
        <x:v>Texto→número</x:v>
      </x:c>
      <x:c r="H113" s="80" t="str">
        <x:v>OK</x:v>
      </x:c>
      <x:c r="I113" s="69" t="str"/>
      <x:c r="J113" s="69" t="str">
        <x:v>5.1661667|-75.4019444</x:v>
      </x:c>
      <x:c r="K113" s="82" t="n">
        <x:v>0</x:v>
      </x:c>
    </x:row>
    <x:row r="114">
      <x:c r="A114" s="76" t="n">
        <x:v>114</x:v>
      </x:c>
      <x:c r="B114" s="69" t="str">
        <x:v>5.1661667</x:v>
      </x:c>
      <x:c r="C114" s="69" t="str">
        <x:v>-75.4019444</x:v>
      </x:c>
      <x:c r="D114" s="78" t="n">
        <x:v>5.1661667</x:v>
      </x:c>
      <x:c r="E114" s="78" t="n">
        <x:v>-75.4019444</x:v>
      </x:c>
      <x:c r="F114" s="69" t="str">
        <x:v>Texto→número</x:v>
      </x:c>
      <x:c r="G114" s="69" t="str">
        <x:v>Texto→número</x:v>
      </x:c>
      <x:c r="H114" s="80" t="str">
        <x:v>OK</x:v>
      </x:c>
      <x:c r="I114" s="69" t="str"/>
      <x:c r="J114" s="69"/>
      <x:c r="K114" s="82" t="n">
        <x:v>1</x:v>
      </x:c>
    </x:row>
    <x:row r="115">
      <x:c r="A115" s="76" t="n">
        <x:v>115</x:v>
      </x:c>
      <x:c r="B115" s="69" t="str">
        <x:v>1.554116667</x:v>
      </x:c>
      <x:c r="C115" s="69" t="str">
        <x:v>-76.2945333333333</x:v>
      </x:c>
      <x:c r="D115" s="78" t="n">
        <x:v>1.554116667</x:v>
      </x:c>
      <x:c r="E115" s="78" t="n">
        <x:v>-76.2945333333333</x:v>
      </x:c>
      <x:c r="F115" s="69" t="str">
        <x:v>Texto→número</x:v>
      </x:c>
      <x:c r="G115" s="69" t="str">
        <x:v>Texto→número</x:v>
      </x:c>
      <x:c r="H115" s="80" t="str">
        <x:v>OK</x:v>
      </x:c>
      <x:c r="I115" s="69" t="str"/>
      <x:c r="J115" s="69" t="str">
        <x:v>1.554116667|-76.2945333333333</x:v>
      </x:c>
      <x:c r="K115" s="82" t="n">
        <x:v>0</x:v>
      </x:c>
    </x:row>
    <x:row r="116">
      <x:c r="A116" s="76" t="n">
        <x:v>116</x:v>
      </x:c>
      <x:c r="B116" s="69" t="str">
        <x:v>4.72879</x:v>
      </x:c>
      <x:c r="C116" s="69" t="str">
        <x:v>-75.5779</x:v>
      </x:c>
      <x:c r="D116" s="78" t="n">
        <x:v>4.72879</x:v>
      </x:c>
      <x:c r="E116" s="78" t="n">
        <x:v>-75.5779</x:v>
      </x:c>
      <x:c r="F116" s="69" t="str">
        <x:v>Texto→número</x:v>
      </x:c>
      <x:c r="G116" s="69" t="str">
        <x:v>Texto→número</x:v>
      </x:c>
      <x:c r="H116" s="80" t="str">
        <x:v>OK</x:v>
      </x:c>
      <x:c r="I116" s="69" t="str"/>
      <x:c r="J116" s="69"/>
      <x:c r="K116" s="82" t="n">
        <x:v>1</x:v>
      </x:c>
    </x:row>
    <x:row r="117">
      <x:c r="A117" s="76" t="n">
        <x:v>117</x:v>
      </x:c>
      <x:c r="B117" s="69" t="str">
        <x:v>4.72879</x:v>
      </x:c>
      <x:c r="C117" s="69" t="str">
        <x:v>-75.5779</x:v>
      </x:c>
      <x:c r="D117" s="78" t="n">
        <x:v>4.72879</x:v>
      </x:c>
      <x:c r="E117" s="78" t="n">
        <x:v>-75.5779</x:v>
      </x:c>
      <x:c r="F117" s="69" t="str">
        <x:v>Texto→número</x:v>
      </x:c>
      <x:c r="G117" s="69" t="str">
        <x:v>Texto→número</x:v>
      </x:c>
      <x:c r="H117" s="80" t="str">
        <x:v>OK</x:v>
      </x:c>
      <x:c r="I117" s="69" t="str"/>
      <x:c r="J117" s="69"/>
      <x:c r="K117" s="82" t="n">
        <x:v>1</x:v>
      </x:c>
    </x:row>
    <x:row r="118">
      <x:c r="A118" s="76" t="n">
        <x:v>118</x:v>
      </x:c>
      <x:c r="B118" s="69" t="str">
        <x:v>5.98504</x:v>
      </x:c>
      <x:c r="C118" s="69" t="str">
        <x:v>-75.6293</x:v>
      </x:c>
      <x:c r="D118" s="78" t="n">
        <x:v>5.98504</x:v>
      </x:c>
      <x:c r="E118" s="78" t="n">
        <x:v>-75.6293</x:v>
      </x:c>
      <x:c r="F118" s="69" t="str">
        <x:v>Texto→número</x:v>
      </x:c>
      <x:c r="G118" s="69" t="str">
        <x:v>Texto→número</x:v>
      </x:c>
      <x:c r="H118" s="80" t="str">
        <x:v>OK</x:v>
      </x:c>
      <x:c r="I118" s="69" t="str"/>
      <x:c r="J118" s="69" t="str">
        <x:v>5.98504|-75.6293</x:v>
      </x:c>
      <x:c r="K118" s="82" t="n">
        <x:v>0</x:v>
      </x:c>
    </x:row>
    <x:row r="119">
      <x:c r="A119" s="76" t="n">
        <x:v>119</x:v>
      </x:c>
      <x:c r="B119" s="69" t="str">
        <x:v>1.5551944</x:v>
      </x:c>
      <x:c r="C119" s="69" t="str">
        <x:v>-76.3051667</x:v>
      </x:c>
      <x:c r="D119" s="78" t="n">
        <x:v>1.5551944</x:v>
      </x:c>
      <x:c r="E119" s="78" t="n">
        <x:v>-76.3051667</x:v>
      </x:c>
      <x:c r="F119" s="69" t="str">
        <x:v>Texto→número</x:v>
      </x:c>
      <x:c r="G119" s="69" t="str">
        <x:v>Texto→número</x:v>
      </x:c>
      <x:c r="H119" s="80" t="str">
        <x:v>OK</x:v>
      </x:c>
      <x:c r="I119" s="69" t="str"/>
      <x:c r="J119" s="69" t="str">
        <x:v>1.5551944|-76.3051667</x:v>
      </x:c>
      <x:c r="K119" s="82" t="n">
        <x:v>0</x:v>
      </x:c>
    </x:row>
    <x:row r="120">
      <x:c r="A120" s="76" t="n">
        <x:v>120</x:v>
      </x:c>
      <x:c r="B120" s="69" t="str">
        <x:v>5.5845</x:v>
      </x:c>
      <x:c r="C120" s="69" t="str">
        <x:v>-75.77684</x:v>
      </x:c>
      <x:c r="D120" s="78" t="n">
        <x:v>5.5845</x:v>
      </x:c>
      <x:c r="E120" s="78" t="n">
        <x:v>-75.77684</x:v>
      </x:c>
      <x:c r="F120" s="69" t="str">
        <x:v>Texto→número</x:v>
      </x:c>
      <x:c r="G120" s="69" t="str">
        <x:v>Texto→número</x:v>
      </x:c>
      <x:c r="H120" s="80" t="str">
        <x:v>OK</x:v>
      </x:c>
      <x:c r="I120" s="69" t="str"/>
      <x:c r="J120" s="69" t="str">
        <x:v>5.5845|-75.77684</x:v>
      </x:c>
      <x:c r="K120" s="82" t="n">
        <x:v>0</x:v>
      </x:c>
    </x:row>
    <x:row r="121">
      <x:c r="A121" s="76" t="n">
        <x:v>121</x:v>
      </x:c>
      <x:c r="B121" s="69" t="str">
        <x:v>5.36289</x:v>
      </x:c>
      <x:c r="C121" s="69" t="str">
        <x:v>-75.68087</x:v>
      </x:c>
      <x:c r="D121" s="78" t="n">
        <x:v>5.36289</x:v>
      </x:c>
      <x:c r="E121" s="78" t="n">
        <x:v>-75.68087</x:v>
      </x:c>
      <x:c r="F121" s="69" t="str">
        <x:v>Texto→número</x:v>
      </x:c>
      <x:c r="G121" s="69" t="str">
        <x:v>Texto→número</x:v>
      </x:c>
      <x:c r="H121" s="80" t="str">
        <x:v>OK</x:v>
      </x:c>
      <x:c r="I121" s="69" t="str"/>
      <x:c r="J121" s="69" t="str">
        <x:v>5.36289|-75.68087</x:v>
      </x:c>
      <x:c r="K121" s="82" t="n">
        <x:v>0</x:v>
      </x:c>
    </x:row>
    <x:row r="122">
      <x:c r="A122" s="76" t="n">
        <x:v>122</x:v>
      </x:c>
      <x:c r="B122" s="69" t="str">
        <x:v>5.08133</x:v>
      </x:c>
      <x:c r="C122" s="69" t="str">
        <x:v>-75.50632</x:v>
      </x:c>
      <x:c r="D122" s="78" t="n">
        <x:v>5.08133</x:v>
      </x:c>
      <x:c r="E122" s="78" t="n">
        <x:v>-75.50632</x:v>
      </x:c>
      <x:c r="F122" s="69" t="str">
        <x:v>Texto→número</x:v>
      </x:c>
      <x:c r="G122" s="69" t="str">
        <x:v>Texto→número</x:v>
      </x:c>
      <x:c r="H122" s="80" t="str">
        <x:v>OK</x:v>
      </x:c>
      <x:c r="I122" s="69" t="str"/>
      <x:c r="J122" s="69" t="str">
        <x:v>5.08133|-75.50632</x:v>
      </x:c>
      <x:c r="K122" s="82" t="n">
        <x:v>0</x:v>
      </x:c>
    </x:row>
    <x:row r="123">
      <x:c r="A123" s="76" t="n">
        <x:v>123</x:v>
      </x:c>
      <x:c r="B123" s="69" t="str">
        <x:v>5.0845833</x:v>
      </x:c>
      <x:c r="C123" s="69" t="str">
        <x:v>-75.5084167</x:v>
      </x:c>
      <x:c r="D123" s="78" t="n">
        <x:v>5.0845833</x:v>
      </x:c>
      <x:c r="E123" s="78" t="n">
        <x:v>-75.5084167</x:v>
      </x:c>
      <x:c r="F123" s="69" t="str">
        <x:v>Texto→número</x:v>
      </x:c>
      <x:c r="G123" s="69" t="str">
        <x:v>Texto→número</x:v>
      </x:c>
      <x:c r="H123" s="80" t="str">
        <x:v>OK</x:v>
      </x:c>
      <x:c r="I123" s="69" t="str"/>
      <x:c r="J123" s="69" t="str">
        <x:v>5.0845833|-75.5084167</x:v>
      </x:c>
      <x:c r="K123" s="82" t="n">
        <x:v>0</x:v>
      </x:c>
    </x:row>
    <x:row r="124">
      <x:c r="A124" s="76" t="n">
        <x:v>124</x:v>
      </x:c>
      <x:c r="B124" s="69" t="str">
        <x:v>5.1830556</x:v>
      </x:c>
      <x:c r="C124" s="69" t="str">
        <x:v>-75.458</x:v>
      </x:c>
      <x:c r="D124" s="78" t="n">
        <x:v>5.1830556</x:v>
      </x:c>
      <x:c r="E124" s="78" t="n">
        <x:v>-75.458</x:v>
      </x:c>
      <x:c r="F124" s="69" t="str">
        <x:v>Texto→número</x:v>
      </x:c>
      <x:c r="G124" s="69" t="str">
        <x:v>Texto→número</x:v>
      </x:c>
      <x:c r="H124" s="80" t="str">
        <x:v>OK</x:v>
      </x:c>
      <x:c r="I124" s="69" t="str"/>
      <x:c r="J124" s="69" t="str">
        <x:v>5.1830556|-75.458</x:v>
      </x:c>
      <x:c r="K124" s="82" t="n">
        <x:v>0</x:v>
      </x:c>
    </x:row>
    <x:row r="125">
      <x:c r="A125" s="76" t="n">
        <x:v>125</x:v>
      </x:c>
      <x:c r="B125" s="69" t="str">
        <x:v>4.68067</x:v>
      </x:c>
      <x:c r="C125" s="69" t="str">
        <x:v>-75.63452</x:v>
      </x:c>
      <x:c r="D125" s="78" t="n">
        <x:v>4.68067</x:v>
      </x:c>
      <x:c r="E125" s="78" t="n">
        <x:v>-75.63452</x:v>
      </x:c>
      <x:c r="F125" s="69" t="str">
        <x:v>Texto→número</x:v>
      </x:c>
      <x:c r="G125" s="69" t="str">
        <x:v>Texto→número</x:v>
      </x:c>
      <x:c r="H125" s="80" t="str">
        <x:v>OK</x:v>
      </x:c>
      <x:c r="I125" s="69" t="str"/>
      <x:c r="J125" s="69"/>
      <x:c r="K125" s="82" t="n">
        <x:v>1</x:v>
      </x:c>
    </x:row>
    <x:row r="126">
      <x:c r="A126" s="76" t="n">
        <x:v>126</x:v>
      </x:c>
      <x:c r="B126" s="69" t="str">
        <x:v>4.9848806</x:v>
      </x:c>
      <x:c r="C126" s="69" t="str">
        <x:v>-75.4511389</x:v>
      </x:c>
      <x:c r="D126" s="78" t="n">
        <x:v>4.9848806</x:v>
      </x:c>
      <x:c r="E126" s="78" t="n">
        <x:v>-75.4511389</x:v>
      </x:c>
      <x:c r="F126" s="69" t="str">
        <x:v>Texto→número</x:v>
      </x:c>
      <x:c r="G126" s="69" t="str">
        <x:v>Texto→número</x:v>
      </x:c>
      <x:c r="H126" s="80" t="str">
        <x:v>OK</x:v>
      </x:c>
      <x:c r="I126" s="69" t="str"/>
      <x:c r="J126" s="69" t="str">
        <x:v>4.9848806|-75.4511389</x:v>
      </x:c>
      <x:c r="K126" s="82" t="n">
        <x:v>0</x:v>
      </x:c>
    </x:row>
    <x:row r="127">
      <x:c r="A127" s="76" t="n">
        <x:v>127</x:v>
      </x:c>
      <x:c r="B127" s="69" t="str">
        <x:v>1.3166667</x:v>
      </x:c>
      <x:c r="C127" s="69" t="str">
        <x:v>-77.9166667</x:v>
      </x:c>
      <x:c r="D127" s="78" t="n">
        <x:v>1.3166667</x:v>
      </x:c>
      <x:c r="E127" s="78" t="n">
        <x:v>-77.9166667</x:v>
      </x:c>
      <x:c r="F127" s="69" t="str">
        <x:v>Texto→número</x:v>
      </x:c>
      <x:c r="G127" s="69" t="str">
        <x:v>Texto→número</x:v>
      </x:c>
      <x:c r="H127" s="80" t="str">
        <x:v>OK</x:v>
      </x:c>
      <x:c r="I127" s="69" t="str"/>
      <x:c r="J127" s="69" t="str">
        <x:v>1.3166667|-77.9166667</x:v>
      </x:c>
      <x:c r="K127" s="82" t="n">
        <x:v>0</x:v>
      </x:c>
    </x:row>
    <x:row r="128">
      <x:c r="A128" s="76" t="n">
        <x:v>128</x:v>
      </x:c>
      <x:c r="B128" s="69" t="str">
        <x:v>4.9848806</x:v>
      </x:c>
      <x:c r="C128" s="69" t="str">
        <x:v>-75.4511389</x:v>
      </x:c>
      <x:c r="D128" s="78" t="n">
        <x:v>4.9848806</x:v>
      </x:c>
      <x:c r="E128" s="78" t="n">
        <x:v>-75.4511389</x:v>
      </x:c>
      <x:c r="F128" s="69" t="str">
        <x:v>Texto→número</x:v>
      </x:c>
      <x:c r="G128" s="69" t="str">
        <x:v>Texto→número</x:v>
      </x:c>
      <x:c r="H128" s="80" t="str">
        <x:v>OK</x:v>
      </x:c>
      <x:c r="I128" s="69" t="str"/>
      <x:c r="J128" s="69"/>
      <x:c r="K128" s="82" t="n">
        <x:v>1</x:v>
      </x:c>
    </x:row>
    <x:row r="129">
      <x:c r="A129" s="76" t="n">
        <x:v>129</x:v>
      </x:c>
      <x:c r="B129" s="69" t="str">
        <x:v>4.9848806</x:v>
      </x:c>
      <x:c r="C129" s="69" t="str">
        <x:v>-75.4511389</x:v>
      </x:c>
      <x:c r="D129" s="78" t="n">
        <x:v>4.9848806</x:v>
      </x:c>
      <x:c r="E129" s="78" t="n">
        <x:v>-75.4511389</x:v>
      </x:c>
      <x:c r="F129" s="69" t="str">
        <x:v>Texto→número</x:v>
      </x:c>
      <x:c r="G129" s="69" t="str">
        <x:v>Texto→número</x:v>
      </x:c>
      <x:c r="H129" s="80" t="str">
        <x:v>OK</x:v>
      </x:c>
      <x:c r="I129" s="69" t="str"/>
      <x:c r="J129" s="69"/>
      <x:c r="K129" s="82" t="n">
        <x:v>1</x:v>
      </x:c>
    </x:row>
    <x:row r="130">
      <x:c r="A130" s="76" t="n">
        <x:v>130</x:v>
      </x:c>
      <x:c r="B130" s="69" t="str">
        <x:v>5.35989</x:v>
      </x:c>
      <x:c r="C130" s="69" t="str">
        <x:v>-75.21129</x:v>
      </x:c>
      <x:c r="D130" s="78" t="n">
        <x:v>5.35989</x:v>
      </x:c>
      <x:c r="E130" s="78" t="n">
        <x:v>-75.21129</x:v>
      </x:c>
      <x:c r="F130" s="69" t="str">
        <x:v>Texto→número</x:v>
      </x:c>
      <x:c r="G130" s="69" t="str">
        <x:v>Texto→número</x:v>
      </x:c>
      <x:c r="H130" s="80" t="str">
        <x:v>OK</x:v>
      </x:c>
      <x:c r="I130" s="69" t="str"/>
      <x:c r="J130" s="69" t="str">
        <x:v>5.35989|-75.21129</x:v>
      </x:c>
      <x:c r="K130" s="82" t="n">
        <x:v>0</x:v>
      </x:c>
    </x:row>
    <x:row r="131">
      <x:c r="A131" s="76" t="n">
        <x:v>131</x:v>
      </x:c>
      <x:c r="B131" s="69" t="str">
        <x:v>4.68067</x:v>
      </x:c>
      <x:c r="C131" s="69" t="str">
        <x:v>-75.63452</x:v>
      </x:c>
      <x:c r="D131" s="78" t="n">
        <x:v>4.68067</x:v>
      </x:c>
      <x:c r="E131" s="78" t="n">
        <x:v>-75.63452</x:v>
      </x:c>
      <x:c r="F131" s="69" t="str">
        <x:v>Texto→número</x:v>
      </x:c>
      <x:c r="G131" s="69" t="str">
        <x:v>Texto→número</x:v>
      </x:c>
      <x:c r="H131" s="80" t="str">
        <x:v>OK</x:v>
      </x:c>
      <x:c r="I131" s="69" t="str"/>
      <x:c r="J131" s="69"/>
      <x:c r="K131" s="82" t="n">
        <x:v>1</x:v>
      </x:c>
    </x:row>
    <x:row r="132">
      <x:c r="A132" s="76" t="n">
        <x:v>132</x:v>
      </x:c>
      <x:c r="B132" s="69" t="str">
        <x:v>4.68067</x:v>
      </x:c>
      <x:c r="C132" s="69" t="str">
        <x:v>-75.63452</x:v>
      </x:c>
      <x:c r="D132" s="78" t="n">
        <x:v>4.68067</x:v>
      </x:c>
      <x:c r="E132" s="78" t="n">
        <x:v>-75.63452</x:v>
      </x:c>
      <x:c r="F132" s="69" t="str">
        <x:v>Texto→número</x:v>
      </x:c>
      <x:c r="G132" s="69" t="str">
        <x:v>Texto→número</x:v>
      </x:c>
      <x:c r="H132" s="80" t="str">
        <x:v>OK</x:v>
      </x:c>
      <x:c r="I132" s="69" t="str"/>
      <x:c r="J132" s="69"/>
      <x:c r="K132" s="82" t="n">
        <x:v>1</x:v>
      </x:c>
    </x:row>
    <x:row r="133">
      <x:c r="A133" s="76" t="n">
        <x:v>133</x:v>
      </x:c>
      <x:c r="B133" s="69" t="str">
        <x:v>4.68067</x:v>
      </x:c>
      <x:c r="C133" s="69" t="str">
        <x:v>-75.63452</x:v>
      </x:c>
      <x:c r="D133" s="78" t="n">
        <x:v>4.68067</x:v>
      </x:c>
      <x:c r="E133" s="78" t="n">
        <x:v>-75.63452</x:v>
      </x:c>
      <x:c r="F133" s="69" t="str">
        <x:v>Texto→número</x:v>
      </x:c>
      <x:c r="G133" s="69" t="str">
        <x:v>Texto→número</x:v>
      </x:c>
      <x:c r="H133" s="80" t="str">
        <x:v>OK</x:v>
      </x:c>
      <x:c r="I133" s="69" t="str"/>
      <x:c r="J133" s="69"/>
      <x:c r="K133" s="82" t="n">
        <x:v>1</x:v>
      </x:c>
    </x:row>
    <x:row r="134">
      <x:c r="A134" s="76" t="n">
        <x:v>134</x:v>
      </x:c>
      <x:c r="B134" s="69" t="str">
        <x:v>4.6666667</x:v>
      </x:c>
      <x:c r="C134" s="69" t="str">
        <x:v>-75.5</x:v>
      </x:c>
      <x:c r="D134" s="78" t="n">
        <x:v>4.6666667</x:v>
      </x:c>
      <x:c r="E134" s="78" t="n">
        <x:v>-75.5</x:v>
      </x:c>
      <x:c r="F134" s="69" t="str">
        <x:v>Texto→número</x:v>
      </x:c>
      <x:c r="G134" s="69" t="str">
        <x:v>Texto→número</x:v>
      </x:c>
      <x:c r="H134" s="80" t="str">
        <x:v>OK</x:v>
      </x:c>
      <x:c r="I134" s="69" t="str"/>
      <x:c r="J134" s="69"/>
      <x:c r="K134" s="82" t="n">
        <x:v>1</x:v>
      </x:c>
    </x:row>
    <x:row r="135">
      <x:c r="A135" s="76" t="n">
        <x:v>135</x:v>
      </x:c>
      <x:c r="B135" s="69" t="str">
        <x:v>4.68573</x:v>
      </x:c>
      <x:c r="C135" s="69" t="str">
        <x:v>-75.57803</x:v>
      </x:c>
      <x:c r="D135" s="78" t="n">
        <x:v>4.68573</x:v>
      </x:c>
      <x:c r="E135" s="78" t="n">
        <x:v>-75.57803</x:v>
      </x:c>
      <x:c r="F135" s="69" t="str">
        <x:v>Texto→número</x:v>
      </x:c>
      <x:c r="G135" s="69" t="str">
        <x:v>Texto→número</x:v>
      </x:c>
      <x:c r="H135" s="80" t="str">
        <x:v>OK</x:v>
      </x:c>
      <x:c r="I135" s="69" t="str"/>
      <x:c r="J135" s="69" t="str">
        <x:v>4.68573|-75.57803</x:v>
      </x:c>
      <x:c r="K135" s="82" t="n">
        <x:v>0</x:v>
      </x:c>
    </x:row>
    <x:row r="136">
      <x:c r="A136" s="76" t="n">
        <x:v>136</x:v>
      </x:c>
      <x:c r="B136" s="69" t="str">
        <x:v>4.72086</x:v>
      </x:c>
      <x:c r="C136" s="69" t="str">
        <x:v>-75.56629</x:v>
      </x:c>
      <x:c r="D136" s="78" t="n">
        <x:v>4.72086</x:v>
      </x:c>
      <x:c r="E136" s="78" t="n">
        <x:v>-75.56629</x:v>
      </x:c>
      <x:c r="F136" s="69" t="str">
        <x:v>Texto→número</x:v>
      </x:c>
      <x:c r="G136" s="69" t="str">
        <x:v>Texto→número</x:v>
      </x:c>
      <x:c r="H136" s="80" t="str">
        <x:v>OK</x:v>
      </x:c>
      <x:c r="I136" s="69" t="str"/>
      <x:c r="J136" s="69"/>
      <x:c r="K136" s="82" t="n">
        <x:v>1</x:v>
      </x:c>
    </x:row>
    <x:row r="137">
      <x:c r="A137" s="76" t="n">
        <x:v>137</x:v>
      </x:c>
      <x:c r="B137" s="69" t="str">
        <x:v>5.12739</x:v>
      </x:c>
      <x:c r="C137" s="69" t="str">
        <x:v>-75.7784</x:v>
      </x:c>
      <x:c r="D137" s="78" t="n">
        <x:v>5.12739</x:v>
      </x:c>
      <x:c r="E137" s="78" t="n">
        <x:v>-75.7784</x:v>
      </x:c>
      <x:c r="F137" s="69" t="str">
        <x:v>Texto→número</x:v>
      </x:c>
      <x:c r="G137" s="69" t="str">
        <x:v>Texto→número</x:v>
      </x:c>
      <x:c r="H137" s="80" t="str">
        <x:v>OK</x:v>
      </x:c>
      <x:c r="I137" s="69" t="str"/>
      <x:c r="J137" s="69" t="str">
        <x:v>5.12739|-75.7784</x:v>
      </x:c>
      <x:c r="K137" s="82" t="n">
        <x:v>0</x:v>
      </x:c>
    </x:row>
    <x:row r="138">
      <x:c r="A138" s="76" t="n">
        <x:v>138</x:v>
      </x:c>
      <x:c r="B138" s="69" t="str">
        <x:v>7.29167</x:v>
      </x:c>
      <x:c r="C138" s="69" t="str">
        <x:v>-75.06623</x:v>
      </x:c>
      <x:c r="D138" s="78" t="n">
        <x:v>7.29167</x:v>
      </x:c>
      <x:c r="E138" s="78" t="n">
        <x:v>-75.06623</x:v>
      </x:c>
      <x:c r="F138" s="69" t="str">
        <x:v>Texto→número</x:v>
      </x:c>
      <x:c r="G138" s="69" t="str">
        <x:v>Texto→número</x:v>
      </x:c>
      <x:c r="H138" s="80" t="str">
        <x:v>OK</x:v>
      </x:c>
      <x:c r="I138" s="69" t="str"/>
      <x:c r="J138" s="69" t="str">
        <x:v>7.29167|-75.06623</x:v>
      </x:c>
      <x:c r="K138" s="82" t="n">
        <x:v>0</x:v>
      </x:c>
    </x:row>
    <x:row r="139">
      <x:c r="A139" s="76" t="n">
        <x:v>139</x:v>
      </x:c>
      <x:c r="B139" s="69" t="str">
        <x:v>5.98799</x:v>
      </x:c>
      <x:c r="C139" s="69" t="str">
        <x:v>-74.92925</x:v>
      </x:c>
      <x:c r="D139" s="78" t="n">
        <x:v>5.98799</x:v>
      </x:c>
      <x:c r="E139" s="78" t="n">
        <x:v>-74.92925</x:v>
      </x:c>
      <x:c r="F139" s="69" t="str">
        <x:v>Texto→número</x:v>
      </x:c>
      <x:c r="G139" s="69" t="str">
        <x:v>Texto→número</x:v>
      </x:c>
      <x:c r="H139" s="80" t="str">
        <x:v>OK</x:v>
      </x:c>
      <x:c r="I139" s="69" t="str"/>
      <x:c r="J139" s="69" t="str">
        <x:v>5.98799|-74.92925</x:v>
      </x:c>
      <x:c r="K139" s="82" t="n">
        <x:v>0</x:v>
      </x:c>
    </x:row>
    <x:row r="140">
      <x:c r="A140" s="76" t="n">
        <x:v>140</x:v>
      </x:c>
      <x:c r="B140" s="69" t="str">
        <x:v>6.05</x:v>
      </x:c>
      <x:c r="C140" s="69" t="str">
        <x:v>-75</x:v>
      </x:c>
      <x:c r="D140" s="78" t="n">
        <x:v>6.05</x:v>
      </x:c>
      <x:c r="E140" s="78" t="n">
        <x:v>-75</x:v>
      </x:c>
      <x:c r="F140" s="69" t="str">
        <x:v>Texto→número</x:v>
      </x:c>
      <x:c r="G140" s="69" t="str">
        <x:v>Texto→número</x:v>
      </x:c>
      <x:c r="H140" s="80" t="str">
        <x:v>OK</x:v>
      </x:c>
      <x:c r="I140" s="69" t="str"/>
      <x:c r="J140" s="69" t="str">
        <x:v>6.05|-75</x:v>
      </x:c>
      <x:c r="K140" s="82" t="n">
        <x:v>0</x:v>
      </x:c>
    </x:row>
    <x:row r="141">
      <x:c r="A141" s="76" t="n">
        <x:v>141</x:v>
      </x:c>
      <x:c r="B141" s="69" t="str">
        <x:v>6.05</x:v>
      </x:c>
      <x:c r="C141" s="69" t="str">
        <x:v>-75</x:v>
      </x:c>
      <x:c r="D141" s="78" t="n">
        <x:v>6.05</x:v>
      </x:c>
      <x:c r="E141" s="78" t="n">
        <x:v>-75</x:v>
      </x:c>
      <x:c r="F141" s="69" t="str">
        <x:v>Texto→número</x:v>
      </x:c>
      <x:c r="G141" s="69" t="str">
        <x:v>Texto→número</x:v>
      </x:c>
      <x:c r="H141" s="80" t="str">
        <x:v>OK</x:v>
      </x:c>
      <x:c r="I141" s="69" t="str"/>
      <x:c r="J141" s="69"/>
      <x:c r="K141" s="82" t="n">
        <x:v>1</x:v>
      </x:c>
    </x:row>
    <x:row r="142">
      <x:c r="A142" s="76" t="n">
        <x:v>142</x:v>
      </x:c>
      <x:c r="B142" s="69" t="str">
        <x:v>7.2662778</x:v>
      </x:c>
      <x:c r="C142" s="69" t="str">
        <x:v>-75.0741667</x:v>
      </x:c>
      <x:c r="D142" s="78" t="n">
        <x:v>7.2662778</x:v>
      </x:c>
      <x:c r="E142" s="78" t="n">
        <x:v>-75.0741667</x:v>
      </x:c>
      <x:c r="F142" s="69" t="str">
        <x:v>Texto→número</x:v>
      </x:c>
      <x:c r="G142" s="69" t="str">
        <x:v>Texto→número</x:v>
      </x:c>
      <x:c r="H142" s="80" t="str">
        <x:v>OK</x:v>
      </x:c>
      <x:c r="I142" s="69" t="str"/>
      <x:c r="J142" s="69" t="str">
        <x:v>7.2662778|-75.0741667</x:v>
      </x:c>
      <x:c r="K142" s="82" t="n">
        <x:v>0</x:v>
      </x:c>
    </x:row>
    <x:row r="143">
      <x:c r="A143" s="76" t="n">
        <x:v>143</x:v>
      </x:c>
      <x:c r="B143" s="69" t="str">
        <x:v>7.2934722</x:v>
      </x:c>
      <x:c r="C143" s="69" t="str">
        <x:v>-75.0674722</x:v>
      </x:c>
      <x:c r="D143" s="78" t="n">
        <x:v>7.2934722</x:v>
      </x:c>
      <x:c r="E143" s="78" t="n">
        <x:v>-75.0674722</x:v>
      </x:c>
      <x:c r="F143" s="69" t="str">
        <x:v>Texto→número</x:v>
      </x:c>
      <x:c r="G143" s="69" t="str">
        <x:v>Texto→número</x:v>
      </x:c>
      <x:c r="H143" s="80" t="str">
        <x:v>OK</x:v>
      </x:c>
      <x:c r="I143" s="69" t="str"/>
      <x:c r="J143" s="69" t="str">
        <x:v>7.2934722|-75.0674722</x:v>
      </x:c>
      <x:c r="K143" s="82" t="n">
        <x:v>0</x:v>
      </x:c>
    </x:row>
    <x:row r="144">
      <x:c r="A144" s="76" t="n">
        <x:v>144</x:v>
      </x:c>
      <x:c r="B144" s="69" t="str">
        <x:v>7.2934722</x:v>
      </x:c>
      <x:c r="C144" s="69" t="str">
        <x:v>-75.0674722</x:v>
      </x:c>
      <x:c r="D144" s="78" t="n">
        <x:v>7.2934722</x:v>
      </x:c>
      <x:c r="E144" s="78" t="n">
        <x:v>-75.0674722</x:v>
      </x:c>
      <x:c r="F144" s="69" t="str">
        <x:v>Texto→número</x:v>
      </x:c>
      <x:c r="G144" s="69" t="str">
        <x:v>Texto→número</x:v>
      </x:c>
      <x:c r="H144" s="80" t="str">
        <x:v>OK</x:v>
      </x:c>
      <x:c r="I144" s="69" t="str"/>
      <x:c r="J144" s="69"/>
      <x:c r="K144" s="82" t="n">
        <x:v>1</x:v>
      </x:c>
    </x:row>
    <x:row r="145">
      <x:c r="A145" s="76" t="n">
        <x:v>145</x:v>
      </x:c>
      <x:c r="B145" s="69" t="str">
        <x:v>7.25460</x:v>
      </x:c>
      <x:c r="C145" s="69" t="str">
        <x:v>-75.04881</x:v>
      </x:c>
      <x:c r="D145" s="78" t="n">
        <x:v>7.2546</x:v>
      </x:c>
      <x:c r="E145" s="78" t="n">
        <x:v>-75.04881</x:v>
      </x:c>
      <x:c r="F145" s="69" t="str">
        <x:v>Texto→número</x:v>
      </x:c>
      <x:c r="G145" s="69" t="str">
        <x:v>Texto→número</x:v>
      </x:c>
      <x:c r="H145" s="80" t="str">
        <x:v>OK</x:v>
      </x:c>
      <x:c r="I145" s="69" t="str"/>
      <x:c r="J145" s="69" t="str">
        <x:v>7.2546|-75.04881</x:v>
      </x:c>
      <x:c r="K145" s="82" t="n">
        <x:v>0</x:v>
      </x:c>
    </x:row>
    <x:row r="146">
      <x:c r="A146" s="76" t="n">
        <x:v>146</x:v>
      </x:c>
      <x:c r="B146" s="69" t="str">
        <x:v>7.25460</x:v>
      </x:c>
      <x:c r="C146" s="69" t="str">
        <x:v>-75.04881</x:v>
      </x:c>
      <x:c r="D146" s="78" t="n">
        <x:v>7.2546</x:v>
      </x:c>
      <x:c r="E146" s="78" t="n">
        <x:v>-75.04881</x:v>
      </x:c>
      <x:c r="F146" s="69" t="str">
        <x:v>Texto→número</x:v>
      </x:c>
      <x:c r="G146" s="69" t="str">
        <x:v>Texto→número</x:v>
      </x:c>
      <x:c r="H146" s="80" t="str">
        <x:v>OK</x:v>
      </x:c>
      <x:c r="I146" s="69" t="str"/>
      <x:c r="J146" s="69"/>
      <x:c r="K146" s="82" t="n">
        <x:v>1</x:v>
      </x:c>
    </x:row>
    <x:row r="147">
      <x:c r="A147" s="76" t="n">
        <x:v>147</x:v>
      </x:c>
      <x:c r="B147" s="69" t="str">
        <x:v>7.2833889</x:v>
      </x:c>
      <x:c r="C147" s="69" t="str">
        <x:v>-75.05</x:v>
      </x:c>
      <x:c r="D147" s="78" t="n">
        <x:v>7.2833889</x:v>
      </x:c>
      <x:c r="E147" s="78" t="n">
        <x:v>-75.05</x:v>
      </x:c>
      <x:c r="F147" s="69" t="str">
        <x:v>Texto→número</x:v>
      </x:c>
      <x:c r="G147" s="69" t="str">
        <x:v>Texto→número</x:v>
      </x:c>
      <x:c r="H147" s="80" t="str">
        <x:v>OK</x:v>
      </x:c>
      <x:c r="I147" s="69" t="str"/>
      <x:c r="J147" s="69" t="str">
        <x:v>7.2833889|-75.05</x:v>
      </x:c>
      <x:c r="K147" s="82" t="n">
        <x:v>0</x:v>
      </x:c>
    </x:row>
    <x:row r="148">
      <x:c r="A148" s="76" t="n">
        <x:v>148</x:v>
      </x:c>
      <x:c r="B148" s="69" t="str">
        <x:v>5.90007</x:v>
      </x:c>
      <x:c r="C148" s="69" t="str">
        <x:v>-74.85718</x:v>
      </x:c>
      <x:c r="D148" s="78" t="n">
        <x:v>5.90007</x:v>
      </x:c>
      <x:c r="E148" s="78" t="n">
        <x:v>-74.85718</x:v>
      </x:c>
      <x:c r="F148" s="69" t="str">
        <x:v>Texto→número</x:v>
      </x:c>
      <x:c r="G148" s="69" t="str">
        <x:v>Texto→número</x:v>
      </x:c>
      <x:c r="H148" s="80" t="str">
        <x:v>OK</x:v>
      </x:c>
      <x:c r="I148" s="69" t="str"/>
      <x:c r="J148" s="69" t="str">
        <x:v>5.90007|-74.85718</x:v>
      </x:c>
      <x:c r="K148" s="82" t="n">
        <x:v>0</x:v>
      </x:c>
    </x:row>
    <x:row r="149">
      <x:c r="A149" s="76" t="n">
        <x:v>149</x:v>
      </x:c>
      <x:c r="B149" s="69" t="str">
        <x:v>0.72566</x:v>
      </x:c>
      <x:c r="C149" s="69" t="str">
        <x:v>-75.26382</x:v>
      </x:c>
      <x:c r="D149" s="78" t="n">
        <x:v>0.72566</x:v>
      </x:c>
      <x:c r="E149" s="78" t="n">
        <x:v>-75.26382</x:v>
      </x:c>
      <x:c r="F149" s="69" t="str">
        <x:v>Texto→número</x:v>
      </x:c>
      <x:c r="G149" s="69" t="str">
        <x:v>Texto→número</x:v>
      </x:c>
      <x:c r="H149" s="80" t="str">
        <x:v>OK</x:v>
      </x:c>
      <x:c r="I149" s="69" t="str"/>
      <x:c r="J149" s="69" t="str">
        <x:v>0.72566|-75.26382</x:v>
      </x:c>
      <x:c r="K149" s="82" t="n">
        <x:v>0</x:v>
      </x:c>
    </x:row>
    <x:row r="150">
      <x:c r="A150" s="76" t="n">
        <x:v>150</x:v>
      </x:c>
      <x:c r="B150" s="69" t="str">
        <x:v>11.10533</x:v>
      </x:c>
      <x:c r="C150" s="69" t="str">
        <x:v>-74.10126</x:v>
      </x:c>
      <x:c r="D150" s="78" t="n">
        <x:v>11.10533</x:v>
      </x:c>
      <x:c r="E150" s="78" t="n">
        <x:v>-74.10126</x:v>
      </x:c>
      <x:c r="F150" s="69" t="str">
        <x:v>Texto→número</x:v>
      </x:c>
      <x:c r="G150" s="69" t="str">
        <x:v>Texto→número</x:v>
      </x:c>
      <x:c r="H150" s="80" t="str">
        <x:v>OK</x:v>
      </x:c>
      <x:c r="I150" s="69" t="str"/>
      <x:c r="J150" s="69" t="str">
        <x:v>11.10533|-74.10126</x:v>
      </x:c>
      <x:c r="K150" s="82" t="n">
        <x:v>0</x:v>
      </x:c>
    </x:row>
    <x:row r="151">
      <x:c r="A151" s="76" t="n">
        <x:v>151</x:v>
      </x:c>
      <x:c r="B151" s="69" t="str">
        <x:v>11.10533</x:v>
      </x:c>
      <x:c r="C151" s="69" t="str">
        <x:v>-74.10126</x:v>
      </x:c>
      <x:c r="D151" s="78" t="n">
        <x:v>11.10533</x:v>
      </x:c>
      <x:c r="E151" s="78" t="n">
        <x:v>-74.10126</x:v>
      </x:c>
      <x:c r="F151" s="69" t="str">
        <x:v>Texto→número</x:v>
      </x:c>
      <x:c r="G151" s="69" t="str">
        <x:v>Texto→número</x:v>
      </x:c>
      <x:c r="H151" s="80" t="str">
        <x:v>OK</x:v>
      </x:c>
      <x:c r="I151" s="69" t="str"/>
      <x:c r="J151" s="69"/>
      <x:c r="K151" s="82" t="n">
        <x:v>1</x:v>
      </x:c>
    </x:row>
    <x:row r="152">
      <x:c r="A152" s="76" t="n">
        <x:v>152</x:v>
      </x:c>
      <x:c r="B152" s="69" t="str">
        <x:v>7.01107</x:v>
      </x:c>
      <x:c r="C152" s="69" t="str">
        <x:v>-72.12883</x:v>
      </x:c>
      <x:c r="D152" s="78" t="n">
        <x:v>7.01107</x:v>
      </x:c>
      <x:c r="E152" s="78" t="n">
        <x:v>-72.12883</x:v>
      </x:c>
      <x:c r="F152" s="69" t="str">
        <x:v>Texto→número</x:v>
      </x:c>
      <x:c r="G152" s="69" t="str">
        <x:v>Texto→número</x:v>
      </x:c>
      <x:c r="H152" s="80" t="str">
        <x:v>OK</x:v>
      </x:c>
      <x:c r="I152" s="69" t="str"/>
      <x:c r="J152" s="69" t="str">
        <x:v>7.01107|-72.12883</x:v>
      </x:c>
      <x:c r="K152" s="82" t="n">
        <x:v>0</x:v>
      </x:c>
    </x:row>
    <x:row r="153">
      <x:c r="A153" s="76" t="n">
        <x:v>153</x:v>
      </x:c>
      <x:c r="B153" s="69" t="str">
        <x:v>4.91813</x:v>
      </x:c>
      <x:c r="C153" s="69" t="str">
        <x:v>-74.41784</x:v>
      </x:c>
      <x:c r="D153" s="78" t="n">
        <x:v>4.91813</x:v>
      </x:c>
      <x:c r="E153" s="78" t="n">
        <x:v>-74.41784</x:v>
      </x:c>
      <x:c r="F153" s="69" t="str">
        <x:v>Texto→número</x:v>
      </x:c>
      <x:c r="G153" s="69" t="str">
        <x:v>Texto→número</x:v>
      </x:c>
      <x:c r="H153" s="80" t="str">
        <x:v>OK</x:v>
      </x:c>
      <x:c r="I153" s="69" t="str"/>
      <x:c r="J153" s="69" t="str">
        <x:v>4.91813|-74.41784</x:v>
      </x:c>
      <x:c r="K153" s="82" t="n">
        <x:v>0</x:v>
      </x:c>
    </x:row>
    <x:row r="154">
      <x:c r="A154" s="76" t="n">
        <x:v>154</x:v>
      </x:c>
      <x:c r="B154" s="69" t="str">
        <x:v>4.1569</x:v>
      </x:c>
      <x:c r="C154" s="69" t="str">
        <x:v>-77.13704</x:v>
      </x:c>
      <x:c r="D154" s="78" t="n">
        <x:v>4.1569</x:v>
      </x:c>
      <x:c r="E154" s="78" t="n">
        <x:v>-77.13704</x:v>
      </x:c>
      <x:c r="F154" s="69" t="str">
        <x:v>Texto→número</x:v>
      </x:c>
      <x:c r="G154" s="69" t="str">
        <x:v>Texto→número</x:v>
      </x:c>
      <x:c r="H154" s="80" t="str">
        <x:v>OK</x:v>
      </x:c>
      <x:c r="I154" s="69" t="str"/>
      <x:c r="J154" s="69" t="str">
        <x:v>4.1569|-77.13704</x:v>
      </x:c>
      <x:c r="K154" s="82" t="n">
        <x:v>0</x:v>
      </x:c>
    </x:row>
    <x:row r="155">
      <x:c r="A155" s="76" t="n">
        <x:v>155</x:v>
      </x:c>
      <x:c r="B155" s="69" t="str">
        <x:v>1.73467</x:v>
      </x:c>
      <x:c r="C155" s="69" t="str">
        <x:v>-76.00001</x:v>
      </x:c>
      <x:c r="D155" s="78" t="n">
        <x:v>1.73467</x:v>
      </x:c>
      <x:c r="E155" s="78" t="n">
        <x:v>-76.00001</x:v>
      </x:c>
      <x:c r="F155" s="69" t="str">
        <x:v>Texto→número</x:v>
      </x:c>
      <x:c r="G155" s="69" t="str">
        <x:v>Texto→número</x:v>
      </x:c>
      <x:c r="H155" s="80" t="str">
        <x:v>OK</x:v>
      </x:c>
      <x:c r="I155" s="69" t="str"/>
      <x:c r="J155" s="69" t="str">
        <x:v>1.73467|-76.00001</x:v>
      </x:c>
      <x:c r="K155" s="82" t="n">
        <x:v>0</x:v>
      </x:c>
    </x:row>
    <x:row r="156">
      <x:c r="A156" s="76" t="n">
        <x:v>156</x:v>
      </x:c>
      <x:c r="B156" s="69" t="str">
        <x:v>4.57909</x:v>
      </x:c>
      <x:c r="C156" s="69" t="str">
        <x:v>-73.36074</x:v>
      </x:c>
      <x:c r="D156" s="78" t="n">
        <x:v>4.57909</x:v>
      </x:c>
      <x:c r="E156" s="78" t="n">
        <x:v>-73.36074</x:v>
      </x:c>
      <x:c r="F156" s="69" t="str">
        <x:v>Texto→número</x:v>
      </x:c>
      <x:c r="G156" s="69" t="str">
        <x:v>Texto→número</x:v>
      </x:c>
      <x:c r="H156" s="80" t="str">
        <x:v>OK</x:v>
      </x:c>
      <x:c r="I156" s="69" t="str"/>
      <x:c r="J156" s="69" t="str">
        <x:v>4.57909|-73.36074</x:v>
      </x:c>
      <x:c r="K156" s="82" t="n">
        <x:v>0</x:v>
      </x:c>
    </x:row>
    <x:row r="157">
      <x:c r="A157" s="76" t="n">
        <x:v>157</x:v>
      </x:c>
      <x:c r="B157" s="69" t="str">
        <x:v>3.58688</x:v>
      </x:c>
      <x:c r="C157" s="69" t="str">
        <x:v>-76.78254</x:v>
      </x:c>
      <x:c r="D157" s="78" t="n">
        <x:v>3.58688</x:v>
      </x:c>
      <x:c r="E157" s="78" t="n">
        <x:v>-76.78254</x:v>
      </x:c>
      <x:c r="F157" s="69" t="str">
        <x:v>Texto→número</x:v>
      </x:c>
      <x:c r="G157" s="69" t="str">
        <x:v>Texto→número</x:v>
      </x:c>
      <x:c r="H157" s="80" t="str">
        <x:v>OK</x:v>
      </x:c>
      <x:c r="I157" s="69" t="str"/>
      <x:c r="J157" s="69" t="str">
        <x:v>3.58688|-76.78254</x:v>
      </x:c>
      <x:c r="K157" s="82" t="n">
        <x:v>0</x:v>
      </x:c>
    </x:row>
    <x:row r="158">
      <x:c r="A158" s="76" t="n">
        <x:v>158</x:v>
      </x:c>
      <x:c r="B158" s="69" t="str">
        <x:v>6.74418</x:v>
      </x:c>
      <x:c r="C158" s="69" t="str">
        <x:v>-76.36816</x:v>
      </x:c>
      <x:c r="D158" s="78" t="n">
        <x:v>6.74418</x:v>
      </x:c>
      <x:c r="E158" s="78" t="n">
        <x:v>-76.36816</x:v>
      </x:c>
      <x:c r="F158" s="69" t="str">
        <x:v>Texto→número</x:v>
      </x:c>
      <x:c r="G158" s="69" t="str">
        <x:v>Texto→número</x:v>
      </x:c>
      <x:c r="H158" s="80" t="str">
        <x:v>OK</x:v>
      </x:c>
      <x:c r="I158" s="69" t="str"/>
      <x:c r="J158" s="69" t="str">
        <x:v>6.74418|-76.36816</x:v>
      </x:c>
      <x:c r="K158" s="82" t="n">
        <x:v>0</x:v>
      </x:c>
    </x:row>
    <x:row r="159">
      <x:c r="A159" s="76" t="n">
        <x:v>159</x:v>
      </x:c>
      <x:c r="B159" s="69" t="str">
        <x:v>1.20902</x:v>
      </x:c>
      <x:c r="C159" s="69" t="str">
        <x:v>-76.52748</x:v>
      </x:c>
      <x:c r="D159" s="78" t="n">
        <x:v>1.20902</x:v>
      </x:c>
      <x:c r="E159" s="78" t="n">
        <x:v>-76.52748</x:v>
      </x:c>
      <x:c r="F159" s="69" t="str">
        <x:v>Texto→número</x:v>
      </x:c>
      <x:c r="G159" s="69" t="str">
        <x:v>Texto→número</x:v>
      </x:c>
      <x:c r="H159" s="80" t="str">
        <x:v>OK</x:v>
      </x:c>
      <x:c r="I159" s="69" t="str"/>
      <x:c r="J159" s="69" t="str">
        <x:v>1.20902|-76.52748</x:v>
      </x:c>
      <x:c r="K159" s="82" t="n">
        <x:v>0</x:v>
      </x:c>
    </x:row>
    <x:row r="160">
      <x:c r="A160" s="76" t="n">
        <x:v>160</x:v>
      </x:c>
      <x:c r="B160" s="69" t="str">
        <x:v>4.8692722</x:v>
      </x:c>
      <x:c r="C160" s="69" t="str">
        <x:v>-76.2506472</x:v>
      </x:c>
      <x:c r="D160" s="78" t="n">
        <x:v>4.8692722</x:v>
      </x:c>
      <x:c r="E160" s="78" t="n">
        <x:v>-76.2506472</x:v>
      </x:c>
      <x:c r="F160" s="69" t="str">
        <x:v>Texto→número</x:v>
      </x:c>
      <x:c r="G160" s="69" t="str">
        <x:v>Texto→número</x:v>
      </x:c>
      <x:c r="H160" s="80" t="str">
        <x:v>OK</x:v>
      </x:c>
      <x:c r="I160" s="69" t="str"/>
      <x:c r="J160" s="69" t="str">
        <x:v>4.8692722|-76.2506472</x:v>
      </x:c>
      <x:c r="K160" s="82" t="n">
        <x:v>0</x:v>
      </x:c>
    </x:row>
    <x:row r="161">
      <x:c r="A161" s="76" t="n">
        <x:v>161</x:v>
      </x:c>
      <x:c r="B161" s="69" t="str">
        <x:v>6.13166</x:v>
      </x:c>
      <x:c r="C161" s="69" t="str">
        <x:v>-77.30382</x:v>
      </x:c>
      <x:c r="D161" s="78" t="n">
        <x:v>6.13166</x:v>
      </x:c>
      <x:c r="E161" s="78" t="n">
        <x:v>-77.30382</x:v>
      </x:c>
      <x:c r="F161" s="69" t="str">
        <x:v>Texto→número</x:v>
      </x:c>
      <x:c r="G161" s="69" t="str">
        <x:v>Texto→número</x:v>
      </x:c>
      <x:c r="H161" s="80" t="str">
        <x:v>OK</x:v>
      </x:c>
      <x:c r="I161" s="69" t="str"/>
      <x:c r="J161" s="69" t="str">
        <x:v>6.13166|-77.30382</x:v>
      </x:c>
      <x:c r="K161" s="82" t="n">
        <x:v>0</x:v>
      </x:c>
    </x:row>
    <x:row r="162">
      <x:c r="A162" s="76" t="n">
        <x:v>162</x:v>
      </x:c>
      <x:c r="B162" s="69" t="str">
        <x:v>3.06074</x:v>
      </x:c>
      <x:c r="C162" s="69" t="str">
        <x:v>-74.46275</x:v>
      </x:c>
      <x:c r="D162" s="78" t="n">
        <x:v>3.06074</x:v>
      </x:c>
      <x:c r="E162" s="78" t="n">
        <x:v>-74.46275</x:v>
      </x:c>
      <x:c r="F162" s="69" t="str">
        <x:v>Texto→número</x:v>
      </x:c>
      <x:c r="G162" s="69" t="str">
        <x:v>Texto→número</x:v>
      </x:c>
      <x:c r="H162" s="80" t="str">
        <x:v>OK</x:v>
      </x:c>
      <x:c r="I162" s="69" t="str"/>
      <x:c r="J162" s="69" t="str">
        <x:v>3.06074|-74.46275</x:v>
      </x:c>
      <x:c r="K162" s="82" t="n">
        <x:v>0</x:v>
      </x:c>
    </x:row>
    <x:row r="163">
      <x:c r="A163" s="76" t="n">
        <x:v>163</x:v>
      </x:c>
      <x:c r="B163" s="69" t="str">
        <x:v>2.29504</x:v>
      </x:c>
      <x:c r="C163" s="69" t="str">
        <x:v>-73.88051</x:v>
      </x:c>
      <x:c r="D163" s="78" t="n">
        <x:v>2.29504</x:v>
      </x:c>
      <x:c r="E163" s="78" t="n">
        <x:v>-73.88051</x:v>
      </x:c>
      <x:c r="F163" s="69" t="str">
        <x:v>Texto→número</x:v>
      </x:c>
      <x:c r="G163" s="69" t="str">
        <x:v>Texto→número</x:v>
      </x:c>
      <x:c r="H163" s="80" t="str">
        <x:v>OK</x:v>
      </x:c>
      <x:c r="I163" s="69" t="str"/>
      <x:c r="J163" s="69" t="str">
        <x:v>2.29504|-73.88051</x:v>
      </x:c>
      <x:c r="K163" s="82" t="n">
        <x:v>0</x:v>
      </x:c>
    </x:row>
    <x:row r="164">
      <x:c r="A164" s="76" t="n">
        <x:v>164</x:v>
      </x:c>
      <x:c r="B164" s="69" t="str">
        <x:v>2.29504</x:v>
      </x:c>
      <x:c r="C164" s="69" t="str">
        <x:v>-73.88051</x:v>
      </x:c>
      <x:c r="D164" s="78" t="n">
        <x:v>2.29504</x:v>
      </x:c>
      <x:c r="E164" s="78" t="n">
        <x:v>-73.88051</x:v>
      </x:c>
      <x:c r="F164" s="69" t="str">
        <x:v>Texto→número</x:v>
      </x:c>
      <x:c r="G164" s="69" t="str">
        <x:v>Texto→número</x:v>
      </x:c>
      <x:c r="H164" s="80" t="str">
        <x:v>OK</x:v>
      </x:c>
      <x:c r="I164" s="69" t="str"/>
      <x:c r="J164" s="69"/>
      <x:c r="K164" s="82" t="n">
        <x:v>1</x:v>
      </x:c>
    </x:row>
    <x:row r="165">
      <x:c r="A165" s="76" t="n">
        <x:v>165</x:v>
      </x:c>
      <x:c r="B165" s="69" t="str">
        <x:v>6.6869444</x:v>
      </x:c>
      <x:c r="C165" s="69" t="str">
        <x:v>-73.4371944</x:v>
      </x:c>
      <x:c r="D165" s="78" t="n">
        <x:v>6.6869444</x:v>
      </x:c>
      <x:c r="E165" s="78" t="n">
        <x:v>-73.4371944</x:v>
      </x:c>
      <x:c r="F165" s="69" t="str">
        <x:v>Texto→número</x:v>
      </x:c>
      <x:c r="G165" s="69" t="str">
        <x:v>Texto→número</x:v>
      </x:c>
      <x:c r="H165" s="80" t="str">
        <x:v>OK</x:v>
      </x:c>
      <x:c r="I165" s="69" t="str"/>
      <x:c r="J165" s="69" t="str">
        <x:v>6.6869444|-73.4371944</x:v>
      </x:c>
      <x:c r="K165" s="82" t="n">
        <x:v>0</x:v>
      </x:c>
    </x:row>
    <x:row r="166">
      <x:c r="A166" s="76" t="n">
        <x:v>166</x:v>
      </x:c>
      <x:c r="B166" s="69" t="str">
        <x:v>6.5866</x:v>
      </x:c>
      <x:c r="C166" s="69" t="str">
        <x:v>-73.5182</x:v>
      </x:c>
      <x:c r="D166" s="78" t="n">
        <x:v>6.5866</x:v>
      </x:c>
      <x:c r="E166" s="78" t="n">
        <x:v>-73.5182</x:v>
      </x:c>
      <x:c r="F166" s="69" t="str">
        <x:v>Texto→número</x:v>
      </x:c>
      <x:c r="G166" s="69" t="str">
        <x:v>Texto→número</x:v>
      </x:c>
      <x:c r="H166" s="80" t="str">
        <x:v>OK</x:v>
      </x:c>
      <x:c r="I166" s="69" t="str"/>
      <x:c r="J166" s="69" t="str">
        <x:v>6.5866|-73.5182</x:v>
      </x:c>
      <x:c r="K166" s="82" t="n">
        <x:v>0</x:v>
      </x:c>
    </x:row>
    <x:row r="167">
      <x:c r="A167" s="76" t="n">
        <x:v>167</x:v>
      </x:c>
      <x:c r="B167" s="69" t="str">
        <x:v>6.7383333</x:v>
      </x:c>
      <x:c r="C167" s="69" t="str">
        <x:v>-73.4279722</x:v>
      </x:c>
      <x:c r="D167" s="78" t="n">
        <x:v>6.7383333</x:v>
      </x:c>
      <x:c r="E167" s="78" t="n">
        <x:v>-73.4279722</x:v>
      </x:c>
      <x:c r="F167" s="69" t="str">
        <x:v>Texto→número</x:v>
      </x:c>
      <x:c r="G167" s="69" t="str">
        <x:v>Texto→número</x:v>
      </x:c>
      <x:c r="H167" s="80" t="str">
        <x:v>OK</x:v>
      </x:c>
      <x:c r="I167" s="69" t="str"/>
      <x:c r="J167" s="69" t="str">
        <x:v>6.7383333|-73.4279722</x:v>
      </x:c>
      <x:c r="K167" s="82" t="n">
        <x:v>0</x:v>
      </x:c>
    </x:row>
    <x:row r="168">
      <x:c r="A168" s="76" t="n">
        <x:v>168</x:v>
      </x:c>
      <x:c r="B168" s="69" t="str">
        <x:v>0.83831</x:v>
      </x:c>
      <x:c r="C168" s="69" t="str">
        <x:v>-77.61692</x:v>
      </x:c>
      <x:c r="D168" s="78" t="n">
        <x:v>0.83831</x:v>
      </x:c>
      <x:c r="E168" s="78" t="n">
        <x:v>-77.61692</x:v>
      </x:c>
      <x:c r="F168" s="69" t="str">
        <x:v>Texto→número</x:v>
      </x:c>
      <x:c r="G168" s="69" t="str">
        <x:v>Texto→número</x:v>
      </x:c>
      <x:c r="H168" s="80" t="str">
        <x:v>OK</x:v>
      </x:c>
      <x:c r="I168" s="69" t="str"/>
      <x:c r="J168" s="69" t="str">
        <x:v>0.83831|-77.61692</x:v>
      </x:c>
      <x:c r="K168" s="82" t="n">
        <x:v>0</x:v>
      </x:c>
    </x:row>
    <x:row r="169">
      <x:c r="A169" s="76" t="n">
        <x:v>169</x:v>
      </x:c>
      <x:c r="B169" s="69" t="str">
        <x:v>4.78131</x:v>
      </x:c>
      <x:c r="C169" s="69" t="str">
        <x:v>-76.49498</x:v>
      </x:c>
      <x:c r="D169" s="78" t="n">
        <x:v>4.78131</x:v>
      </x:c>
      <x:c r="E169" s="78" t="n">
        <x:v>-76.49498</x:v>
      </x:c>
      <x:c r="F169" s="69" t="str">
        <x:v>Texto→número</x:v>
      </x:c>
      <x:c r="G169" s="69" t="str">
        <x:v>Texto→número</x:v>
      </x:c>
      <x:c r="H169" s="80" t="str">
        <x:v>OK</x:v>
      </x:c>
      <x:c r="I169" s="69" t="str"/>
      <x:c r="J169" s="69" t="str">
        <x:v>4.78131|-76.49498</x:v>
      </x:c>
      <x:c r="K169" s="82" t="n">
        <x:v>0</x:v>
      </x:c>
    </x:row>
    <x:row r="170">
      <x:c r="A170" s="76" t="n">
        <x:v>170</x:v>
      </x:c>
      <x:c r="B170" s="69" t="str">
        <x:v>4.78131</x:v>
      </x:c>
      <x:c r="C170" s="69" t="str">
        <x:v>-76.49498</x:v>
      </x:c>
      <x:c r="D170" s="78" t="n">
        <x:v>4.78131</x:v>
      </x:c>
      <x:c r="E170" s="78" t="n">
        <x:v>-76.49498</x:v>
      </x:c>
      <x:c r="F170" s="69" t="str">
        <x:v>Texto→número</x:v>
      </x:c>
      <x:c r="G170" s="69" t="str">
        <x:v>Texto→número</x:v>
      </x:c>
      <x:c r="H170" s="80" t="str">
        <x:v>OK</x:v>
      </x:c>
      <x:c r="I170" s="69" t="str"/>
      <x:c r="J170" s="69"/>
      <x:c r="K170" s="82" t="n">
        <x:v>1</x:v>
      </x:c>
    </x:row>
    <x:row r="171">
      <x:c r="A171" s="76" t="n">
        <x:v>171</x:v>
      </x:c>
      <x:c r="B171" s="69" t="str">
        <x:v>1.1716667</x:v>
      </x:c>
      <x:c r="C171" s="69" t="str">
        <x:v>-78.0025</x:v>
      </x:c>
      <x:c r="D171" s="78" t="n">
        <x:v>1.1716667</x:v>
      </x:c>
      <x:c r="E171" s="78" t="n">
        <x:v>-78.0025</x:v>
      </x:c>
      <x:c r="F171" s="69" t="str">
        <x:v>Texto→número</x:v>
      </x:c>
      <x:c r="G171" s="69" t="str">
        <x:v>Texto→número</x:v>
      </x:c>
      <x:c r="H171" s="80" t="str">
        <x:v>OK</x:v>
      </x:c>
      <x:c r="I171" s="69" t="str"/>
      <x:c r="J171" s="69" t="str">
        <x:v>1.1716667|-78.0025</x:v>
      </x:c>
      <x:c r="K171" s="82" t="n">
        <x:v>0</x:v>
      </x:c>
    </x:row>
    <x:row r="172">
      <x:c r="A172" s="76" t="n">
        <x:v>172</x:v>
      </x:c>
      <x:c r="B172" s="69" t="str">
        <x:v>1.1716667</x:v>
      </x:c>
      <x:c r="C172" s="69" t="str">
        <x:v>-78.0025</x:v>
      </x:c>
      <x:c r="D172" s="78" t="n">
        <x:v>1.1716667</x:v>
      </x:c>
      <x:c r="E172" s="78" t="n">
        <x:v>-78.0025</x:v>
      </x:c>
      <x:c r="F172" s="69" t="str">
        <x:v>Texto→número</x:v>
      </x:c>
      <x:c r="G172" s="69" t="str">
        <x:v>Texto→número</x:v>
      </x:c>
      <x:c r="H172" s="80" t="str">
        <x:v>OK</x:v>
      </x:c>
      <x:c r="I172" s="69" t="str"/>
      <x:c r="J172" s="69"/>
      <x:c r="K172" s="82" t="n">
        <x:v>1</x:v>
      </x:c>
    </x:row>
    <x:row r="173">
      <x:c r="A173" s="76" t="n">
        <x:v>173</x:v>
      </x:c>
      <x:c r="B173" s="69" t="str">
        <x:v>6.54619</x:v>
      </x:c>
      <x:c r="C173" s="69" t="str">
        <x:v>-75.2327</x:v>
      </x:c>
      <x:c r="D173" s="78" t="n">
        <x:v>6.54619</x:v>
      </x:c>
      <x:c r="E173" s="78" t="n">
        <x:v>-75.2327</x:v>
      </x:c>
      <x:c r="F173" s="69" t="str">
        <x:v>Texto→número</x:v>
      </x:c>
      <x:c r="G173" s="69" t="str">
        <x:v>Texto→número</x:v>
      </x:c>
      <x:c r="H173" s="80" t="str">
        <x:v>OK</x:v>
      </x:c>
      <x:c r="I173" s="69" t="str"/>
      <x:c r="J173" s="69" t="str">
        <x:v>6.54619|-75.2327</x:v>
      </x:c>
      <x:c r="K173" s="82" t="n">
        <x:v>0</x:v>
      </x:c>
    </x:row>
    <x:row r="174">
      <x:c r="A174" s="76" t="n">
        <x:v>174</x:v>
      </x:c>
      <x:c r="B174" s="69" t="str">
        <x:v>6.54619</x:v>
      </x:c>
      <x:c r="C174" s="69" t="str">
        <x:v>-75.2327</x:v>
      </x:c>
      <x:c r="D174" s="78" t="n">
        <x:v>6.54619</x:v>
      </x:c>
      <x:c r="E174" s="78" t="n">
        <x:v>-75.2327</x:v>
      </x:c>
      <x:c r="F174" s="69" t="str">
        <x:v>Texto→número</x:v>
      </x:c>
      <x:c r="G174" s="69" t="str">
        <x:v>Texto→número</x:v>
      </x:c>
      <x:c r="H174" s="80" t="str">
        <x:v>OK</x:v>
      </x:c>
      <x:c r="I174" s="69" t="str"/>
      <x:c r="J174" s="69"/>
      <x:c r="K174" s="82" t="n">
        <x:v>1</x:v>
      </x:c>
    </x:row>
    <x:row r="175">
      <x:c r="A175" s="76" t="n">
        <x:v>175</x:v>
      </x:c>
      <x:c r="B175" s="69" t="str">
        <x:v>6.0333333</x:v>
      </x:c>
      <x:c r="C175" s="69" t="str">
        <x:v>-75.1333333</x:v>
      </x:c>
      <x:c r="D175" s="78" t="n">
        <x:v>6.0333333</x:v>
      </x:c>
      <x:c r="E175" s="78" t="n">
        <x:v>-75.1333333</x:v>
      </x:c>
      <x:c r="F175" s="69" t="str">
        <x:v>Texto→número</x:v>
      </x:c>
      <x:c r="G175" s="69" t="str">
        <x:v>Texto→número</x:v>
      </x:c>
      <x:c r="H175" s="80" t="str">
        <x:v>OK</x:v>
      </x:c>
      <x:c r="I175" s="69" t="str"/>
      <x:c r="J175" s="69" t="str">
        <x:v>6.0333333|-75.1333333</x:v>
      </x:c>
      <x:c r="K175" s="82" t="n">
        <x:v>0</x:v>
      </x:c>
    </x:row>
    <x:row r="176">
      <x:c r="A176" s="76" t="n">
        <x:v>176</x:v>
      </x:c>
      <x:c r="B176" s="69" t="str">
        <x:v>6.53815</x:v>
      </x:c>
      <x:c r="C176" s="69" t="str">
        <x:v>-76.3222</x:v>
      </x:c>
      <x:c r="D176" s="78" t="n">
        <x:v>6.53815</x:v>
      </x:c>
      <x:c r="E176" s="78" t="n">
        <x:v>-76.3222</x:v>
      </x:c>
      <x:c r="F176" s="69" t="str">
        <x:v>Texto→número</x:v>
      </x:c>
      <x:c r="G176" s="69" t="str">
        <x:v>Texto→número</x:v>
      </x:c>
      <x:c r="H176" s="80" t="str">
        <x:v>OK</x:v>
      </x:c>
      <x:c r="I176" s="69" t="str"/>
      <x:c r="J176" s="69" t="str">
        <x:v>6.53815|-76.3222</x:v>
      </x:c>
      <x:c r="K176" s="82" t="n">
        <x:v>0</x:v>
      </x:c>
    </x:row>
    <x:row r="177">
      <x:c r="A177" s="76" t="n">
        <x:v>177</x:v>
      </x:c>
      <x:c r="B177" s="69" t="str">
        <x:v>6.53815</x:v>
      </x:c>
      <x:c r="C177" s="69" t="str">
        <x:v>-76.3222</x:v>
      </x:c>
      <x:c r="D177" s="78" t="n">
        <x:v>6.53815</x:v>
      </x:c>
      <x:c r="E177" s="78" t="n">
        <x:v>-76.3222</x:v>
      </x:c>
      <x:c r="F177" s="69" t="str">
        <x:v>Texto→número</x:v>
      </x:c>
      <x:c r="G177" s="69" t="str">
        <x:v>Texto→número</x:v>
      </x:c>
      <x:c r="H177" s="80" t="str">
        <x:v>OK</x:v>
      </x:c>
      <x:c r="I177" s="69" t="str"/>
      <x:c r="J177" s="69"/>
      <x:c r="K177" s="82" t="n">
        <x:v>1</x:v>
      </x:c>
    </x:row>
    <x:row r="178">
      <x:c r="A178" s="76" t="n">
        <x:v>178</x:v>
      </x:c>
      <x:c r="B178" s="69" t="str">
        <x:v>5.5751167</x:v>
      </x:c>
      <x:c r="C178" s="69" t="str">
        <x:v>-74.8901833</x:v>
      </x:c>
      <x:c r="D178" s="78" t="n">
        <x:v>5.5751167</x:v>
      </x:c>
      <x:c r="E178" s="78" t="n">
        <x:v>-74.8901833</x:v>
      </x:c>
      <x:c r="F178" s="69" t="str">
        <x:v>Texto→número</x:v>
      </x:c>
      <x:c r="G178" s="69" t="str">
        <x:v>Texto→número</x:v>
      </x:c>
      <x:c r="H178" s="80" t="str">
        <x:v>OK</x:v>
      </x:c>
      <x:c r="I178" s="69" t="str"/>
      <x:c r="J178" s="69" t="str">
        <x:v>5.5751167|-74.8901833</x:v>
      </x:c>
      <x:c r="K178" s="82" t="n">
        <x:v>0</x:v>
      </x:c>
    </x:row>
    <x:row r="179">
      <x:c r="A179" s="76" t="n">
        <x:v>179</x:v>
      </x:c>
      <x:c r="B179" s="69" t="str">
        <x:v>5.0588889</x:v>
      </x:c>
      <x:c r="C179" s="69" t="str">
        <x:v>-75.7354444</x:v>
      </x:c>
      <x:c r="D179" s="78" t="n">
        <x:v>5.0588889</x:v>
      </x:c>
      <x:c r="E179" s="78" t="n">
        <x:v>-75.7354444</x:v>
      </x:c>
      <x:c r="F179" s="69" t="str">
        <x:v>Texto→número</x:v>
      </x:c>
      <x:c r="G179" s="69" t="str">
        <x:v>Texto→número</x:v>
      </x:c>
      <x:c r="H179" s="80" t="str">
        <x:v>OK</x:v>
      </x:c>
      <x:c r="I179" s="69" t="str"/>
      <x:c r="J179" s="69" t="str">
        <x:v>5.0588889|-75.7354444</x:v>
      </x:c>
      <x:c r="K179" s="82" t="n">
        <x:v>0</x:v>
      </x:c>
    </x:row>
    <x:row r="180">
      <x:c r="A180" s="76" t="n">
        <x:v>180</x:v>
      </x:c>
      <x:c r="B180" s="69" t="str">
        <x:v>1.2331444</x:v>
      </x:c>
      <x:c r="C180" s="69" t="str">
        <x:v>-76.5328444</x:v>
      </x:c>
      <x:c r="D180" s="78" t="n">
        <x:v>1.2331444</x:v>
      </x:c>
      <x:c r="E180" s="78" t="n">
        <x:v>-76.5328444</x:v>
      </x:c>
      <x:c r="F180" s="69" t="str">
        <x:v>Texto→número</x:v>
      </x:c>
      <x:c r="G180" s="69" t="str">
        <x:v>Texto→número</x:v>
      </x:c>
      <x:c r="H180" s="80" t="str">
        <x:v>OK</x:v>
      </x:c>
      <x:c r="I180" s="69" t="str"/>
      <x:c r="J180" s="69" t="str">
        <x:v>1.2331444|-76.5328444</x:v>
      </x:c>
      <x:c r="K180" s="82" t="n">
        <x:v>0</x:v>
      </x:c>
    </x:row>
    <x:row r="181">
      <x:c r="A181" s="76" t="n">
        <x:v>181</x:v>
      </x:c>
      <x:c r="B181" s="69" t="str">
        <x:v>2.51058</x:v>
      </x:c>
      <x:c r="C181" s="69" t="str">
        <x:v>-76.98421</x:v>
      </x:c>
      <x:c r="D181" s="78" t="n">
        <x:v>2.51058</x:v>
      </x:c>
      <x:c r="E181" s="78" t="n">
        <x:v>-76.98421</x:v>
      </x:c>
      <x:c r="F181" s="69" t="str">
        <x:v>Texto→número</x:v>
      </x:c>
      <x:c r="G181" s="69" t="str">
        <x:v>Texto→número</x:v>
      </x:c>
      <x:c r="H181" s="80" t="str">
        <x:v>OK</x:v>
      </x:c>
      <x:c r="I181" s="69" t="str"/>
      <x:c r="J181" s="69"/>
      <x:c r="K181" s="82" t="n">
        <x:v>1</x:v>
      </x:c>
    </x:row>
    <x:row r="182">
      <x:c r="A182" s="76" t="n">
        <x:v>182</x:v>
      </x:c>
      <x:c r="B182" s="69" t="str">
        <x:v>4.8692722</x:v>
      </x:c>
      <x:c r="C182" s="69" t="str">
        <x:v>-76.2506472</x:v>
      </x:c>
      <x:c r="D182" s="78" t="n">
        <x:v>4.8692722</x:v>
      </x:c>
      <x:c r="E182" s="78" t="n">
        <x:v>-76.2506472</x:v>
      </x:c>
      <x:c r="F182" s="69" t="str">
        <x:v>Texto→número</x:v>
      </x:c>
      <x:c r="G182" s="69" t="str">
        <x:v>Texto→número</x:v>
      </x:c>
      <x:c r="H182" s="80" t="str">
        <x:v>OK</x:v>
      </x:c>
      <x:c r="I182" s="69" t="str"/>
      <x:c r="J182" s="69"/>
      <x:c r="K182" s="82" t="n">
        <x:v>1</x:v>
      </x:c>
    </x:row>
    <x:row r="183">
      <x:c r="A183" s="76" t="n">
        <x:v>183</x:v>
      </x:c>
      <x:c r="B183" s="69" t="str">
        <x:v>4.8692722</x:v>
      </x:c>
      <x:c r="C183" s="69" t="str">
        <x:v>-76.2506472</x:v>
      </x:c>
      <x:c r="D183" s="78" t="n">
        <x:v>4.8692722</x:v>
      </x:c>
      <x:c r="E183" s="78" t="n">
        <x:v>-76.2506472</x:v>
      </x:c>
      <x:c r="F183" s="69" t="str">
        <x:v>Texto→número</x:v>
      </x:c>
      <x:c r="G183" s="69" t="str">
        <x:v>Texto→número</x:v>
      </x:c>
      <x:c r="H183" s="80" t="str">
        <x:v>OK</x:v>
      </x:c>
      <x:c r="I183" s="69" t="str"/>
      <x:c r="J183" s="69"/>
      <x:c r="K183" s="82" t="n">
        <x:v>1</x:v>
      </x:c>
    </x:row>
    <x:row r="184">
      <x:c r="A184" s="76" t="n">
        <x:v>184</x:v>
      </x:c>
      <x:c r="B184" s="69" t="str">
        <x:v>4.8692722</x:v>
      </x:c>
      <x:c r="C184" s="69" t="str">
        <x:v>-76.2506472</x:v>
      </x:c>
      <x:c r="D184" s="78" t="n">
        <x:v>4.8692722</x:v>
      </x:c>
      <x:c r="E184" s="78" t="n">
        <x:v>-76.2506472</x:v>
      </x:c>
      <x:c r="F184" s="69" t="str">
        <x:v>Texto→número</x:v>
      </x:c>
      <x:c r="G184" s="69" t="str">
        <x:v>Texto→número</x:v>
      </x:c>
      <x:c r="H184" s="80" t="str">
        <x:v>OK</x:v>
      </x:c>
      <x:c r="I184" s="69" t="str"/>
      <x:c r="J184" s="69"/>
      <x:c r="K184" s="82" t="n">
        <x:v>1</x:v>
      </x:c>
    </x:row>
    <x:row r="185">
      <x:c r="A185" s="76" t="n">
        <x:v>185</x:v>
      </x:c>
      <x:c r="B185" s="69" t="str">
        <x:v>4.1569</x:v>
      </x:c>
      <x:c r="C185" s="69" t="str">
        <x:v>-77.13704</x:v>
      </x:c>
      <x:c r="D185" s="78" t="n">
        <x:v>4.1569</x:v>
      </x:c>
      <x:c r="E185" s="78" t="n">
        <x:v>-77.13704</x:v>
      </x:c>
      <x:c r="F185" s="69" t="str">
        <x:v>Texto→número</x:v>
      </x:c>
      <x:c r="G185" s="69" t="str">
        <x:v>Texto→número</x:v>
      </x:c>
      <x:c r="H185" s="80" t="str">
        <x:v>OK</x:v>
      </x:c>
      <x:c r="I185" s="69" t="str"/>
      <x:c r="J185" s="69"/>
      <x:c r="K185" s="82" t="n">
        <x:v>1</x:v>
      </x:c>
    </x:row>
    <x:row r="186">
      <x:c r="A186" s="76" t="n">
        <x:v>186</x:v>
      </x:c>
      <x:c r="B186" s="69" t="str">
        <x:v>4.96954</x:v>
      </x:c>
      <x:c r="C186" s="69" t="str">
        <x:v>-74.39447</x:v>
      </x:c>
      <x:c r="D186" s="78" t="n">
        <x:v>4.96954</x:v>
      </x:c>
      <x:c r="E186" s="78" t="n">
        <x:v>-74.39447</x:v>
      </x:c>
      <x:c r="F186" s="69" t="str">
        <x:v>Texto→número</x:v>
      </x:c>
      <x:c r="G186" s="69" t="str">
        <x:v>Texto→número</x:v>
      </x:c>
      <x:c r="H186" s="80" t="str">
        <x:v>OK</x:v>
      </x:c>
      <x:c r="I186" s="69" t="str"/>
      <x:c r="J186" s="69" t="str">
        <x:v>4.96954|-74.39447</x:v>
      </x:c>
      <x:c r="K186" s="82" t="n">
        <x:v>0</x:v>
      </x:c>
    </x:row>
    <x:row r="187">
      <x:c r="A187" s="76" t="n">
        <x:v>187</x:v>
      </x:c>
      <x:c r="B187" s="69" t="str">
        <x:v>4.91823</x:v>
      </x:c>
      <x:c r="C187" s="69" t="str">
        <x:v>-74.41781</x:v>
      </x:c>
      <x:c r="D187" s="78" t="n">
        <x:v>4.91823</x:v>
      </x:c>
      <x:c r="E187" s="78" t="n">
        <x:v>-74.41781</x:v>
      </x:c>
      <x:c r="F187" s="69" t="str">
        <x:v>Texto→número</x:v>
      </x:c>
      <x:c r="G187" s="69" t="str">
        <x:v>Texto→número</x:v>
      </x:c>
      <x:c r="H187" s="80" t="str">
        <x:v>OK</x:v>
      </x:c>
      <x:c r="I187" s="69" t="str"/>
      <x:c r="J187" s="69" t="str">
        <x:v>4.91823|-74.41781</x:v>
      </x:c>
      <x:c r="K187" s="82" t="n">
        <x:v>0</x:v>
      </x:c>
    </x:row>
    <x:row r="188">
      <x:c r="A188" s="76" t="n">
        <x:v>188</x:v>
      </x:c>
      <x:c r="B188" s="69" t="str">
        <x:v>4.91823</x:v>
      </x:c>
      <x:c r="C188" s="69" t="str">
        <x:v>-74.41781</x:v>
      </x:c>
      <x:c r="D188" s="78" t="n">
        <x:v>4.91823</x:v>
      </x:c>
      <x:c r="E188" s="78" t="n">
        <x:v>-74.41781</x:v>
      </x:c>
      <x:c r="F188" s="69" t="str">
        <x:v>Texto→número</x:v>
      </x:c>
      <x:c r="G188" s="69" t="str">
        <x:v>Texto→número</x:v>
      </x:c>
      <x:c r="H188" s="80" t="str">
        <x:v>OK</x:v>
      </x:c>
      <x:c r="I188" s="69" t="str"/>
      <x:c r="J188" s="69"/>
      <x:c r="K188" s="82" t="n">
        <x:v>1</x:v>
      </x:c>
    </x:row>
    <x:row r="189">
      <x:c r="A189" s="76" t="n">
        <x:v>189</x:v>
      </x:c>
      <x:c r="B189" s="69" t="str">
        <x:v>4.76809</x:v>
      </x:c>
      <x:c r="C189" s="69" t="str">
        <x:v>-73.3272</x:v>
      </x:c>
      <x:c r="D189" s="78" t="n">
        <x:v>4.76809</x:v>
      </x:c>
      <x:c r="E189" s="78" t="n">
        <x:v>-73.3272</x:v>
      </x:c>
      <x:c r="F189" s="69" t="str">
        <x:v>Texto→número</x:v>
      </x:c>
      <x:c r="G189" s="69" t="str">
        <x:v>Texto→número</x:v>
      </x:c>
      <x:c r="H189" s="80" t="str">
        <x:v>OK</x:v>
      </x:c>
      <x:c r="I189" s="69" t="str"/>
      <x:c r="J189" s="69" t="str">
        <x:v>4.76809|-73.3272</x:v>
      </x:c>
      <x:c r="K189" s="82" t="n">
        <x:v>0</x:v>
      </x:c>
    </x:row>
    <x:row r="190">
      <x:c r="A190" s="76" t="n">
        <x:v>190</x:v>
      </x:c>
      <x:c r="B190" s="69" t="str">
        <x:v>1.8562917</x:v>
      </x:c>
      <x:c r="C190" s="69" t="str">
        <x:v>-76.0393917</x:v>
      </x:c>
      <x:c r="D190" s="78" t="n">
        <x:v>1.8562917</x:v>
      </x:c>
      <x:c r="E190" s="78" t="n">
        <x:v>-76.0393917</x:v>
      </x:c>
      <x:c r="F190" s="69" t="str">
        <x:v>Texto→número</x:v>
      </x:c>
      <x:c r="G190" s="69" t="str">
        <x:v>Texto→número</x:v>
      </x:c>
      <x:c r="H190" s="80" t="str">
        <x:v>OK</x:v>
      </x:c>
      <x:c r="I190" s="69" t="str"/>
      <x:c r="J190" s="69" t="str">
        <x:v>1.8562917|-76.0393917</x:v>
      </x:c>
      <x:c r="K190" s="82" t="n">
        <x:v>0</x:v>
      </x:c>
    </x:row>
    <x:row r="191">
      <x:c r="A191" s="76" t="n">
        <x:v>191</x:v>
      </x:c>
      <x:c r="B191" s="69" t="str">
        <x:v>1.8038028</x:v>
      </x:c>
      <x:c r="C191" s="69" t="str">
        <x:v>-75.8897028</x:v>
      </x:c>
      <x:c r="D191" s="78" t="n">
        <x:v>1.8038028</x:v>
      </x:c>
      <x:c r="E191" s="78" t="n">
        <x:v>-75.8897028</x:v>
      </x:c>
      <x:c r="F191" s="69" t="str">
        <x:v>Texto→número</x:v>
      </x:c>
      <x:c r="G191" s="69" t="str">
        <x:v>Texto→número</x:v>
      </x:c>
      <x:c r="H191" s="80" t="str">
        <x:v>OK</x:v>
      </x:c>
      <x:c r="I191" s="69" t="str"/>
      <x:c r="J191" s="69" t="str">
        <x:v>1.8038028|-75.8897028</x:v>
      </x:c>
      <x:c r="K191" s="82" t="n">
        <x:v>0</x:v>
      </x:c>
    </x:row>
    <x:row r="192">
      <x:c r="A192" s="76" t="n">
        <x:v>192</x:v>
      </x:c>
      <x:c r="B192" s="69" t="str">
        <x:v>3.377</x:v>
      </x:c>
      <x:c r="C192" s="69" t="str">
        <x:v>-74.8024583</x:v>
      </x:c>
      <x:c r="D192" s="78" t="n">
        <x:v>3.377</x:v>
      </x:c>
      <x:c r="E192" s="78" t="n">
        <x:v>-74.8024583</x:v>
      </x:c>
      <x:c r="F192" s="69" t="str">
        <x:v>Texto→número</x:v>
      </x:c>
      <x:c r="G192" s="69" t="str">
        <x:v>Texto→número</x:v>
      </x:c>
      <x:c r="H192" s="80" t="str">
        <x:v>OK</x:v>
      </x:c>
      <x:c r="I192" s="69" t="str"/>
      <x:c r="J192" s="69" t="str">
        <x:v>3.377|-74.8024583</x:v>
      </x:c>
      <x:c r="K192" s="82" t="n">
        <x:v>0</x:v>
      </x:c>
    </x:row>
    <x:row r="193">
      <x:c r="A193" s="76" t="n">
        <x:v>193</x:v>
      </x:c>
      <x:c r="B193" s="69" t="str">
        <x:v>3.377</x:v>
      </x:c>
      <x:c r="C193" s="69" t="str">
        <x:v>-74.8024583</x:v>
      </x:c>
      <x:c r="D193" s="78" t="n">
        <x:v>3.377</x:v>
      </x:c>
      <x:c r="E193" s="78" t="n">
        <x:v>-74.8024583</x:v>
      </x:c>
      <x:c r="F193" s="69" t="str">
        <x:v>Texto→número</x:v>
      </x:c>
      <x:c r="G193" s="69" t="str">
        <x:v>Texto→número</x:v>
      </x:c>
      <x:c r="H193" s="80" t="str">
        <x:v>OK</x:v>
      </x:c>
      <x:c r="I193" s="69" t="str"/>
      <x:c r="J193" s="69"/>
      <x:c r="K193" s="82" t="n">
        <x:v>1</x:v>
      </x:c>
    </x:row>
    <x:row r="194">
      <x:c r="A194" s="76" t="n">
        <x:v>194</x:v>
      </x:c>
      <x:c r="B194" s="69" t="str">
        <x:v>1.25195</x:v>
      </x:c>
      <x:c r="C194" s="69" t="str">
        <x:v>-77.99668</x:v>
      </x:c>
      <x:c r="D194" s="78" t="n">
        <x:v>1.25195</x:v>
      </x:c>
      <x:c r="E194" s="78" t="n">
        <x:v>-77.99668</x:v>
      </x:c>
      <x:c r="F194" s="69" t="str">
        <x:v>Texto→número</x:v>
      </x:c>
      <x:c r="G194" s="69" t="str">
        <x:v>Texto→número</x:v>
      </x:c>
      <x:c r="H194" s="80" t="str">
        <x:v>OK</x:v>
      </x:c>
      <x:c r="I194" s="69" t="str"/>
      <x:c r="J194" s="69" t="str">
        <x:v>1.25195|-77.99668</x:v>
      </x:c>
      <x:c r="K194" s="82" t="n">
        <x:v>0</x:v>
      </x:c>
    </x:row>
    <x:row r="195">
      <x:c r="A195" s="76" t="n">
        <x:v>195</x:v>
      </x:c>
      <x:c r="B195" s="69" t="str">
        <x:v>4.68573</x:v>
      </x:c>
      <x:c r="C195" s="69" t="str">
        <x:v>-75.57803</x:v>
      </x:c>
      <x:c r="D195" s="78" t="n">
        <x:v>4.68573</x:v>
      </x:c>
      <x:c r="E195" s="78" t="n">
        <x:v>-75.57803</x:v>
      </x:c>
      <x:c r="F195" s="69" t="str">
        <x:v>Texto→número</x:v>
      </x:c>
      <x:c r="G195" s="69" t="str">
        <x:v>Texto→número</x:v>
      </x:c>
      <x:c r="H195" s="80" t="str">
        <x:v>OK</x:v>
      </x:c>
      <x:c r="I195" s="69" t="str"/>
      <x:c r="J195" s="69"/>
      <x:c r="K195" s="82" t="n">
        <x:v>1</x:v>
      </x:c>
    </x:row>
    <x:row r="196">
      <x:c r="A196" s="76" t="n">
        <x:v>196</x:v>
      </x:c>
      <x:c r="B196" s="69" t="str">
        <x:v>3.63879</x:v>
      </x:c>
      <x:c r="C196" s="69" t="str">
        <x:v>-77.00698</x:v>
      </x:c>
      <x:c r="D196" s="78" t="n">
        <x:v>3.63879</x:v>
      </x:c>
      <x:c r="E196" s="78" t="n">
        <x:v>-77.00698</x:v>
      </x:c>
      <x:c r="F196" s="69" t="str">
        <x:v>Texto→número</x:v>
      </x:c>
      <x:c r="G196" s="69" t="str">
        <x:v>Texto→número</x:v>
      </x:c>
      <x:c r="H196" s="80" t="str">
        <x:v>OK</x:v>
      </x:c>
      <x:c r="I196" s="69" t="str"/>
      <x:c r="J196" s="69" t="str">
        <x:v>3.63879|-77.00698</x:v>
      </x:c>
      <x:c r="K196" s="82" t="n">
        <x:v>0</x:v>
      </x:c>
    </x:row>
    <x:row r="197">
      <x:c r="A197" s="76" t="n">
        <x:v>197</x:v>
      </x:c>
      <x:c r="B197" s="69" t="str">
        <x:v>6.43758</x:v>
      </x:c>
      <x:c r="C197" s="69" t="str">
        <x:v>-76.1159</x:v>
      </x:c>
      <x:c r="D197" s="78" t="n">
        <x:v>6.43758</x:v>
      </x:c>
      <x:c r="E197" s="78" t="n">
        <x:v>-76.1159</x:v>
      </x:c>
      <x:c r="F197" s="69" t="str">
        <x:v>Texto→número</x:v>
      </x:c>
      <x:c r="G197" s="69" t="str">
        <x:v>Texto→número</x:v>
      </x:c>
      <x:c r="H197" s="80" t="str">
        <x:v>OK</x:v>
      </x:c>
      <x:c r="I197" s="69" t="str"/>
      <x:c r="J197" s="69" t="str">
        <x:v>6.43758|-76.1159</x:v>
      </x:c>
      <x:c r="K197" s="82" t="n">
        <x:v>0</x:v>
      </x:c>
    </x:row>
    <x:row r="198">
      <x:c r="A198" s="76" t="n">
        <x:v>198</x:v>
      </x:c>
      <x:c r="B198" s="69" t="str">
        <x:v>6.5</x:v>
      </x:c>
      <x:c r="C198" s="69" t="str">
        <x:v>-76.1166667</x:v>
      </x:c>
      <x:c r="D198" s="78" t="n">
        <x:v>6.5</x:v>
      </x:c>
      <x:c r="E198" s="78" t="n">
        <x:v>-76.1166667</x:v>
      </x:c>
      <x:c r="F198" s="69" t="str">
        <x:v>Texto→número</x:v>
      </x:c>
      <x:c r="G198" s="69" t="str">
        <x:v>Texto→número</x:v>
      </x:c>
      <x:c r="H198" s="80" t="str">
        <x:v>OK</x:v>
      </x:c>
      <x:c r="I198" s="69" t="str"/>
      <x:c r="J198" s="69" t="str">
        <x:v>6.5|-76.1166667</x:v>
      </x:c>
      <x:c r="K198" s="82" t="n">
        <x:v>0</x:v>
      </x:c>
    </x:row>
    <x:row r="199">
      <x:c r="A199" s="76" t="n">
        <x:v>199</x:v>
      </x:c>
      <x:c r="B199" s="69" t="str">
        <x:v>6.6858611</x:v>
      </x:c>
      <x:c r="C199" s="69" t="str">
        <x:v>-75.6748889</x:v>
      </x:c>
      <x:c r="D199" s="78" t="n">
        <x:v>6.6858611</x:v>
      </x:c>
      <x:c r="E199" s="78" t="n">
        <x:v>-75.6748889</x:v>
      </x:c>
      <x:c r="F199" s="69" t="str">
        <x:v>Texto→número</x:v>
      </x:c>
      <x:c r="G199" s="69" t="str">
        <x:v>Texto→número</x:v>
      </x:c>
      <x:c r="H199" s="80" t="str">
        <x:v>OK</x:v>
      </x:c>
      <x:c r="I199" s="69" t="str"/>
      <x:c r="J199" s="69" t="str">
        <x:v>6.6858611|-75.6748889</x:v>
      </x:c>
      <x:c r="K199" s="82" t="n">
        <x:v>0</x:v>
      </x:c>
    </x:row>
    <x:row r="200">
      <x:c r="A200" s="76" t="n">
        <x:v>200</x:v>
      </x:c>
      <x:c r="B200" s="69" t="str">
        <x:v>6.6858611</x:v>
      </x:c>
      <x:c r="C200" s="69" t="str">
        <x:v>-75.6748889</x:v>
      </x:c>
      <x:c r="D200" s="78" t="n">
        <x:v>6.6858611</x:v>
      </x:c>
      <x:c r="E200" s="78" t="n">
        <x:v>-75.6748889</x:v>
      </x:c>
      <x:c r="F200" s="69" t="str">
        <x:v>Texto→número</x:v>
      </x:c>
      <x:c r="G200" s="69" t="str">
        <x:v>Texto→número</x:v>
      </x:c>
      <x:c r="H200" s="80" t="str">
        <x:v>OK</x:v>
      </x:c>
      <x:c r="I200" s="69" t="str"/>
      <x:c r="J200" s="69"/>
      <x:c r="K200" s="82" t="n">
        <x:v>1</x:v>
      </x:c>
    </x:row>
    <x:row r="201">
      <x:c r="A201" s="76" t="n">
        <x:v>201</x:v>
      </x:c>
      <x:c r="B201" s="69" t="str">
        <x:v>6.77175</x:v>
      </x:c>
      <x:c r="C201" s="69" t="str">
        <x:v>-75.6946944</x:v>
      </x:c>
      <x:c r="D201" s="78" t="n">
        <x:v>6.77175</x:v>
      </x:c>
      <x:c r="E201" s="78" t="n">
        <x:v>-75.6946944</x:v>
      </x:c>
      <x:c r="F201" s="69" t="str">
        <x:v>Texto→número</x:v>
      </x:c>
      <x:c r="G201" s="69" t="str">
        <x:v>Texto→número</x:v>
      </x:c>
      <x:c r="H201" s="80" t="str">
        <x:v>OK</x:v>
      </x:c>
      <x:c r="I201" s="69" t="str"/>
      <x:c r="J201" s="69" t="str">
        <x:v>6.77175|-75.6946944</x:v>
      </x:c>
      <x:c r="K201" s="82" t="n">
        <x:v>0</x:v>
      </x:c>
    </x:row>
    <x:row r="202">
      <x:c r="A202" s="76" t="n">
        <x:v>202</x:v>
      </x:c>
      <x:c r="B202" s="69" t="str">
        <x:v>6.77175</x:v>
      </x:c>
      <x:c r="C202" s="69" t="str">
        <x:v>-75.6946944</x:v>
      </x:c>
      <x:c r="D202" s="78" t="n">
        <x:v>6.77175</x:v>
      </x:c>
      <x:c r="E202" s="78" t="n">
        <x:v>-75.6946944</x:v>
      </x:c>
      <x:c r="F202" s="69" t="str">
        <x:v>Texto→número</x:v>
      </x:c>
      <x:c r="G202" s="69" t="str">
        <x:v>Texto→número</x:v>
      </x:c>
      <x:c r="H202" s="80" t="str">
        <x:v>OK</x:v>
      </x:c>
      <x:c r="I202" s="69" t="str"/>
      <x:c r="J202" s="69"/>
      <x:c r="K202" s="82" t="n">
        <x:v>1</x:v>
      </x:c>
    </x:row>
    <x:row r="203">
      <x:c r="A203" s="76" t="n">
        <x:v>203</x:v>
      </x:c>
      <x:c r="B203" s="69" t="str">
        <x:v>5.0000194</x:v>
      </x:c>
      <x:c r="C203" s="69" t="str">
        <x:v>-75.3499833</x:v>
      </x:c>
      <x:c r="D203" s="78" t="n">
        <x:v>5.0000194</x:v>
      </x:c>
      <x:c r="E203" s="78" t="n">
        <x:v>-75.3499833</x:v>
      </x:c>
      <x:c r="F203" s="69" t="str">
        <x:v>Texto→número</x:v>
      </x:c>
      <x:c r="G203" s="69" t="str">
        <x:v>Texto→número</x:v>
      </x:c>
      <x:c r="H203" s="80" t="str">
        <x:v>OK</x:v>
      </x:c>
      <x:c r="I203" s="69" t="str"/>
      <x:c r="J203" s="69" t="str">
        <x:v>5.0000194|-75.3499833</x:v>
      </x:c>
      <x:c r="K203" s="82" t="n">
        <x:v>0</x:v>
      </x:c>
    </x:row>
    <x:row r="204">
      <x:c r="A204" s="76" t="n">
        <x:v>204</x:v>
      </x:c>
      <x:c r="B204" s="69" t="str">
        <x:v>4.9817667</x:v>
      </x:c>
      <x:c r="C204" s="69" t="str">
        <x:v>-75.3602389</x:v>
      </x:c>
      <x:c r="D204" s="78" t="n">
        <x:v>4.9817667</x:v>
      </x:c>
      <x:c r="E204" s="78" t="n">
        <x:v>-75.3602389</x:v>
      </x:c>
      <x:c r="F204" s="69" t="str">
        <x:v>Texto→número</x:v>
      </x:c>
      <x:c r="G204" s="69" t="str">
        <x:v>Texto→número</x:v>
      </x:c>
      <x:c r="H204" s="80" t="str">
        <x:v>OK</x:v>
      </x:c>
      <x:c r="I204" s="69" t="str"/>
      <x:c r="J204" s="69" t="str">
        <x:v>4.9817667|-75.3602389</x:v>
      </x:c>
      <x:c r="K204" s="82" t="n">
        <x:v>0</x:v>
      </x:c>
    </x:row>
    <x:row r="205">
      <x:c r="A205" s="76" t="n">
        <x:v>205</x:v>
      </x:c>
      <x:c r="B205" s="69" t="str">
        <x:v>5.0000194</x:v>
      </x:c>
      <x:c r="C205" s="69" t="str">
        <x:v>-75.3499833</x:v>
      </x:c>
      <x:c r="D205" s="78" t="n">
        <x:v>5.0000194</x:v>
      </x:c>
      <x:c r="E205" s="78" t="n">
        <x:v>-75.3499833</x:v>
      </x:c>
      <x:c r="F205" s="69" t="str">
        <x:v>Texto→número</x:v>
      </x:c>
      <x:c r="G205" s="69" t="str">
        <x:v>Texto→número</x:v>
      </x:c>
      <x:c r="H205" s="80" t="str">
        <x:v>OK</x:v>
      </x:c>
      <x:c r="I205" s="69" t="str"/>
      <x:c r="J205" s="69"/>
      <x:c r="K205" s="82" t="n">
        <x:v>1</x:v>
      </x:c>
    </x:row>
    <x:row r="206">
      <x:c r="A206" s="76" t="n">
        <x:v>206</x:v>
      </x:c>
      <x:c r="B206" s="69" t="str">
        <x:v>5.0000194</x:v>
      </x:c>
      <x:c r="C206" s="69" t="str">
        <x:v>-75.3499833</x:v>
      </x:c>
      <x:c r="D206" s="78" t="n">
        <x:v>5.0000194</x:v>
      </x:c>
      <x:c r="E206" s="78" t="n">
        <x:v>-75.3499833</x:v>
      </x:c>
      <x:c r="F206" s="69" t="str">
        <x:v>Texto→número</x:v>
      </x:c>
      <x:c r="G206" s="69" t="str">
        <x:v>Texto→número</x:v>
      </x:c>
      <x:c r="H206" s="80" t="str">
        <x:v>OK</x:v>
      </x:c>
      <x:c r="I206" s="69" t="str"/>
      <x:c r="J206" s="69"/>
      <x:c r="K206" s="82" t="n">
        <x:v>1</x:v>
      </x:c>
    </x:row>
    <x:row r="207">
      <x:c r="A207" s="76" t="n">
        <x:v>207</x:v>
      </x:c>
      <x:c r="B207" s="69" t="str">
        <x:v>5.0000194</x:v>
      </x:c>
      <x:c r="C207" s="69" t="str">
        <x:v>-75.3499833</x:v>
      </x:c>
      <x:c r="D207" s="78" t="n">
        <x:v>5.0000194</x:v>
      </x:c>
      <x:c r="E207" s="78" t="n">
        <x:v>-75.3499833</x:v>
      </x:c>
      <x:c r="F207" s="69" t="str">
        <x:v>Texto→número</x:v>
      </x:c>
      <x:c r="G207" s="69" t="str">
        <x:v>Texto→número</x:v>
      </x:c>
      <x:c r="H207" s="80" t="str">
        <x:v>OK</x:v>
      </x:c>
      <x:c r="I207" s="69" t="str"/>
      <x:c r="J207" s="69"/>
      <x:c r="K207" s="82" t="n">
        <x:v>1</x:v>
      </x:c>
    </x:row>
    <x:row r="208">
      <x:c r="A208" s="76" t="n">
        <x:v>208</x:v>
      </x:c>
      <x:c r="B208" s="69" t="str">
        <x:v>5.03103</x:v>
      </x:c>
      <x:c r="C208" s="69" t="str">
        <x:v>-75.51113</x:v>
      </x:c>
      <x:c r="D208" s="78" t="n">
        <x:v>5.03103</x:v>
      </x:c>
      <x:c r="E208" s="78" t="n">
        <x:v>-75.51113</x:v>
      </x:c>
      <x:c r="F208" s="69" t="str">
        <x:v>Texto→número</x:v>
      </x:c>
      <x:c r="G208" s="69" t="str">
        <x:v>Texto→número</x:v>
      </x:c>
      <x:c r="H208" s="80" t="str">
        <x:v>OK</x:v>
      </x:c>
      <x:c r="I208" s="69" t="str"/>
      <x:c r="J208" s="69"/>
      <x:c r="K208" s="82" t="n">
        <x:v>1</x:v>
      </x:c>
    </x:row>
    <x:row r="209">
      <x:c r="A209" s="76" t="n">
        <x:v>209</x:v>
      </x:c>
      <x:c r="B209" s="69" t="str">
        <x:v>5.0586389</x:v>
      </x:c>
      <x:c r="C209" s="69" t="str">
        <x:v>-75.3834444</x:v>
      </x:c>
      <x:c r="D209" s="78" t="n">
        <x:v>5.0586389</x:v>
      </x:c>
      <x:c r="E209" s="78" t="n">
        <x:v>-75.3834444</x:v>
      </x:c>
      <x:c r="F209" s="69" t="str">
        <x:v>Texto→número</x:v>
      </x:c>
      <x:c r="G209" s="69" t="str">
        <x:v>Texto→número</x:v>
      </x:c>
      <x:c r="H209" s="80" t="str">
        <x:v>OK</x:v>
      </x:c>
      <x:c r="I209" s="69" t="str"/>
      <x:c r="J209" s="69" t="str">
        <x:v>5.0586389|-75.3834444</x:v>
      </x:c>
      <x:c r="K209" s="82" t="n">
        <x:v>0</x:v>
      </x:c>
    </x:row>
    <x:row r="210">
      <x:c r="A210" s="76" t="n">
        <x:v>210</x:v>
      </x:c>
      <x:c r="B210" s="69" t="str">
        <x:v>5.0039167</x:v>
      </x:c>
      <x:c r="C210" s="69" t="str">
        <x:v>-75.3834444</x:v>
      </x:c>
      <x:c r="D210" s="78" t="n">
        <x:v>5.0039167</x:v>
      </x:c>
      <x:c r="E210" s="78" t="n">
        <x:v>-75.3834444</x:v>
      </x:c>
      <x:c r="F210" s="69" t="str">
        <x:v>Texto→número</x:v>
      </x:c>
      <x:c r="G210" s="69" t="str">
        <x:v>Texto→número</x:v>
      </x:c>
      <x:c r="H210" s="80" t="str">
        <x:v>OK</x:v>
      </x:c>
      <x:c r="I210" s="69" t="str"/>
      <x:c r="J210" s="69" t="str">
        <x:v>5.0039167|-75.3834444</x:v>
      </x:c>
      <x:c r="K210" s="82" t="n">
        <x:v>0</x:v>
      </x:c>
    </x:row>
    <x:row r="211">
      <x:c r="A211" s="76" t="n">
        <x:v>211</x:v>
      </x:c>
      <x:c r="B211" s="69" t="str">
        <x:v>4.9722</x:v>
      </x:c>
      <x:c r="C211" s="69" t="str">
        <x:v>-75.38059</x:v>
      </x:c>
      <x:c r="D211" s="78" t="n">
        <x:v>4.9722</x:v>
      </x:c>
      <x:c r="E211" s="78" t="n">
        <x:v>-75.38059</x:v>
      </x:c>
      <x:c r="F211" s="69" t="str">
        <x:v>Texto→número</x:v>
      </x:c>
      <x:c r="G211" s="69" t="str">
        <x:v>Texto→número</x:v>
      </x:c>
      <x:c r="H211" s="80" t="str">
        <x:v>OK</x:v>
      </x:c>
      <x:c r="I211" s="69" t="str"/>
      <x:c r="J211" s="69" t="str">
        <x:v>4.9722|-75.38059</x:v>
      </x:c>
      <x:c r="K211" s="82" t="n">
        <x:v>0</x:v>
      </x:c>
    </x:row>
    <x:row r="212">
      <x:c r="A212" s="76" t="n">
        <x:v>212</x:v>
      </x:c>
      <x:c r="B212" s="69" t="str">
        <x:v>4.9652778</x:v>
      </x:c>
      <x:c r="C212" s="69" t="str">
        <x:v>-75.36825</x:v>
      </x:c>
      <x:c r="D212" s="78" t="n">
        <x:v>4.9652778</x:v>
      </x:c>
      <x:c r="E212" s="78" t="n">
        <x:v>-75.36825</x:v>
      </x:c>
      <x:c r="F212" s="69" t="str">
        <x:v>Texto→número</x:v>
      </x:c>
      <x:c r="G212" s="69" t="str">
        <x:v>Texto→número</x:v>
      </x:c>
      <x:c r="H212" s="80" t="str">
        <x:v>OK</x:v>
      </x:c>
      <x:c r="I212" s="69" t="str"/>
      <x:c r="J212" s="69" t="str">
        <x:v>4.9652778|-75.36825</x:v>
      </x:c>
      <x:c r="K212" s="82" t="n">
        <x:v>0</x:v>
      </x:c>
    </x:row>
    <x:row r="213">
      <x:c r="A213" s="76" t="n">
        <x:v>213</x:v>
      </x:c>
      <x:c r="B213" s="69" t="str">
        <x:v>5.38329</x:v>
      </x:c>
      <x:c r="C213" s="69" t="str">
        <x:v>-75.35331</x:v>
      </x:c>
      <x:c r="D213" s="78" t="n">
        <x:v>5.38329</x:v>
      </x:c>
      <x:c r="E213" s="78" t="n">
        <x:v>-75.35331</x:v>
      </x:c>
      <x:c r="F213" s="69" t="str">
        <x:v>Texto→número</x:v>
      </x:c>
      <x:c r="G213" s="69" t="str">
        <x:v>Texto→número</x:v>
      </x:c>
      <x:c r="H213" s="80" t="str">
        <x:v>OK</x:v>
      </x:c>
      <x:c r="I213" s="69" t="str"/>
      <x:c r="J213" s="69" t="str">
        <x:v>5.38329|-75.35331</x:v>
      </x:c>
      <x:c r="K213" s="82" t="n">
        <x:v>0</x:v>
      </x:c>
    </x:row>
    <x:row r="214">
      <x:c r="A214" s="76" t="n">
        <x:v>214</x:v>
      </x:c>
      <x:c r="B214" s="69" t="str">
        <x:v>5.06275</x:v>
      </x:c>
      <x:c r="C214" s="69" t="str">
        <x:v>-75.3823889</x:v>
      </x:c>
      <x:c r="D214" s="78" t="n">
        <x:v>5.06275</x:v>
      </x:c>
      <x:c r="E214" s="78" t="n">
        <x:v>-75.3823889</x:v>
      </x:c>
      <x:c r="F214" s="69" t="str">
        <x:v>Texto→número</x:v>
      </x:c>
      <x:c r="G214" s="69" t="str">
        <x:v>Texto→número</x:v>
      </x:c>
      <x:c r="H214" s="80" t="str">
        <x:v>OK</x:v>
      </x:c>
      <x:c r="I214" s="69" t="str"/>
      <x:c r="J214" s="69" t="str">
        <x:v>5.06275|-75.3823889</x:v>
      </x:c>
      <x:c r="K214" s="82" t="n">
        <x:v>0</x:v>
      </x:c>
    </x:row>
    <x:row r="215">
      <x:c r="A215" s="76" t="n">
        <x:v>215</x:v>
      </x:c>
      <x:c r="B215" s="69" t="str">
        <x:v>5.37045</x:v>
      </x:c>
      <x:c r="C215" s="69" t="str">
        <x:v>-75.38595</x:v>
      </x:c>
      <x:c r="D215" s="78" t="n">
        <x:v>5.37045</x:v>
      </x:c>
      <x:c r="E215" s="78" t="n">
        <x:v>-75.38595</x:v>
      </x:c>
      <x:c r="F215" s="69" t="str">
        <x:v>Texto→número</x:v>
      </x:c>
      <x:c r="G215" s="69" t="str">
        <x:v>Texto→número</x:v>
      </x:c>
      <x:c r="H215" s="80" t="str">
        <x:v>OK</x:v>
      </x:c>
      <x:c r="I215" s="69" t="str"/>
      <x:c r="J215" s="69" t="str">
        <x:v>5.37045|-75.38595</x:v>
      </x:c>
      <x:c r="K215" s="82" t="n">
        <x:v>0</x:v>
      </x:c>
    </x:row>
    <x:row r="216">
      <x:c r="A216" s="76" t="n">
        <x:v>216</x:v>
      </x:c>
      <x:c r="B216" s="69" t="str">
        <x:v>4.9722</x:v>
      </x:c>
      <x:c r="C216" s="69" t="str">
        <x:v>-75.38059</x:v>
      </x:c>
      <x:c r="D216" s="78" t="n">
        <x:v>4.9722</x:v>
      </x:c>
      <x:c r="E216" s="78" t="n">
        <x:v>-75.38059</x:v>
      </x:c>
      <x:c r="F216" s="69" t="str">
        <x:v>Texto→número</x:v>
      </x:c>
      <x:c r="G216" s="69" t="str">
        <x:v>Texto→número</x:v>
      </x:c>
      <x:c r="H216" s="80" t="str">
        <x:v>OK</x:v>
      </x:c>
      <x:c r="I216" s="69" t="str"/>
      <x:c r="J216" s="69"/>
      <x:c r="K216" s="82" t="n">
        <x:v>1</x:v>
      </x:c>
    </x:row>
    <x:row r="217">
      <x:c r="A217" s="76" t="n">
        <x:v>217</x:v>
      </x:c>
      <x:c r="B217" s="69" t="str">
        <x:v>5.0000194</x:v>
      </x:c>
      <x:c r="C217" s="69" t="str">
        <x:v>-75.3499833</x:v>
      </x:c>
      <x:c r="D217" s="78" t="n">
        <x:v>5.0000194</x:v>
      </x:c>
      <x:c r="E217" s="78" t="n">
        <x:v>-75.3499833</x:v>
      </x:c>
      <x:c r="F217" s="69" t="str">
        <x:v>Texto→número</x:v>
      </x:c>
      <x:c r="G217" s="69" t="str">
        <x:v>Texto→número</x:v>
      </x:c>
      <x:c r="H217" s="80" t="str">
        <x:v>OK</x:v>
      </x:c>
      <x:c r="I217" s="69" t="str"/>
      <x:c r="J217" s="69"/>
      <x:c r="K217" s="82" t="n">
        <x:v>1</x:v>
      </x:c>
    </x:row>
    <x:row r="218">
      <x:c r="A218" s="76" t="n">
        <x:v>218</x:v>
      </x:c>
      <x:c r="B218" s="69" t="str">
        <x:v>2.3666667</x:v>
      </x:c>
      <x:c r="C218" s="69" t="str">
        <x:v>-76.4166667</x:v>
      </x:c>
      <x:c r="D218" s="78" t="n">
        <x:v>2.3666667</x:v>
      </x:c>
      <x:c r="E218" s="78" t="n">
        <x:v>-76.4166667</x:v>
      </x:c>
      <x:c r="F218" s="69" t="str">
        <x:v>Texto→número</x:v>
      </x:c>
      <x:c r="G218" s="69" t="str">
        <x:v>Texto→número</x:v>
      </x:c>
      <x:c r="H218" s="80" t="str">
        <x:v>OK</x:v>
      </x:c>
      <x:c r="I218" s="69" t="str"/>
      <x:c r="J218" s="69" t="str">
        <x:v>2.3666667|-76.4166667</x:v>
      </x:c>
      <x:c r="K218" s="82" t="n">
        <x:v>0</x:v>
      </x:c>
    </x:row>
    <x:row r="219">
      <x:c r="A219" s="76" t="n">
        <x:v>219</x:v>
      </x:c>
      <x:c r="B219" s="69" t="str">
        <x:v>1.92153</x:v>
      </x:c>
      <x:c r="C219" s="69" t="str">
        <x:v>-76.63351</x:v>
      </x:c>
      <x:c r="D219" s="78" t="n">
        <x:v>1.92153</x:v>
      </x:c>
      <x:c r="E219" s="78" t="n">
        <x:v>-76.63351</x:v>
      </x:c>
      <x:c r="F219" s="69" t="str">
        <x:v>Texto→número</x:v>
      </x:c>
      <x:c r="G219" s="69" t="str">
        <x:v>Texto→número</x:v>
      </x:c>
      <x:c r="H219" s="80" t="str">
        <x:v>OK</x:v>
      </x:c>
      <x:c r="I219" s="69" t="str"/>
      <x:c r="J219" s="69" t="str">
        <x:v>1.92153|-76.63351</x:v>
      </x:c>
      <x:c r="K219" s="82" t="n">
        <x:v>0</x:v>
      </x:c>
    </x:row>
    <x:row r="220">
      <x:c r="A220" s="76" t="n">
        <x:v>220</x:v>
      </x:c>
      <x:c r="B220" s="69" t="str">
        <x:v>2.82844</x:v>
      </x:c>
      <x:c r="C220" s="69" t="str">
        <x:v>-76.06299</x:v>
      </x:c>
      <x:c r="D220" s="78" t="n">
        <x:v>2.82844</x:v>
      </x:c>
      <x:c r="E220" s="78" t="n">
        <x:v>-76.06299</x:v>
      </x:c>
      <x:c r="F220" s="69" t="str">
        <x:v>Texto→número</x:v>
      </x:c>
      <x:c r="G220" s="69" t="str">
        <x:v>Texto→número</x:v>
      </x:c>
      <x:c r="H220" s="80" t="str">
        <x:v>OK</x:v>
      </x:c>
      <x:c r="I220" s="69" t="str"/>
      <x:c r="J220" s="69" t="str">
        <x:v>2.82844|-76.06299</x:v>
      </x:c>
      <x:c r="K220" s="82" t="n">
        <x:v>0</x:v>
      </x:c>
    </x:row>
    <x:row r="221">
      <x:c r="A221" s="76" t="n">
        <x:v>221</x:v>
      </x:c>
      <x:c r="B221" s="69" t="str">
        <x:v>2.3812444</x:v>
      </x:c>
      <x:c r="C221" s="69" t="str">
        <x:v>-76.4548639</x:v>
      </x:c>
      <x:c r="D221" s="78" t="n">
        <x:v>2.3812444</x:v>
      </x:c>
      <x:c r="E221" s="78" t="n">
        <x:v>-76.4548639</x:v>
      </x:c>
      <x:c r="F221" s="69" t="str">
        <x:v>Texto→número</x:v>
      </x:c>
      <x:c r="G221" s="69" t="str">
        <x:v>Texto→número</x:v>
      </x:c>
      <x:c r="H221" s="80" t="str">
        <x:v>OK</x:v>
      </x:c>
      <x:c r="I221" s="69" t="str"/>
      <x:c r="J221" s="69" t="str">
        <x:v>2.3812444|-76.4548639</x:v>
      </x:c>
      <x:c r="K221" s="82" t="n">
        <x:v>0</x:v>
      </x:c>
    </x:row>
    <x:row r="222">
      <x:c r="A222" s="76" t="n">
        <x:v>222</x:v>
      </x:c>
      <x:c r="B222" s="69" t="str">
        <x:v>2.3811111</x:v>
      </x:c>
      <x:c r="C222" s="69" t="str">
        <x:v>-76.4548639</x:v>
      </x:c>
      <x:c r="D222" s="78" t="n">
        <x:v>2.3811111</x:v>
      </x:c>
      <x:c r="E222" s="78" t="n">
        <x:v>-76.4548639</x:v>
      </x:c>
      <x:c r="F222" s="69" t="str">
        <x:v>Texto→número</x:v>
      </x:c>
      <x:c r="G222" s="69" t="str">
        <x:v>Texto→número</x:v>
      </x:c>
      <x:c r="H222" s="80" t="str">
        <x:v>OK</x:v>
      </x:c>
      <x:c r="I222" s="69" t="str"/>
      <x:c r="J222" s="69" t="str">
        <x:v>2.3811111|-76.4548639</x:v>
      </x:c>
      <x:c r="K222" s="82" t="n">
        <x:v>0</x:v>
      </x:c>
    </x:row>
    <x:row r="223">
      <x:c r="A223" s="76" t="n">
        <x:v>223</x:v>
      </x:c>
      <x:c r="B223" s="69" t="str">
        <x:v>2.5039278</x:v>
      </x:c>
      <x:c r="C223" s="69" t="str">
        <x:v>-76.3912278</x:v>
      </x:c>
      <x:c r="D223" s="78" t="n">
        <x:v>2.5039278</x:v>
      </x:c>
      <x:c r="E223" s="78" t="n">
        <x:v>-76.3912278</x:v>
      </x:c>
      <x:c r="F223" s="69" t="str">
        <x:v>Texto→número</x:v>
      </x:c>
      <x:c r="G223" s="69" t="str">
        <x:v>Texto→número</x:v>
      </x:c>
      <x:c r="H223" s="80" t="str">
        <x:v>OK</x:v>
      </x:c>
      <x:c r="I223" s="69" t="str"/>
      <x:c r="J223" s="69"/>
      <x:c r="K223" s="82" t="n">
        <x:v>1</x:v>
      </x:c>
    </x:row>
    <x:row r="224">
      <x:c r="A224" s="76" t="n">
        <x:v>224</x:v>
      </x:c>
      <x:c r="B224" s="69" t="str">
        <x:v>2.43397</x:v>
      </x:c>
      <x:c r="C224" s="69" t="str">
        <x:v>-76.41676</x:v>
      </x:c>
      <x:c r="D224" s="78" t="n">
        <x:v>2.43397</x:v>
      </x:c>
      <x:c r="E224" s="78" t="n">
        <x:v>-76.41676</x:v>
      </x:c>
      <x:c r="F224" s="69" t="str">
        <x:v>Texto→número</x:v>
      </x:c>
      <x:c r="G224" s="69" t="str">
        <x:v>Texto→número</x:v>
      </x:c>
      <x:c r="H224" s="80" t="str">
        <x:v>OK</x:v>
      </x:c>
      <x:c r="I224" s="69" t="str"/>
      <x:c r="J224" s="69" t="str">
        <x:v>2.43397|-76.41676</x:v>
      </x:c>
      <x:c r="K224" s="82" t="n">
        <x:v>0</x:v>
      </x:c>
    </x:row>
    <x:row r="225">
      <x:c r="A225" s="76" t="n">
        <x:v>225</x:v>
      </x:c>
      <x:c r="B225" s="69" t="str">
        <x:v>1.7598611</x:v>
      </x:c>
      <x:c r="C225" s="69" t="str">
        <x:v>-76.9058333</x:v>
      </x:c>
      <x:c r="D225" s="78" t="n">
        <x:v>1.7598611</x:v>
      </x:c>
      <x:c r="E225" s="78" t="n">
        <x:v>-76.9058333</x:v>
      </x:c>
      <x:c r="F225" s="69" t="str">
        <x:v>Texto→número</x:v>
      </x:c>
      <x:c r="G225" s="69" t="str">
        <x:v>Texto→número</x:v>
      </x:c>
      <x:c r="H225" s="80" t="str">
        <x:v>OK</x:v>
      </x:c>
      <x:c r="I225" s="69" t="str"/>
      <x:c r="J225" s="69" t="str">
        <x:v>1.7598611|-76.9058333</x:v>
      </x:c>
      <x:c r="K225" s="82" t="n">
        <x:v>0</x:v>
      </x:c>
    </x:row>
    <x:row r="226">
      <x:c r="A226" s="76" t="n">
        <x:v>226</x:v>
      </x:c>
      <x:c r="B226" s="69" t="str">
        <x:v>2.3807667</x:v>
      </x:c>
      <x:c r="C226" s="69" t="str">
        <x:v>-76.4440833</x:v>
      </x:c>
      <x:c r="D226" s="78" t="n">
        <x:v>2.3807667</x:v>
      </x:c>
      <x:c r="E226" s="78" t="n">
        <x:v>-76.4440833</x:v>
      </x:c>
      <x:c r="F226" s="69" t="str">
        <x:v>Texto→número</x:v>
      </x:c>
      <x:c r="G226" s="69" t="str">
        <x:v>Texto→número</x:v>
      </x:c>
      <x:c r="H226" s="80" t="str">
        <x:v>OK</x:v>
      </x:c>
      <x:c r="I226" s="69" t="str"/>
      <x:c r="J226" s="69" t="str">
        <x:v>2.3807667|-76.4440833</x:v>
      </x:c>
      <x:c r="K226" s="82" t="n">
        <x:v>0</x:v>
      </x:c>
    </x:row>
    <x:row r="227">
      <x:c r="A227" s="76" t="n">
        <x:v>227</x:v>
      </x:c>
      <x:c r="B227" s="69" t="str">
        <x:v>5.20044</x:v>
      </x:c>
      <x:c r="C227" s="69" t="str">
        <x:v>-73.88017</x:v>
      </x:c>
      <x:c r="D227" s="78" t="n">
        <x:v>5.20044</x:v>
      </x:c>
      <x:c r="E227" s="78" t="n">
        <x:v>-73.88017</x:v>
      </x:c>
      <x:c r="F227" s="69" t="str">
        <x:v>Texto→número</x:v>
      </x:c>
      <x:c r="G227" s="69" t="str">
        <x:v>Texto→número</x:v>
      </x:c>
      <x:c r="H227" s="80" t="str">
        <x:v>OK</x:v>
      </x:c>
      <x:c r="I227" s="69" t="str"/>
      <x:c r="J227" s="69" t="str">
        <x:v>5.20044|-73.88017</x:v>
      </x:c>
      <x:c r="K227" s="82" t="n">
        <x:v>0</x:v>
      </x:c>
    </x:row>
    <x:row r="228">
      <x:c r="A228" s="76" t="n">
        <x:v>228</x:v>
      </x:c>
      <x:c r="B228" s="69" t="str">
        <x:v>4.83701</x:v>
      </x:c>
      <x:c r="C228" s="69" t="str">
        <x:v>-73.81069</x:v>
      </x:c>
      <x:c r="D228" s="78" t="n">
        <x:v>4.83701</x:v>
      </x:c>
      <x:c r="E228" s="78" t="n">
        <x:v>-73.81069</x:v>
      </x:c>
      <x:c r="F228" s="69" t="str">
        <x:v>Texto→número</x:v>
      </x:c>
      <x:c r="G228" s="69" t="str">
        <x:v>Texto→número</x:v>
      </x:c>
      <x:c r="H228" s="80" t="str">
        <x:v>OK</x:v>
      </x:c>
      <x:c r="I228" s="69" t="str"/>
      <x:c r="J228" s="69" t="str">
        <x:v>4.83701|-73.81069</x:v>
      </x:c>
      <x:c r="K228" s="82" t="n">
        <x:v>0</x:v>
      </x:c>
    </x:row>
    <x:row r="229">
      <x:c r="A229" s="76" t="n">
        <x:v>229</x:v>
      </x:c>
      <x:c r="B229" s="69" t="str">
        <x:v>4.47614</x:v>
      </x:c>
      <x:c r="C229" s="69" t="str">
        <x:v>-73.80811</x:v>
      </x:c>
      <x:c r="D229" s="78" t="n">
        <x:v>4.47614</x:v>
      </x:c>
      <x:c r="E229" s="78" t="n">
        <x:v>-73.80811</x:v>
      </x:c>
      <x:c r="F229" s="69" t="str">
        <x:v>Texto→número</x:v>
      </x:c>
      <x:c r="G229" s="69" t="str">
        <x:v>Texto→número</x:v>
      </x:c>
      <x:c r="H229" s="80" t="str">
        <x:v>OK</x:v>
      </x:c>
      <x:c r="I229" s="69" t="str"/>
      <x:c r="J229" s="69" t="str">
        <x:v>4.47614|-73.80811</x:v>
      </x:c>
      <x:c r="K229" s="82" t="n">
        <x:v>0</x:v>
      </x:c>
    </x:row>
    <x:row r="230">
      <x:c r="A230" s="76" t="n">
        <x:v>230</x:v>
      </x:c>
      <x:c r="B230" s="69" t="str">
        <x:v>4.5458</x:v>
      </x:c>
      <x:c r="C230" s="69" t="str">
        <x:v>-73.95736</x:v>
      </x:c>
      <x:c r="D230" s="78" t="n">
        <x:v>4.5458</x:v>
      </x:c>
      <x:c r="E230" s="78" t="n">
        <x:v>-73.95736</x:v>
      </x:c>
      <x:c r="F230" s="69" t="str">
        <x:v>Texto→número</x:v>
      </x:c>
      <x:c r="G230" s="69" t="str">
        <x:v>Texto→número</x:v>
      </x:c>
      <x:c r="H230" s="80" t="str">
        <x:v>OK</x:v>
      </x:c>
      <x:c r="I230" s="69" t="str"/>
      <x:c r="J230" s="69" t="str">
        <x:v>4.5458|-73.95736</x:v>
      </x:c>
      <x:c r="K230" s="82" t="n">
        <x:v>0</x:v>
      </x:c>
    </x:row>
    <x:row r="231">
      <x:c r="A231" s="76" t="n">
        <x:v>231</x:v>
      </x:c>
      <x:c r="B231" s="69" t="str">
        <x:v>4.63205</x:v>
      </x:c>
      <x:c r="C231" s="69" t="str">
        <x:v>-74.03504</x:v>
      </x:c>
      <x:c r="D231" s="78" t="n">
        <x:v>4.63205</x:v>
      </x:c>
      <x:c r="E231" s="78" t="n">
        <x:v>-74.03504</x:v>
      </x:c>
      <x:c r="F231" s="69" t="str">
        <x:v>Texto→número</x:v>
      </x:c>
      <x:c r="G231" s="69" t="str">
        <x:v>Texto→número</x:v>
      </x:c>
      <x:c r="H231" s="80" t="str">
        <x:v>OK</x:v>
      </x:c>
      <x:c r="I231" s="69" t="str"/>
      <x:c r="J231" s="69" t="str">
        <x:v>4.63205|-74.03504</x:v>
      </x:c>
      <x:c r="K231" s="82" t="n">
        <x:v>0</x:v>
      </x:c>
    </x:row>
    <x:row r="232">
      <x:c r="A232" s="76" t="n">
        <x:v>232</x:v>
      </x:c>
      <x:c r="B232" s="69" t="str">
        <x:v>4.08126</x:v>
      </x:c>
      <x:c r="C232" s="69" t="str">
        <x:v>-74.24773</x:v>
      </x:c>
      <x:c r="D232" s="78" t="n">
        <x:v>4.08126</x:v>
      </x:c>
      <x:c r="E232" s="78" t="n">
        <x:v>-74.24773</x:v>
      </x:c>
      <x:c r="F232" s="69" t="str">
        <x:v>Texto→número</x:v>
      </x:c>
      <x:c r="G232" s="69" t="str">
        <x:v>Texto→número</x:v>
      </x:c>
      <x:c r="H232" s="80" t="str">
        <x:v>OK</x:v>
      </x:c>
      <x:c r="I232" s="69" t="str"/>
      <x:c r="J232" s="69" t="str">
        <x:v>4.08126|-74.24773</x:v>
      </x:c>
      <x:c r="K232" s="82" t="n">
        <x:v>0</x:v>
      </x:c>
    </x:row>
    <x:row r="233">
      <x:c r="A233" s="76" t="n">
        <x:v>233</x:v>
      </x:c>
      <x:c r="B233" s="69" t="str">
        <x:v>5.15819</x:v>
      </x:c>
      <x:c r="C233" s="69" t="str">
        <x:v>-73.94455</x:v>
      </x:c>
      <x:c r="D233" s="78" t="n">
        <x:v>5.15819</x:v>
      </x:c>
      <x:c r="E233" s="78" t="n">
        <x:v>-73.94455</x:v>
      </x:c>
      <x:c r="F233" s="69" t="str">
        <x:v>Texto→número</x:v>
      </x:c>
      <x:c r="G233" s="69" t="str">
        <x:v>Texto→número</x:v>
      </x:c>
      <x:c r="H233" s="80" t="str">
        <x:v>OK</x:v>
      </x:c>
      <x:c r="I233" s="69" t="str"/>
      <x:c r="J233" s="69" t="str">
        <x:v>5.15819|-73.94455</x:v>
      </x:c>
      <x:c r="K233" s="82" t="n">
        <x:v>0</x:v>
      </x:c>
    </x:row>
    <x:row r="234">
      <x:c r="A234" s="76" t="n">
        <x:v>234</x:v>
      </x:c>
      <x:c r="B234" s="69" t="str">
        <x:v>1.91706</x:v>
      </x:c>
      <x:c r="C234" s="69" t="str">
        <x:v>-76.60006</x:v>
      </x:c>
      <x:c r="D234" s="78" t="n">
        <x:v>1.91706</x:v>
      </x:c>
      <x:c r="E234" s="78" t="n">
        <x:v>-76.60006</x:v>
      </x:c>
      <x:c r="F234" s="69" t="str">
        <x:v>Texto→número</x:v>
      </x:c>
      <x:c r="G234" s="69" t="str">
        <x:v>Texto→número</x:v>
      </x:c>
      <x:c r="H234" s="80" t="str">
        <x:v>OK</x:v>
      </x:c>
      <x:c r="I234" s="69" t="str"/>
      <x:c r="J234" s="69" t="str">
        <x:v>1.91706|-76.60006</x:v>
      </x:c>
      <x:c r="K234" s="82" t="n">
        <x:v>0</x:v>
      </x:c>
    </x:row>
    <x:row r="235">
      <x:c r="A235" s="76" t="n">
        <x:v>235</x:v>
      </x:c>
      <x:c r="B235" s="69" t="str">
        <x:v>1.2136917</x:v>
      </x:c>
      <x:c r="C235" s="69" t="str">
        <x:v>-77.2726361</x:v>
      </x:c>
      <x:c r="D235" s="78" t="n">
        <x:v>1.2136917</x:v>
      </x:c>
      <x:c r="E235" s="78" t="n">
        <x:v>-77.2726361</x:v>
      </x:c>
      <x:c r="F235" s="69" t="str">
        <x:v>Texto→número</x:v>
      </x:c>
      <x:c r="G235" s="69" t="str">
        <x:v>Texto→número</x:v>
      </x:c>
      <x:c r="H235" s="80" t="str">
        <x:v>OK</x:v>
      </x:c>
      <x:c r="I235" s="69" t="str"/>
      <x:c r="J235" s="69" t="str">
        <x:v>1.2136917|-77.2726361</x:v>
      </x:c>
      <x:c r="K235" s="82" t="n">
        <x:v>0</x:v>
      </x:c>
    </x:row>
    <x:row r="236">
      <x:c r="A236" s="76" t="n">
        <x:v>236</x:v>
      </x:c>
      <x:c r="B236" s="69" t="str">
        <x:v>1.36601</x:v>
      </x:c>
      <x:c r="C236" s="69" t="str">
        <x:v>-77.79836</x:v>
      </x:c>
      <x:c r="D236" s="78" t="n">
        <x:v>1.36601</x:v>
      </x:c>
      <x:c r="E236" s="78" t="n">
        <x:v>-77.79836</x:v>
      </x:c>
      <x:c r="F236" s="69" t="str">
        <x:v>Texto→número</x:v>
      </x:c>
      <x:c r="G236" s="69" t="str">
        <x:v>Texto→número</x:v>
      </x:c>
      <x:c r="H236" s="80" t="str">
        <x:v>OK</x:v>
      </x:c>
      <x:c r="I236" s="69" t="str"/>
      <x:c r="J236" s="69" t="str">
        <x:v>1.36601|-77.79836</x:v>
      </x:c>
      <x:c r="K236" s="82" t="n">
        <x:v>0</x:v>
      </x:c>
    </x:row>
    <x:row r="237">
      <x:c r="A237" s="76" t="n">
        <x:v>237</x:v>
      </x:c>
      <x:c r="B237" s="69" t="str">
        <x:v>1.18713</x:v>
      </x:c>
      <x:c r="C237" s="69" t="str">
        <x:v>-77.32423</x:v>
      </x:c>
      <x:c r="D237" s="78" t="n">
        <x:v>1.18713</x:v>
      </x:c>
      <x:c r="E237" s="78" t="n">
        <x:v>-77.32423</x:v>
      </x:c>
      <x:c r="F237" s="69" t="str">
        <x:v>Texto→número</x:v>
      </x:c>
      <x:c r="G237" s="69" t="str">
        <x:v>Texto→número</x:v>
      </x:c>
      <x:c r="H237" s="80" t="str">
        <x:v>OK</x:v>
      </x:c>
      <x:c r="I237" s="69" t="str"/>
      <x:c r="J237" s="69" t="str">
        <x:v>1.18713|-77.32423</x:v>
      </x:c>
      <x:c r="K237" s="82" t="n">
        <x:v>0</x:v>
      </x:c>
    </x:row>
    <x:row r="238">
      <x:c r="A238" s="76" t="n">
        <x:v>238</x:v>
      </x:c>
      <x:c r="B238" s="69" t="str">
        <x:v>1.2136917</x:v>
      </x:c>
      <x:c r="C238" s="69" t="str">
        <x:v>-77.2726361</x:v>
      </x:c>
      <x:c r="D238" s="78" t="n">
        <x:v>1.2136917</x:v>
      </x:c>
      <x:c r="E238" s="78" t="n">
        <x:v>-77.2726361</x:v>
      </x:c>
      <x:c r="F238" s="69" t="str">
        <x:v>Texto→número</x:v>
      </x:c>
      <x:c r="G238" s="69" t="str">
        <x:v>Texto→número</x:v>
      </x:c>
      <x:c r="H238" s="80" t="str">
        <x:v>OK</x:v>
      </x:c>
      <x:c r="I238" s="69" t="str"/>
      <x:c r="J238" s="69"/>
      <x:c r="K238" s="82" t="n">
        <x:v>1</x:v>
      </x:c>
    </x:row>
    <x:row r="239">
      <x:c r="A239" s="76" t="n">
        <x:v>239</x:v>
      </x:c>
      <x:c r="B239" s="69" t="str">
        <x:v>1.2136917</x:v>
      </x:c>
      <x:c r="C239" s="69" t="str">
        <x:v>-77.2726361</x:v>
      </x:c>
      <x:c r="D239" s="78" t="n">
        <x:v>1.2136917</x:v>
      </x:c>
      <x:c r="E239" s="78" t="n">
        <x:v>-77.2726361</x:v>
      </x:c>
      <x:c r="F239" s="69" t="str">
        <x:v>Texto→número</x:v>
      </x:c>
      <x:c r="G239" s="69" t="str">
        <x:v>Texto→número</x:v>
      </x:c>
      <x:c r="H239" s="80" t="str">
        <x:v>OK</x:v>
      </x:c>
      <x:c r="I239" s="69" t="str"/>
      <x:c r="J239" s="69"/>
      <x:c r="K239" s="82" t="n">
        <x:v>1</x:v>
      </x:c>
    </x:row>
    <x:row r="240">
      <x:c r="A240" s="76" t="n">
        <x:v>240</x:v>
      </x:c>
      <x:c r="B240" s="69" t="str">
        <x:v>1.2136917</x:v>
      </x:c>
      <x:c r="C240" s="69" t="str">
        <x:v>-77.2726361</x:v>
      </x:c>
      <x:c r="D240" s="78" t="n">
        <x:v>1.2136917</x:v>
      </x:c>
      <x:c r="E240" s="78" t="n">
        <x:v>-77.2726361</x:v>
      </x:c>
      <x:c r="F240" s="69" t="str">
        <x:v>Texto→número</x:v>
      </x:c>
      <x:c r="G240" s="69" t="str">
        <x:v>Texto→número</x:v>
      </x:c>
      <x:c r="H240" s="80" t="str">
        <x:v>OK</x:v>
      </x:c>
      <x:c r="I240" s="69" t="str"/>
      <x:c r="J240" s="69"/>
      <x:c r="K240" s="82" t="n">
        <x:v>1</x:v>
      </x:c>
    </x:row>
    <x:row r="241">
      <x:c r="A241" s="76" t="n">
        <x:v>241</x:v>
      </x:c>
      <x:c r="B241" s="69" t="str">
        <x:v>1.20048</x:v>
      </x:c>
      <x:c r="C241" s="69" t="str">
        <x:v>-77.31593</x:v>
      </x:c>
      <x:c r="D241" s="78" t="n">
        <x:v>1.20048</x:v>
      </x:c>
      <x:c r="E241" s="78" t="n">
        <x:v>-77.31593</x:v>
      </x:c>
      <x:c r="F241" s="69" t="str">
        <x:v>Texto→número</x:v>
      </x:c>
      <x:c r="G241" s="69" t="str">
        <x:v>Texto→número</x:v>
      </x:c>
      <x:c r="H241" s="80" t="str">
        <x:v>OK</x:v>
      </x:c>
      <x:c r="I241" s="69" t="str"/>
      <x:c r="J241" s="69" t="str">
        <x:v>1.20048|-77.31593</x:v>
      </x:c>
      <x:c r="K241" s="82" t="n">
        <x:v>0</x:v>
      </x:c>
    </x:row>
    <x:row r="242">
      <x:c r="A242" s="76" t="n">
        <x:v>242</x:v>
      </x:c>
      <x:c r="B242" s="69" t="str">
        <x:v>1.21832</x:v>
      </x:c>
      <x:c r="C242" s="69" t="str">
        <x:v>-77.17091</x:v>
      </x:c>
      <x:c r="D242" s="78" t="n">
        <x:v>1.21832</x:v>
      </x:c>
      <x:c r="E242" s="78" t="n">
        <x:v>-77.17091</x:v>
      </x:c>
      <x:c r="F242" s="69" t="str">
        <x:v>Texto→número</x:v>
      </x:c>
      <x:c r="G242" s="69" t="str">
        <x:v>Texto→número</x:v>
      </x:c>
      <x:c r="H242" s="80" t="str">
        <x:v>OK</x:v>
      </x:c>
      <x:c r="I242" s="69" t="str"/>
      <x:c r="J242" s="69" t="str">
        <x:v>1.21832|-77.17091</x:v>
      </x:c>
      <x:c r="K242" s="82" t="n">
        <x:v>0</x:v>
      </x:c>
    </x:row>
    <x:row r="243">
      <x:c r="A243" s="76" t="n">
        <x:v>243</x:v>
      </x:c>
      <x:c r="B243" s="69" t="str">
        <x:v>1.2136917</x:v>
      </x:c>
      <x:c r="C243" s="69" t="str">
        <x:v>-77.2726361</x:v>
      </x:c>
      <x:c r="D243" s="78" t="n">
        <x:v>1.2136917</x:v>
      </x:c>
      <x:c r="E243" s="78" t="n">
        <x:v>-77.2726361</x:v>
      </x:c>
      <x:c r="F243" s="69" t="str">
        <x:v>Texto→número</x:v>
      </x:c>
      <x:c r="G243" s="69" t="str">
        <x:v>Texto→número</x:v>
      </x:c>
      <x:c r="H243" s="80" t="str">
        <x:v>OK</x:v>
      </x:c>
      <x:c r="I243" s="69" t="str"/>
      <x:c r="J243" s="69"/>
      <x:c r="K243" s="82" t="n">
        <x:v>1</x:v>
      </x:c>
    </x:row>
    <x:row r="244">
      <x:c r="A244" s="76" t="n">
        <x:v>244</x:v>
      </x:c>
      <x:c r="B244" s="69" t="str">
        <x:v>7.39297</x:v>
      </x:c>
      <x:c r="C244" s="69" t="str">
        <x:v>-72.42921</x:v>
      </x:c>
      <x:c r="D244" s="78" t="n">
        <x:v>7.39297</x:v>
      </x:c>
      <x:c r="E244" s="78" t="n">
        <x:v>-72.42921</x:v>
      </x:c>
      <x:c r="F244" s="69" t="str">
        <x:v>Texto→número</x:v>
      </x:c>
      <x:c r="G244" s="69" t="str">
        <x:v>Texto→número</x:v>
      </x:c>
      <x:c r="H244" s="80" t="str">
        <x:v>OK</x:v>
      </x:c>
      <x:c r="I244" s="69" t="str"/>
      <x:c r="J244" s="69" t="str">
        <x:v>7.39297|-72.42921</x:v>
      </x:c>
      <x:c r="K244" s="82" t="n">
        <x:v>0</x:v>
      </x:c>
    </x:row>
    <x:row r="245">
      <x:c r="A245" s="76" t="n">
        <x:v>245</x:v>
      </x:c>
      <x:c r="B245" s="69" t="str">
        <x:v>1.14804</x:v>
      </x:c>
      <x:c r="C245" s="69" t="str">
        <x:v>-77.09808</x:v>
      </x:c>
      <x:c r="D245" s="78" t="n">
        <x:v>1.14804</x:v>
      </x:c>
      <x:c r="E245" s="78" t="n">
        <x:v>-77.09808</x:v>
      </x:c>
      <x:c r="F245" s="69" t="str">
        <x:v>Texto→número</x:v>
      </x:c>
      <x:c r="G245" s="69" t="str">
        <x:v>Texto→número</x:v>
      </x:c>
      <x:c r="H245" s="80" t="str">
        <x:v>OK</x:v>
      </x:c>
      <x:c r="I245" s="69" t="str"/>
      <x:c r="J245" s="69" t="str">
        <x:v>1.14804|-77.09808</x:v>
      </x:c>
      <x:c r="K245" s="82" t="n">
        <x:v>0</x:v>
      </x:c>
    </x:row>
    <x:row r="246">
      <x:c r="A246" s="76" t="n">
        <x:v>246</x:v>
      </x:c>
      <x:c r="B246" s="69" t="str">
        <x:v>4.6666667</x:v>
      </x:c>
      <x:c r="C246" s="69" t="str">
        <x:v>-75.5</x:v>
      </x:c>
      <x:c r="D246" s="78" t="n">
        <x:v>4.6666667</x:v>
      </x:c>
      <x:c r="E246" s="78" t="n">
        <x:v>-75.5</x:v>
      </x:c>
      <x:c r="F246" s="69" t="str">
        <x:v>Texto→número</x:v>
      </x:c>
      <x:c r="G246" s="69" t="str">
        <x:v>Texto→número</x:v>
      </x:c>
      <x:c r="H246" s="80" t="str">
        <x:v>OK</x:v>
      </x:c>
      <x:c r="I246" s="69" t="str"/>
      <x:c r="J246" s="69"/>
      <x:c r="K246" s="82" t="n">
        <x:v>1</x:v>
      </x:c>
    </x:row>
    <x:row r="247">
      <x:c r="A247" s="76" t="n">
        <x:v>247</x:v>
      </x:c>
      <x:c r="B247" s="69" t="str">
        <x:v>4.6666667</x:v>
      </x:c>
      <x:c r="C247" s="69" t="str">
        <x:v>-75.5</x:v>
      </x:c>
      <x:c r="D247" s="78" t="n">
        <x:v>4.6666667</x:v>
      </x:c>
      <x:c r="E247" s="78" t="n">
        <x:v>-75.5</x:v>
      </x:c>
      <x:c r="F247" s="69" t="str">
        <x:v>Texto→número</x:v>
      </x:c>
      <x:c r="G247" s="69" t="str">
        <x:v>Texto→número</x:v>
      </x:c>
      <x:c r="H247" s="80" t="str">
        <x:v>OK</x:v>
      </x:c>
      <x:c r="I247" s="69" t="str"/>
      <x:c r="J247" s="69"/>
      <x:c r="K247" s="82" t="n">
        <x:v>1</x:v>
      </x:c>
    </x:row>
    <x:row r="248">
      <x:c r="A248" s="76" t="n">
        <x:v>248</x:v>
      </x:c>
      <x:c r="B248" s="69" t="str">
        <x:v>4.6415</x:v>
      </x:c>
      <x:c r="C248" s="69" t="str">
        <x:v>-75.4867778</x:v>
      </x:c>
      <x:c r="D248" s="78" t="n">
        <x:v>4.6415</x:v>
      </x:c>
      <x:c r="E248" s="78" t="n">
        <x:v>-75.4867778</x:v>
      </x:c>
      <x:c r="F248" s="69" t="str">
        <x:v>Texto→número</x:v>
      </x:c>
      <x:c r="G248" s="69" t="str">
        <x:v>Texto→número</x:v>
      </x:c>
      <x:c r="H248" s="80" t="str">
        <x:v>OK</x:v>
      </x:c>
      <x:c r="I248" s="69" t="str"/>
      <x:c r="J248" s="69" t="str">
        <x:v>4.6415|-75.4867778</x:v>
      </x:c>
      <x:c r="K248" s="82" t="n">
        <x:v>0</x:v>
      </x:c>
    </x:row>
    <x:row r="249">
      <x:c r="A249" s="76" t="n">
        <x:v>249</x:v>
      </x:c>
      <x:c r="B249" s="69" t="str">
        <x:v>4.65</x:v>
      </x:c>
      <x:c r="C249" s="69" t="str">
        <x:v>-75.4833333</x:v>
      </x:c>
      <x:c r="D249" s="78" t="n">
        <x:v>4.65</x:v>
      </x:c>
      <x:c r="E249" s="78" t="n">
        <x:v>-75.4833333</x:v>
      </x:c>
      <x:c r="F249" s="69" t="str">
        <x:v>Texto→número</x:v>
      </x:c>
      <x:c r="G249" s="69" t="str">
        <x:v>Texto→número</x:v>
      </x:c>
      <x:c r="H249" s="80" t="str">
        <x:v>OK</x:v>
      </x:c>
      <x:c r="I249" s="69" t="str"/>
      <x:c r="J249" s="69" t="str">
        <x:v>4.65|-75.4833333</x:v>
      </x:c>
      <x:c r="K249" s="82" t="n">
        <x:v>0</x:v>
      </x:c>
    </x:row>
    <x:row r="250">
      <x:c r="A250" s="76" t="n">
        <x:v>250</x:v>
      </x:c>
      <x:c r="B250" s="69" t="str">
        <x:v>4.8666667</x:v>
      </x:c>
      <x:c r="C250" s="69" t="str">
        <x:v>-75.6166667</x:v>
      </x:c>
      <x:c r="D250" s="78" t="n">
        <x:v>4.8666667</x:v>
      </x:c>
      <x:c r="E250" s="78" t="n">
        <x:v>-75.6166667</x:v>
      </x:c>
      <x:c r="F250" s="69" t="str">
        <x:v>Texto→número</x:v>
      </x:c>
      <x:c r="G250" s="69" t="str">
        <x:v>Texto→número</x:v>
      </x:c>
      <x:c r="H250" s="80" t="str">
        <x:v>OK</x:v>
      </x:c>
      <x:c r="I250" s="69" t="str"/>
      <x:c r="J250" s="69" t="str">
        <x:v>4.8666667|-75.6166667</x:v>
      </x:c>
      <x:c r="K250" s="82" t="n">
        <x:v>0</x:v>
      </x:c>
    </x:row>
    <x:row r="251">
      <x:c r="A251" s="76" t="n">
        <x:v>251</x:v>
      </x:c>
      <x:c r="B251" s="69" t="str">
        <x:v>5.1286</x:v>
      </x:c>
      <x:c r="C251" s="69" t="str">
        <x:v>-76.04844</x:v>
      </x:c>
      <x:c r="D251" s="78" t="n">
        <x:v>5.1286</x:v>
      </x:c>
      <x:c r="E251" s="78" t="n">
        <x:v>-76.04844</x:v>
      </x:c>
      <x:c r="F251" s="69" t="str">
        <x:v>Texto→número</x:v>
      </x:c>
      <x:c r="G251" s="69" t="str">
        <x:v>Texto→número</x:v>
      </x:c>
      <x:c r="H251" s="80" t="str">
        <x:v>OK</x:v>
      </x:c>
      <x:c r="I251" s="69" t="str"/>
      <x:c r="J251" s="69" t="str">
        <x:v>5.1286|-76.04844</x:v>
      </x:c>
      <x:c r="K251" s="82" t="n">
        <x:v>0</x:v>
      </x:c>
    </x:row>
    <x:row r="252">
      <x:c r="A252" s="76" t="n">
        <x:v>252</x:v>
      </x:c>
      <x:c r="B252" s="69" t="str">
        <x:v>4.8666667</x:v>
      </x:c>
      <x:c r="C252" s="69" t="str">
        <x:v>-75.6166667</x:v>
      </x:c>
      <x:c r="D252" s="78" t="n">
        <x:v>4.8666667</x:v>
      </x:c>
      <x:c r="E252" s="78" t="n">
        <x:v>-75.6166667</x:v>
      </x:c>
      <x:c r="F252" s="69" t="str">
        <x:v>Texto→número</x:v>
      </x:c>
      <x:c r="G252" s="69" t="str">
        <x:v>Texto→número</x:v>
      </x:c>
      <x:c r="H252" s="80" t="str">
        <x:v>OK</x:v>
      </x:c>
      <x:c r="I252" s="69" t="str"/>
      <x:c r="J252" s="69"/>
      <x:c r="K252" s="82" t="n">
        <x:v>1</x:v>
      </x:c>
    </x:row>
    <x:row r="253">
      <x:c r="A253" s="76" t="n">
        <x:v>253</x:v>
      </x:c>
      <x:c r="B253" s="69" t="str">
        <x:v>5.1208051</x:v>
      </x:c>
      <x:c r="C253" s="69" t="str">
        <x:v>-76.0594532</x:v>
      </x:c>
      <x:c r="D253" s="78" t="n">
        <x:v>5.1208051</x:v>
      </x:c>
      <x:c r="E253" s="78" t="n">
        <x:v>-76.0594532</x:v>
      </x:c>
      <x:c r="F253" s="69" t="str">
        <x:v>Texto→número</x:v>
      </x:c>
      <x:c r="G253" s="69" t="str">
        <x:v>Texto→número</x:v>
      </x:c>
      <x:c r="H253" s="80" t="str">
        <x:v>OK</x:v>
      </x:c>
      <x:c r="I253" s="69" t="str"/>
      <x:c r="J253" s="69" t="str">
        <x:v>5.1208051|-76.0594532</x:v>
      </x:c>
      <x:c r="K253" s="82" t="n">
        <x:v>0</x:v>
      </x:c>
    </x:row>
    <x:row r="254">
      <x:c r="A254" s="76" t="n">
        <x:v>254</x:v>
      </x:c>
      <x:c r="B254" s="69" t="str">
        <x:v>5.1208051</x:v>
      </x:c>
      <x:c r="C254" s="69" t="str">
        <x:v>-76.0594532</x:v>
      </x:c>
      <x:c r="D254" s="78" t="n">
        <x:v>5.1208051</x:v>
      </x:c>
      <x:c r="E254" s="78" t="n">
        <x:v>-76.0594532</x:v>
      </x:c>
      <x:c r="F254" s="69" t="str">
        <x:v>Texto→número</x:v>
      </x:c>
      <x:c r="G254" s="69" t="str">
        <x:v>Texto→número</x:v>
      </x:c>
      <x:c r="H254" s="80" t="str">
        <x:v>OK</x:v>
      </x:c>
      <x:c r="I254" s="69" t="str"/>
      <x:c r="J254" s="69"/>
      <x:c r="K254" s="82" t="n">
        <x:v>1</x:v>
      </x:c>
    </x:row>
    <x:row r="255">
      <x:c r="A255" s="76" t="n">
        <x:v>255</x:v>
      </x:c>
      <x:c r="B255" s="69" t="str">
        <x:v>5.1208051</x:v>
      </x:c>
      <x:c r="C255" s="69" t="str">
        <x:v>-76.0594532</x:v>
      </x:c>
      <x:c r="D255" s="78" t="n">
        <x:v>5.1208051</x:v>
      </x:c>
      <x:c r="E255" s="78" t="n">
        <x:v>-76.0594532</x:v>
      </x:c>
      <x:c r="F255" s="69" t="str">
        <x:v>Texto→número</x:v>
      </x:c>
      <x:c r="G255" s="69" t="str">
        <x:v>Texto→número</x:v>
      </x:c>
      <x:c r="H255" s="80" t="str">
        <x:v>OK</x:v>
      </x:c>
      <x:c r="I255" s="69" t="str"/>
      <x:c r="J255" s="69"/>
      <x:c r="K255" s="82" t="n">
        <x:v>1</x:v>
      </x:c>
    </x:row>
    <x:row r="256">
      <x:c r="A256" s="76" t="n">
        <x:v>256</x:v>
      </x:c>
      <x:c r="B256" s="69" t="str">
        <x:v>6.19988</x:v>
      </x:c>
      <x:c r="C256" s="69" t="str">
        <x:v>-72.8334</x:v>
      </x:c>
      <x:c r="D256" s="78" t="n">
        <x:v>6.19988</x:v>
      </x:c>
      <x:c r="E256" s="78" t="n">
        <x:v>-72.8334</x:v>
      </x:c>
      <x:c r="F256" s="69" t="str">
        <x:v>Texto→número</x:v>
      </x:c>
      <x:c r="G256" s="69" t="str">
        <x:v>Texto→número</x:v>
      </x:c>
      <x:c r="H256" s="80" t="str">
        <x:v>OK</x:v>
      </x:c>
      <x:c r="I256" s="69" t="str"/>
      <x:c r="J256" s="69" t="str">
        <x:v>6.19988|-72.8334</x:v>
      </x:c>
      <x:c r="K256" s="82" t="n">
        <x:v>0</x:v>
      </x:c>
    </x:row>
    <x:row r="257">
      <x:c r="A257" s="76" t="n">
        <x:v>257</x:v>
      </x:c>
      <x:c r="B257" s="69" t="str">
        <x:v>4.7189417</x:v>
      </x:c>
      <x:c r="C257" s="69" t="str">
        <x:v>-75.1007306</x:v>
      </x:c>
      <x:c r="D257" s="78" t="n">
        <x:v>4.7189417</x:v>
      </x:c>
      <x:c r="E257" s="78" t="n">
        <x:v>-75.1007306</x:v>
      </x:c>
      <x:c r="F257" s="69" t="str">
        <x:v>Texto→número</x:v>
      </x:c>
      <x:c r="G257" s="69" t="str">
        <x:v>Texto→número</x:v>
      </x:c>
      <x:c r="H257" s="80" t="str">
        <x:v>OK</x:v>
      </x:c>
      <x:c r="I257" s="69" t="str"/>
      <x:c r="J257" s="69" t="str">
        <x:v>4.7189417|-75.1007306</x:v>
      </x:c>
      <x:c r="K257" s="82" t="n">
        <x:v>0</x:v>
      </x:c>
    </x:row>
    <x:row r="258">
      <x:c r="A258" s="76" t="n">
        <x:v>258</x:v>
      </x:c>
      <x:c r="B258" s="69" t="str">
        <x:v>4.7189417</x:v>
      </x:c>
      <x:c r="C258" s="69" t="str">
        <x:v>-75.1007306</x:v>
      </x:c>
      <x:c r="D258" s="78" t="n">
        <x:v>4.7189417</x:v>
      </x:c>
      <x:c r="E258" s="78" t="n">
        <x:v>-75.1007306</x:v>
      </x:c>
      <x:c r="F258" s="69" t="str">
        <x:v>Texto→número</x:v>
      </x:c>
      <x:c r="G258" s="69" t="str">
        <x:v>Texto→número</x:v>
      </x:c>
      <x:c r="H258" s="80" t="str">
        <x:v>OK</x:v>
      </x:c>
      <x:c r="I258" s="69" t="str"/>
      <x:c r="J258" s="69"/>
      <x:c r="K258" s="82" t="n">
        <x:v>1</x:v>
      </x:c>
    </x:row>
    <x:row r="259">
      <x:c r="A259" s="76" t="n">
        <x:v>259</x:v>
      </x:c>
      <x:c r="B259" s="69" t="str">
        <x:v>4.7189417</x:v>
      </x:c>
      <x:c r="C259" s="69" t="str">
        <x:v>-75.1007306</x:v>
      </x:c>
      <x:c r="D259" s="78" t="n">
        <x:v>4.7189417</x:v>
      </x:c>
      <x:c r="E259" s="78" t="n">
        <x:v>-75.1007306</x:v>
      </x:c>
      <x:c r="F259" s="69" t="str">
        <x:v>Texto→número</x:v>
      </x:c>
      <x:c r="G259" s="69" t="str">
        <x:v>Texto→número</x:v>
      </x:c>
      <x:c r="H259" s="80" t="str">
        <x:v>OK</x:v>
      </x:c>
      <x:c r="I259" s="69" t="str"/>
      <x:c r="J259" s="69"/>
      <x:c r="K259" s="82" t="n">
        <x:v>1</x:v>
      </x:c>
    </x:row>
    <x:row r="260">
      <x:c r="A260" s="76" t="n">
        <x:v>260</x:v>
      </x:c>
      <x:c r="B260" s="69" t="str">
        <x:v>4.8697778</x:v>
      </x:c>
      <x:c r="C260" s="69" t="str">
        <x:v>-75.1773528</x:v>
      </x:c>
      <x:c r="D260" s="78" t="n">
        <x:v>4.8697778</x:v>
      </x:c>
      <x:c r="E260" s="78" t="n">
        <x:v>-75.1773528</x:v>
      </x:c>
      <x:c r="F260" s="69" t="str">
        <x:v>Texto→número</x:v>
      </x:c>
      <x:c r="G260" s="69" t="str">
        <x:v>Texto→número</x:v>
      </x:c>
      <x:c r="H260" s="80" t="str">
        <x:v>OK</x:v>
      </x:c>
      <x:c r="I260" s="69" t="str"/>
      <x:c r="J260" s="69" t="str">
        <x:v>4.8697778|-75.1773528</x:v>
      </x:c>
      <x:c r="K260" s="82" t="n">
        <x:v>0</x:v>
      </x:c>
    </x:row>
    <x:row r="261">
      <x:c r="A261" s="76" t="n">
        <x:v>261</x:v>
      </x:c>
      <x:c r="B261" s="69" t="str">
        <x:v>4.90585</x:v>
      </x:c>
      <x:c r="C261" s="69" t="str">
        <x:v>-75.19701</x:v>
      </x:c>
      <x:c r="D261" s="78" t="n">
        <x:v>4.90585</x:v>
      </x:c>
      <x:c r="E261" s="78" t="n">
        <x:v>-75.19701</x:v>
      </x:c>
      <x:c r="F261" s="69" t="str">
        <x:v>Texto→número</x:v>
      </x:c>
      <x:c r="G261" s="69" t="str">
        <x:v>Texto→número</x:v>
      </x:c>
      <x:c r="H261" s="80" t="str">
        <x:v>OK</x:v>
      </x:c>
      <x:c r="I261" s="69" t="str"/>
      <x:c r="J261" s="69" t="str">
        <x:v>4.90585|-75.19701</x:v>
      </x:c>
      <x:c r="K261" s="82" t="n">
        <x:v>0</x:v>
      </x:c>
    </x:row>
    <x:row r="262">
      <x:c r="A262" s="76" t="n">
        <x:v>262</x:v>
      </x:c>
      <x:c r="B262" s="69" t="str">
        <x:v>4.58039</x:v>
      </x:c>
      <x:c r="C262" s="69" t="str">
        <x:v>-75.3754</x:v>
      </x:c>
      <x:c r="D262" s="78" t="n">
        <x:v>4.58039</x:v>
      </x:c>
      <x:c r="E262" s="78" t="n">
        <x:v>-75.3754</x:v>
      </x:c>
      <x:c r="F262" s="69" t="str">
        <x:v>Texto→número</x:v>
      </x:c>
      <x:c r="G262" s="69" t="str">
        <x:v>Texto→número</x:v>
      </x:c>
      <x:c r="H262" s="80" t="str">
        <x:v>OK</x:v>
      </x:c>
      <x:c r="I262" s="69" t="str"/>
      <x:c r="J262" s="69" t="str">
        <x:v>4.58039|-75.3754</x:v>
      </x:c>
      <x:c r="K262" s="82" t="n">
        <x:v>0</x:v>
      </x:c>
    </x:row>
    <x:row r="263">
      <x:c r="A263" s="76" t="n">
        <x:v>263</x:v>
      </x:c>
      <x:c r="B263" s="69" t="str">
        <x:v>4.55835</x:v>
      </x:c>
      <x:c r="C263" s="69" t="str">
        <x:v>-75.32021</x:v>
      </x:c>
      <x:c r="D263" s="78" t="n">
        <x:v>4.55835</x:v>
      </x:c>
      <x:c r="E263" s="78" t="n">
        <x:v>-75.32021</x:v>
      </x:c>
      <x:c r="F263" s="69" t="str">
        <x:v>Texto→número</x:v>
      </x:c>
      <x:c r="G263" s="69" t="str">
        <x:v>Texto→número</x:v>
      </x:c>
      <x:c r="H263" s="80" t="str">
        <x:v>OK</x:v>
      </x:c>
      <x:c r="I263" s="69" t="str"/>
      <x:c r="J263" s="69"/>
      <x:c r="K263" s="82" t="n">
        <x:v>1</x:v>
      </x:c>
    </x:row>
    <x:row r="264">
      <x:c r="A264" s="76" t="n">
        <x:v>264</x:v>
      </x:c>
      <x:c r="B264" s="69" t="str">
        <x:v>4.4400389</x:v>
      </x:c>
      <x:c r="C264" s="69" t="str">
        <x:v>-75.4301028</x:v>
      </x:c>
      <x:c r="D264" s="78" t="n">
        <x:v>4.4400389</x:v>
      </x:c>
      <x:c r="E264" s="78" t="n">
        <x:v>-75.4301028</x:v>
      </x:c>
      <x:c r="F264" s="69" t="str">
        <x:v>Texto→número</x:v>
      </x:c>
      <x:c r="G264" s="69" t="str">
        <x:v>Texto→número</x:v>
      </x:c>
      <x:c r="H264" s="80" t="str">
        <x:v>OK</x:v>
      </x:c>
      <x:c r="I264" s="69" t="str"/>
      <x:c r="J264" s="69" t="str">
        <x:v>4.4400389|-75.4301028</x:v>
      </x:c>
      <x:c r="K264" s="82" t="n">
        <x:v>0</x:v>
      </x:c>
    </x:row>
    <x:row r="265">
      <x:c r="A265" s="76" t="n">
        <x:v>265</x:v>
      </x:c>
      <x:c r="B265" s="69" t="str">
        <x:v>6.24140</x:v>
      </x:c>
      <x:c r="C265" s="69" t="str">
        <x:v>-75.53411</x:v>
      </x:c>
      <x:c r="D265" s="78" t="n">
        <x:v>6.2414</x:v>
      </x:c>
      <x:c r="E265" s="78" t="n">
        <x:v>-75.53411</x:v>
      </x:c>
      <x:c r="F265" s="69" t="str">
        <x:v>Texto→número</x:v>
      </x:c>
      <x:c r="G265" s="69" t="str">
        <x:v>Texto→número</x:v>
      </x:c>
      <x:c r="H265" s="80" t="str">
        <x:v>OK</x:v>
      </x:c>
      <x:c r="I265" s="69" t="str"/>
      <x:c r="J265" s="69" t="str">
        <x:v>6.2414|-75.53411</x:v>
      </x:c>
      <x:c r="K265" s="82" t="n">
        <x:v>0</x:v>
      </x:c>
    </x:row>
    <x:row r="266">
      <x:c r="A266" s="76" t="n">
        <x:v>266</x:v>
      </x:c>
      <x:c r="B266" s="69" t="str">
        <x:v>6.29824</x:v>
      </x:c>
      <x:c r="C266" s="69" t="str">
        <x:v>-75.49924</x:v>
      </x:c>
      <x:c r="D266" s="78" t="n">
        <x:v>6.29824</x:v>
      </x:c>
      <x:c r="E266" s="78" t="n">
        <x:v>-75.49924</x:v>
      </x:c>
      <x:c r="F266" s="69" t="str">
        <x:v>Texto→número</x:v>
      </x:c>
      <x:c r="G266" s="69" t="str">
        <x:v>Texto→número</x:v>
      </x:c>
      <x:c r="H266" s="80" t="str">
        <x:v>OK</x:v>
      </x:c>
      <x:c r="I266" s="69" t="str"/>
      <x:c r="J266" s="69" t="str">
        <x:v>6.29824|-75.49924</x:v>
      </x:c>
      <x:c r="K266" s="82" t="n">
        <x:v>0</x:v>
      </x:c>
    </x:row>
    <x:row r="267">
      <x:c r="A267" s="76" t="n">
        <x:v>267</x:v>
      </x:c>
      <x:c r="B267" s="69" t="str">
        <x:v>5.62978</x:v>
      </x:c>
      <x:c r="C267" s="69" t="str">
        <x:v>-75.16745</x:v>
      </x:c>
      <x:c r="D267" s="78" t="n">
        <x:v>5.62978</x:v>
      </x:c>
      <x:c r="E267" s="78" t="n">
        <x:v>-75.16745</x:v>
      </x:c>
      <x:c r="F267" s="69" t="str">
        <x:v>Texto→número</x:v>
      </x:c>
      <x:c r="G267" s="69" t="str">
        <x:v>Texto→número</x:v>
      </x:c>
      <x:c r="H267" s="80" t="str">
        <x:v>OK</x:v>
      </x:c>
      <x:c r="I267" s="69" t="str"/>
      <x:c r="J267" s="69" t="str">
        <x:v>5.62978|-75.16745</x:v>
      </x:c>
      <x:c r="K267" s="82" t="n">
        <x:v>0</x:v>
      </x:c>
    </x:row>
    <x:row r="268">
      <x:c r="A268" s="76" t="n">
        <x:v>268</x:v>
      </x:c>
      <x:c r="B268" s="69" t="str">
        <x:v>6.31122</x:v>
      </x:c>
      <x:c r="C268" s="69" t="str">
        <x:v>-75.14609</x:v>
      </x:c>
      <x:c r="D268" s="78" t="n">
        <x:v>6.31122</x:v>
      </x:c>
      <x:c r="E268" s="78" t="n">
        <x:v>-75.14609</x:v>
      </x:c>
      <x:c r="F268" s="69" t="str">
        <x:v>Texto→número</x:v>
      </x:c>
      <x:c r="G268" s="69" t="str">
        <x:v>Texto→número</x:v>
      </x:c>
      <x:c r="H268" s="80" t="str">
        <x:v>OK</x:v>
      </x:c>
      <x:c r="I268" s="69" t="str"/>
      <x:c r="J268" s="69" t="str">
        <x:v>6.31122|-75.14609</x:v>
      </x:c>
      <x:c r="K268" s="82" t="n">
        <x:v>0</x:v>
      </x:c>
    </x:row>
    <x:row r="269">
      <x:c r="A269" s="76" t="n">
        <x:v>269</x:v>
      </x:c>
      <x:c r="B269" s="69" t="str">
        <x:v>6.29604</x:v>
      </x:c>
      <x:c r="C269" s="69" t="str">
        <x:v>-75.49909</x:v>
      </x:c>
      <x:c r="D269" s="78" t="n">
        <x:v>6.29604</x:v>
      </x:c>
      <x:c r="E269" s="78" t="n">
        <x:v>-75.49909</x:v>
      </x:c>
      <x:c r="F269" s="69" t="str">
        <x:v>Texto→número</x:v>
      </x:c>
      <x:c r="G269" s="69" t="str">
        <x:v>Texto→número</x:v>
      </x:c>
      <x:c r="H269" s="80" t="str">
        <x:v>OK</x:v>
      </x:c>
      <x:c r="I269" s="69" t="str"/>
      <x:c r="J269" s="69" t="str">
        <x:v>6.29604|-75.49909</x:v>
      </x:c>
      <x:c r="K269" s="82" t="n">
        <x:v>0</x:v>
      </x:c>
    </x:row>
    <x:row r="270">
      <x:c r="A270" s="76" t="n">
        <x:v>270</x:v>
      </x:c>
      <x:c r="B270" s="69" t="str">
        <x:v>6.0461</x:v>
      </x:c>
      <x:c r="C270" s="69" t="str">
        <x:v>-75.60367</x:v>
      </x:c>
      <x:c r="D270" s="78" t="n">
        <x:v>6.0461</x:v>
      </x:c>
      <x:c r="E270" s="78" t="n">
        <x:v>-75.60367</x:v>
      </x:c>
      <x:c r="F270" s="69" t="str">
        <x:v>Texto→número</x:v>
      </x:c>
      <x:c r="G270" s="69" t="str">
        <x:v>Texto→número</x:v>
      </x:c>
      <x:c r="H270" s="80" t="str">
        <x:v>OK</x:v>
      </x:c>
      <x:c r="I270" s="69" t="str"/>
      <x:c r="J270" s="69" t="str">
        <x:v>6.0461|-75.60367</x:v>
      </x:c>
      <x:c r="K270" s="82" t="n">
        <x:v>0</x:v>
      </x:c>
    </x:row>
    <x:row r="271">
      <x:c r="A271" s="76" t="n">
        <x:v>271</x:v>
      </x:c>
      <x:c r="B271" s="69" t="str">
        <x:v>6.0461</x:v>
      </x:c>
      <x:c r="C271" s="69" t="str">
        <x:v>-75.60367</x:v>
      </x:c>
      <x:c r="D271" s="78" t="n">
        <x:v>6.0461</x:v>
      </x:c>
      <x:c r="E271" s="78" t="n">
        <x:v>-75.60367</x:v>
      </x:c>
      <x:c r="F271" s="69" t="str">
        <x:v>Texto→número</x:v>
      </x:c>
      <x:c r="G271" s="69" t="str">
        <x:v>Texto→número</x:v>
      </x:c>
      <x:c r="H271" s="80" t="str">
        <x:v>OK</x:v>
      </x:c>
      <x:c r="I271" s="69" t="str"/>
      <x:c r="J271" s="69"/>
      <x:c r="K271" s="82" t="n">
        <x:v>1</x:v>
      </x:c>
    </x:row>
    <x:row r="272">
      <x:c r="A272" s="76" t="n">
        <x:v>272</x:v>
      </x:c>
      <x:c r="B272" s="69" t="str">
        <x:v>6.0461</x:v>
      </x:c>
      <x:c r="C272" s="69" t="str">
        <x:v>-75.60367</x:v>
      </x:c>
      <x:c r="D272" s="78" t="n">
        <x:v>6.0461</x:v>
      </x:c>
      <x:c r="E272" s="78" t="n">
        <x:v>-75.60367</x:v>
      </x:c>
      <x:c r="F272" s="69" t="str">
        <x:v>Texto→número</x:v>
      </x:c>
      <x:c r="G272" s="69" t="str">
        <x:v>Texto→número</x:v>
      </x:c>
      <x:c r="H272" s="80" t="str">
        <x:v>OK</x:v>
      </x:c>
      <x:c r="I272" s="69" t="str"/>
      <x:c r="J272" s="69"/>
      <x:c r="K272" s="82" t="n">
        <x:v>1</x:v>
      </x:c>
    </x:row>
    <x:row r="273">
      <x:c r="A273" s="76" t="n">
        <x:v>273</x:v>
      </x:c>
      <x:c r="B273" s="69" t="str">
        <x:v>6.08811</x:v>
      </x:c>
      <x:c r="C273" s="69" t="str">
        <x:v>-75.59638</x:v>
      </x:c>
      <x:c r="D273" s="78" t="n">
        <x:v>6.08811</x:v>
      </x:c>
      <x:c r="E273" s="78" t="n">
        <x:v>-75.59638</x:v>
      </x:c>
      <x:c r="F273" s="69" t="str">
        <x:v>Texto→número</x:v>
      </x:c>
      <x:c r="G273" s="69" t="str">
        <x:v>Texto→número</x:v>
      </x:c>
      <x:c r="H273" s="80" t="str">
        <x:v>OK</x:v>
      </x:c>
      <x:c r="I273" s="69" t="str"/>
      <x:c r="J273" s="69" t="str">
        <x:v>6.08811|-75.59638</x:v>
      </x:c>
      <x:c r="K273" s="82" t="n">
        <x:v>0</x:v>
      </x:c>
    </x:row>
    <x:row r="274">
      <x:c r="A274" s="76" t="n">
        <x:v>274</x:v>
      </x:c>
      <x:c r="B274" s="69" t="str">
        <x:v>6.08912</x:v>
      </x:c>
      <x:c r="C274" s="69" t="str">
        <x:v>-75.5913</x:v>
      </x:c>
      <x:c r="D274" s="78" t="n">
        <x:v>6.08912</x:v>
      </x:c>
      <x:c r="E274" s="78" t="n">
        <x:v>-75.5913</x:v>
      </x:c>
      <x:c r="F274" s="69" t="str">
        <x:v>Texto→número</x:v>
      </x:c>
      <x:c r="G274" s="69" t="str">
        <x:v>Texto→número</x:v>
      </x:c>
      <x:c r="H274" s="80" t="str">
        <x:v>OK</x:v>
      </x:c>
      <x:c r="I274" s="69" t="str"/>
      <x:c r="J274" s="69" t="str">
        <x:v>6.08912|-75.5913</x:v>
      </x:c>
      <x:c r="K274" s="82" t="n">
        <x:v>0</x:v>
      </x:c>
    </x:row>
    <x:row r="275">
      <x:c r="A275" s="76" t="n">
        <x:v>275</x:v>
      </x:c>
      <x:c r="B275" s="69" t="str">
        <x:v>6.33376</x:v>
      </x:c>
      <x:c r="C275" s="69" t="str">
        <x:v>-75.64393</x:v>
      </x:c>
      <x:c r="D275" s="78" t="n">
        <x:v>6.33376</x:v>
      </x:c>
      <x:c r="E275" s="78" t="n">
        <x:v>-75.64393</x:v>
      </x:c>
      <x:c r="F275" s="69" t="str">
        <x:v>Texto→número</x:v>
      </x:c>
      <x:c r="G275" s="69" t="str">
        <x:v>Texto→número</x:v>
      </x:c>
      <x:c r="H275" s="80" t="str">
        <x:v>OK</x:v>
      </x:c>
      <x:c r="I275" s="69" t="str"/>
      <x:c r="J275" s="69" t="str">
        <x:v>6.33376|-75.64393</x:v>
      </x:c>
      <x:c r="K275" s="82" t="n">
        <x:v>0</x:v>
      </x:c>
    </x:row>
    <x:row r="276">
      <x:c r="A276" s="76" t="n">
        <x:v>276</x:v>
      </x:c>
      <x:c r="B276" s="69" t="str">
        <x:v>6.3119</x:v>
      </x:c>
      <x:c r="C276" s="69" t="str">
        <x:v>-75.14621</x:v>
      </x:c>
      <x:c r="D276" s="78" t="n">
        <x:v>6.3119</x:v>
      </x:c>
      <x:c r="E276" s="78" t="n">
        <x:v>-75.14621</x:v>
      </x:c>
      <x:c r="F276" s="69" t="str">
        <x:v>Texto→número</x:v>
      </x:c>
      <x:c r="G276" s="69" t="str">
        <x:v>Texto→número</x:v>
      </x:c>
      <x:c r="H276" s="80" t="str">
        <x:v>OK</x:v>
      </x:c>
      <x:c r="I276" s="69" t="str"/>
      <x:c r="J276" s="69" t="str">
        <x:v>6.3119|-75.14621</x:v>
      </x:c>
      <x:c r="K276" s="82" t="n">
        <x:v>0</x:v>
      </x:c>
    </x:row>
    <x:row r="277">
      <x:c r="A277" s="76" t="n">
        <x:v>277</x:v>
      </x:c>
      <x:c r="B277" s="69" t="str">
        <x:v>6.3119</x:v>
      </x:c>
      <x:c r="C277" s="69" t="str">
        <x:v>-75.14621</x:v>
      </x:c>
      <x:c r="D277" s="78" t="n">
        <x:v>6.3119</x:v>
      </x:c>
      <x:c r="E277" s="78" t="n">
        <x:v>-75.14621</x:v>
      </x:c>
      <x:c r="F277" s="69" t="str">
        <x:v>Texto→número</x:v>
      </x:c>
      <x:c r="G277" s="69" t="str">
        <x:v>Texto→número</x:v>
      </x:c>
      <x:c r="H277" s="80" t="str">
        <x:v>OK</x:v>
      </x:c>
      <x:c r="I277" s="69" t="str"/>
      <x:c r="J277" s="69"/>
      <x:c r="K277" s="82" t="n">
        <x:v>1</x:v>
      </x:c>
    </x:row>
    <x:row r="278">
      <x:c r="A278" s="76" t="n">
        <x:v>278</x:v>
      </x:c>
      <x:c r="B278" s="69" t="str">
        <x:v>6.3119</x:v>
      </x:c>
      <x:c r="C278" s="69" t="str">
        <x:v>-75.14621</x:v>
      </x:c>
      <x:c r="D278" s="78" t="n">
        <x:v>6.3119</x:v>
      </x:c>
      <x:c r="E278" s="78" t="n">
        <x:v>-75.14621</x:v>
      </x:c>
      <x:c r="F278" s="69" t="str">
        <x:v>Texto→número</x:v>
      </x:c>
      <x:c r="G278" s="69" t="str">
        <x:v>Texto→número</x:v>
      </x:c>
      <x:c r="H278" s="80" t="str">
        <x:v>OK</x:v>
      </x:c>
      <x:c r="I278" s="69" t="str"/>
      <x:c r="J278" s="69"/>
      <x:c r="K278" s="82" t="n">
        <x:v>1</x:v>
      </x:c>
    </x:row>
    <x:row r="279">
      <x:c r="A279" s="76" t="n">
        <x:v>279</x:v>
      </x:c>
      <x:c r="B279" s="69" t="str">
        <x:v>6.72857</x:v>
      </x:c>
      <x:c r="C279" s="69" t="str">
        <x:v>-76.38452</x:v>
      </x:c>
      <x:c r="D279" s="78" t="n">
        <x:v>6.72857</x:v>
      </x:c>
      <x:c r="E279" s="78" t="n">
        <x:v>-76.38452</x:v>
      </x:c>
      <x:c r="F279" s="69" t="str">
        <x:v>Texto→número</x:v>
      </x:c>
      <x:c r="G279" s="69" t="str">
        <x:v>Texto→número</x:v>
      </x:c>
      <x:c r="H279" s="80" t="str">
        <x:v>OK</x:v>
      </x:c>
      <x:c r="I279" s="69" t="str"/>
      <x:c r="J279" s="69" t="str">
        <x:v>6.72857|-76.38452</x:v>
      </x:c>
      <x:c r="K279" s="82" t="n">
        <x:v>0</x:v>
      </x:c>
    </x:row>
    <x:row r="280">
      <x:c r="A280" s="76" t="n">
        <x:v>280</x:v>
      </x:c>
      <x:c r="B280" s="69" t="str">
        <x:v>6.26153</x:v>
      </x:c>
      <x:c r="C280" s="69" t="str">
        <x:v>-75.52237</x:v>
      </x:c>
      <x:c r="D280" s="78" t="n">
        <x:v>6.26153</x:v>
      </x:c>
      <x:c r="E280" s="78" t="n">
        <x:v>-75.52237</x:v>
      </x:c>
      <x:c r="F280" s="69" t="str">
        <x:v>Texto→número</x:v>
      </x:c>
      <x:c r="G280" s="69" t="str">
        <x:v>Texto→número</x:v>
      </x:c>
      <x:c r="H280" s="80" t="str">
        <x:v>OK</x:v>
      </x:c>
      <x:c r="I280" s="69" t="str"/>
      <x:c r="J280" s="69" t="str">
        <x:v>6.26153|-75.52237</x:v>
      </x:c>
      <x:c r="K280" s="82" t="n">
        <x:v>0</x:v>
      </x:c>
    </x:row>
    <x:row r="281">
      <x:c r="A281" s="76" t="n">
        <x:v>281</x:v>
      </x:c>
      <x:c r="B281" s="69" t="str">
        <x:v>5.97599</x:v>
      </x:c>
      <x:c r="C281" s="69" t="str">
        <x:v>-75.32827</x:v>
      </x:c>
      <x:c r="D281" s="78" t="n">
        <x:v>5.97599</x:v>
      </x:c>
      <x:c r="E281" s="78" t="n">
        <x:v>-75.32827</x:v>
      </x:c>
      <x:c r="F281" s="69" t="str">
        <x:v>Texto→número</x:v>
      </x:c>
      <x:c r="G281" s="69" t="str">
        <x:v>Texto→número</x:v>
      </x:c>
      <x:c r="H281" s="80" t="str">
        <x:v>OK</x:v>
      </x:c>
      <x:c r="I281" s="69" t="str"/>
      <x:c r="J281" s="69" t="str">
        <x:v>5.97599|-75.32827</x:v>
      </x:c>
      <x:c r="K281" s="82" t="n">
        <x:v>0</x:v>
      </x:c>
    </x:row>
    <x:row r="282">
      <x:c r="A282" s="76" t="n">
        <x:v>282</x:v>
      </x:c>
      <x:c r="B282" s="69" t="str">
        <x:v>6.3119</x:v>
      </x:c>
      <x:c r="C282" s="69" t="str">
        <x:v>-75.14621</x:v>
      </x:c>
      <x:c r="D282" s="78" t="n">
        <x:v>6.3119</x:v>
      </x:c>
      <x:c r="E282" s="78" t="n">
        <x:v>-75.14621</x:v>
      </x:c>
      <x:c r="F282" s="69" t="str">
        <x:v>Texto→número</x:v>
      </x:c>
      <x:c r="G282" s="69" t="str">
        <x:v>Texto→número</x:v>
      </x:c>
      <x:c r="H282" s="80" t="str">
        <x:v>OK</x:v>
      </x:c>
      <x:c r="I282" s="69" t="str"/>
      <x:c r="J282" s="69"/>
      <x:c r="K282" s="82" t="n">
        <x:v>1</x:v>
      </x:c>
    </x:row>
    <x:row r="283">
      <x:c r="A283" s="76" t="n">
        <x:v>283</x:v>
      </x:c>
      <x:c r="B283" s="69" t="str">
        <x:v>6.3119</x:v>
      </x:c>
      <x:c r="C283" s="69" t="str">
        <x:v>-75.14621</x:v>
      </x:c>
      <x:c r="D283" s="78" t="n">
        <x:v>6.3119</x:v>
      </x:c>
      <x:c r="E283" s="78" t="n">
        <x:v>-75.14621</x:v>
      </x:c>
      <x:c r="F283" s="69" t="str">
        <x:v>Texto→número</x:v>
      </x:c>
      <x:c r="G283" s="69" t="str">
        <x:v>Texto→número</x:v>
      </x:c>
      <x:c r="H283" s="80" t="str">
        <x:v>OK</x:v>
      </x:c>
      <x:c r="I283" s="69" t="str"/>
      <x:c r="J283" s="69"/>
      <x:c r="K283" s="82" t="n">
        <x:v>1</x:v>
      </x:c>
    </x:row>
    <x:row r="284">
      <x:c r="A284" s="76" t="n">
        <x:v>284</x:v>
      </x:c>
      <x:c r="B284" s="69" t="str">
        <x:v>5.6833333</x:v>
      </x:c>
      <x:c r="C284" s="69" t="str">
        <x:v>-75.2333333</x:v>
      </x:c>
      <x:c r="D284" s="78" t="n">
        <x:v>5.6833333</x:v>
      </x:c>
      <x:c r="E284" s="78" t="n">
        <x:v>-75.2333333</x:v>
      </x:c>
      <x:c r="F284" s="69" t="str">
        <x:v>Texto→número</x:v>
      </x:c>
      <x:c r="G284" s="69" t="str">
        <x:v>Texto→número</x:v>
      </x:c>
      <x:c r="H284" s="80" t="str">
        <x:v>OK</x:v>
      </x:c>
      <x:c r="I284" s="69" t="str"/>
      <x:c r="J284" s="69" t="str">
        <x:v>5.6833333|-75.2333333</x:v>
      </x:c>
      <x:c r="K284" s="82" t="n">
        <x:v>0</x:v>
      </x:c>
    </x:row>
    <x:row r="285">
      <x:c r="A285" s="76" t="n">
        <x:v>285</x:v>
      </x:c>
      <x:c r="B285" s="69" t="str">
        <x:v>5.5166667</x:v>
      </x:c>
      <x:c r="C285" s="69" t="str">
        <x:v>-75.8</x:v>
      </x:c>
      <x:c r="D285" s="78" t="n">
        <x:v>5.5166667</x:v>
      </x:c>
      <x:c r="E285" s="78" t="n">
        <x:v>-75.8</x:v>
      </x:c>
      <x:c r="F285" s="69" t="str">
        <x:v>Texto→número</x:v>
      </x:c>
      <x:c r="G285" s="69" t="str">
        <x:v>Texto→número</x:v>
      </x:c>
      <x:c r="H285" s="80" t="str">
        <x:v>OK</x:v>
      </x:c>
      <x:c r="I285" s="69" t="str"/>
      <x:c r="J285" s="69" t="str">
        <x:v>5.5166667|-75.8</x:v>
      </x:c>
      <x:c r="K285" s="82" t="n">
        <x:v>0</x:v>
      </x:c>
    </x:row>
    <x:row r="286">
      <x:c r="A286" s="76" t="n">
        <x:v>286</x:v>
      </x:c>
      <x:c r="B286" s="69" t="str">
        <x:v>5.6166667</x:v>
      </x:c>
      <x:c r="C286" s="69" t="str">
        <x:v>-75.8333333</x:v>
      </x:c>
      <x:c r="D286" s="78" t="n">
        <x:v>5.6166667</x:v>
      </x:c>
      <x:c r="E286" s="78" t="n">
        <x:v>-75.8333333</x:v>
      </x:c>
      <x:c r="F286" s="69" t="str">
        <x:v>Texto→número</x:v>
      </x:c>
      <x:c r="G286" s="69" t="str">
        <x:v>Texto→número</x:v>
      </x:c>
      <x:c r="H286" s="80" t="str">
        <x:v>OK</x:v>
      </x:c>
      <x:c r="I286" s="69" t="str"/>
      <x:c r="J286" s="69" t="str">
        <x:v>5.6166667|-75.8333333</x:v>
      </x:c>
      <x:c r="K286" s="82" t="n">
        <x:v>0</x:v>
      </x:c>
    </x:row>
    <x:row r="287">
      <x:c r="A287" s="76" t="n">
        <x:v>287</x:v>
      </x:c>
      <x:c r="B287" s="69" t="str">
        <x:v>6.5333333</x:v>
      </x:c>
      <x:c r="C287" s="69" t="str">
        <x:v>-75.5</x:v>
      </x:c>
      <x:c r="D287" s="78" t="n">
        <x:v>6.5333333</x:v>
      </x:c>
      <x:c r="E287" s="78" t="n">
        <x:v>-75.5</x:v>
      </x:c>
      <x:c r="F287" s="69" t="str">
        <x:v>Texto→número</x:v>
      </x:c>
      <x:c r="G287" s="69" t="str">
        <x:v>Texto→número</x:v>
      </x:c>
      <x:c r="H287" s="80" t="str">
        <x:v>OK</x:v>
      </x:c>
      <x:c r="I287" s="69" t="str"/>
      <x:c r="J287" s="69" t="str">
        <x:v>6.5333333|-75.5</x:v>
      </x:c>
      <x:c r="K287" s="82" t="n">
        <x:v>0</x:v>
      </x:c>
    </x:row>
    <x:row r="288">
      <x:c r="A288" s="76" t="n">
        <x:v>288</x:v>
      </x:c>
      <x:c r="B288" s="69" t="str">
        <x:v>7.02106</x:v>
      </x:c>
      <x:c r="C288" s="69" t="str">
        <x:v>-75.30811</x:v>
      </x:c>
      <x:c r="D288" s="78" t="n">
        <x:v>7.02106</x:v>
      </x:c>
      <x:c r="E288" s="78" t="n">
        <x:v>-75.30811</x:v>
      </x:c>
      <x:c r="F288" s="69" t="str">
        <x:v>Texto→número</x:v>
      </x:c>
      <x:c r="G288" s="69" t="str">
        <x:v>Texto→número</x:v>
      </x:c>
      <x:c r="H288" s="80" t="str">
        <x:v>OK</x:v>
      </x:c>
      <x:c r="I288" s="69" t="str"/>
      <x:c r="J288" s="69" t="str">
        <x:v>7.02106|-75.30811</x:v>
      </x:c>
      <x:c r="K288" s="82" t="n">
        <x:v>0</x:v>
      </x:c>
    </x:row>
    <x:row r="289">
      <x:c r="A289" s="76" t="n">
        <x:v>289</x:v>
      </x:c>
      <x:c r="B289" s="69" t="str">
        <x:v>6.31122</x:v>
      </x:c>
      <x:c r="C289" s="69" t="str">
        <x:v>-75.14609</x:v>
      </x:c>
      <x:c r="D289" s="78" t="n">
        <x:v>6.31122</x:v>
      </x:c>
      <x:c r="E289" s="78" t="n">
        <x:v>-75.14609</x:v>
      </x:c>
      <x:c r="F289" s="69" t="str">
        <x:v>Texto→número</x:v>
      </x:c>
      <x:c r="G289" s="69" t="str">
        <x:v>Texto→número</x:v>
      </x:c>
      <x:c r="H289" s="80" t="str">
        <x:v>OK</x:v>
      </x:c>
      <x:c r="I289" s="69" t="str"/>
      <x:c r="J289" s="69"/>
      <x:c r="K289" s="82" t="n">
        <x:v>1</x:v>
      </x:c>
    </x:row>
    <x:row r="290">
      <x:c r="A290" s="76" t="n">
        <x:v>290</x:v>
      </x:c>
      <x:c r="B290" s="69" t="str">
        <x:v>6.31122</x:v>
      </x:c>
      <x:c r="C290" s="69" t="str">
        <x:v>-75.14609</x:v>
      </x:c>
      <x:c r="D290" s="78" t="n">
        <x:v>6.31122</x:v>
      </x:c>
      <x:c r="E290" s="78" t="n">
        <x:v>-75.14609</x:v>
      </x:c>
      <x:c r="F290" s="69" t="str">
        <x:v>Texto→número</x:v>
      </x:c>
      <x:c r="G290" s="69" t="str">
        <x:v>Texto→número</x:v>
      </x:c>
      <x:c r="H290" s="80" t="str">
        <x:v>OK</x:v>
      </x:c>
      <x:c r="I290" s="69" t="str"/>
      <x:c r="J290" s="69"/>
      <x:c r="K290" s="82" t="n">
        <x:v>1</x:v>
      </x:c>
    </x:row>
    <x:row r="291">
      <x:c r="A291" s="76" t="n">
        <x:v>291</x:v>
      </x:c>
      <x:c r="B291" s="69" t="str">
        <x:v>6.31122</x:v>
      </x:c>
      <x:c r="C291" s="69" t="str">
        <x:v>-75.14609</x:v>
      </x:c>
      <x:c r="D291" s="78" t="n">
        <x:v>6.31122</x:v>
      </x:c>
      <x:c r="E291" s="78" t="n">
        <x:v>-75.14609</x:v>
      </x:c>
      <x:c r="F291" s="69" t="str">
        <x:v>Texto→número</x:v>
      </x:c>
      <x:c r="G291" s="69" t="str">
        <x:v>Texto→número</x:v>
      </x:c>
      <x:c r="H291" s="80" t="str">
        <x:v>OK</x:v>
      </x:c>
      <x:c r="I291" s="69" t="str"/>
      <x:c r="J291" s="69"/>
      <x:c r="K291" s="82" t="n">
        <x:v>1</x:v>
      </x:c>
    </x:row>
    <x:row r="292">
      <x:c r="A292" s="76" t="n">
        <x:v>292</x:v>
      </x:c>
      <x:c r="B292" s="69" t="str">
        <x:v>6.31122</x:v>
      </x:c>
      <x:c r="C292" s="69" t="str">
        <x:v>-75.14609</x:v>
      </x:c>
      <x:c r="D292" s="78" t="n">
        <x:v>6.31122</x:v>
      </x:c>
      <x:c r="E292" s="78" t="n">
        <x:v>-75.14609</x:v>
      </x:c>
      <x:c r="F292" s="69" t="str">
        <x:v>Texto→número</x:v>
      </x:c>
      <x:c r="G292" s="69" t="str">
        <x:v>Texto→número</x:v>
      </x:c>
      <x:c r="H292" s="80" t="str">
        <x:v>OK</x:v>
      </x:c>
      <x:c r="I292" s="69" t="str"/>
      <x:c r="J292" s="69"/>
      <x:c r="K292" s="82" t="n">
        <x:v>1</x:v>
      </x:c>
    </x:row>
    <x:row r="293">
      <x:c r="A293" s="76" t="n">
        <x:v>293</x:v>
      </x:c>
      <x:c r="B293" s="69" t="str">
        <x:v>6.31122</x:v>
      </x:c>
      <x:c r="C293" s="69" t="str">
        <x:v>-75.14609</x:v>
      </x:c>
      <x:c r="D293" s="78" t="n">
        <x:v>6.31122</x:v>
      </x:c>
      <x:c r="E293" s="78" t="n">
        <x:v>-75.14609</x:v>
      </x:c>
      <x:c r="F293" s="69" t="str">
        <x:v>Texto→número</x:v>
      </x:c>
      <x:c r="G293" s="69" t="str">
        <x:v>Texto→número</x:v>
      </x:c>
      <x:c r="H293" s="80" t="str">
        <x:v>OK</x:v>
      </x:c>
      <x:c r="I293" s="69" t="str"/>
      <x:c r="J293" s="69"/>
      <x:c r="K293" s="82" t="n">
        <x:v>1</x:v>
      </x:c>
    </x:row>
    <x:row r="294">
      <x:c r="A294" s="76" t="n">
        <x:v>294</x:v>
      </x:c>
      <x:c r="B294" s="69" t="str">
        <x:v>6.31122</x:v>
      </x:c>
      <x:c r="C294" s="69" t="str">
        <x:v>-75.14609</x:v>
      </x:c>
      <x:c r="D294" s="78" t="n">
        <x:v>6.31122</x:v>
      </x:c>
      <x:c r="E294" s="78" t="n">
        <x:v>-75.14609</x:v>
      </x:c>
      <x:c r="F294" s="69" t="str">
        <x:v>Texto→número</x:v>
      </x:c>
      <x:c r="G294" s="69" t="str">
        <x:v>Texto→número</x:v>
      </x:c>
      <x:c r="H294" s="80" t="str">
        <x:v>OK</x:v>
      </x:c>
      <x:c r="I294" s="69" t="str"/>
      <x:c r="J294" s="69"/>
      <x:c r="K294" s="82" t="n">
        <x:v>1</x:v>
      </x:c>
    </x:row>
    <x:row r="295">
      <x:c r="A295" s="76" t="n">
        <x:v>295</x:v>
      </x:c>
      <x:c r="B295" s="69" t="str">
        <x:v>6.31122</x:v>
      </x:c>
      <x:c r="C295" s="69" t="str">
        <x:v>-75.14609</x:v>
      </x:c>
      <x:c r="D295" s="78" t="n">
        <x:v>6.31122</x:v>
      </x:c>
      <x:c r="E295" s="78" t="n">
        <x:v>-75.14609</x:v>
      </x:c>
      <x:c r="F295" s="69" t="str">
        <x:v>Texto→número</x:v>
      </x:c>
      <x:c r="G295" s="69" t="str">
        <x:v>Texto→número</x:v>
      </x:c>
      <x:c r="H295" s="80" t="str">
        <x:v>OK</x:v>
      </x:c>
      <x:c r="I295" s="69" t="str"/>
      <x:c r="J295" s="69"/>
      <x:c r="K295" s="82" t="n">
        <x:v>1</x:v>
      </x:c>
    </x:row>
    <x:row r="296">
      <x:c r="A296" s="76" t="n">
        <x:v>296</x:v>
      </x:c>
      <x:c r="B296" s="69" t="str">
        <x:v>6.31122</x:v>
      </x:c>
      <x:c r="C296" s="69" t="str">
        <x:v>-75.14609</x:v>
      </x:c>
      <x:c r="D296" s="78" t="n">
        <x:v>6.31122</x:v>
      </x:c>
      <x:c r="E296" s="78" t="n">
        <x:v>-75.14609</x:v>
      </x:c>
      <x:c r="F296" s="69" t="str">
        <x:v>Texto→número</x:v>
      </x:c>
      <x:c r="G296" s="69" t="str">
        <x:v>Texto→número</x:v>
      </x:c>
      <x:c r="H296" s="80" t="str">
        <x:v>OK</x:v>
      </x:c>
      <x:c r="I296" s="69" t="str"/>
      <x:c r="J296" s="69"/>
      <x:c r="K296" s="82" t="n">
        <x:v>1</x:v>
      </x:c>
    </x:row>
    <x:row r="297">
      <x:c r="A297" s="76" t="n">
        <x:v>297</x:v>
      </x:c>
      <x:c r="B297" s="69" t="str">
        <x:v>6.31122</x:v>
      </x:c>
      <x:c r="C297" s="69" t="str">
        <x:v>-75.14609</x:v>
      </x:c>
      <x:c r="D297" s="78" t="n">
        <x:v>6.31122</x:v>
      </x:c>
      <x:c r="E297" s="78" t="n">
        <x:v>-75.14609</x:v>
      </x:c>
      <x:c r="F297" s="69" t="str">
        <x:v>Texto→número</x:v>
      </x:c>
      <x:c r="G297" s="69" t="str">
        <x:v>Texto→número</x:v>
      </x:c>
      <x:c r="H297" s="80" t="str">
        <x:v>OK</x:v>
      </x:c>
      <x:c r="I297" s="69" t="str"/>
      <x:c r="J297" s="69"/>
      <x:c r="K297" s="82" t="n">
        <x:v>1</x:v>
      </x:c>
    </x:row>
    <x:row r="298">
      <x:c r="A298" s="76" t="n">
        <x:v>298</x:v>
      </x:c>
      <x:c r="B298" s="69" t="str">
        <x:v>5.84579</x:v>
      </x:c>
      <x:c r="C298" s="69" t="str">
        <x:v>-74.97354</x:v>
      </x:c>
      <x:c r="D298" s="78" t="n">
        <x:v>5.84579</x:v>
      </x:c>
      <x:c r="E298" s="78" t="n">
        <x:v>-74.97354</x:v>
      </x:c>
      <x:c r="F298" s="69" t="str">
        <x:v>Texto→número</x:v>
      </x:c>
      <x:c r="G298" s="69" t="str">
        <x:v>Texto→número</x:v>
      </x:c>
      <x:c r="H298" s="80" t="str">
        <x:v>OK</x:v>
      </x:c>
      <x:c r="I298" s="69" t="str"/>
      <x:c r="J298" s="69" t="str">
        <x:v>5.84579|-74.97354</x:v>
      </x:c>
      <x:c r="K298" s="82" t="n">
        <x:v>0</x:v>
      </x:c>
    </x:row>
    <x:row r="299">
      <x:c r="A299" s="76" t="n">
        <x:v>299</x:v>
      </x:c>
      <x:c r="B299" s="69" t="str">
        <x:v>6.3</x:v>
      </x:c>
      <x:c r="C299" s="69" t="str">
        <x:v>-75.4833333</x:v>
      </x:c>
      <x:c r="D299" s="78" t="n">
        <x:v>6.3</x:v>
      </x:c>
      <x:c r="E299" s="78" t="n">
        <x:v>-75.4833333</x:v>
      </x:c>
      <x:c r="F299" s="69" t="str">
        <x:v>Texto→número</x:v>
      </x:c>
      <x:c r="G299" s="69" t="str">
        <x:v>Texto→número</x:v>
      </x:c>
      <x:c r="H299" s="80" t="str">
        <x:v>OK</x:v>
      </x:c>
      <x:c r="I299" s="69" t="str"/>
      <x:c r="J299" s="69" t="str">
        <x:v>6.3|-75.4833333</x:v>
      </x:c>
      <x:c r="K299" s="82" t="n">
        <x:v>0</x:v>
      </x:c>
    </x:row>
    <x:row r="300">
      <x:c r="A300" s="76" t="n">
        <x:v>300</x:v>
      </x:c>
      <x:c r="B300" s="69" t="str">
        <x:v>6.3</x:v>
      </x:c>
      <x:c r="C300" s="69" t="str">
        <x:v>-75.4833333</x:v>
      </x:c>
      <x:c r="D300" s="78" t="n">
        <x:v>6.3</x:v>
      </x:c>
      <x:c r="E300" s="78" t="n">
        <x:v>-75.4833333</x:v>
      </x:c>
      <x:c r="F300" s="69" t="str">
        <x:v>Texto→número</x:v>
      </x:c>
      <x:c r="G300" s="69" t="str">
        <x:v>Texto→número</x:v>
      </x:c>
      <x:c r="H300" s="80" t="str">
        <x:v>OK</x:v>
      </x:c>
      <x:c r="I300" s="69" t="str"/>
      <x:c r="J300" s="69"/>
      <x:c r="K300" s="82" t="n">
        <x:v>1</x:v>
      </x:c>
    </x:row>
    <x:row r="301">
      <x:c r="A301" s="76" t="n">
        <x:v>301</x:v>
      </x:c>
      <x:c r="B301" s="69" t="str">
        <x:v>6.25</x:v>
      </x:c>
      <x:c r="C301" s="69" t="str">
        <x:v>-75.5833333</x:v>
      </x:c>
      <x:c r="D301" s="78" t="n">
        <x:v>6.25</x:v>
      </x:c>
      <x:c r="E301" s="78" t="n">
        <x:v>-75.5833333</x:v>
      </x:c>
      <x:c r="F301" s="69" t="str">
        <x:v>Texto→número</x:v>
      </x:c>
      <x:c r="G301" s="69" t="str">
        <x:v>Texto→número</x:v>
      </x:c>
      <x:c r="H301" s="80" t="str">
        <x:v>OK</x:v>
      </x:c>
      <x:c r="I301" s="69" t="str"/>
      <x:c r="J301" s="69" t="str">
        <x:v>6.25|-75.5833333</x:v>
      </x:c>
      <x:c r="K301" s="82" t="n">
        <x:v>0</x:v>
      </x:c>
    </x:row>
    <x:row r="302">
      <x:c r="A302" s="76" t="n">
        <x:v>302</x:v>
      </x:c>
      <x:c r="B302" s="69" t="str">
        <x:v>6.0833333</x:v>
      </x:c>
      <x:c r="C302" s="69" t="str">
        <x:v>-75.6333333</x:v>
      </x:c>
      <x:c r="D302" s="78" t="n">
        <x:v>6.0833333</x:v>
      </x:c>
      <x:c r="E302" s="78" t="n">
        <x:v>-75.6333333</x:v>
      </x:c>
      <x:c r="F302" s="69" t="str">
        <x:v>Texto→número</x:v>
      </x:c>
      <x:c r="G302" s="69" t="str">
        <x:v>Texto→número</x:v>
      </x:c>
      <x:c r="H302" s="80" t="str">
        <x:v>OK</x:v>
      </x:c>
      <x:c r="I302" s="69" t="str"/>
      <x:c r="J302" s="69" t="str">
        <x:v>6.0833333|-75.6333333</x:v>
      </x:c>
      <x:c r="K302" s="82" t="n">
        <x:v>0</x:v>
      </x:c>
    </x:row>
    <x:row r="303">
      <x:c r="A303" s="76" t="n">
        <x:v>303</x:v>
      </x:c>
      <x:c r="B303" s="69" t="str">
        <x:v>6.1719444</x:v>
      </x:c>
      <x:c r="C303" s="69" t="str">
        <x:v>-75.5858333</x:v>
      </x:c>
      <x:c r="D303" s="78" t="n">
        <x:v>6.1719444</x:v>
      </x:c>
      <x:c r="E303" s="78" t="n">
        <x:v>-75.5858333</x:v>
      </x:c>
      <x:c r="F303" s="69" t="str">
        <x:v>Texto→número</x:v>
      </x:c>
      <x:c r="G303" s="69" t="str">
        <x:v>Texto→número</x:v>
      </x:c>
      <x:c r="H303" s="80" t="str">
        <x:v>OK</x:v>
      </x:c>
      <x:c r="I303" s="69" t="str"/>
      <x:c r="J303" s="69" t="str">
        <x:v>6.1719444|-75.5858333</x:v>
      </x:c>
      <x:c r="K303" s="82" t="n">
        <x:v>0</x:v>
      </x:c>
    </x:row>
    <x:row r="304">
      <x:c r="A304" s="76" t="n">
        <x:v>304</x:v>
      </x:c>
      <x:c r="B304" s="69" t="str">
        <x:v>6.0833333</x:v>
      </x:c>
      <x:c r="C304" s="69" t="str">
        <x:v>-75.6333333</x:v>
      </x:c>
      <x:c r="D304" s="78" t="n">
        <x:v>6.0833333</x:v>
      </x:c>
      <x:c r="E304" s="78" t="n">
        <x:v>-75.6333333</x:v>
      </x:c>
      <x:c r="F304" s="69" t="str">
        <x:v>Texto→número</x:v>
      </x:c>
      <x:c r="G304" s="69" t="str">
        <x:v>Texto→número</x:v>
      </x:c>
      <x:c r="H304" s="80" t="str">
        <x:v>OK</x:v>
      </x:c>
      <x:c r="I304" s="69" t="str"/>
      <x:c r="J304" s="69"/>
      <x:c r="K304" s="82" t="n">
        <x:v>1</x:v>
      </x:c>
    </x:row>
    <x:row r="305">
      <x:c r="A305" s="76" t="n">
        <x:v>305</x:v>
      </x:c>
      <x:c r="B305" s="69" t="str">
        <x:v>6.25</x:v>
      </x:c>
      <x:c r="C305" s="69" t="str">
        <x:v>-75.5833333</x:v>
      </x:c>
      <x:c r="D305" s="78" t="n">
        <x:v>6.25</x:v>
      </x:c>
      <x:c r="E305" s="78" t="n">
        <x:v>-75.5833333</x:v>
      </x:c>
      <x:c r="F305" s="69" t="str">
        <x:v>Texto→número</x:v>
      </x:c>
      <x:c r="G305" s="69" t="str">
        <x:v>Texto→número</x:v>
      </x:c>
      <x:c r="H305" s="80" t="str">
        <x:v>OK</x:v>
      </x:c>
      <x:c r="I305" s="69" t="str"/>
      <x:c r="J305" s="69"/>
      <x:c r="K305" s="82" t="n">
        <x:v>1</x:v>
      </x:c>
    </x:row>
    <x:row r="306">
      <x:c r="A306" s="76" t="n">
        <x:v>306</x:v>
      </x:c>
      <x:c r="B306" s="69" t="str">
        <x:v>5.85</x:v>
      </x:c>
      <x:c r="C306" s="69" t="str">
        <x:v>-75.3666667</x:v>
      </x:c>
      <x:c r="D306" s="78" t="n">
        <x:v>5.85</x:v>
      </x:c>
      <x:c r="E306" s="78" t="n">
        <x:v>-75.3666667</x:v>
      </x:c>
      <x:c r="F306" s="69" t="str">
        <x:v>Texto→número</x:v>
      </x:c>
      <x:c r="G306" s="69" t="str">
        <x:v>Texto→número</x:v>
      </x:c>
      <x:c r="H306" s="80" t="str">
        <x:v>OK</x:v>
      </x:c>
      <x:c r="I306" s="69" t="str"/>
      <x:c r="J306" s="69" t="str">
        <x:v>5.85|-75.3666667</x:v>
      </x:c>
      <x:c r="K306" s="82" t="n">
        <x:v>0</x:v>
      </x:c>
    </x:row>
    <x:row r="307">
      <x:c r="A307" s="76" t="n">
        <x:v>307</x:v>
      </x:c>
      <x:c r="B307" s="69" t="str">
        <x:v>6.2616667</x:v>
      </x:c>
      <x:c r="C307" s="69" t="str">
        <x:v>-75.5091111</x:v>
      </x:c>
      <x:c r="D307" s="78" t="n">
        <x:v>6.2616667</x:v>
      </x:c>
      <x:c r="E307" s="78" t="n">
        <x:v>-75.5091111</x:v>
      </x:c>
      <x:c r="F307" s="69" t="str">
        <x:v>Texto→número</x:v>
      </x:c>
      <x:c r="G307" s="69" t="str">
        <x:v>Texto→número</x:v>
      </x:c>
      <x:c r="H307" s="80" t="str">
        <x:v>OK</x:v>
      </x:c>
      <x:c r="I307" s="69" t="str"/>
      <x:c r="J307" s="69" t="str">
        <x:v>6.2616667|-75.5091111</x:v>
      </x:c>
      <x:c r="K307" s="82" t="n">
        <x:v>0</x:v>
      </x:c>
    </x:row>
    <x:row r="308">
      <x:c r="A308" s="76" t="n">
        <x:v>308</x:v>
      </x:c>
      <x:c r="B308" s="69" t="str">
        <x:v>6.2616667</x:v>
      </x:c>
      <x:c r="C308" s="69" t="str">
        <x:v>-75.5091111</x:v>
      </x:c>
      <x:c r="D308" s="78" t="n">
        <x:v>6.2616667</x:v>
      </x:c>
      <x:c r="E308" s="78" t="n">
        <x:v>-75.5091111</x:v>
      </x:c>
      <x:c r="F308" s="69" t="str">
        <x:v>Texto→número</x:v>
      </x:c>
      <x:c r="G308" s="69" t="str">
        <x:v>Texto→número</x:v>
      </x:c>
      <x:c r="H308" s="80" t="str">
        <x:v>OK</x:v>
      </x:c>
      <x:c r="I308" s="69" t="str"/>
      <x:c r="J308" s="69"/>
      <x:c r="K308" s="82" t="n">
        <x:v>1</x:v>
      </x:c>
    </x:row>
    <x:row r="309">
      <x:c r="A309" s="76" t="n">
        <x:v>309</x:v>
      </x:c>
      <x:c r="B309" s="69" t="str">
        <x:v>6.2616667</x:v>
      </x:c>
      <x:c r="C309" s="69" t="str">
        <x:v>-75.5091111</x:v>
      </x:c>
      <x:c r="D309" s="78" t="n">
        <x:v>6.2616667</x:v>
      </x:c>
      <x:c r="E309" s="78" t="n">
        <x:v>-75.5091111</x:v>
      </x:c>
      <x:c r="F309" s="69" t="str">
        <x:v>Texto→número</x:v>
      </x:c>
      <x:c r="G309" s="69" t="str">
        <x:v>Texto→número</x:v>
      </x:c>
      <x:c r="H309" s="80" t="str">
        <x:v>OK</x:v>
      </x:c>
      <x:c r="I309" s="69" t="str"/>
      <x:c r="J309" s="69"/>
      <x:c r="K309" s="82" t="n">
        <x:v>1</x:v>
      </x:c>
    </x:row>
    <x:row r="310">
      <x:c r="A310" s="76" t="n">
        <x:v>310</x:v>
      </x:c>
      <x:c r="B310" s="69" t="str">
        <x:v>6.5959167</x:v>
      </x:c>
      <x:c r="C310" s="69" t="str">
        <x:v>-75.6536111</x:v>
      </x:c>
      <x:c r="D310" s="78" t="n">
        <x:v>6.5959167</x:v>
      </x:c>
      <x:c r="E310" s="78" t="n">
        <x:v>-75.6536111</x:v>
      </x:c>
      <x:c r="F310" s="69" t="str">
        <x:v>Texto→número</x:v>
      </x:c>
      <x:c r="G310" s="69" t="str">
        <x:v>Texto→número</x:v>
      </x:c>
      <x:c r="H310" s="80" t="str">
        <x:v>OK</x:v>
      </x:c>
      <x:c r="I310" s="69" t="str"/>
      <x:c r="J310" s="69" t="str">
        <x:v>6.5959167|-75.6536111</x:v>
      </x:c>
      <x:c r="K310" s="82" t="n">
        <x:v>0</x:v>
      </x:c>
    </x:row>
    <x:row r="311">
      <x:c r="A311" s="76" t="n">
        <x:v>311</x:v>
      </x:c>
      <x:c r="B311" s="69" t="str">
        <x:v>6.5959167</x:v>
      </x:c>
      <x:c r="C311" s="69" t="str">
        <x:v>-75.6536111</x:v>
      </x:c>
      <x:c r="D311" s="78" t="n">
        <x:v>6.5959167</x:v>
      </x:c>
      <x:c r="E311" s="78" t="n">
        <x:v>-75.6536111</x:v>
      </x:c>
      <x:c r="F311" s="69" t="str">
        <x:v>Texto→número</x:v>
      </x:c>
      <x:c r="G311" s="69" t="str">
        <x:v>Texto→número</x:v>
      </x:c>
      <x:c r="H311" s="80" t="str">
        <x:v>OK</x:v>
      </x:c>
      <x:c r="I311" s="69" t="str"/>
      <x:c r="J311" s="69"/>
      <x:c r="K311" s="82" t="n">
        <x:v>1</x:v>
      </x:c>
    </x:row>
    <x:row r="312">
      <x:c r="A312" s="76" t="n">
        <x:v>312</x:v>
      </x:c>
      <x:c r="B312" s="69" t="str">
        <x:v>6.5959167</x:v>
      </x:c>
      <x:c r="C312" s="69" t="str">
        <x:v>-75.6536111</x:v>
      </x:c>
      <x:c r="D312" s="78" t="n">
        <x:v>6.5959167</x:v>
      </x:c>
      <x:c r="E312" s="78" t="n">
        <x:v>-75.6536111</x:v>
      </x:c>
      <x:c r="F312" s="69" t="str">
        <x:v>Texto→número</x:v>
      </x:c>
      <x:c r="G312" s="69" t="str">
        <x:v>Texto→número</x:v>
      </x:c>
      <x:c r="H312" s="80" t="str">
        <x:v>OK</x:v>
      </x:c>
      <x:c r="I312" s="69" t="str"/>
      <x:c r="J312" s="69"/>
      <x:c r="K312" s="82" t="n">
        <x:v>1</x:v>
      </x:c>
    </x:row>
    <x:row r="313">
      <x:c r="A313" s="76" t="n">
        <x:v>313</x:v>
      </x:c>
      <x:c r="B313" s="69" t="str">
        <x:v>6.78444</x:v>
      </x:c>
      <x:c r="C313" s="69" t="str">
        <x:v>-75.66938</x:v>
      </x:c>
      <x:c r="D313" s="78" t="n">
        <x:v>6.78444</x:v>
      </x:c>
      <x:c r="E313" s="78" t="n">
        <x:v>-75.66938</x:v>
      </x:c>
      <x:c r="F313" s="69" t="str">
        <x:v>Texto→número</x:v>
      </x:c>
      <x:c r="G313" s="69" t="str">
        <x:v>Texto→número</x:v>
      </x:c>
      <x:c r="H313" s="80" t="str">
        <x:v>OK</x:v>
      </x:c>
      <x:c r="I313" s="69" t="str"/>
      <x:c r="J313" s="69" t="str">
        <x:v>6.78444|-75.66938</x:v>
      </x:c>
      <x:c r="K313" s="82" t="n">
        <x:v>0</x:v>
      </x:c>
    </x:row>
    <x:row r="314">
      <x:c r="A314" s="76" t="n">
        <x:v>314</x:v>
      </x:c>
      <x:c r="B314" s="69" t="str">
        <x:v>6.78444</x:v>
      </x:c>
      <x:c r="C314" s="69" t="str">
        <x:v>-75.66938</x:v>
      </x:c>
      <x:c r="D314" s="78" t="n">
        <x:v>6.78444</x:v>
      </x:c>
      <x:c r="E314" s="78" t="n">
        <x:v>-75.66938</x:v>
      </x:c>
      <x:c r="F314" s="69" t="str">
        <x:v>Texto→número</x:v>
      </x:c>
      <x:c r="G314" s="69" t="str">
        <x:v>Texto→número</x:v>
      </x:c>
      <x:c r="H314" s="80" t="str">
        <x:v>OK</x:v>
      </x:c>
      <x:c r="I314" s="69" t="str"/>
      <x:c r="J314" s="69"/>
      <x:c r="K314" s="82" t="n">
        <x:v>1</x:v>
      </x:c>
    </x:row>
    <x:row r="315">
      <x:c r="A315" s="76" t="n">
        <x:v>315</x:v>
      </x:c>
      <x:c r="B315" s="69" t="str">
        <x:v>6.78444</x:v>
      </x:c>
      <x:c r="C315" s="69" t="str">
        <x:v>-75.66938</x:v>
      </x:c>
      <x:c r="D315" s="78" t="n">
        <x:v>6.78444</x:v>
      </x:c>
      <x:c r="E315" s="78" t="n">
        <x:v>-75.66938</x:v>
      </x:c>
      <x:c r="F315" s="69" t="str">
        <x:v>Texto→número</x:v>
      </x:c>
      <x:c r="G315" s="69" t="str">
        <x:v>Texto→número</x:v>
      </x:c>
      <x:c r="H315" s="80" t="str">
        <x:v>OK</x:v>
      </x:c>
      <x:c r="I315" s="69" t="str"/>
      <x:c r="J315" s="69"/>
      <x:c r="K315" s="82" t="n">
        <x:v>1</x:v>
      </x:c>
    </x:row>
    <x:row r="316">
      <x:c r="A316" s="76" t="n">
        <x:v>316</x:v>
      </x:c>
      <x:c r="B316" s="69" t="str">
        <x:v>6.78175</x:v>
      </x:c>
      <x:c r="C316" s="69" t="str">
        <x:v>-75.7928333</x:v>
      </x:c>
      <x:c r="D316" s="78" t="n">
        <x:v>6.78175</x:v>
      </x:c>
      <x:c r="E316" s="78" t="n">
        <x:v>-75.7928333</x:v>
      </x:c>
      <x:c r="F316" s="69" t="str">
        <x:v>Texto→número</x:v>
      </x:c>
      <x:c r="G316" s="69" t="str">
        <x:v>Texto→número</x:v>
      </x:c>
      <x:c r="H316" s="80" t="str">
        <x:v>OK</x:v>
      </x:c>
      <x:c r="I316" s="69" t="str"/>
      <x:c r="J316" s="69" t="str">
        <x:v>6.78175|-75.7928333</x:v>
      </x:c>
      <x:c r="K316" s="82" t="n">
        <x:v>0</x:v>
      </x:c>
    </x:row>
    <x:row r="317">
      <x:c r="A317" s="76" t="n">
        <x:v>317</x:v>
      </x:c>
      <x:c r="B317" s="69" t="str">
        <x:v>6.78175</x:v>
      </x:c>
      <x:c r="C317" s="69" t="str">
        <x:v>-75.7928333</x:v>
      </x:c>
      <x:c r="D317" s="78" t="n">
        <x:v>6.78175</x:v>
      </x:c>
      <x:c r="E317" s="78" t="n">
        <x:v>-75.7928333</x:v>
      </x:c>
      <x:c r="F317" s="69" t="str">
        <x:v>Texto→número</x:v>
      </x:c>
      <x:c r="G317" s="69" t="str">
        <x:v>Texto→número</x:v>
      </x:c>
      <x:c r="H317" s="80" t="str">
        <x:v>OK</x:v>
      </x:c>
      <x:c r="I317" s="69" t="str"/>
      <x:c r="J317" s="69"/>
      <x:c r="K317" s="82" t="n">
        <x:v>1</x:v>
      </x:c>
    </x:row>
    <x:row r="318">
      <x:c r="A318" s="76" t="n">
        <x:v>318</x:v>
      </x:c>
      <x:c r="B318" s="69" t="str">
        <x:v>6.7727778</x:v>
      </x:c>
      <x:c r="C318" s="69" t="str">
        <x:v>-75.7920278</x:v>
      </x:c>
      <x:c r="D318" s="78" t="n">
        <x:v>6.7727778</x:v>
      </x:c>
      <x:c r="E318" s="78" t="n">
        <x:v>-75.7920278</x:v>
      </x:c>
      <x:c r="F318" s="69" t="str">
        <x:v>Texto→número</x:v>
      </x:c>
      <x:c r="G318" s="69" t="str">
        <x:v>Texto→número</x:v>
      </x:c>
      <x:c r="H318" s="80" t="str">
        <x:v>OK</x:v>
      </x:c>
      <x:c r="I318" s="69" t="str"/>
      <x:c r="J318" s="69" t="str">
        <x:v>6.7727778|-75.7920278</x:v>
      </x:c>
      <x:c r="K318" s="82" t="n">
        <x:v>0</x:v>
      </x:c>
    </x:row>
    <x:row r="319">
      <x:c r="A319" s="76" t="n">
        <x:v>319</x:v>
      </x:c>
      <x:c r="B319" s="69" t="str">
        <x:v>6.2133333</x:v>
      </x:c>
      <x:c r="C319" s="69" t="str">
        <x:v>-75.4922778</x:v>
      </x:c>
      <x:c r="D319" s="78" t="n">
        <x:v>6.2133333</x:v>
      </x:c>
      <x:c r="E319" s="78" t="n">
        <x:v>-75.4922778</x:v>
      </x:c>
      <x:c r="F319" s="69" t="str">
        <x:v>Texto→número</x:v>
      </x:c>
      <x:c r="G319" s="69" t="str">
        <x:v>Texto→número</x:v>
      </x:c>
      <x:c r="H319" s="80" t="str">
        <x:v>OK</x:v>
      </x:c>
      <x:c r="I319" s="69" t="str"/>
      <x:c r="J319" s="69" t="str">
        <x:v>6.2133333|-75.4922778</x:v>
      </x:c>
      <x:c r="K319" s="82" t="n">
        <x:v>0</x:v>
      </x:c>
    </x:row>
    <x:row r="320">
      <x:c r="A320" s="76" t="n">
        <x:v>320</x:v>
      </x:c>
      <x:c r="B320" s="69" t="str">
        <x:v>5.93646</x:v>
      </x:c>
      <x:c r="C320" s="69" t="str">
        <x:v>-75.70248</x:v>
      </x:c>
      <x:c r="D320" s="78" t="n">
        <x:v>5.93646</x:v>
      </x:c>
      <x:c r="E320" s="78" t="n">
        <x:v>-75.70248</x:v>
      </x:c>
      <x:c r="F320" s="69" t="str">
        <x:v>Texto→número</x:v>
      </x:c>
      <x:c r="G320" s="69" t="str">
        <x:v>Texto→número</x:v>
      </x:c>
      <x:c r="H320" s="80" t="str">
        <x:v>OK</x:v>
      </x:c>
      <x:c r="I320" s="69" t="str"/>
      <x:c r="J320" s="69" t="str">
        <x:v>5.93646|-75.70248</x:v>
      </x:c>
      <x:c r="K320" s="82" t="n">
        <x:v>0</x:v>
      </x:c>
    </x:row>
    <x:row r="321">
      <x:c r="A321" s="76" t="n">
        <x:v>321</x:v>
      </x:c>
      <x:c r="B321" s="69" t="str">
        <x:v>6.2133333</x:v>
      </x:c>
      <x:c r="C321" s="69" t="str">
        <x:v>-75.4922778</x:v>
      </x:c>
      <x:c r="D321" s="78" t="n">
        <x:v>6.2133333</x:v>
      </x:c>
      <x:c r="E321" s="78" t="n">
        <x:v>-75.4922778</x:v>
      </x:c>
      <x:c r="F321" s="69" t="str">
        <x:v>Texto→número</x:v>
      </x:c>
      <x:c r="G321" s="69" t="str">
        <x:v>Texto→número</x:v>
      </x:c>
      <x:c r="H321" s="80" t="str">
        <x:v>OK</x:v>
      </x:c>
      <x:c r="I321" s="69" t="str"/>
      <x:c r="J321" s="69"/>
      <x:c r="K321" s="82" t="n">
        <x:v>1</x:v>
      </x:c>
    </x:row>
    <x:row r="322">
      <x:c r="A322" s="76" t="n">
        <x:v>322</x:v>
      </x:c>
      <x:c r="B322" s="69" t="str">
        <x:v>6.9820556</x:v>
      </x:c>
      <x:c r="C322" s="69" t="str">
        <x:v>-75.1328889</x:v>
      </x:c>
      <x:c r="D322" s="78" t="n">
        <x:v>6.9820556</x:v>
      </x:c>
      <x:c r="E322" s="78" t="n">
        <x:v>-75.1328889</x:v>
      </x:c>
      <x:c r="F322" s="69" t="str">
        <x:v>Texto→número</x:v>
      </x:c>
      <x:c r="G322" s="69" t="str">
        <x:v>Texto→número</x:v>
      </x:c>
      <x:c r="H322" s="80" t="str">
        <x:v>OK</x:v>
      </x:c>
      <x:c r="I322" s="69" t="str"/>
      <x:c r="J322" s="69" t="str">
        <x:v>6.9820556|-75.1328889</x:v>
      </x:c>
      <x:c r="K322" s="82" t="n">
        <x:v>0</x:v>
      </x:c>
    </x:row>
    <x:row r="323">
      <x:c r="A323" s="76" t="n">
        <x:v>323</x:v>
      </x:c>
      <x:c r="B323" s="69" t="str">
        <x:v>6.9820556</x:v>
      </x:c>
      <x:c r="C323" s="69" t="str">
        <x:v>-75.1328889</x:v>
      </x:c>
      <x:c r="D323" s="78" t="n">
        <x:v>6.9820556</x:v>
      </x:c>
      <x:c r="E323" s="78" t="n">
        <x:v>-75.1328889</x:v>
      </x:c>
      <x:c r="F323" s="69" t="str">
        <x:v>Texto→número</x:v>
      </x:c>
      <x:c r="G323" s="69" t="str">
        <x:v>Texto→número</x:v>
      </x:c>
      <x:c r="H323" s="80" t="str">
        <x:v>OK</x:v>
      </x:c>
      <x:c r="I323" s="69" t="str"/>
      <x:c r="J323" s="69"/>
      <x:c r="K323" s="82" t="n">
        <x:v>1</x:v>
      </x:c>
    </x:row>
    <x:row r="324">
      <x:c r="A324" s="76" t="n">
        <x:v>324</x:v>
      </x:c>
      <x:c r="B324" s="69" t="str">
        <x:v>5.9835556</x:v>
      </x:c>
      <x:c r="C324" s="69" t="str">
        <x:v>-75.6352222</x:v>
      </x:c>
      <x:c r="D324" s="78" t="n">
        <x:v>5.9835556</x:v>
      </x:c>
      <x:c r="E324" s="78" t="n">
        <x:v>-75.6352222</x:v>
      </x:c>
      <x:c r="F324" s="69" t="str">
        <x:v>Texto→número</x:v>
      </x:c>
      <x:c r="G324" s="69" t="str">
        <x:v>Texto→número</x:v>
      </x:c>
      <x:c r="H324" s="80" t="str">
        <x:v>OK</x:v>
      </x:c>
      <x:c r="I324" s="69" t="str"/>
      <x:c r="J324" s="69" t="str">
        <x:v>5.9835556|-75.6352222</x:v>
      </x:c>
      <x:c r="K324" s="82" t="n">
        <x:v>0</x:v>
      </x:c>
    </x:row>
    <x:row r="325">
      <x:c r="A325" s="76" t="n">
        <x:v>325</x:v>
      </x:c>
      <x:c r="B325" s="69" t="str">
        <x:v>5.487</x:v>
      </x:c>
      <x:c r="C325" s="69" t="str">
        <x:v>-75.8977778</x:v>
      </x:c>
      <x:c r="D325" s="78" t="n">
        <x:v>5.487</x:v>
      </x:c>
      <x:c r="E325" s="78" t="n">
        <x:v>-75.8977778</x:v>
      </x:c>
      <x:c r="F325" s="69" t="str">
        <x:v>Texto→número</x:v>
      </x:c>
      <x:c r="G325" s="69" t="str">
        <x:v>Texto→número</x:v>
      </x:c>
      <x:c r="H325" s="80" t="str">
        <x:v>OK</x:v>
      </x:c>
      <x:c r="I325" s="69" t="str"/>
      <x:c r="J325" s="69" t="str">
        <x:v>5.487|-75.8977778</x:v>
      </x:c>
      <x:c r="K325" s="82" t="n">
        <x:v>0</x:v>
      </x:c>
    </x:row>
    <x:row r="326">
      <x:c r="A326" s="76" t="n">
        <x:v>326</x:v>
      </x:c>
      <x:c r="B326" s="69" t="str">
        <x:v>6.1153</x:v>
      </x:c>
      <x:c r="C326" s="69" t="str">
        <x:v>-75.6983778</x:v>
      </x:c>
      <x:c r="D326" s="78" t="n">
        <x:v>6.1153</x:v>
      </x:c>
      <x:c r="E326" s="78" t="n">
        <x:v>-75.6983778</x:v>
      </x:c>
      <x:c r="F326" s="69" t="str">
        <x:v>Texto→número</x:v>
      </x:c>
      <x:c r="G326" s="69" t="str">
        <x:v>Texto→número</x:v>
      </x:c>
      <x:c r="H326" s="80" t="str">
        <x:v>OK</x:v>
      </x:c>
      <x:c r="I326" s="69" t="str"/>
      <x:c r="J326" s="69" t="str">
        <x:v>6.1153|-75.6983778</x:v>
      </x:c>
      <x:c r="K326" s="82" t="n">
        <x:v>0</x:v>
      </x:c>
    </x:row>
    <x:row r="327">
      <x:c r="A327" s="76" t="n">
        <x:v>327</x:v>
      </x:c>
      <x:c r="B327" s="69" t="str">
        <x:v>6.1153</x:v>
      </x:c>
      <x:c r="C327" s="69" t="str">
        <x:v>-75.6983778</x:v>
      </x:c>
      <x:c r="D327" s="78" t="n">
        <x:v>6.1153</x:v>
      </x:c>
      <x:c r="E327" s="78" t="n">
        <x:v>-75.6983778</x:v>
      </x:c>
      <x:c r="F327" s="69" t="str">
        <x:v>Texto→número</x:v>
      </x:c>
      <x:c r="G327" s="69" t="str">
        <x:v>Texto→número</x:v>
      </x:c>
      <x:c r="H327" s="80" t="str">
        <x:v>OK</x:v>
      </x:c>
      <x:c r="I327" s="69" t="str"/>
      <x:c r="J327" s="69"/>
      <x:c r="K327" s="82" t="n">
        <x:v>1</x:v>
      </x:c>
    </x:row>
    <x:row r="328">
      <x:c r="A328" s="76" t="n">
        <x:v>328</x:v>
      </x:c>
      <x:c r="B328" s="69" t="str">
        <x:v>6.1580556</x:v>
      </x:c>
      <x:c r="C328" s="69" t="str">
        <x:v>-75.7013889</x:v>
      </x:c>
      <x:c r="D328" s="78" t="n">
        <x:v>6.1580556</x:v>
      </x:c>
      <x:c r="E328" s="78" t="n">
        <x:v>-75.7013889</x:v>
      </x:c>
      <x:c r="F328" s="69" t="str">
        <x:v>Texto→número</x:v>
      </x:c>
      <x:c r="G328" s="69" t="str">
        <x:v>Texto→número</x:v>
      </x:c>
      <x:c r="H328" s="80" t="str">
        <x:v>OK</x:v>
      </x:c>
      <x:c r="I328" s="69" t="str"/>
      <x:c r="J328" s="69" t="str">
        <x:v>6.1580556|-75.7013889</x:v>
      </x:c>
      <x:c r="K328" s="82" t="n">
        <x:v>0</x:v>
      </x:c>
    </x:row>
    <x:row r="329">
      <x:c r="A329" s="76" t="n">
        <x:v>329</x:v>
      </x:c>
      <x:c r="B329" s="69" t="str">
        <x:v>6.2110278</x:v>
      </x:c>
      <x:c r="C329" s="69" t="str">
        <x:v>-75.6551389</x:v>
      </x:c>
      <x:c r="D329" s="78" t="n">
        <x:v>6.2110278</x:v>
      </x:c>
      <x:c r="E329" s="78" t="n">
        <x:v>-75.6551389</x:v>
      </x:c>
      <x:c r="F329" s="69" t="str">
        <x:v>Texto→número</x:v>
      </x:c>
      <x:c r="G329" s="69" t="str">
        <x:v>Texto→número</x:v>
      </x:c>
      <x:c r="H329" s="80" t="str">
        <x:v>OK</x:v>
      </x:c>
      <x:c r="I329" s="69" t="str"/>
      <x:c r="J329" s="69" t="str">
        <x:v>6.2110278|-75.6551389</x:v>
      </x:c>
      <x:c r="K329" s="82" t="n">
        <x:v>0</x:v>
      </x:c>
    </x:row>
    <x:row r="330">
      <x:c r="A330" s="76" t="n">
        <x:v>330</x:v>
      </x:c>
      <x:c r="B330" s="69" t="str">
        <x:v>6.2927</x:v>
      </x:c>
      <x:c r="C330" s="69" t="str">
        <x:v>-75.50709</x:v>
      </x:c>
      <x:c r="D330" s="78" t="n">
        <x:v>6.2927</x:v>
      </x:c>
      <x:c r="E330" s="78" t="n">
        <x:v>-75.50709</x:v>
      </x:c>
      <x:c r="F330" s="69" t="str">
        <x:v>Texto→número</x:v>
      </x:c>
      <x:c r="G330" s="69" t="str">
        <x:v>Texto→número</x:v>
      </x:c>
      <x:c r="H330" s="80" t="str">
        <x:v>OK</x:v>
      </x:c>
      <x:c r="I330" s="69" t="str"/>
      <x:c r="J330" s="69" t="str">
        <x:v>6.2927|-75.50709</x:v>
      </x:c>
      <x:c r="K330" s="82" t="n">
        <x:v>0</x:v>
      </x:c>
    </x:row>
    <x:row r="331">
      <x:c r="A331" s="76" t="n">
        <x:v>331</x:v>
      </x:c>
      <x:c r="B331" s="69" t="str">
        <x:v>6.53815</x:v>
      </x:c>
      <x:c r="C331" s="69" t="str">
        <x:v>-76.3222</x:v>
      </x:c>
      <x:c r="D331" s="78" t="n">
        <x:v>6.53815</x:v>
      </x:c>
      <x:c r="E331" s="78" t="n">
        <x:v>-76.3222</x:v>
      </x:c>
      <x:c r="F331" s="69" t="str">
        <x:v>Texto→número</x:v>
      </x:c>
      <x:c r="G331" s="69" t="str">
        <x:v>Texto→número</x:v>
      </x:c>
      <x:c r="H331" s="80" t="str">
        <x:v>OK</x:v>
      </x:c>
      <x:c r="I331" s="69" t="str"/>
      <x:c r="J331" s="69"/>
      <x:c r="K331" s="82" t="n">
        <x:v>1</x:v>
      </x:c>
    </x:row>
    <x:row r="332">
      <x:c r="A332" s="76" t="n">
        <x:v>332</x:v>
      </x:c>
      <x:c r="B332" s="69" t="str">
        <x:v>6.53815</x:v>
      </x:c>
      <x:c r="C332" s="69" t="str">
        <x:v>-76.3222</x:v>
      </x:c>
      <x:c r="D332" s="78" t="n">
        <x:v>6.53815</x:v>
      </x:c>
      <x:c r="E332" s="78" t="n">
        <x:v>-76.3222</x:v>
      </x:c>
      <x:c r="F332" s="69" t="str">
        <x:v>Texto→número</x:v>
      </x:c>
      <x:c r="G332" s="69" t="str">
        <x:v>Texto→número</x:v>
      </x:c>
      <x:c r="H332" s="80" t="str">
        <x:v>OK</x:v>
      </x:c>
      <x:c r="I332" s="69" t="str"/>
      <x:c r="J332" s="69"/>
      <x:c r="K332" s="82" t="n">
        <x:v>1</x:v>
      </x:c>
    </x:row>
    <x:row r="333">
      <x:c r="A333" s="76" t="n">
        <x:v>333</x:v>
      </x:c>
      <x:c r="B333" s="69" t="str">
        <x:v>6.25</x:v>
      </x:c>
      <x:c r="C333" s="69" t="str">
        <x:v>-75.5833333</x:v>
      </x:c>
      <x:c r="D333" s="78" t="n">
        <x:v>6.25</x:v>
      </x:c>
      <x:c r="E333" s="78" t="n">
        <x:v>-75.5833333</x:v>
      </x:c>
      <x:c r="F333" s="69" t="str">
        <x:v>Texto→número</x:v>
      </x:c>
      <x:c r="G333" s="69" t="str">
        <x:v>Texto→número</x:v>
      </x:c>
      <x:c r="H333" s="80" t="str">
        <x:v>OK</x:v>
      </x:c>
      <x:c r="I333" s="69" t="str"/>
      <x:c r="J333" s="69"/>
      <x:c r="K333" s="82" t="n">
        <x:v>1</x:v>
      </x:c>
    </x:row>
    <x:row r="334">
      <x:c r="A334" s="76" t="n">
        <x:v>334</x:v>
      </x:c>
      <x:c r="B334" s="69" t="str">
        <x:v>5.7076</x:v>
      </x:c>
      <x:c r="C334" s="69" t="str">
        <x:v>-73.46126</x:v>
      </x:c>
      <x:c r="D334" s="78" t="n">
        <x:v>5.7076</x:v>
      </x:c>
      <x:c r="E334" s="78" t="n">
        <x:v>-73.46126</x:v>
      </x:c>
      <x:c r="F334" s="69" t="str">
        <x:v>Texto→número</x:v>
      </x:c>
      <x:c r="G334" s="69" t="str">
        <x:v>Texto→número</x:v>
      </x:c>
      <x:c r="H334" s="80" t="str">
        <x:v>OK</x:v>
      </x:c>
      <x:c r="I334" s="69" t="str"/>
      <x:c r="J334" s="69" t="str">
        <x:v>5.7076|-73.46126</x:v>
      </x:c>
      <x:c r="K334" s="82" t="n">
        <x:v>0</x:v>
      </x:c>
    </x:row>
    <x:row r="335">
      <x:c r="A335" s="76" t="n">
        <x:v>335</x:v>
      </x:c>
      <x:c r="B335" s="69" t="str">
        <x:v>5.37946</x:v>
      </x:c>
      <x:c r="C335" s="69" t="str">
        <x:v>-75.16631</x:v>
      </x:c>
      <x:c r="D335" s="78" t="n">
        <x:v>5.37946</x:v>
      </x:c>
      <x:c r="E335" s="78" t="n">
        <x:v>-75.16631</x:v>
      </x:c>
      <x:c r="F335" s="69" t="str">
        <x:v>Texto→número</x:v>
      </x:c>
      <x:c r="G335" s="69" t="str">
        <x:v>Texto→número</x:v>
      </x:c>
      <x:c r="H335" s="80" t="str">
        <x:v>OK</x:v>
      </x:c>
      <x:c r="I335" s="69" t="str"/>
      <x:c r="J335" s="69" t="str">
        <x:v>5.37946|-75.16631</x:v>
      </x:c>
      <x:c r="K335" s="82" t="n">
        <x:v>0</x:v>
      </x:c>
    </x:row>
    <x:row r="336">
      <x:c r="A336" s="76" t="n">
        <x:v>336</x:v>
      </x:c>
      <x:c r="B336" s="69" t="str">
        <x:v>5.5188</x:v>
      </x:c>
      <x:c r="C336" s="69" t="str">
        <x:v>-75.04518</x:v>
      </x:c>
      <x:c r="D336" s="78" t="n">
        <x:v>5.5188</x:v>
      </x:c>
      <x:c r="E336" s="78" t="n">
        <x:v>-75.04518</x:v>
      </x:c>
      <x:c r="F336" s="69" t="str">
        <x:v>Texto→número</x:v>
      </x:c>
      <x:c r="G336" s="69" t="str">
        <x:v>Texto→número</x:v>
      </x:c>
      <x:c r="H336" s="80" t="str">
        <x:v>OK</x:v>
      </x:c>
      <x:c r="I336" s="69" t="str"/>
      <x:c r="J336" s="69" t="str">
        <x:v>5.5188|-75.04518</x:v>
      </x:c>
      <x:c r="K336" s="82" t="n">
        <x:v>0</x:v>
      </x:c>
    </x:row>
    <x:row r="337">
      <x:c r="A337" s="76" t="n">
        <x:v>337</x:v>
      </x:c>
      <x:c r="B337" s="69" t="str">
        <x:v>5.5188</x:v>
      </x:c>
      <x:c r="C337" s="69" t="str">
        <x:v>-75.04518</x:v>
      </x:c>
      <x:c r="D337" s="78" t="n">
        <x:v>5.5188</x:v>
      </x:c>
      <x:c r="E337" s="78" t="n">
        <x:v>-75.04518</x:v>
      </x:c>
      <x:c r="F337" s="69" t="str">
        <x:v>Texto→número</x:v>
      </x:c>
      <x:c r="G337" s="69" t="str">
        <x:v>Texto→número</x:v>
      </x:c>
      <x:c r="H337" s="80" t="str">
        <x:v>OK</x:v>
      </x:c>
      <x:c r="I337" s="69" t="str"/>
      <x:c r="J337" s="69"/>
      <x:c r="K337" s="82" t="n">
        <x:v>1</x:v>
      </x:c>
    </x:row>
    <x:row r="338">
      <x:c r="A338" s="76" t="n">
        <x:v>338</x:v>
      </x:c>
      <x:c r="B338" s="69" t="str">
        <x:v>5.06287</x:v>
      </x:c>
      <x:c r="C338" s="69" t="str">
        <x:v>-75.48212</x:v>
      </x:c>
      <x:c r="D338" s="78" t="n">
        <x:v>5.06287</x:v>
      </x:c>
      <x:c r="E338" s="78" t="n">
        <x:v>-75.48212</x:v>
      </x:c>
      <x:c r="F338" s="69" t="str">
        <x:v>Texto→número</x:v>
      </x:c>
      <x:c r="G338" s="69" t="str">
        <x:v>Texto→número</x:v>
      </x:c>
      <x:c r="H338" s="80" t="str">
        <x:v>OK</x:v>
      </x:c>
      <x:c r="I338" s="69" t="str"/>
      <x:c r="J338" s="69" t="str">
        <x:v>5.06287|-75.48212</x:v>
      </x:c>
      <x:c r="K338" s="82" t="n">
        <x:v>0</x:v>
      </x:c>
    </x:row>
    <x:row r="339">
      <x:c r="A339" s="76" t="n">
        <x:v>339</x:v>
      </x:c>
      <x:c r="B339" s="69" t="str">
        <x:v>4.9517</x:v>
      </x:c>
      <x:c r="C339" s="69" t="str">
        <x:v>-75.43127</x:v>
      </x:c>
      <x:c r="D339" s="78" t="n">
        <x:v>4.9517</x:v>
      </x:c>
      <x:c r="E339" s="78" t="n">
        <x:v>-75.43127</x:v>
      </x:c>
      <x:c r="F339" s="69" t="str">
        <x:v>Texto→número</x:v>
      </x:c>
      <x:c r="G339" s="69" t="str">
        <x:v>Texto→número</x:v>
      </x:c>
      <x:c r="H339" s="80" t="str">
        <x:v>OK</x:v>
      </x:c>
      <x:c r="I339" s="69" t="str"/>
      <x:c r="J339" s="69" t="str">
        <x:v>4.9517|-75.43127</x:v>
      </x:c>
      <x:c r="K339" s="82" t="n">
        <x:v>0</x:v>
      </x:c>
    </x:row>
    <x:row r="340">
      <x:c r="A340" s="76" t="n">
        <x:v>340</x:v>
      </x:c>
      <x:c r="B340" s="69" t="str">
        <x:v>5.4581</x:v>
      </x:c>
      <x:c r="C340" s="69" t="str">
        <x:v>-75.69852</x:v>
      </x:c>
      <x:c r="D340" s="78" t="n">
        <x:v>5.4581</x:v>
      </x:c>
      <x:c r="E340" s="78" t="n">
        <x:v>-75.69852</x:v>
      </x:c>
      <x:c r="F340" s="69" t="str">
        <x:v>Texto→número</x:v>
      </x:c>
      <x:c r="G340" s="69" t="str">
        <x:v>Texto→número</x:v>
      </x:c>
      <x:c r="H340" s="80" t="str">
        <x:v>OK</x:v>
      </x:c>
      <x:c r="I340" s="69" t="str"/>
      <x:c r="J340" s="69" t="str">
        <x:v>5.4581|-75.69852</x:v>
      </x:c>
      <x:c r="K340" s="82" t="n">
        <x:v>0</x:v>
      </x:c>
    </x:row>
    <x:row r="341">
      <x:c r="A341" s="76" t="n">
        <x:v>341</x:v>
      </x:c>
      <x:c r="B341" s="69" t="str">
        <x:v>5.12739</x:v>
      </x:c>
      <x:c r="C341" s="69" t="str">
        <x:v>-75.7784</x:v>
      </x:c>
      <x:c r="D341" s="78" t="n">
        <x:v>5.12739</x:v>
      </x:c>
      <x:c r="E341" s="78" t="n">
        <x:v>-75.7784</x:v>
      </x:c>
      <x:c r="F341" s="69" t="str">
        <x:v>Texto→número</x:v>
      </x:c>
      <x:c r="G341" s="69" t="str">
        <x:v>Texto→número</x:v>
      </x:c>
      <x:c r="H341" s="80" t="str">
        <x:v>OK</x:v>
      </x:c>
      <x:c r="I341" s="69" t="str"/>
      <x:c r="J341" s="69"/>
      <x:c r="K341" s="82" t="n">
        <x:v>1</x:v>
      </x:c>
    </x:row>
    <x:row r="342">
      <x:c r="A342" s="76" t="n">
        <x:v>342</x:v>
      </x:c>
      <x:c r="B342" s="69" t="str">
        <x:v>5.4228</x:v>
      </x:c>
      <x:c r="C342" s="69" t="str">
        <x:v>-75.06335</x:v>
      </x:c>
      <x:c r="D342" s="78" t="n">
        <x:v>5.4228</x:v>
      </x:c>
      <x:c r="E342" s="78" t="n">
        <x:v>-75.06335</x:v>
      </x:c>
      <x:c r="F342" s="69" t="str">
        <x:v>Texto→número</x:v>
      </x:c>
      <x:c r="G342" s="69" t="str">
        <x:v>Texto→número</x:v>
      </x:c>
      <x:c r="H342" s="80" t="str">
        <x:v>OK</x:v>
      </x:c>
      <x:c r="I342" s="69" t="str"/>
      <x:c r="J342" s="69" t="str">
        <x:v>5.4228|-75.06335</x:v>
      </x:c>
      <x:c r="K342" s="82" t="n">
        <x:v>0</x:v>
      </x:c>
    </x:row>
    <x:row r="343">
      <x:c r="A343" s="76" t="n">
        <x:v>343</x:v>
      </x:c>
      <x:c r="B343" s="69" t="str">
        <x:v>4.9848806</x:v>
      </x:c>
      <x:c r="C343" s="69" t="str">
        <x:v>-75.4511389</x:v>
      </x:c>
      <x:c r="D343" s="78" t="n">
        <x:v>4.9848806</x:v>
      </x:c>
      <x:c r="E343" s="78" t="n">
        <x:v>-75.4511389</x:v>
      </x:c>
      <x:c r="F343" s="69" t="str">
        <x:v>Texto→número</x:v>
      </x:c>
      <x:c r="G343" s="69" t="str">
        <x:v>Texto→número</x:v>
      </x:c>
      <x:c r="H343" s="80" t="str">
        <x:v>OK</x:v>
      </x:c>
      <x:c r="I343" s="69" t="str"/>
      <x:c r="J343" s="69"/>
      <x:c r="K343" s="82" t="n">
        <x:v>1</x:v>
      </x:c>
    </x:row>
    <x:row r="344">
      <x:c r="A344" s="76" t="n">
        <x:v>344</x:v>
      </x:c>
      <x:c r="B344" s="69" t="str">
        <x:v>5.38329</x:v>
      </x:c>
      <x:c r="C344" s="69" t="str">
        <x:v>-75.35331</x:v>
      </x:c>
      <x:c r="D344" s="78" t="n">
        <x:v>5.38329</x:v>
      </x:c>
      <x:c r="E344" s="78" t="n">
        <x:v>-75.35331</x:v>
      </x:c>
      <x:c r="F344" s="69" t="str">
        <x:v>Texto→número</x:v>
      </x:c>
      <x:c r="G344" s="69" t="str">
        <x:v>Texto→número</x:v>
      </x:c>
      <x:c r="H344" s="80" t="str">
        <x:v>OK</x:v>
      </x:c>
      <x:c r="I344" s="69" t="str"/>
      <x:c r="J344" s="69"/>
      <x:c r="K344" s="82" t="n">
        <x:v>1</x:v>
      </x:c>
    </x:row>
    <x:row r="345">
      <x:c r="A345" s="76" t="n">
        <x:v>345</x:v>
      </x:c>
      <x:c r="B345" s="69" t="str">
        <x:v>5.37045</x:v>
      </x:c>
      <x:c r="C345" s="69" t="str">
        <x:v>-75.38595</x:v>
      </x:c>
      <x:c r="D345" s="78" t="n">
        <x:v>5.37045</x:v>
      </x:c>
      <x:c r="E345" s="78" t="n">
        <x:v>-75.38595</x:v>
      </x:c>
      <x:c r="F345" s="69" t="str">
        <x:v>Texto→número</x:v>
      </x:c>
      <x:c r="G345" s="69" t="str">
        <x:v>Texto→número</x:v>
      </x:c>
      <x:c r="H345" s="80" t="str">
        <x:v>OK</x:v>
      </x:c>
      <x:c r="I345" s="69" t="str"/>
      <x:c r="J345" s="69"/>
      <x:c r="K345" s="82" t="n">
        <x:v>1</x:v>
      </x:c>
    </x:row>
    <x:row r="346">
      <x:c r="A346" s="76" t="n">
        <x:v>346</x:v>
      </x:c>
      <x:c r="B346" s="69" t="str">
        <x:v>2.50998</x:v>
      </x:c>
      <x:c r="C346" s="69" t="str">
        <x:v>-76.9786</x:v>
      </x:c>
      <x:c r="D346" s="78" t="n">
        <x:v>2.50998</x:v>
      </x:c>
      <x:c r="E346" s="78" t="n">
        <x:v>-76.9786</x:v>
      </x:c>
      <x:c r="F346" s="69" t="str">
        <x:v>Texto→número</x:v>
      </x:c>
      <x:c r="G346" s="69" t="str">
        <x:v>Texto→número</x:v>
      </x:c>
      <x:c r="H346" s="80" t="str">
        <x:v>OK</x:v>
      </x:c>
      <x:c r="I346" s="69" t="str"/>
      <x:c r="J346" s="69" t="str">
        <x:v>2.50998|-76.9786</x:v>
      </x:c>
      <x:c r="K346" s="82" t="n">
        <x:v>0</x:v>
      </x:c>
    </x:row>
    <x:row r="347">
      <x:c r="A347" s="76" t="n">
        <x:v>347</x:v>
      </x:c>
      <x:c r="B347" s="69" t="str">
        <x:v>2.43372</x:v>
      </x:c>
      <x:c r="C347" s="69" t="str">
        <x:v>-76.8005</x:v>
      </x:c>
      <x:c r="D347" s="78" t="n">
        <x:v>2.43372</x:v>
      </x:c>
      <x:c r="E347" s="78" t="n">
        <x:v>-76.8005</x:v>
      </x:c>
      <x:c r="F347" s="69" t="str">
        <x:v>Texto→número</x:v>
      </x:c>
      <x:c r="G347" s="69" t="str">
        <x:v>Texto→número</x:v>
      </x:c>
      <x:c r="H347" s="80" t="str">
        <x:v>OK</x:v>
      </x:c>
      <x:c r="I347" s="69" t="str"/>
      <x:c r="J347" s="69" t="str">
        <x:v>2.43372|-76.8005</x:v>
      </x:c>
      <x:c r="K347" s="82" t="n">
        <x:v>0</x:v>
      </x:c>
    </x:row>
    <x:row r="348">
      <x:c r="A348" s="76" t="n">
        <x:v>348</x:v>
      </x:c>
      <x:c r="B348" s="69" t="str">
        <x:v>2.81911</x:v>
      </x:c>
      <x:c r="C348" s="69" t="str">
        <x:v>-76.50968</x:v>
      </x:c>
      <x:c r="D348" s="78" t="n">
        <x:v>2.81911</x:v>
      </x:c>
      <x:c r="E348" s="78" t="n">
        <x:v>-76.50968</x:v>
      </x:c>
      <x:c r="F348" s="69" t="str">
        <x:v>Texto→número</x:v>
      </x:c>
      <x:c r="G348" s="69" t="str">
        <x:v>Texto→número</x:v>
      </x:c>
      <x:c r="H348" s="80" t="str">
        <x:v>OK</x:v>
      </x:c>
      <x:c r="I348" s="69" t="str"/>
      <x:c r="J348" s="69" t="str">
        <x:v>2.81911|-76.50968</x:v>
      </x:c>
      <x:c r="K348" s="82" t="n">
        <x:v>0</x:v>
      </x:c>
    </x:row>
    <x:row r="349">
      <x:c r="A349" s="76" t="n">
        <x:v>349</x:v>
      </x:c>
      <x:c r="B349" s="69" t="str">
        <x:v>1.2331444</x:v>
      </x:c>
      <x:c r="C349" s="69" t="str">
        <x:v>-76.5328444</x:v>
      </x:c>
      <x:c r="D349" s="78" t="n">
        <x:v>1.2331444</x:v>
      </x:c>
      <x:c r="E349" s="78" t="n">
        <x:v>-76.5328444</x:v>
      </x:c>
      <x:c r="F349" s="69" t="str">
        <x:v>Texto→número</x:v>
      </x:c>
      <x:c r="G349" s="69" t="str">
        <x:v>Texto→número</x:v>
      </x:c>
      <x:c r="H349" s="80" t="str">
        <x:v>OK</x:v>
      </x:c>
      <x:c r="I349" s="69" t="str"/>
      <x:c r="J349" s="69"/>
      <x:c r="K349" s="82" t="n">
        <x:v>1</x:v>
      </x:c>
    </x:row>
    <x:row r="350">
      <x:c r="A350" s="76" t="n">
        <x:v>350</x:v>
      </x:c>
      <x:c r="B350" s="69" t="str">
        <x:v>1.2331444</x:v>
      </x:c>
      <x:c r="C350" s="69" t="str">
        <x:v>-76.5328444</x:v>
      </x:c>
      <x:c r="D350" s="78" t="n">
        <x:v>1.2331444</x:v>
      </x:c>
      <x:c r="E350" s="78" t="n">
        <x:v>-76.5328444</x:v>
      </x:c>
      <x:c r="F350" s="69" t="str">
        <x:v>Texto→número</x:v>
      </x:c>
      <x:c r="G350" s="69" t="str">
        <x:v>Texto→número</x:v>
      </x:c>
      <x:c r="H350" s="80" t="str">
        <x:v>OK</x:v>
      </x:c>
      <x:c r="I350" s="69" t="str"/>
      <x:c r="J350" s="69"/>
      <x:c r="K350" s="82" t="n">
        <x:v>1</x:v>
      </x:c>
    </x:row>
    <x:row r="351">
      <x:c r="A351" s="76" t="n">
        <x:v>351</x:v>
      </x:c>
      <x:c r="B351" s="69" t="str">
        <x:v>1.2331444</x:v>
      </x:c>
      <x:c r="C351" s="69" t="str">
        <x:v>-76.5328444</x:v>
      </x:c>
      <x:c r="D351" s="78" t="n">
        <x:v>1.2331444</x:v>
      </x:c>
      <x:c r="E351" s="78" t="n">
        <x:v>-76.5328444</x:v>
      </x:c>
      <x:c r="F351" s="69" t="str">
        <x:v>Texto→número</x:v>
      </x:c>
      <x:c r="G351" s="69" t="str">
        <x:v>Texto→número</x:v>
      </x:c>
      <x:c r="H351" s="80" t="str">
        <x:v>OK</x:v>
      </x:c>
      <x:c r="I351" s="69" t="str"/>
      <x:c r="J351" s="69"/>
      <x:c r="K351" s="82" t="n">
        <x:v>1</x:v>
      </x:c>
    </x:row>
    <x:row r="352">
      <x:c r="A352" s="76" t="n">
        <x:v>352</x:v>
      </x:c>
      <x:c r="B352" s="69" t="str">
        <x:v>2.51058</x:v>
      </x:c>
      <x:c r="C352" s="69" t="str">
        <x:v>-76.98421</x:v>
      </x:c>
      <x:c r="D352" s="78" t="n">
        <x:v>2.51058</x:v>
      </x:c>
      <x:c r="E352" s="78" t="n">
        <x:v>-76.98421</x:v>
      </x:c>
      <x:c r="F352" s="69" t="str">
        <x:v>Texto→número</x:v>
      </x:c>
      <x:c r="G352" s="69" t="str">
        <x:v>Texto→número</x:v>
      </x:c>
      <x:c r="H352" s="80" t="str">
        <x:v>OK</x:v>
      </x:c>
      <x:c r="I352" s="69" t="str"/>
      <x:c r="J352" s="69"/>
      <x:c r="K352" s="82" t="n">
        <x:v>1</x:v>
      </x:c>
    </x:row>
    <x:row r="353">
      <x:c r="A353" s="76" t="n">
        <x:v>353</x:v>
      </x:c>
      <x:c r="B353" s="69" t="str">
        <x:v>2.4666667</x:v>
      </x:c>
      <x:c r="C353" s="69" t="str">
        <x:v>-76.6166667</x:v>
      </x:c>
      <x:c r="D353" s="78" t="n">
        <x:v>2.4666667</x:v>
      </x:c>
      <x:c r="E353" s="78" t="n">
        <x:v>-76.6166667</x:v>
      </x:c>
      <x:c r="F353" s="69" t="str">
        <x:v>Texto→número</x:v>
      </x:c>
      <x:c r="G353" s="69" t="str">
        <x:v>Texto→número</x:v>
      </x:c>
      <x:c r="H353" s="80" t="str">
        <x:v>OK</x:v>
      </x:c>
      <x:c r="I353" s="69" t="str"/>
      <x:c r="J353" s="69" t="str">
        <x:v>2.4666667|-76.6166667</x:v>
      </x:c>
      <x:c r="K353" s="82" t="n">
        <x:v>0</x:v>
      </x:c>
    </x:row>
    <x:row r="354">
      <x:c r="A354" s="76" t="n">
        <x:v>354</x:v>
      </x:c>
      <x:c r="B354" s="69" t="str">
        <x:v>2.51058</x:v>
      </x:c>
      <x:c r="C354" s="69" t="str">
        <x:v>-76.98421</x:v>
      </x:c>
      <x:c r="D354" s="78" t="n">
        <x:v>2.51058</x:v>
      </x:c>
      <x:c r="E354" s="78" t="n">
        <x:v>-76.98421</x:v>
      </x:c>
      <x:c r="F354" s="69" t="str">
        <x:v>Texto→número</x:v>
      </x:c>
      <x:c r="G354" s="69" t="str">
        <x:v>Texto→número</x:v>
      </x:c>
      <x:c r="H354" s="80" t="str">
        <x:v>OK</x:v>
      </x:c>
      <x:c r="I354" s="69" t="str"/>
      <x:c r="J354" s="69"/>
      <x:c r="K354" s="82" t="n">
        <x:v>1</x:v>
      </x:c>
    </x:row>
    <x:row r="355">
      <x:c r="A355" s="76" t="n">
        <x:v>355</x:v>
      </x:c>
      <x:c r="B355" s="69" t="str">
        <x:v>2.51058</x:v>
      </x:c>
      <x:c r="C355" s="69" t="str">
        <x:v>-76.98421</x:v>
      </x:c>
      <x:c r="D355" s="78" t="n">
        <x:v>2.51058</x:v>
      </x:c>
      <x:c r="E355" s="78" t="n">
        <x:v>-76.98421</x:v>
      </x:c>
      <x:c r="F355" s="69" t="str">
        <x:v>Texto→número</x:v>
      </x:c>
      <x:c r="G355" s="69" t="str">
        <x:v>Texto→número</x:v>
      </x:c>
      <x:c r="H355" s="80" t="str">
        <x:v>OK</x:v>
      </x:c>
      <x:c r="I355" s="69" t="str"/>
      <x:c r="J355" s="69"/>
      <x:c r="K355" s="82" t="n">
        <x:v>1</x:v>
      </x:c>
    </x:row>
    <x:row r="356">
      <x:c r="A356" s="76" t="n">
        <x:v>356</x:v>
      </x:c>
      <x:c r="B356" s="69" t="str">
        <x:v>1.5551944</x:v>
      </x:c>
      <x:c r="C356" s="69" t="str">
        <x:v>-76.3051667</x:v>
      </x:c>
      <x:c r="D356" s="78" t="n">
        <x:v>1.5551944</x:v>
      </x:c>
      <x:c r="E356" s="78" t="n">
        <x:v>-76.3051667</x:v>
      </x:c>
      <x:c r="F356" s="69" t="str">
        <x:v>Texto→número</x:v>
      </x:c>
      <x:c r="G356" s="69" t="str">
        <x:v>Texto→número</x:v>
      </x:c>
      <x:c r="H356" s="80" t="str">
        <x:v>OK</x:v>
      </x:c>
      <x:c r="I356" s="69" t="str"/>
      <x:c r="J356" s="69"/>
      <x:c r="K356" s="82" t="n">
        <x:v>1</x:v>
      </x:c>
    </x:row>
    <x:row r="357">
      <x:c r="A357" s="76" t="n">
        <x:v>357</x:v>
      </x:c>
      <x:c r="B357" s="69" t="str">
        <x:v>2.51058</x:v>
      </x:c>
      <x:c r="C357" s="69" t="str">
        <x:v>-76.98421</x:v>
      </x:c>
      <x:c r="D357" s="78" t="n">
        <x:v>2.51058</x:v>
      </x:c>
      <x:c r="E357" s="78" t="n">
        <x:v>-76.98421</x:v>
      </x:c>
      <x:c r="F357" s="69" t="str">
        <x:v>Texto→número</x:v>
      </x:c>
      <x:c r="G357" s="69" t="str">
        <x:v>Texto→número</x:v>
      </x:c>
      <x:c r="H357" s="80" t="str">
        <x:v>OK</x:v>
      </x:c>
      <x:c r="I357" s="69" t="str"/>
      <x:c r="J357" s="69"/>
      <x:c r="K357" s="82" t="n">
        <x:v>1</x:v>
      </x:c>
    </x:row>
    <x:row r="358">
      <x:c r="A358" s="76" t="n">
        <x:v>358</x:v>
      </x:c>
      <x:c r="B358" s="69" t="str">
        <x:v>10.38155</x:v>
      </x:c>
      <x:c r="C358" s="69" t="str">
        <x:v>-72.94482</x:v>
      </x:c>
      <x:c r="D358" s="78" t="n">
        <x:v>10.38155</x:v>
      </x:c>
      <x:c r="E358" s="78" t="n">
        <x:v>-72.94482</x:v>
      </x:c>
      <x:c r="F358" s="69" t="str">
        <x:v>Texto→número</x:v>
      </x:c>
      <x:c r="G358" s="69" t="str">
        <x:v>Texto→número</x:v>
      </x:c>
      <x:c r="H358" s="80" t="str">
        <x:v>OK</x:v>
      </x:c>
      <x:c r="I358" s="69" t="str"/>
      <x:c r="J358" s="69" t="str">
        <x:v>10.38155|-72.94482</x:v>
      </x:c>
      <x:c r="K358" s="82" t="n">
        <x:v>0</x:v>
      </x:c>
    </x:row>
    <x:row r="359">
      <x:c r="A359" s="76" t="n">
        <x:v>359</x:v>
      </x:c>
      <x:c r="B359" s="69" t="str">
        <x:v>4.86026</x:v>
      </x:c>
      <x:c r="C359" s="69" t="str">
        <x:v>-76.27122</x:v>
      </x:c>
      <x:c r="D359" s="78" t="n">
        <x:v>4.86026</x:v>
      </x:c>
      <x:c r="E359" s="78" t="n">
        <x:v>-76.27122</x:v>
      </x:c>
      <x:c r="F359" s="69" t="str">
        <x:v>Texto→número</x:v>
      </x:c>
      <x:c r="G359" s="69" t="str">
        <x:v>Texto→número</x:v>
      </x:c>
      <x:c r="H359" s="80" t="str">
        <x:v>OK</x:v>
      </x:c>
      <x:c r="I359" s="69" t="str"/>
      <x:c r="J359" s="69" t="str">
        <x:v>4.86026|-76.27122</x:v>
      </x:c>
      <x:c r="K359" s="82" t="n">
        <x:v>0</x:v>
      </x:c>
    </x:row>
    <x:row r="360">
      <x:c r="A360" s="76" t="n">
        <x:v>360</x:v>
      </x:c>
      <x:c r="B360" s="69" t="str">
        <x:v>5.08588</x:v>
      </x:c>
      <x:c r="C360" s="69" t="str">
        <x:v>-76.71616</x:v>
      </x:c>
      <x:c r="D360" s="78" t="n">
        <x:v>5.08588</x:v>
      </x:c>
      <x:c r="E360" s="78" t="n">
        <x:v>-76.71616</x:v>
      </x:c>
      <x:c r="F360" s="69" t="str">
        <x:v>Texto→número</x:v>
      </x:c>
      <x:c r="G360" s="69" t="str">
        <x:v>Texto→número</x:v>
      </x:c>
      <x:c r="H360" s="80" t="str">
        <x:v>OK</x:v>
      </x:c>
      <x:c r="I360" s="69" t="str"/>
      <x:c r="J360" s="69" t="str">
        <x:v>5.08588|-76.71616</x:v>
      </x:c>
      <x:c r="K360" s="82" t="n">
        <x:v>0</x:v>
      </x:c>
    </x:row>
    <x:row r="361">
      <x:c r="A361" s="76" t="n">
        <x:v>361</x:v>
      </x:c>
      <x:c r="B361" s="69" t="str">
        <x:v>5.87752</x:v>
      </x:c>
      <x:c r="C361" s="69" t="str">
        <x:v>-76.10609</x:v>
      </x:c>
      <x:c r="D361" s="78" t="n">
        <x:v>5.87752</x:v>
      </x:c>
      <x:c r="E361" s="78" t="n">
        <x:v>-76.10609</x:v>
      </x:c>
      <x:c r="F361" s="69" t="str">
        <x:v>Texto→número</x:v>
      </x:c>
      <x:c r="G361" s="69" t="str">
        <x:v>Texto→número</x:v>
      </x:c>
      <x:c r="H361" s="80" t="str">
        <x:v>OK</x:v>
      </x:c>
      <x:c r="I361" s="69" t="str"/>
      <x:c r="J361" s="69" t="str">
        <x:v>5.87752|-76.10609</x:v>
      </x:c>
      <x:c r="K361" s="82" t="n">
        <x:v>0</x:v>
      </x:c>
    </x:row>
    <x:row r="362">
      <x:c r="A362" s="76" t="n">
        <x:v>362</x:v>
      </x:c>
      <x:c r="B362" s="69" t="str">
        <x:v>4.41479</x:v>
      </x:c>
      <x:c r="C362" s="69" t="str">
        <x:v>-74.32969</x:v>
      </x:c>
      <x:c r="D362" s="78" t="n">
        <x:v>4.41479</x:v>
      </x:c>
      <x:c r="E362" s="78" t="n">
        <x:v>-74.32969</x:v>
      </x:c>
      <x:c r="F362" s="69" t="str">
        <x:v>Texto→número</x:v>
      </x:c>
      <x:c r="G362" s="69" t="str">
        <x:v>Texto→número</x:v>
      </x:c>
      <x:c r="H362" s="80" t="str">
        <x:v>OK</x:v>
      </x:c>
      <x:c r="I362" s="69" t="str"/>
      <x:c r="J362" s="69"/>
      <x:c r="K362" s="82" t="n">
        <x:v>1</x:v>
      </x:c>
    </x:row>
    <x:row r="363">
      <x:c r="A363" s="76" t="n">
        <x:v>363</x:v>
      </x:c>
      <x:c r="B363" s="69" t="str">
        <x:v>4.38045</x:v>
      </x:c>
      <x:c r="C363" s="69" t="str">
        <x:v>-74.34658</x:v>
      </x:c>
      <x:c r="D363" s="78" t="n">
        <x:v>4.38045</x:v>
      </x:c>
      <x:c r="E363" s="78" t="n">
        <x:v>-74.34658</x:v>
      </x:c>
      <x:c r="F363" s="69" t="str">
        <x:v>Texto→número</x:v>
      </x:c>
      <x:c r="G363" s="69" t="str">
        <x:v>Texto→número</x:v>
      </x:c>
      <x:c r="H363" s="80" t="str">
        <x:v>OK</x:v>
      </x:c>
      <x:c r="I363" s="69" t="str"/>
      <x:c r="J363" s="69" t="str">
        <x:v>4.38045|-74.34658</x:v>
      </x:c>
      <x:c r="K363" s="82" t="n">
        <x:v>0</x:v>
      </x:c>
    </x:row>
    <x:row r="364">
      <x:c r="A364" s="76" t="n">
        <x:v>364</x:v>
      </x:c>
      <x:c r="B364" s="69" t="str">
        <x:v>4.57476</x:v>
      </x:c>
      <x:c r="C364" s="69" t="str">
        <x:v>-74.29338</x:v>
      </x:c>
      <x:c r="D364" s="78" t="n">
        <x:v>4.57476</x:v>
      </x:c>
      <x:c r="E364" s="78" t="n">
        <x:v>-74.29338</x:v>
      </x:c>
      <x:c r="F364" s="69" t="str">
        <x:v>Texto→número</x:v>
      </x:c>
      <x:c r="G364" s="69" t="str">
        <x:v>Texto→número</x:v>
      </x:c>
      <x:c r="H364" s="80" t="str">
        <x:v>OK</x:v>
      </x:c>
      <x:c r="I364" s="69" t="str"/>
      <x:c r="J364" s="69" t="str">
        <x:v>4.57476|-74.29338</x:v>
      </x:c>
      <x:c r="K364" s="82" t="n">
        <x:v>0</x:v>
      </x:c>
    </x:row>
    <x:row r="365">
      <x:c r="A365" s="76" t="n">
        <x:v>365</x:v>
      </x:c>
      <x:c r="B365" s="69" t="str">
        <x:v>4.58475</x:v>
      </x:c>
      <x:c r="C365" s="69" t="str">
        <x:v>-74.30317</x:v>
      </x:c>
      <x:c r="D365" s="78" t="n">
        <x:v>4.58475</x:v>
      </x:c>
      <x:c r="E365" s="78" t="n">
        <x:v>-74.30317</x:v>
      </x:c>
      <x:c r="F365" s="69" t="str">
        <x:v>Texto→número</x:v>
      </x:c>
      <x:c r="G365" s="69" t="str">
        <x:v>Texto→número</x:v>
      </x:c>
      <x:c r="H365" s="80" t="str">
        <x:v>OK</x:v>
      </x:c>
      <x:c r="I365" s="69" t="str"/>
      <x:c r="J365" s="69" t="str">
        <x:v>4.58475|-74.30317</x:v>
      </x:c>
      <x:c r="K365" s="82" t="n">
        <x:v>0</x:v>
      </x:c>
    </x:row>
    <x:row r="366">
      <x:c r="A366" s="76" t="n">
        <x:v>366</x:v>
      </x:c>
      <x:c r="B366" s="69" t="str">
        <x:v>4.84652</x:v>
      </x:c>
      <x:c r="C366" s="69" t="str">
        <x:v>-73.79624</x:v>
      </x:c>
      <x:c r="D366" s="78" t="n">
        <x:v>4.84652</x:v>
      </x:c>
      <x:c r="E366" s="78" t="n">
        <x:v>-73.79624</x:v>
      </x:c>
      <x:c r="F366" s="69" t="str">
        <x:v>Texto→número</x:v>
      </x:c>
      <x:c r="G366" s="69" t="str">
        <x:v>Texto→número</x:v>
      </x:c>
      <x:c r="H366" s="80" t="str">
        <x:v>OK</x:v>
      </x:c>
      <x:c r="I366" s="69" t="str"/>
      <x:c r="J366" s="69" t="str">
        <x:v>4.84652|-73.79624</x:v>
      </x:c>
      <x:c r="K366" s="82" t="n">
        <x:v>0</x:v>
      </x:c>
    </x:row>
    <x:row r="367">
      <x:c r="A367" s="76" t="n">
        <x:v>367</x:v>
      </x:c>
      <x:c r="B367" s="69" t="str">
        <x:v>4.44067</x:v>
      </x:c>
      <x:c r="C367" s="69" t="str">
        <x:v>-74.32067</x:v>
      </x:c>
      <x:c r="D367" s="78" t="n">
        <x:v>4.44067</x:v>
      </x:c>
      <x:c r="E367" s="78" t="n">
        <x:v>-74.32067</x:v>
      </x:c>
      <x:c r="F367" s="69" t="str">
        <x:v>Texto→número</x:v>
      </x:c>
      <x:c r="G367" s="69" t="str">
        <x:v>Texto→número</x:v>
      </x:c>
      <x:c r="H367" s="80" t="str">
        <x:v>OK</x:v>
      </x:c>
      <x:c r="I367" s="69" t="str"/>
      <x:c r="J367" s="69" t="str">
        <x:v>4.44067|-74.32067</x:v>
      </x:c>
      <x:c r="K367" s="82" t="n">
        <x:v>0</x:v>
      </x:c>
    </x:row>
    <x:row r="368">
      <x:c r="A368" s="76" t="n">
        <x:v>368</x:v>
      </x:c>
      <x:c r="B368" s="69" t="str">
        <x:v>4.68312</x:v>
      </x:c>
      <x:c r="C368" s="69" t="str">
        <x:v>-74.38963</x:v>
      </x:c>
      <x:c r="D368" s="78" t="n">
        <x:v>4.68312</x:v>
      </x:c>
      <x:c r="E368" s="78" t="n">
        <x:v>-74.38963</x:v>
      </x:c>
      <x:c r="F368" s="69" t="str">
        <x:v>Texto→número</x:v>
      </x:c>
      <x:c r="G368" s="69" t="str">
        <x:v>Texto→número</x:v>
      </x:c>
      <x:c r="H368" s="80" t="str">
        <x:v>OK</x:v>
      </x:c>
      <x:c r="I368" s="69" t="str"/>
      <x:c r="J368" s="69"/>
      <x:c r="K368" s="82" t="n">
        <x:v>1</x:v>
      </x:c>
    </x:row>
    <x:row r="369">
      <x:c r="A369" s="76" t="n">
        <x:v>369</x:v>
      </x:c>
      <x:c r="B369" s="69" t="str">
        <x:v>4.68312</x:v>
      </x:c>
      <x:c r="C369" s="69" t="str">
        <x:v>-74.38963</x:v>
      </x:c>
      <x:c r="D369" s="78" t="n">
        <x:v>4.68312</x:v>
      </x:c>
      <x:c r="E369" s="78" t="n">
        <x:v>-74.38963</x:v>
      </x:c>
      <x:c r="F369" s="69" t="str">
        <x:v>Texto→número</x:v>
      </x:c>
      <x:c r="G369" s="69" t="str">
        <x:v>Texto→número</x:v>
      </x:c>
      <x:c r="H369" s="80" t="str">
        <x:v>OK</x:v>
      </x:c>
      <x:c r="I369" s="69" t="str"/>
      <x:c r="J369" s="69"/>
      <x:c r="K369" s="82" t="n">
        <x:v>1</x:v>
      </x:c>
    </x:row>
    <x:row r="370">
      <x:c r="A370" s="76" t="n">
        <x:v>370</x:v>
      </x:c>
      <x:c r="B370" s="69" t="str">
        <x:v>4.89964</x:v>
      </x:c>
      <x:c r="C370" s="69" t="str">
        <x:v>-74.42438</x:v>
      </x:c>
      <x:c r="D370" s="78" t="n">
        <x:v>4.89964</x:v>
      </x:c>
      <x:c r="E370" s="78" t="n">
        <x:v>-74.42438</x:v>
      </x:c>
      <x:c r="F370" s="69" t="str">
        <x:v>Texto→número</x:v>
      </x:c>
      <x:c r="G370" s="69" t="str">
        <x:v>Texto→número</x:v>
      </x:c>
      <x:c r="H370" s="80" t="str">
        <x:v>OK</x:v>
      </x:c>
      <x:c r="I370" s="69" t="str"/>
      <x:c r="J370" s="69"/>
      <x:c r="K370" s="82" t="n">
        <x:v>1</x:v>
      </x:c>
    </x:row>
    <x:row r="371">
      <x:c r="A371" s="76" t="n">
        <x:v>371</x:v>
      </x:c>
      <x:c r="B371" s="69" t="str">
        <x:v>1.87648</x:v>
      </x:c>
      <x:c r="C371" s="69" t="str">
        <x:v>-76.2594</x:v>
      </x:c>
      <x:c r="D371" s="78" t="n">
        <x:v>1.87648</x:v>
      </x:c>
      <x:c r="E371" s="78" t="n">
        <x:v>-76.2594</x:v>
      </x:c>
      <x:c r="F371" s="69" t="str">
        <x:v>Texto→número</x:v>
      </x:c>
      <x:c r="G371" s="69" t="str">
        <x:v>Texto→número</x:v>
      </x:c>
      <x:c r="H371" s="80" t="str">
        <x:v>OK</x:v>
      </x:c>
      <x:c r="I371" s="69" t="str"/>
      <x:c r="J371" s="69" t="str">
        <x:v>1.87648|-76.2594</x:v>
      </x:c>
      <x:c r="K371" s="82" t="n">
        <x:v>0</x:v>
      </x:c>
    </x:row>
    <x:row r="372">
      <x:c r="A372" s="76" t="n">
        <x:v>372</x:v>
      </x:c>
      <x:c r="B372" s="69" t="str">
        <x:v>2.21928</x:v>
      </x:c>
      <x:c r="C372" s="69" t="str">
        <x:v>-76.11453</x:v>
      </x:c>
      <x:c r="D372" s="78" t="n">
        <x:v>2.21928</x:v>
      </x:c>
      <x:c r="E372" s="78" t="n">
        <x:v>-76.11453</x:v>
      </x:c>
      <x:c r="F372" s="69" t="str">
        <x:v>Texto→número</x:v>
      </x:c>
      <x:c r="G372" s="69" t="str">
        <x:v>Texto→número</x:v>
      </x:c>
      <x:c r="H372" s="80" t="str">
        <x:v>OK</x:v>
      </x:c>
      <x:c r="I372" s="69" t="str"/>
      <x:c r="J372" s="69" t="str">
        <x:v>2.21928|-76.11453</x:v>
      </x:c>
      <x:c r="K372" s="82" t="n">
        <x:v>0</x:v>
      </x:c>
    </x:row>
    <x:row r="373">
      <x:c r="A373" s="76" t="n">
        <x:v>373</x:v>
      </x:c>
      <x:c r="B373" s="69" t="str">
        <x:v>2.21928</x:v>
      </x:c>
      <x:c r="C373" s="69" t="str">
        <x:v>-76.11453</x:v>
      </x:c>
      <x:c r="D373" s="78" t="n">
        <x:v>2.21928</x:v>
      </x:c>
      <x:c r="E373" s="78" t="n">
        <x:v>-76.11453</x:v>
      </x:c>
      <x:c r="F373" s="69" t="str">
        <x:v>Texto→número</x:v>
      </x:c>
      <x:c r="G373" s="69" t="str">
        <x:v>Texto→número</x:v>
      </x:c>
      <x:c r="H373" s="80" t="str">
        <x:v>OK</x:v>
      </x:c>
      <x:c r="I373" s="69" t="str"/>
      <x:c r="J373" s="69"/>
      <x:c r="K373" s="82" t="n">
        <x:v>1</x:v>
      </x:c>
    </x:row>
    <x:row r="374">
      <x:c r="A374" s="76" t="n">
        <x:v>374</x:v>
      </x:c>
      <x:c r="B374" s="69" t="str">
        <x:v>2.21928</x:v>
      </x:c>
      <x:c r="C374" s="69" t="str">
        <x:v>-76.11453</x:v>
      </x:c>
      <x:c r="D374" s="78" t="n">
        <x:v>2.21928</x:v>
      </x:c>
      <x:c r="E374" s="78" t="n">
        <x:v>-76.11453</x:v>
      </x:c>
      <x:c r="F374" s="69" t="str">
        <x:v>Texto→número</x:v>
      </x:c>
      <x:c r="G374" s="69" t="str">
        <x:v>Texto→número</x:v>
      </x:c>
      <x:c r="H374" s="80" t="str">
        <x:v>OK</x:v>
      </x:c>
      <x:c r="I374" s="69" t="str"/>
      <x:c r="J374" s="69"/>
      <x:c r="K374" s="82" t="n">
        <x:v>1</x:v>
      </x:c>
    </x:row>
    <x:row r="375">
      <x:c r="A375" s="76" t="n">
        <x:v>375</x:v>
      </x:c>
      <x:c r="B375" s="69" t="str">
        <x:v>2.21928</x:v>
      </x:c>
      <x:c r="C375" s="69" t="str">
        <x:v>-76.11453</x:v>
      </x:c>
      <x:c r="D375" s="78" t="n">
        <x:v>2.21928</x:v>
      </x:c>
      <x:c r="E375" s="78" t="n">
        <x:v>-76.11453</x:v>
      </x:c>
      <x:c r="F375" s="69" t="str">
        <x:v>Texto→número</x:v>
      </x:c>
      <x:c r="G375" s="69" t="str">
        <x:v>Texto→número</x:v>
      </x:c>
      <x:c r="H375" s="80" t="str">
        <x:v>OK</x:v>
      </x:c>
      <x:c r="I375" s="69" t="str"/>
      <x:c r="J375" s="69"/>
      <x:c r="K375" s="82" t="n">
        <x:v>1</x:v>
      </x:c>
    </x:row>
    <x:row r="376">
      <x:c r="A376" s="76" t="n">
        <x:v>376</x:v>
      </x:c>
      <x:c r="B376" s="69" t="str">
        <x:v>1.73467</x:v>
      </x:c>
      <x:c r="C376" s="69" t="str">
        <x:v>-76.00001</x:v>
      </x:c>
      <x:c r="D376" s="78" t="n">
        <x:v>1.73467</x:v>
      </x:c>
      <x:c r="E376" s="78" t="n">
        <x:v>-76.00001</x:v>
      </x:c>
      <x:c r="F376" s="69" t="str">
        <x:v>Texto→número</x:v>
      </x:c>
      <x:c r="G376" s="69" t="str">
        <x:v>Texto→número</x:v>
      </x:c>
      <x:c r="H376" s="80" t="str">
        <x:v>OK</x:v>
      </x:c>
      <x:c r="I376" s="69" t="str"/>
      <x:c r="J376" s="69"/>
      <x:c r="K376" s="82" t="n">
        <x:v>1</x:v>
      </x:c>
    </x:row>
    <x:row r="377">
      <x:c r="A377" s="76" t="n">
        <x:v>377</x:v>
      </x:c>
      <x:c r="B377" s="69" t="str">
        <x:v>2.60932</x:v>
      </x:c>
      <x:c r="C377" s="69" t="str">
        <x:v>-75.21208</x:v>
      </x:c>
      <x:c r="D377" s="78" t="n">
        <x:v>2.60932</x:v>
      </x:c>
      <x:c r="E377" s="78" t="n">
        <x:v>-75.21208</x:v>
      </x:c>
      <x:c r="F377" s="69" t="str">
        <x:v>Texto→número</x:v>
      </x:c>
      <x:c r="G377" s="69" t="str">
        <x:v>Texto→número</x:v>
      </x:c>
      <x:c r="H377" s="80" t="str">
        <x:v>OK</x:v>
      </x:c>
      <x:c r="I377" s="69" t="str"/>
      <x:c r="J377" s="69" t="str">
        <x:v>2.60932|-75.21208</x:v>
      </x:c>
      <x:c r="K377" s="82" t="n">
        <x:v>0</x:v>
      </x:c>
    </x:row>
    <x:row r="378">
      <x:c r="A378" s="76" t="n">
        <x:v>378</x:v>
      </x:c>
      <x:c r="B378" s="69" t="str">
        <x:v>3.5899</x:v>
      </x:c>
      <x:c r="C378" s="69" t="str">
        <x:v>-74.70934</x:v>
      </x:c>
      <x:c r="D378" s="78" t="n">
        <x:v>3.5899</x:v>
      </x:c>
      <x:c r="E378" s="78" t="n">
        <x:v>-74.70934</x:v>
      </x:c>
      <x:c r="F378" s="69" t="str">
        <x:v>Texto→número</x:v>
      </x:c>
      <x:c r="G378" s="69" t="str">
        <x:v>Texto→número</x:v>
      </x:c>
      <x:c r="H378" s="80" t="str">
        <x:v>OK</x:v>
      </x:c>
      <x:c r="I378" s="69" t="str"/>
      <x:c r="J378" s="69"/>
      <x:c r="K378" s="82" t="n">
        <x:v>1</x:v>
      </x:c>
    </x:row>
    <x:row r="379">
      <x:c r="A379" s="76" t="n">
        <x:v>379</x:v>
      </x:c>
      <x:c r="B379" s="69" t="str">
        <x:v>2.6252</x:v>
      </x:c>
      <x:c r="C379" s="69" t="str">
        <x:v>-75.23544</x:v>
      </x:c>
      <x:c r="D379" s="78" t="n">
        <x:v>2.6252</x:v>
      </x:c>
      <x:c r="E379" s="78" t="n">
        <x:v>-75.23544</x:v>
      </x:c>
      <x:c r="F379" s="69" t="str">
        <x:v>Texto→número</x:v>
      </x:c>
      <x:c r="G379" s="69" t="str">
        <x:v>Texto→número</x:v>
      </x:c>
      <x:c r="H379" s="80" t="str">
        <x:v>OK</x:v>
      </x:c>
      <x:c r="I379" s="69" t="str"/>
      <x:c r="J379" s="69" t="str">
        <x:v>2.6252|-75.23544</x:v>
      </x:c>
      <x:c r="K379" s="82" t="n">
        <x:v>0</x:v>
      </x:c>
    </x:row>
    <x:row r="380">
      <x:c r="A380" s="76" t="n">
        <x:v>380</x:v>
      </x:c>
      <x:c r="B380" s="69" t="str">
        <x:v>2.6252</x:v>
      </x:c>
      <x:c r="C380" s="69" t="str">
        <x:v>-75.23544</x:v>
      </x:c>
      <x:c r="D380" s="78" t="n">
        <x:v>2.6252</x:v>
      </x:c>
      <x:c r="E380" s="78" t="n">
        <x:v>-75.23544</x:v>
      </x:c>
      <x:c r="F380" s="69" t="str">
        <x:v>Texto→número</x:v>
      </x:c>
      <x:c r="G380" s="69" t="str">
        <x:v>Texto→número</x:v>
      </x:c>
      <x:c r="H380" s="80" t="str">
        <x:v>OK</x:v>
      </x:c>
      <x:c r="I380" s="69" t="str"/>
      <x:c r="J380" s="69"/>
      <x:c r="K380" s="82" t="n">
        <x:v>1</x:v>
      </x:c>
    </x:row>
    <x:row r="381">
      <x:c r="A381" s="76" t="n">
        <x:v>381</x:v>
      </x:c>
      <x:c r="B381" s="69" t="str">
        <x:v>1.88558</x:v>
      </x:c>
      <x:c r="C381" s="69" t="str">
        <x:v>-76.2943</x:v>
      </x:c>
      <x:c r="D381" s="78" t="n">
        <x:v>1.88558</x:v>
      </x:c>
      <x:c r="E381" s="78" t="n">
        <x:v>-76.2943</x:v>
      </x:c>
      <x:c r="F381" s="69" t="str">
        <x:v>Texto→número</x:v>
      </x:c>
      <x:c r="G381" s="69" t="str">
        <x:v>Texto→número</x:v>
      </x:c>
      <x:c r="H381" s="80" t="str">
        <x:v>OK</x:v>
      </x:c>
      <x:c r="I381" s="69" t="str"/>
      <x:c r="J381" s="69" t="str">
        <x:v>1.88558|-76.2943</x:v>
      </x:c>
      <x:c r="K381" s="82" t="n">
        <x:v>0</x:v>
      </x:c>
    </x:row>
    <x:row r="382">
      <x:c r="A382" s="76" t="n">
        <x:v>382</x:v>
      </x:c>
      <x:c r="B382" s="69" t="str">
        <x:v>2.54735</x:v>
      </x:c>
      <x:c r="C382" s="69" t="str">
        <x:v>-75.78877</x:v>
      </x:c>
      <x:c r="D382" s="78" t="n">
        <x:v>2.54735</x:v>
      </x:c>
      <x:c r="E382" s="78" t="n">
        <x:v>-75.78877</x:v>
      </x:c>
      <x:c r="F382" s="69" t="str">
        <x:v>Texto→número</x:v>
      </x:c>
      <x:c r="G382" s="69" t="str">
        <x:v>Texto→número</x:v>
      </x:c>
      <x:c r="H382" s="80" t="str">
        <x:v>OK</x:v>
      </x:c>
      <x:c r="I382" s="69" t="str"/>
      <x:c r="J382" s="69" t="str">
        <x:v>2.54735|-75.78877</x:v>
      </x:c>
      <x:c r="K382" s="82" t="n">
        <x:v>0</x:v>
      </x:c>
    </x:row>
    <x:row r="383">
      <x:c r="A383" s="76" t="n">
        <x:v>383</x:v>
      </x:c>
      <x:c r="B383" s="69" t="str">
        <x:v>1.7689806</x:v>
      </x:c>
      <x:c r="C383" s="69" t="str">
        <x:v>-76.0187333</x:v>
      </x:c>
      <x:c r="D383" s="78" t="n">
        <x:v>1.7689806</x:v>
      </x:c>
      <x:c r="E383" s="78" t="n">
        <x:v>-76.0187333</x:v>
      </x:c>
      <x:c r="F383" s="69" t="str">
        <x:v>Texto→número</x:v>
      </x:c>
      <x:c r="G383" s="69" t="str">
        <x:v>Texto→número</x:v>
      </x:c>
      <x:c r="H383" s="80" t="str">
        <x:v>OK</x:v>
      </x:c>
      <x:c r="I383" s="69" t="str"/>
      <x:c r="J383" s="69" t="str">
        <x:v>1.7689806|-76.0187333</x:v>
      </x:c>
      <x:c r="K383" s="82" t="n">
        <x:v>0</x:v>
      </x:c>
    </x:row>
    <x:row r="384">
      <x:c r="A384" s="76" t="n">
        <x:v>384</x:v>
      </x:c>
      <x:c r="B384" s="69" t="str">
        <x:v>1.7689806</x:v>
      </x:c>
      <x:c r="C384" s="69" t="str">
        <x:v>-76.0187333</x:v>
      </x:c>
      <x:c r="D384" s="78" t="n">
        <x:v>1.7689806</x:v>
      </x:c>
      <x:c r="E384" s="78" t="n">
        <x:v>-76.0187333</x:v>
      </x:c>
      <x:c r="F384" s="69" t="str">
        <x:v>Texto→número</x:v>
      </x:c>
      <x:c r="G384" s="69" t="str">
        <x:v>Texto→número</x:v>
      </x:c>
      <x:c r="H384" s="80" t="str">
        <x:v>OK</x:v>
      </x:c>
      <x:c r="I384" s="69" t="str"/>
      <x:c r="J384" s="69"/>
      <x:c r="K384" s="82" t="n">
        <x:v>1</x:v>
      </x:c>
    </x:row>
    <x:row r="385">
      <x:c r="A385" s="76" t="n">
        <x:v>385</x:v>
      </x:c>
      <x:c r="B385" s="69" t="str">
        <x:v>1.7689806</x:v>
      </x:c>
      <x:c r="C385" s="69" t="str">
        <x:v>-76.0187333</x:v>
      </x:c>
      <x:c r="D385" s="78" t="n">
        <x:v>1.7689806</x:v>
      </x:c>
      <x:c r="E385" s="78" t="n">
        <x:v>-76.0187333</x:v>
      </x:c>
      <x:c r="F385" s="69" t="str">
        <x:v>Texto→número</x:v>
      </x:c>
      <x:c r="G385" s="69" t="str">
        <x:v>Texto→número</x:v>
      </x:c>
      <x:c r="H385" s="80" t="str">
        <x:v>OK</x:v>
      </x:c>
      <x:c r="I385" s="69" t="str"/>
      <x:c r="J385" s="69"/>
      <x:c r="K385" s="82" t="n">
        <x:v>1</x:v>
      </x:c>
    </x:row>
    <x:row r="386">
      <x:c r="A386" s="76" t="n">
        <x:v>386</x:v>
      </x:c>
      <x:c r="B386" s="69" t="str">
        <x:v>1.9833333</x:v>
      </x:c>
      <x:c r="C386" s="69" t="str">
        <x:v>-76.2833333</x:v>
      </x:c>
      <x:c r="D386" s="78" t="n">
        <x:v>1.9833333</x:v>
      </x:c>
      <x:c r="E386" s="78" t="n">
        <x:v>-76.2833333</x:v>
      </x:c>
      <x:c r="F386" s="69" t="str">
        <x:v>Texto→número</x:v>
      </x:c>
      <x:c r="G386" s="69" t="str">
        <x:v>Texto→número</x:v>
      </x:c>
      <x:c r="H386" s="80" t="str">
        <x:v>OK</x:v>
      </x:c>
      <x:c r="I386" s="69" t="str"/>
      <x:c r="J386" s="69" t="str">
        <x:v>1.9833333|-76.2833333</x:v>
      </x:c>
      <x:c r="K386" s="82" t="n">
        <x:v>0</x:v>
      </x:c>
    </x:row>
    <x:row r="387">
      <x:c r="A387" s="76" t="n">
        <x:v>387</x:v>
      </x:c>
      <x:c r="B387" s="69" t="str">
        <x:v>11.10282</x:v>
      </x:c>
      <x:c r="C387" s="69" t="str">
        <x:v>-74.07327</x:v>
      </x:c>
      <x:c r="D387" s="78" t="n">
        <x:v>11.10282</x:v>
      </x:c>
      <x:c r="E387" s="78" t="n">
        <x:v>-74.07327</x:v>
      </x:c>
      <x:c r="F387" s="69" t="str">
        <x:v>Texto→número</x:v>
      </x:c>
      <x:c r="G387" s="69" t="str">
        <x:v>Texto→número</x:v>
      </x:c>
      <x:c r="H387" s="80" t="str">
        <x:v>OK</x:v>
      </x:c>
      <x:c r="I387" s="69" t="str"/>
      <x:c r="J387" s="69" t="str">
        <x:v>11.10282|-74.07327</x:v>
      </x:c>
      <x:c r="K387" s="82" t="n">
        <x:v>0</x:v>
      </x:c>
    </x:row>
    <x:row r="388">
      <x:c r="A388" s="76" t="n">
        <x:v>388</x:v>
      </x:c>
      <x:c r="B388" s="69" t="str">
        <x:v>11.09336</x:v>
      </x:c>
      <x:c r="C388" s="69" t="str">
        <x:v>-74.03356</x:v>
      </x:c>
      <x:c r="D388" s="78" t="n">
        <x:v>11.09336</x:v>
      </x:c>
      <x:c r="E388" s="78" t="n">
        <x:v>-74.03356</x:v>
      </x:c>
      <x:c r="F388" s="69" t="str">
        <x:v>Texto→número</x:v>
      </x:c>
      <x:c r="G388" s="69" t="str">
        <x:v>Texto→número</x:v>
      </x:c>
      <x:c r="H388" s="80" t="str">
        <x:v>OK</x:v>
      </x:c>
      <x:c r="I388" s="69" t="str"/>
      <x:c r="J388" s="69" t="str">
        <x:v>11.09336|-74.03356</x:v>
      </x:c>
      <x:c r="K388" s="82" t="n">
        <x:v>0</x:v>
      </x:c>
    </x:row>
    <x:row r="389">
      <x:c r="A389" s="76" t="n">
        <x:v>389</x:v>
      </x:c>
      <x:c r="B389" s="69" t="str">
        <x:v>11.10282</x:v>
      </x:c>
      <x:c r="C389" s="69" t="str">
        <x:v>-74.07327</x:v>
      </x:c>
      <x:c r="D389" s="78" t="n">
        <x:v>11.10282</x:v>
      </x:c>
      <x:c r="E389" s="78" t="n">
        <x:v>-74.07327</x:v>
      </x:c>
      <x:c r="F389" s="69" t="str">
        <x:v>Texto→número</x:v>
      </x:c>
      <x:c r="G389" s="69" t="str">
        <x:v>Texto→número</x:v>
      </x:c>
      <x:c r="H389" s="80" t="str">
        <x:v>OK</x:v>
      </x:c>
      <x:c r="I389" s="69" t="str"/>
      <x:c r="J389" s="69"/>
      <x:c r="K389" s="82" t="n">
        <x:v>1</x:v>
      </x:c>
    </x:row>
    <x:row r="390">
      <x:c r="A390" s="76" t="n">
        <x:v>390</x:v>
      </x:c>
      <x:c r="B390" s="69" t="str">
        <x:v>11.10282</x:v>
      </x:c>
      <x:c r="C390" s="69" t="str">
        <x:v>-74.07327</x:v>
      </x:c>
      <x:c r="D390" s="78" t="n">
        <x:v>11.10282</x:v>
      </x:c>
      <x:c r="E390" s="78" t="n">
        <x:v>-74.07327</x:v>
      </x:c>
      <x:c r="F390" s="69" t="str">
        <x:v>Texto→número</x:v>
      </x:c>
      <x:c r="G390" s="69" t="str">
        <x:v>Texto→número</x:v>
      </x:c>
      <x:c r="H390" s="80" t="str">
        <x:v>OK</x:v>
      </x:c>
      <x:c r="I390" s="69" t="str"/>
      <x:c r="J390" s="69"/>
      <x:c r="K390" s="82" t="n">
        <x:v>1</x:v>
      </x:c>
    </x:row>
    <x:row r="391">
      <x:c r="A391" s="76" t="n">
        <x:v>391</x:v>
      </x:c>
      <x:c r="B391" s="69" t="str">
        <x:v>10.9333333</x:v>
      </x:c>
      <x:c r="C391" s="69" t="str">
        <x:v>-73.9666667</x:v>
      </x:c>
      <x:c r="D391" s="78" t="n">
        <x:v>10.9333333</x:v>
      </x:c>
      <x:c r="E391" s="78" t="n">
        <x:v>-73.9666667</x:v>
      </x:c>
      <x:c r="F391" s="69" t="str">
        <x:v>Texto→número</x:v>
      </x:c>
      <x:c r="G391" s="69" t="str">
        <x:v>Texto→número</x:v>
      </x:c>
      <x:c r="H391" s="80" t="str">
        <x:v>OK</x:v>
      </x:c>
      <x:c r="I391" s="69" t="str"/>
      <x:c r="J391" s="69" t="str">
        <x:v>10.9333333|-73.9666667</x:v>
      </x:c>
      <x:c r="K391" s="82" t="n">
        <x:v>0</x:v>
      </x:c>
    </x:row>
    <x:row r="392">
      <x:c r="A392" s="76" t="n">
        <x:v>392</x:v>
      </x:c>
      <x:c r="B392" s="69" t="str">
        <x:v>10.9166</x:v>
      </x:c>
      <x:c r="C392" s="69" t="str">
        <x:v>-73.83329</x:v>
      </x:c>
      <x:c r="D392" s="78" t="n">
        <x:v>10.9166</x:v>
      </x:c>
      <x:c r="E392" s="78" t="n">
        <x:v>-73.83329</x:v>
      </x:c>
      <x:c r="F392" s="69" t="str">
        <x:v>Texto→número</x:v>
      </x:c>
      <x:c r="G392" s="69" t="str">
        <x:v>Texto→número</x:v>
      </x:c>
      <x:c r="H392" s="80" t="str">
        <x:v>OK</x:v>
      </x:c>
      <x:c r="I392" s="69" t="str"/>
      <x:c r="J392" s="69" t="str">
        <x:v>10.9166|-73.83329</x:v>
      </x:c>
      <x:c r="K392" s="82" t="n">
        <x:v>0</x:v>
      </x:c>
    </x:row>
    <x:row r="393">
      <x:c r="A393" s="76" t="n">
        <x:v>393</x:v>
      </x:c>
      <x:c r="B393" s="69" t="str">
        <x:v>2.9627</x:v>
      </x:c>
      <x:c r="C393" s="69" t="str">
        <x:v>-73.88673</x:v>
      </x:c>
      <x:c r="D393" s="78" t="n">
        <x:v>2.9627</x:v>
      </x:c>
      <x:c r="E393" s="78" t="n">
        <x:v>-73.88673</x:v>
      </x:c>
      <x:c r="F393" s="69" t="str">
        <x:v>Texto→número</x:v>
      </x:c>
      <x:c r="G393" s="69" t="str">
        <x:v>Texto→número</x:v>
      </x:c>
      <x:c r="H393" s="80" t="str">
        <x:v>OK</x:v>
      </x:c>
      <x:c r="I393" s="69" t="str"/>
      <x:c r="J393" s="69" t="str">
        <x:v>2.9627|-73.88673</x:v>
      </x:c>
      <x:c r="K393" s="82" t="n">
        <x:v>0</x:v>
      </x:c>
    </x:row>
    <x:row r="394">
      <x:c r="A394" s="76" t="n">
        <x:v>394</x:v>
      </x:c>
      <x:c r="B394" s="69" t="str">
        <x:v>4.00502</x:v>
      </x:c>
      <x:c r="C394" s="69" t="str">
        <x:v>-73.77921</x:v>
      </x:c>
      <x:c r="D394" s="78" t="n">
        <x:v>4.00502</x:v>
      </x:c>
      <x:c r="E394" s="78" t="n">
        <x:v>-73.77921</x:v>
      </x:c>
      <x:c r="F394" s="69" t="str">
        <x:v>Texto→número</x:v>
      </x:c>
      <x:c r="G394" s="69" t="str">
        <x:v>Texto→número</x:v>
      </x:c>
      <x:c r="H394" s="80" t="str">
        <x:v>OK</x:v>
      </x:c>
      <x:c r="I394" s="69" t="str"/>
      <x:c r="J394" s="69" t="str">
        <x:v>4.00502|-73.77921</x:v>
      </x:c>
      <x:c r="K394" s="82" t="n">
        <x:v>0</x:v>
      </x:c>
    </x:row>
    <x:row r="395">
      <x:c r="A395" s="76" t="n">
        <x:v>395</x:v>
      </x:c>
      <x:c r="B395" s="69" t="str">
        <x:v>4.00502</x:v>
      </x:c>
      <x:c r="C395" s="69" t="str">
        <x:v>-73.77921</x:v>
      </x:c>
      <x:c r="D395" s="78" t="n">
        <x:v>4.00502</x:v>
      </x:c>
      <x:c r="E395" s="78" t="n">
        <x:v>-73.77921</x:v>
      </x:c>
      <x:c r="F395" s="69" t="str">
        <x:v>Texto→número</x:v>
      </x:c>
      <x:c r="G395" s="69" t="str">
        <x:v>Texto→número</x:v>
      </x:c>
      <x:c r="H395" s="80" t="str">
        <x:v>OK</x:v>
      </x:c>
      <x:c r="I395" s="69" t="str"/>
      <x:c r="J395" s="69"/>
      <x:c r="K395" s="82" t="n">
        <x:v>1</x:v>
      </x:c>
    </x:row>
    <x:row r="396">
      <x:c r="A396" s="76" t="n">
        <x:v>396</x:v>
      </x:c>
      <x:c r="B396" s="69" t="str">
        <x:v>0.83831</x:v>
      </x:c>
      <x:c r="C396" s="69" t="str">
        <x:v>-77.61692</x:v>
      </x:c>
      <x:c r="D396" s="78" t="n">
        <x:v>0.83831</x:v>
      </x:c>
      <x:c r="E396" s="78" t="n">
        <x:v>-77.61692</x:v>
      </x:c>
      <x:c r="F396" s="69" t="str">
        <x:v>Texto→número</x:v>
      </x:c>
      <x:c r="G396" s="69" t="str">
        <x:v>Texto→número</x:v>
      </x:c>
      <x:c r="H396" s="80" t="str">
        <x:v>OK</x:v>
      </x:c>
      <x:c r="I396" s="69" t="str"/>
      <x:c r="J396" s="69"/>
      <x:c r="K396" s="82" t="n">
        <x:v>1</x:v>
      </x:c>
    </x:row>
    <x:row r="397">
      <x:c r="A397" s="76" t="n">
        <x:v>397</x:v>
      </x:c>
      <x:c r="B397" s="69" t="str">
        <x:v>1.21378</x:v>
      </x:c>
      <x:c r="C397" s="69" t="str">
        <x:v>-76.90825</x:v>
      </x:c>
      <x:c r="D397" s="78" t="n">
        <x:v>1.21378</x:v>
      </x:c>
      <x:c r="E397" s="78" t="n">
        <x:v>-76.90825</x:v>
      </x:c>
      <x:c r="F397" s="69" t="str">
        <x:v>Texto→número</x:v>
      </x:c>
      <x:c r="G397" s="69" t="str">
        <x:v>Texto→número</x:v>
      </x:c>
      <x:c r="H397" s="80" t="str">
        <x:v>OK</x:v>
      </x:c>
      <x:c r="I397" s="69" t="str"/>
      <x:c r="J397" s="69" t="str">
        <x:v>1.21378|-76.90825</x:v>
      </x:c>
      <x:c r="K397" s="82" t="n">
        <x:v>0</x:v>
      </x:c>
    </x:row>
    <x:row r="398">
      <x:c r="A398" s="76" t="n">
        <x:v>398</x:v>
      </x:c>
      <x:c r="B398" s="69" t="str">
        <x:v>1.11576</x:v>
      </x:c>
      <x:c r="C398" s="69" t="str">
        <x:v>-76.9701</x:v>
      </x:c>
      <x:c r="D398" s="78" t="n">
        <x:v>1.11576</x:v>
      </x:c>
      <x:c r="E398" s="78" t="n">
        <x:v>-76.9701</x:v>
      </x:c>
      <x:c r="F398" s="69" t="str">
        <x:v>Texto→número</x:v>
      </x:c>
      <x:c r="G398" s="69" t="str">
        <x:v>Texto→número</x:v>
      </x:c>
      <x:c r="H398" s="80" t="str">
        <x:v>OK</x:v>
      </x:c>
      <x:c r="I398" s="69" t="str"/>
      <x:c r="J398" s="69" t="str">
        <x:v>1.11576|-76.9701</x:v>
      </x:c>
      <x:c r="K398" s="82" t="n">
        <x:v>0</x:v>
      </x:c>
    </x:row>
    <x:row r="399">
      <x:c r="A399" s="76" t="n">
        <x:v>399</x:v>
      </x:c>
      <x:c r="B399" s="69" t="str">
        <x:v>4.68718</x:v>
      </x:c>
      <x:c r="C399" s="69" t="str">
        <x:v>-75.61751</x:v>
      </x:c>
      <x:c r="D399" s="78" t="n">
        <x:v>4.68718</x:v>
      </x:c>
      <x:c r="E399" s="78" t="n">
        <x:v>-75.61751</x:v>
      </x:c>
      <x:c r="F399" s="69" t="str">
        <x:v>Texto→número</x:v>
      </x:c>
      <x:c r="G399" s="69" t="str">
        <x:v>Texto→número</x:v>
      </x:c>
      <x:c r="H399" s="80" t="str">
        <x:v>OK</x:v>
      </x:c>
      <x:c r="I399" s="69" t="str"/>
      <x:c r="J399" s="69" t="str">
        <x:v>4.68718|-75.61751</x:v>
      </x:c>
      <x:c r="K399" s="82" t="n">
        <x:v>0</x:v>
      </x:c>
    </x:row>
    <x:row r="400">
      <x:c r="A400" s="76" t="n">
        <x:v>400</x:v>
      </x:c>
      <x:c r="B400" s="69" t="str">
        <x:v>4.68718</x:v>
      </x:c>
      <x:c r="C400" s="69" t="str">
        <x:v>-75.61751</x:v>
      </x:c>
      <x:c r="D400" s="78" t="n">
        <x:v>4.68718</x:v>
      </x:c>
      <x:c r="E400" s="78" t="n">
        <x:v>-75.61751</x:v>
      </x:c>
      <x:c r="F400" s="69" t="str">
        <x:v>Texto→número</x:v>
      </x:c>
      <x:c r="G400" s="69" t="str">
        <x:v>Texto→número</x:v>
      </x:c>
      <x:c r="H400" s="80" t="str">
        <x:v>OK</x:v>
      </x:c>
      <x:c r="I400" s="69" t="str"/>
      <x:c r="J400" s="69"/>
      <x:c r="K400" s="82" t="n">
        <x:v>1</x:v>
      </x:c>
    </x:row>
    <x:row r="401">
      <x:c r="A401" s="76" t="n">
        <x:v>401</x:v>
      </x:c>
      <x:c r="B401" s="69" t="str">
        <x:v>4.31714</x:v>
      </x:c>
      <x:c r="C401" s="69" t="str">
        <x:v>-75.72606</x:v>
      </x:c>
      <x:c r="D401" s="78" t="n">
        <x:v>4.31714</x:v>
      </x:c>
      <x:c r="E401" s="78" t="n">
        <x:v>-75.72606</x:v>
      </x:c>
      <x:c r="F401" s="69" t="str">
        <x:v>Texto→número</x:v>
      </x:c>
      <x:c r="G401" s="69" t="str">
        <x:v>Texto→número</x:v>
      </x:c>
      <x:c r="H401" s="80" t="str">
        <x:v>OK</x:v>
      </x:c>
      <x:c r="I401" s="69" t="str"/>
      <x:c r="J401" s="69" t="str">
        <x:v>4.31714|-75.72606</x:v>
      </x:c>
      <x:c r="K401" s="82" t="n">
        <x:v>0</x:v>
      </x:c>
    </x:row>
    <x:row r="402">
      <x:c r="A402" s="76" t="n">
        <x:v>402</x:v>
      </x:c>
      <x:c r="B402" s="69" t="str">
        <x:v>4.22672</x:v>
      </x:c>
      <x:c r="C402" s="69" t="str">
        <x:v>-75.70312</x:v>
      </x:c>
      <x:c r="D402" s="78" t="n">
        <x:v>4.22672</x:v>
      </x:c>
      <x:c r="E402" s="78" t="n">
        <x:v>-75.70312</x:v>
      </x:c>
      <x:c r="F402" s="69" t="str">
        <x:v>Texto→número</x:v>
      </x:c>
      <x:c r="G402" s="69" t="str">
        <x:v>Texto→número</x:v>
      </x:c>
      <x:c r="H402" s="80" t="str">
        <x:v>OK</x:v>
      </x:c>
      <x:c r="I402" s="69" t="str"/>
      <x:c r="J402" s="69" t="str">
        <x:v>4.22672|-75.70312</x:v>
      </x:c>
      <x:c r="K402" s="82" t="n">
        <x:v>0</x:v>
      </x:c>
    </x:row>
    <x:row r="403">
      <x:c r="A403" s="76" t="n">
        <x:v>403</x:v>
      </x:c>
      <x:c r="B403" s="69" t="str">
        <x:v>4.62529</x:v>
      </x:c>
      <x:c r="C403" s="69" t="str">
        <x:v>-75.45309</x:v>
      </x:c>
      <x:c r="D403" s="78" t="n">
        <x:v>4.62529</x:v>
      </x:c>
      <x:c r="E403" s="78" t="n">
        <x:v>-75.45309</x:v>
      </x:c>
      <x:c r="F403" s="69" t="str">
        <x:v>Texto→número</x:v>
      </x:c>
      <x:c r="G403" s="69" t="str">
        <x:v>Texto→número</x:v>
      </x:c>
      <x:c r="H403" s="80" t="str">
        <x:v>OK</x:v>
      </x:c>
      <x:c r="I403" s="69" t="str"/>
      <x:c r="J403" s="69" t="str">
        <x:v>4.62529|-75.45309</x:v>
      </x:c>
      <x:c r="K403" s="82" t="n">
        <x:v>0</x:v>
      </x:c>
    </x:row>
    <x:row r="404">
      <x:c r="A404" s="76" t="n">
        <x:v>404</x:v>
      </x:c>
      <x:c r="B404" s="69" t="str">
        <x:v>4.62529</x:v>
      </x:c>
      <x:c r="C404" s="69" t="str">
        <x:v>-75.45309</x:v>
      </x:c>
      <x:c r="D404" s="78" t="n">
        <x:v>4.62529</x:v>
      </x:c>
      <x:c r="E404" s="78" t="n">
        <x:v>-75.45309</x:v>
      </x:c>
      <x:c r="F404" s="69" t="str">
        <x:v>Texto→número</x:v>
      </x:c>
      <x:c r="G404" s="69" t="str">
        <x:v>Texto→número</x:v>
      </x:c>
      <x:c r="H404" s="80" t="str">
        <x:v>OK</x:v>
      </x:c>
      <x:c r="I404" s="69" t="str"/>
      <x:c r="J404" s="69"/>
      <x:c r="K404" s="82" t="n">
        <x:v>1</x:v>
      </x:c>
    </x:row>
    <x:row r="405">
      <x:c r="A405" s="76" t="n">
        <x:v>405</x:v>
      </x:c>
      <x:c r="B405" s="69" t="str">
        <x:v>4.4564</x:v>
      </x:c>
      <x:c r="C405" s="69" t="str">
        <x:v>-75.61963</x:v>
      </x:c>
      <x:c r="D405" s="78" t="n">
        <x:v>4.4564</x:v>
      </x:c>
      <x:c r="E405" s="78" t="n">
        <x:v>-75.61963</x:v>
      </x:c>
      <x:c r="F405" s="69" t="str">
        <x:v>Texto→número</x:v>
      </x:c>
      <x:c r="G405" s="69" t="str">
        <x:v>Texto→número</x:v>
      </x:c>
      <x:c r="H405" s="80" t="str">
        <x:v>OK</x:v>
      </x:c>
      <x:c r="I405" s="69" t="str"/>
      <x:c r="J405" s="69" t="str">
        <x:v>4.4564|-75.61963</x:v>
      </x:c>
      <x:c r="K405" s="82" t="n">
        <x:v>0</x:v>
      </x:c>
    </x:row>
    <x:row r="406">
      <x:c r="A406" s="76" t="n">
        <x:v>406</x:v>
      </x:c>
      <x:c r="B406" s="69" t="str">
        <x:v>4.10998</x:v>
      </x:c>
      <x:c r="C406" s="69" t="str">
        <x:v>-75.80861</x:v>
      </x:c>
      <x:c r="D406" s="78" t="n">
        <x:v>4.10998</x:v>
      </x:c>
      <x:c r="E406" s="78" t="n">
        <x:v>-75.80861</x:v>
      </x:c>
      <x:c r="F406" s="69" t="str">
        <x:v>Texto→número</x:v>
      </x:c>
      <x:c r="G406" s="69" t="str">
        <x:v>Texto→número</x:v>
      </x:c>
      <x:c r="H406" s="80" t="str">
        <x:v>OK</x:v>
      </x:c>
      <x:c r="I406" s="69" t="str"/>
      <x:c r="J406" s="69" t="str">
        <x:v>4.10998|-75.80861</x:v>
      </x:c>
      <x:c r="K406" s="82" t="n">
        <x:v>0</x:v>
      </x:c>
    </x:row>
    <x:row r="407">
      <x:c r="A407" s="76" t="n">
        <x:v>407</x:v>
      </x:c>
      <x:c r="B407" s="69" t="str">
        <x:v>4.6415</x:v>
      </x:c>
      <x:c r="C407" s="69" t="str">
        <x:v>-75.4867778</x:v>
      </x:c>
      <x:c r="D407" s="78" t="n">
        <x:v>4.6415</x:v>
      </x:c>
      <x:c r="E407" s="78" t="n">
        <x:v>-75.4867778</x:v>
      </x:c>
      <x:c r="F407" s="69" t="str">
        <x:v>Texto→número</x:v>
      </x:c>
      <x:c r="G407" s="69" t="str">
        <x:v>Texto→número</x:v>
      </x:c>
      <x:c r="H407" s="80" t="str">
        <x:v>OK</x:v>
      </x:c>
      <x:c r="I407" s="69" t="str"/>
      <x:c r="J407" s="69"/>
      <x:c r="K407" s="82" t="n">
        <x:v>1</x:v>
      </x:c>
    </x:row>
    <x:row r="408">
      <x:c r="A408" s="76" t="n">
        <x:v>408</x:v>
      </x:c>
      <x:c r="B408" s="69" t="str">
        <x:v>4.68573</x:v>
      </x:c>
      <x:c r="C408" s="69" t="str">
        <x:v>-75.57803</x:v>
      </x:c>
      <x:c r="D408" s="78" t="n">
        <x:v>4.68573</x:v>
      </x:c>
      <x:c r="E408" s="78" t="n">
        <x:v>-75.57803</x:v>
      </x:c>
      <x:c r="F408" s="69" t="str">
        <x:v>Texto→número</x:v>
      </x:c>
      <x:c r="G408" s="69" t="str">
        <x:v>Texto→número</x:v>
      </x:c>
      <x:c r="H408" s="80" t="str">
        <x:v>OK</x:v>
      </x:c>
      <x:c r="I408" s="69" t="str"/>
      <x:c r="J408" s="69"/>
      <x:c r="K408" s="82" t="n">
        <x:v>1</x:v>
      </x:c>
    </x:row>
    <x:row r="409">
      <x:c r="A409" s="76" t="n">
        <x:v>409</x:v>
      </x:c>
      <x:c r="B409" s="69" t="str">
        <x:v>4.6415</x:v>
      </x:c>
      <x:c r="C409" s="69" t="str">
        <x:v>-75.4867778</x:v>
      </x:c>
      <x:c r="D409" s="78" t="n">
        <x:v>4.6415</x:v>
      </x:c>
      <x:c r="E409" s="78" t="n">
        <x:v>-75.4867778</x:v>
      </x:c>
      <x:c r="F409" s="69" t="str">
        <x:v>Texto→número</x:v>
      </x:c>
      <x:c r="G409" s="69" t="str">
        <x:v>Texto→número</x:v>
      </x:c>
      <x:c r="H409" s="80" t="str">
        <x:v>OK</x:v>
      </x:c>
      <x:c r="I409" s="69" t="str"/>
      <x:c r="J409" s="69"/>
      <x:c r="K409" s="82" t="n">
        <x:v>1</x:v>
      </x:c>
    </x:row>
    <x:row r="410">
      <x:c r="A410" s="76" t="n">
        <x:v>410</x:v>
      </x:c>
      <x:c r="B410" s="69" t="str">
        <x:v>5.1286</x:v>
      </x:c>
      <x:c r="C410" s="69" t="str">
        <x:v>-76.04844</x:v>
      </x:c>
      <x:c r="D410" s="78" t="n">
        <x:v>5.1286</x:v>
      </x:c>
      <x:c r="E410" s="78" t="n">
        <x:v>-76.04844</x:v>
      </x:c>
      <x:c r="F410" s="69" t="str">
        <x:v>Texto→número</x:v>
      </x:c>
      <x:c r="G410" s="69" t="str">
        <x:v>Texto→número</x:v>
      </x:c>
      <x:c r="H410" s="80" t="str">
        <x:v>OK</x:v>
      </x:c>
      <x:c r="I410" s="69" t="str"/>
      <x:c r="J410" s="69"/>
      <x:c r="K410" s="82" t="n">
        <x:v>1</x:v>
      </x:c>
    </x:row>
    <x:row r="411">
      <x:c r="A411" s="76" t="n">
        <x:v>411</x:v>
      </x:c>
      <x:c r="B411" s="69" t="str">
        <x:v>5.15043</x:v>
      </x:c>
      <x:c r="C411" s="69" t="str">
        <x:v>-76.02159</x:v>
      </x:c>
      <x:c r="D411" s="78" t="n">
        <x:v>5.15043</x:v>
      </x:c>
      <x:c r="E411" s="78" t="n">
        <x:v>-76.02159</x:v>
      </x:c>
      <x:c r="F411" s="69" t="str">
        <x:v>Texto→número</x:v>
      </x:c>
      <x:c r="G411" s="69" t="str">
        <x:v>Texto→número</x:v>
      </x:c>
      <x:c r="H411" s="80" t="str">
        <x:v>OK</x:v>
      </x:c>
      <x:c r="I411" s="69" t="str"/>
      <x:c r="J411" s="69" t="str">
        <x:v>5.15043|-76.02159</x:v>
      </x:c>
      <x:c r="K411" s="82" t="n">
        <x:v>0</x:v>
      </x:c>
    </x:row>
    <x:row r="412">
      <x:c r="A412" s="76" t="n">
        <x:v>412</x:v>
      </x:c>
      <x:c r="B412" s="69" t="str">
        <x:v>4.70767</x:v>
      </x:c>
      <x:c r="C412" s="69" t="str">
        <x:v>-75.49291</x:v>
      </x:c>
      <x:c r="D412" s="78" t="n">
        <x:v>4.70767</x:v>
      </x:c>
      <x:c r="E412" s="78" t="n">
        <x:v>-75.49291</x:v>
      </x:c>
      <x:c r="F412" s="69" t="str">
        <x:v>Texto→número</x:v>
      </x:c>
      <x:c r="G412" s="69" t="str">
        <x:v>Texto→número</x:v>
      </x:c>
      <x:c r="H412" s="80" t="str">
        <x:v>OK</x:v>
      </x:c>
      <x:c r="I412" s="69" t="str"/>
      <x:c r="J412" s="69" t="str">
        <x:v>4.70767|-75.49291</x:v>
      </x:c>
      <x:c r="K412" s="82" t="n">
        <x:v>0</x:v>
      </x:c>
    </x:row>
    <x:row r="413">
      <x:c r="A413" s="76" t="n">
        <x:v>413</x:v>
      </x:c>
      <x:c r="B413" s="69" t="str">
        <x:v>4.70767</x:v>
      </x:c>
      <x:c r="C413" s="69" t="str">
        <x:v>-75.49291</x:v>
      </x:c>
      <x:c r="D413" s="78" t="n">
        <x:v>4.70767</x:v>
      </x:c>
      <x:c r="E413" s="78" t="n">
        <x:v>-75.49291</x:v>
      </x:c>
      <x:c r="F413" s="69" t="str">
        <x:v>Texto→número</x:v>
      </x:c>
      <x:c r="G413" s="69" t="str">
        <x:v>Texto→número</x:v>
      </x:c>
      <x:c r="H413" s="80" t="str">
        <x:v>OK</x:v>
      </x:c>
      <x:c r="I413" s="69" t="str"/>
      <x:c r="J413" s="69"/>
      <x:c r="K413" s="82" t="n">
        <x:v>1</x:v>
      </x:c>
    </x:row>
    <x:row r="414">
      <x:c r="A414" s="76" t="n">
        <x:v>414</x:v>
      </x:c>
      <x:c r="B414" s="69" t="str">
        <x:v>4.72879</x:v>
      </x:c>
      <x:c r="C414" s="69" t="str">
        <x:v>-75.5779</x:v>
      </x:c>
      <x:c r="D414" s="78" t="n">
        <x:v>4.72879</x:v>
      </x:c>
      <x:c r="E414" s="78" t="n">
        <x:v>-75.5779</x:v>
      </x:c>
      <x:c r="F414" s="69" t="str">
        <x:v>Texto→número</x:v>
      </x:c>
      <x:c r="G414" s="69" t="str">
        <x:v>Texto→número</x:v>
      </x:c>
      <x:c r="H414" s="80" t="str">
        <x:v>OK</x:v>
      </x:c>
      <x:c r="I414" s="69" t="str"/>
      <x:c r="J414" s="69"/>
      <x:c r="K414" s="82" t="n">
        <x:v>1</x:v>
      </x:c>
    </x:row>
    <x:row r="415">
      <x:c r="A415" s="76" t="n">
        <x:v>415</x:v>
      </x:c>
      <x:c r="B415" s="69" t="str">
        <x:v>4.70767</x:v>
      </x:c>
      <x:c r="C415" s="69" t="str">
        <x:v>-75.49291</x:v>
      </x:c>
      <x:c r="D415" s="78" t="n">
        <x:v>4.70767</x:v>
      </x:c>
      <x:c r="E415" s="78" t="n">
        <x:v>-75.49291</x:v>
      </x:c>
      <x:c r="F415" s="69" t="str">
        <x:v>Texto→número</x:v>
      </x:c>
      <x:c r="G415" s="69" t="str">
        <x:v>Texto→número</x:v>
      </x:c>
      <x:c r="H415" s="80" t="str">
        <x:v>OK</x:v>
      </x:c>
      <x:c r="I415" s="69" t="str"/>
      <x:c r="J415" s="69"/>
      <x:c r="K415" s="82" t="n">
        <x:v>1</x:v>
      </x:c>
    </x:row>
    <x:row r="416">
      <x:c r="A416" s="76" t="n">
        <x:v>416</x:v>
      </x:c>
      <x:c r="B416" s="69" t="str">
        <x:v>4.72879</x:v>
      </x:c>
      <x:c r="C416" s="69" t="str">
        <x:v>-75.5779</x:v>
      </x:c>
      <x:c r="D416" s="78" t="n">
        <x:v>4.72879</x:v>
      </x:c>
      <x:c r="E416" s="78" t="n">
        <x:v>-75.5779</x:v>
      </x:c>
      <x:c r="F416" s="69" t="str">
        <x:v>Texto→número</x:v>
      </x:c>
      <x:c r="G416" s="69" t="str">
        <x:v>Texto→número</x:v>
      </x:c>
      <x:c r="H416" s="80" t="str">
        <x:v>OK</x:v>
      </x:c>
      <x:c r="I416" s="69" t="str"/>
      <x:c r="J416" s="69"/>
      <x:c r="K416" s="82" t="n">
        <x:v>1</x:v>
      </x:c>
    </x:row>
    <x:row r="417">
      <x:c r="A417" s="76" t="n">
        <x:v>417</x:v>
      </x:c>
      <x:c r="B417" s="69" t="str">
        <x:v>4.81915</x:v>
      </x:c>
      <x:c r="C417" s="69" t="str">
        <x:v>-75.54521667</x:v>
      </x:c>
      <x:c r="D417" s="78" t="n">
        <x:v>4.81915</x:v>
      </x:c>
      <x:c r="E417" s="78" t="n">
        <x:v>-75.54521667</x:v>
      </x:c>
      <x:c r="F417" s="69" t="str">
        <x:v>Texto→número</x:v>
      </x:c>
      <x:c r="G417" s="69" t="str">
        <x:v>Texto→número</x:v>
      </x:c>
      <x:c r="H417" s="80" t="str">
        <x:v>OK</x:v>
      </x:c>
      <x:c r="I417" s="69" t="str"/>
      <x:c r="J417" s="69" t="str">
        <x:v>4.81915|-75.54521667</x:v>
      </x:c>
      <x:c r="K417" s="82" t="n">
        <x:v>0</x:v>
      </x:c>
    </x:row>
    <x:row r="418">
      <x:c r="A418" s="76" t="n">
        <x:v>418</x:v>
      </x:c>
      <x:c r="B418" s="69" t="str">
        <x:v>4.813416667</x:v>
      </x:c>
      <x:c r="C418" s="69" t="str">
        <x:v>-75.53271667</x:v>
      </x:c>
      <x:c r="D418" s="78" t="n">
        <x:v>4.813416667</x:v>
      </x:c>
      <x:c r="E418" s="78" t="n">
        <x:v>-75.53271667</x:v>
      </x:c>
      <x:c r="F418" s="69" t="str">
        <x:v>Texto→número</x:v>
      </x:c>
      <x:c r="G418" s="69" t="str">
        <x:v>Texto→número</x:v>
      </x:c>
      <x:c r="H418" s="80" t="str">
        <x:v>OK</x:v>
      </x:c>
      <x:c r="I418" s="69" t="str"/>
      <x:c r="J418" s="69" t="str">
        <x:v>4.813416667|-75.53271667</x:v>
      </x:c>
      <x:c r="K418" s="82" t="n">
        <x:v>0</x:v>
      </x:c>
    </x:row>
    <x:row r="419">
      <x:c r="A419" s="76" t="n">
        <x:v>419</x:v>
      </x:c>
      <x:c r="B419" s="69" t="str">
        <x:v>4.813416667</x:v>
      </x:c>
      <x:c r="C419" s="69" t="str">
        <x:v>-75.53271667</x:v>
      </x:c>
      <x:c r="D419" s="78" t="n">
        <x:v>4.813416667</x:v>
      </x:c>
      <x:c r="E419" s="78" t="n">
        <x:v>-75.53271667</x:v>
      </x:c>
      <x:c r="F419" s="69" t="str">
        <x:v>Texto→número</x:v>
      </x:c>
      <x:c r="G419" s="69" t="str">
        <x:v>Texto→número</x:v>
      </x:c>
      <x:c r="H419" s="80" t="str">
        <x:v>OK</x:v>
      </x:c>
      <x:c r="I419" s="69" t="str"/>
      <x:c r="J419" s="69"/>
      <x:c r="K419" s="82" t="n">
        <x:v>1</x:v>
      </x:c>
    </x:row>
    <x:row r="420">
      <x:c r="A420" s="76" t="n">
        <x:v>420</x:v>
      </x:c>
      <x:c r="B420" s="69" t="str">
        <x:v>5.1244244</x:v>
      </x:c>
      <x:c r="C420" s="69" t="str">
        <x:v>-76.0416654</x:v>
      </x:c>
      <x:c r="D420" s="78" t="n">
        <x:v>5.1244244</x:v>
      </x:c>
      <x:c r="E420" s="78" t="n">
        <x:v>-76.0416654</x:v>
      </x:c>
      <x:c r="F420" s="69" t="str">
        <x:v>Texto→número</x:v>
      </x:c>
      <x:c r="G420" s="69" t="str">
        <x:v>Texto→número</x:v>
      </x:c>
      <x:c r="H420" s="80" t="str">
        <x:v>OK</x:v>
      </x:c>
      <x:c r="I420" s="69" t="str"/>
      <x:c r="J420" s="69" t="str">
        <x:v>5.1244244|-76.0416654</x:v>
      </x:c>
      <x:c r="K420" s="82" t="n">
        <x:v>0</x:v>
      </x:c>
    </x:row>
    <x:row r="421">
      <x:c r="A421" s="76" t="n">
        <x:v>421</x:v>
      </x:c>
      <x:c r="B421" s="69" t="str">
        <x:v>4.72879</x:v>
      </x:c>
      <x:c r="C421" s="69" t="str">
        <x:v>-75.5779</x:v>
      </x:c>
      <x:c r="D421" s="78" t="n">
        <x:v>4.72879</x:v>
      </x:c>
      <x:c r="E421" s="78" t="n">
        <x:v>-75.5779</x:v>
      </x:c>
      <x:c r="F421" s="69" t="str">
        <x:v>Texto→número</x:v>
      </x:c>
      <x:c r="G421" s="69" t="str">
        <x:v>Texto→número</x:v>
      </x:c>
      <x:c r="H421" s="80" t="str">
        <x:v>OK</x:v>
      </x:c>
      <x:c r="I421" s="69" t="str"/>
      <x:c r="J421" s="69"/>
      <x:c r="K421" s="82" t="n">
        <x:v>1</x:v>
      </x:c>
    </x:row>
    <x:row r="422">
      <x:c r="A422" s="76" t="n">
        <x:v>422</x:v>
      </x:c>
      <x:c r="B422" s="69" t="str">
        <x:v>4.72879</x:v>
      </x:c>
      <x:c r="C422" s="69" t="str">
        <x:v>-75.5779</x:v>
      </x:c>
      <x:c r="D422" s="78" t="n">
        <x:v>4.72879</x:v>
      </x:c>
      <x:c r="E422" s="78" t="n">
        <x:v>-75.5779</x:v>
      </x:c>
      <x:c r="F422" s="69" t="str">
        <x:v>Texto→número</x:v>
      </x:c>
      <x:c r="G422" s="69" t="str">
        <x:v>Texto→número</x:v>
      </x:c>
      <x:c r="H422" s="80" t="str">
        <x:v>OK</x:v>
      </x:c>
      <x:c r="I422" s="69" t="str"/>
      <x:c r="J422" s="69"/>
      <x:c r="K422" s="82" t="n">
        <x:v>1</x:v>
      </x:c>
    </x:row>
    <x:row r="423">
      <x:c r="A423" s="76" t="n">
        <x:v>423</x:v>
      </x:c>
      <x:c r="B423" s="69" t="str">
        <x:v>5.1208051</x:v>
      </x:c>
      <x:c r="C423" s="69" t="str">
        <x:v>-76.0594532</x:v>
      </x:c>
      <x:c r="D423" s="78" t="n">
        <x:v>5.1208051</x:v>
      </x:c>
      <x:c r="E423" s="78" t="n">
        <x:v>-76.0594532</x:v>
      </x:c>
      <x:c r="F423" s="69" t="str">
        <x:v>Texto→número</x:v>
      </x:c>
      <x:c r="G423" s="69" t="str">
        <x:v>Texto→número</x:v>
      </x:c>
      <x:c r="H423" s="80" t="str">
        <x:v>OK</x:v>
      </x:c>
      <x:c r="I423" s="69" t="str"/>
      <x:c r="J423" s="69"/>
      <x:c r="K423" s="82" t="n">
        <x:v>1</x:v>
      </x:c>
    </x:row>
    <x:row r="424">
      <x:c r="A424" s="76" t="n">
        <x:v>424</x:v>
      </x:c>
      <x:c r="B424" s="69" t="str">
        <x:v>5.1225913</x:v>
      </x:c>
      <x:c r="C424" s="69" t="str">
        <x:v>-76.0459684</x:v>
      </x:c>
      <x:c r="D424" s="78" t="n">
        <x:v>5.1225913</x:v>
      </x:c>
      <x:c r="E424" s="78" t="n">
        <x:v>-76.0459684</x:v>
      </x:c>
      <x:c r="F424" s="69" t="str">
        <x:v>Texto→número</x:v>
      </x:c>
      <x:c r="G424" s="69" t="str">
        <x:v>Texto→número</x:v>
      </x:c>
      <x:c r="H424" s="80" t="str">
        <x:v>OK</x:v>
      </x:c>
      <x:c r="I424" s="69" t="str"/>
      <x:c r="J424" s="69" t="str">
        <x:v>5.1225913|-76.0459684</x:v>
      </x:c>
      <x:c r="K424" s="82" t="n">
        <x:v>0</x:v>
      </x:c>
    </x:row>
    <x:row r="425">
      <x:c r="A425" s="76" t="n">
        <x:v>425</x:v>
      </x:c>
      <x:c r="B425" s="69" t="str">
        <x:v>6.31987</x:v>
      </x:c>
      <x:c r="C425" s="69" t="str">
        <x:v>-73.88549</x:v>
      </x:c>
      <x:c r="D425" s="78" t="n">
        <x:v>6.31987</x:v>
      </x:c>
      <x:c r="E425" s="78" t="n">
        <x:v>-73.88549</x:v>
      </x:c>
      <x:c r="F425" s="69" t="str">
        <x:v>Texto→número</x:v>
      </x:c>
      <x:c r="G425" s="69" t="str">
        <x:v>Texto→número</x:v>
      </x:c>
      <x:c r="H425" s="80" t="str">
        <x:v>OK</x:v>
      </x:c>
      <x:c r="I425" s="69" t="str"/>
      <x:c r="J425" s="69" t="str">
        <x:v>6.31987|-73.88549</x:v>
      </x:c>
      <x:c r="K425" s="82" t="n">
        <x:v>0</x:v>
      </x:c>
    </x:row>
    <x:row r="426">
      <x:c r="A426" s="76" t="n">
        <x:v>426</x:v>
      </x:c>
      <x:c r="B426" s="69" t="str">
        <x:v>6.10629</x:v>
      </x:c>
      <x:c r="C426" s="69" t="str">
        <x:v>-73.19712</x:v>
      </x:c>
      <x:c r="D426" s="78" t="n">
        <x:v>6.10629</x:v>
      </x:c>
      <x:c r="E426" s="78" t="n">
        <x:v>-73.19712</x:v>
      </x:c>
      <x:c r="F426" s="69" t="str">
        <x:v>Texto→número</x:v>
      </x:c>
      <x:c r="G426" s="69" t="str">
        <x:v>Texto→número</x:v>
      </x:c>
      <x:c r="H426" s="80" t="str">
        <x:v>OK</x:v>
      </x:c>
      <x:c r="I426" s="69" t="str"/>
      <x:c r="J426" s="69" t="str">
        <x:v>6.10629|-73.19712</x:v>
      </x:c>
      <x:c r="K426" s="82" t="n">
        <x:v>0</x:v>
      </x:c>
    </x:row>
    <x:row r="427">
      <x:c r="A427" s="76" t="n">
        <x:v>427</x:v>
      </x:c>
      <x:c r="B427" s="69" t="str">
        <x:v>7.27828</x:v>
      </x:c>
      <x:c r="C427" s="69" t="str">
        <x:v>-72.96731</x:v>
      </x:c>
      <x:c r="D427" s="78" t="n">
        <x:v>7.27828</x:v>
      </x:c>
      <x:c r="E427" s="78" t="n">
        <x:v>-72.96731</x:v>
      </x:c>
      <x:c r="F427" s="69" t="str">
        <x:v>Texto→número</x:v>
      </x:c>
      <x:c r="G427" s="69" t="str">
        <x:v>Texto→número</x:v>
      </x:c>
      <x:c r="H427" s="80" t="str">
        <x:v>OK</x:v>
      </x:c>
      <x:c r="I427" s="69" t="str"/>
      <x:c r="J427" s="69" t="str">
        <x:v>7.27828|-72.96731</x:v>
      </x:c>
      <x:c r="K427" s="82" t="n">
        <x:v>0</x:v>
      </x:c>
    </x:row>
    <x:row r="428">
      <x:c r="A428" s="76" t="n">
        <x:v>428</x:v>
      </x:c>
      <x:c r="B428" s="69" t="str">
        <x:v>6.0166667</x:v>
      </x:c>
      <x:c r="C428" s="69" t="str">
        <x:v>-73.15</x:v>
      </x:c>
      <x:c r="D428" s="78" t="n">
        <x:v>6.0166667</x:v>
      </x:c>
      <x:c r="E428" s="78" t="n">
        <x:v>-73.15</x:v>
      </x:c>
      <x:c r="F428" s="69" t="str">
        <x:v>Texto→número</x:v>
      </x:c>
      <x:c r="G428" s="69" t="str">
        <x:v>Texto→número</x:v>
      </x:c>
      <x:c r="H428" s="80" t="str">
        <x:v>OK</x:v>
      </x:c>
      <x:c r="I428" s="69" t="str"/>
      <x:c r="J428" s="69" t="str">
        <x:v>6.0166667|-73.15</x:v>
      </x:c>
      <x:c r="K428" s="82" t="n">
        <x:v>0</x:v>
      </x:c>
    </x:row>
    <x:row r="429">
      <x:c r="A429" s="76" t="n">
        <x:v>429</x:v>
      </x:c>
      <x:c r="B429" s="69" t="str">
        <x:v>4.71544</x:v>
      </x:c>
      <x:c r="C429" s="69" t="str">
        <x:v>-75.1369</x:v>
      </x:c>
      <x:c r="D429" s="78" t="n">
        <x:v>4.71544</x:v>
      </x:c>
      <x:c r="E429" s="78" t="n">
        <x:v>-75.1369</x:v>
      </x:c>
      <x:c r="F429" s="69" t="str">
        <x:v>Texto→número</x:v>
      </x:c>
      <x:c r="G429" s="69" t="str">
        <x:v>Texto→número</x:v>
      </x:c>
      <x:c r="H429" s="80" t="str">
        <x:v>OK</x:v>
      </x:c>
      <x:c r="I429" s="69" t="str"/>
      <x:c r="J429" s="69" t="str">
        <x:v>4.71544|-75.1369</x:v>
      </x:c>
      <x:c r="K429" s="82" t="n">
        <x:v>0</x:v>
      </x:c>
    </x:row>
    <x:row r="430">
      <x:c r="A430" s="76" t="n">
        <x:v>430</x:v>
      </x:c>
      <x:c r="B430" s="69" t="str">
        <x:v>4.71771</x:v>
      </x:c>
      <x:c r="C430" s="69" t="str">
        <x:v>-75.10414</x:v>
      </x:c>
      <x:c r="D430" s="78" t="n">
        <x:v>4.71771</x:v>
      </x:c>
      <x:c r="E430" s="78" t="n">
        <x:v>-75.10414</x:v>
      </x:c>
      <x:c r="F430" s="69" t="str">
        <x:v>Texto→número</x:v>
      </x:c>
      <x:c r="G430" s="69" t="str">
        <x:v>Texto→número</x:v>
      </x:c>
      <x:c r="H430" s="80" t="str">
        <x:v>OK</x:v>
      </x:c>
      <x:c r="I430" s="69" t="str"/>
      <x:c r="J430" s="69" t="str">
        <x:v>4.71771|-75.10414</x:v>
      </x:c>
      <x:c r="K430" s="82" t="n">
        <x:v>0</x:v>
      </x:c>
    </x:row>
    <x:row r="431">
      <x:c r="A431" s="76" t="n">
        <x:v>431</x:v>
      </x:c>
      <x:c r="B431" s="69" t="str">
        <x:v>4.71771</x:v>
      </x:c>
      <x:c r="C431" s="69" t="str">
        <x:v>-75.10414</x:v>
      </x:c>
      <x:c r="D431" s="78" t="n">
        <x:v>4.71771</x:v>
      </x:c>
      <x:c r="E431" s="78" t="n">
        <x:v>-75.10414</x:v>
      </x:c>
      <x:c r="F431" s="69" t="str">
        <x:v>Texto→número</x:v>
      </x:c>
      <x:c r="G431" s="69" t="str">
        <x:v>Texto→número</x:v>
      </x:c>
      <x:c r="H431" s="80" t="str">
        <x:v>OK</x:v>
      </x:c>
      <x:c r="I431" s="69" t="str"/>
      <x:c r="J431" s="69"/>
      <x:c r="K431" s="82" t="n">
        <x:v>1</x:v>
      </x:c>
    </x:row>
    <x:row r="432">
      <x:c r="A432" s="76" t="n">
        <x:v>432</x:v>
      </x:c>
      <x:c r="B432" s="69" t="str">
        <x:v>4.89285</x:v>
      </x:c>
      <x:c r="C432" s="69" t="str">
        <x:v>-75.1272</x:v>
      </x:c>
      <x:c r="D432" s="78" t="n">
        <x:v>4.89285</x:v>
      </x:c>
      <x:c r="E432" s="78" t="n">
        <x:v>-75.1272</x:v>
      </x:c>
      <x:c r="F432" s="69" t="str">
        <x:v>Texto→número</x:v>
      </x:c>
      <x:c r="G432" s="69" t="str">
        <x:v>Texto→número</x:v>
      </x:c>
      <x:c r="H432" s="80" t="str">
        <x:v>OK</x:v>
      </x:c>
      <x:c r="I432" s="69" t="str"/>
      <x:c r="J432" s="69" t="str">
        <x:v>4.89285|-75.1272</x:v>
      </x:c>
      <x:c r="K432" s="82" t="n">
        <x:v>0</x:v>
      </x:c>
    </x:row>
    <x:row r="433">
      <x:c r="A433" s="76" t="n">
        <x:v>433</x:v>
      </x:c>
      <x:c r="B433" s="69" t="str">
        <x:v>4.55835</x:v>
      </x:c>
      <x:c r="C433" s="69" t="str">
        <x:v>-75.32021</x:v>
      </x:c>
      <x:c r="D433" s="78" t="n">
        <x:v>4.55835</x:v>
      </x:c>
      <x:c r="E433" s="78" t="n">
        <x:v>-75.32021</x:v>
      </x:c>
      <x:c r="F433" s="69" t="str">
        <x:v>Texto→número</x:v>
      </x:c>
      <x:c r="G433" s="69" t="str">
        <x:v>Texto→número</x:v>
      </x:c>
      <x:c r="H433" s="80" t="str">
        <x:v>OK</x:v>
      </x:c>
      <x:c r="I433" s="69" t="str"/>
      <x:c r="J433" s="69"/>
      <x:c r="K433" s="82" t="n">
        <x:v>1</x:v>
      </x:c>
    </x:row>
    <x:row r="434">
      <x:c r="A434" s="76" t="n">
        <x:v>434</x:v>
      </x:c>
      <x:c r="B434" s="69" t="str">
        <x:v>4.55835</x:v>
      </x:c>
      <x:c r="C434" s="69" t="str">
        <x:v>-75.32021</x:v>
      </x:c>
      <x:c r="D434" s="78" t="n">
        <x:v>4.55835</x:v>
      </x:c>
      <x:c r="E434" s="78" t="n">
        <x:v>-75.32021</x:v>
      </x:c>
      <x:c r="F434" s="69" t="str">
        <x:v>Texto→número</x:v>
      </x:c>
      <x:c r="G434" s="69" t="str">
        <x:v>Texto→número</x:v>
      </x:c>
      <x:c r="H434" s="80" t="str">
        <x:v>OK</x:v>
      </x:c>
      <x:c r="I434" s="69" t="str"/>
      <x:c r="J434" s="69"/>
      <x:c r="K434" s="82" t="n">
        <x:v>1</x:v>
      </x:c>
    </x:row>
    <x:row r="435">
      <x:c r="A435" s="76" t="n">
        <x:v>435</x:v>
      </x:c>
      <x:c r="B435" s="69" t="str">
        <x:v>3.43452</x:v>
      </x:c>
      <x:c r="C435" s="69" t="str">
        <x:v>-76.60242</x:v>
      </x:c>
      <x:c r="D435" s="78" t="n">
        <x:v>3.43452</x:v>
      </x:c>
      <x:c r="E435" s="78" t="n">
        <x:v>-76.60242</x:v>
      </x:c>
      <x:c r="F435" s="69" t="str">
        <x:v>Texto→número</x:v>
      </x:c>
      <x:c r="G435" s="69" t="str">
        <x:v>Texto→número</x:v>
      </x:c>
      <x:c r="H435" s="80" t="str">
        <x:v>OK</x:v>
      </x:c>
      <x:c r="I435" s="69" t="str"/>
      <x:c r="J435" s="69" t="str">
        <x:v>3.43452|-76.60242</x:v>
      </x:c>
      <x:c r="K435" s="82" t="n">
        <x:v>0</x:v>
      </x:c>
    </x:row>
    <x:row r="436">
      <x:c r="A436" s="76" t="n">
        <x:v>436</x:v>
      </x:c>
      <x:c r="B436" s="69" t="str">
        <x:v>3.5</x:v>
      </x:c>
      <x:c r="C436" s="69" t="str">
        <x:v>-76.8666667</x:v>
      </x:c>
      <x:c r="D436" s="78" t="n">
        <x:v>3.5</x:v>
      </x:c>
      <x:c r="E436" s="78" t="n">
        <x:v>-76.8666667</x:v>
      </x:c>
      <x:c r="F436" s="69" t="str">
        <x:v>Texto→número</x:v>
      </x:c>
      <x:c r="G436" s="69" t="str">
        <x:v>Texto→número</x:v>
      </x:c>
      <x:c r="H436" s="80" t="str">
        <x:v>OK</x:v>
      </x:c>
      <x:c r="I436" s="69" t="str"/>
      <x:c r="J436" s="69" t="str">
        <x:v>3.5|-76.8666667</x:v>
      </x:c>
      <x:c r="K436" s="82" t="n">
        <x:v>0</x:v>
      </x:c>
    </x:row>
    <x:row r="437">
      <x:c r="A437" s="76" t="n">
        <x:v>437</x:v>
      </x:c>
      <x:c r="B437" s="69" t="str">
        <x:v>3.46144</x:v>
      </x:c>
      <x:c r="C437" s="69" t="str">
        <x:v>-76.63748</x:v>
      </x:c>
      <x:c r="D437" s="78" t="n">
        <x:v>3.46144</x:v>
      </x:c>
      <x:c r="E437" s="78" t="n">
        <x:v>-76.63748</x:v>
      </x:c>
      <x:c r="F437" s="69" t="str">
        <x:v>Texto→número</x:v>
      </x:c>
      <x:c r="G437" s="69" t="str">
        <x:v>Texto→número</x:v>
      </x:c>
      <x:c r="H437" s="80" t="str">
        <x:v>OK</x:v>
      </x:c>
      <x:c r="I437" s="69" t="str"/>
      <x:c r="J437" s="69" t="str">
        <x:v>3.46144|-76.63748</x:v>
      </x:c>
      <x:c r="K437" s="82" t="n">
        <x:v>0</x:v>
      </x:c>
    </x:row>
    <x:row r="438">
      <x:c r="A438" s="76" t="n">
        <x:v>438</x:v>
      </x:c>
      <x:c r="B438" s="69" t="str">
        <x:v>3.74114</x:v>
      </x:c>
      <x:c r="C438" s="69" t="str">
        <x:v>-76.96741</x:v>
      </x:c>
      <x:c r="D438" s="78" t="n">
        <x:v>3.74114</x:v>
      </x:c>
      <x:c r="E438" s="78" t="n">
        <x:v>-76.96741</x:v>
      </x:c>
      <x:c r="F438" s="69" t="str">
        <x:v>Texto→número</x:v>
      </x:c>
      <x:c r="G438" s="69" t="str">
        <x:v>Texto→número</x:v>
      </x:c>
      <x:c r="H438" s="80" t="str">
        <x:v>OK</x:v>
      </x:c>
      <x:c r="I438" s="69" t="str"/>
      <x:c r="J438" s="69" t="str">
        <x:v>3.74114|-76.96741</x:v>
      </x:c>
      <x:c r="K438" s="82" t="n">
        <x:v>0</x:v>
      </x:c>
    </x:row>
    <x:row r="439">
      <x:c r="A439" s="76" t="n">
        <x:v>439</x:v>
      </x:c>
      <x:c r="B439" s="69" t="str">
        <x:v>3.4358</x:v>
      </x:c>
      <x:c r="C439" s="69" t="str">
        <x:v>-76.64097</x:v>
      </x:c>
      <x:c r="D439" s="78" t="n">
        <x:v>3.4358</x:v>
      </x:c>
      <x:c r="E439" s="78" t="n">
        <x:v>-76.64097</x:v>
      </x:c>
      <x:c r="F439" s="69" t="str">
        <x:v>Texto→número</x:v>
      </x:c>
      <x:c r="G439" s="69" t="str">
        <x:v>Texto→número</x:v>
      </x:c>
      <x:c r="H439" s="80" t="str">
        <x:v>OK</x:v>
      </x:c>
      <x:c r="I439" s="69" t="str"/>
      <x:c r="J439" s="69" t="str">
        <x:v>3.4358|-76.64097</x:v>
      </x:c>
      <x:c r="K439" s="82" t="n">
        <x:v>0</x:v>
      </x:c>
    </x:row>
    <x:row r="440">
      <x:c r="A440" s="76" t="n">
        <x:v>440</x:v>
      </x:c>
      <x:c r="B440" s="69" t="str">
        <x:v>3.50579</x:v>
      </x:c>
      <x:c r="C440" s="69" t="str">
        <x:v>-76.10426</x:v>
      </x:c>
      <x:c r="D440" s="78" t="n">
        <x:v>3.50579</x:v>
      </x:c>
      <x:c r="E440" s="78" t="n">
        <x:v>-76.10426</x:v>
      </x:c>
      <x:c r="F440" s="69" t="str">
        <x:v>Texto→número</x:v>
      </x:c>
      <x:c r="G440" s="69" t="str">
        <x:v>Texto→número</x:v>
      </x:c>
      <x:c r="H440" s="80" t="str">
        <x:v>OK</x:v>
      </x:c>
      <x:c r="I440" s="69" t="str"/>
      <x:c r="J440" s="69" t="str">
        <x:v>3.50579|-76.10426</x:v>
      </x:c>
      <x:c r="K440" s="82" t="n">
        <x:v>0</x:v>
      </x:c>
    </x:row>
    <x:row r="441">
      <x:c r="A441" s="76" t="n">
        <x:v>441</x:v>
      </x:c>
      <x:c r="B441" s="69" t="str">
        <x:v>3.34415</x:v>
      </x:c>
      <x:c r="C441" s="69" t="str">
        <x:v>-76.69581</x:v>
      </x:c>
      <x:c r="D441" s="78" t="n">
        <x:v>3.34415</x:v>
      </x:c>
      <x:c r="E441" s="78" t="n">
        <x:v>-76.69581</x:v>
      </x:c>
      <x:c r="F441" s="69" t="str">
        <x:v>Texto→número</x:v>
      </x:c>
      <x:c r="G441" s="69" t="str">
        <x:v>Texto→número</x:v>
      </x:c>
      <x:c r="H441" s="80" t="str">
        <x:v>OK</x:v>
      </x:c>
      <x:c r="I441" s="69" t="str"/>
      <x:c r="J441" s="69" t="str">
        <x:v>3.34415|-76.69581</x:v>
      </x:c>
      <x:c r="K441" s="82" t="n">
        <x:v>0</x:v>
      </x:c>
    </x:row>
    <x:row r="442">
      <x:c r="A442" s="76" t="n">
        <x:v>442</x:v>
      </x:c>
      <x:c r="B442" s="69" t="str">
        <x:v>3.34415</x:v>
      </x:c>
      <x:c r="C442" s="69" t="str">
        <x:v>-76.69581</x:v>
      </x:c>
      <x:c r="D442" s="78" t="n">
        <x:v>3.34415</x:v>
      </x:c>
      <x:c r="E442" s="78" t="n">
        <x:v>-76.69581</x:v>
      </x:c>
      <x:c r="F442" s="69" t="str">
        <x:v>Texto→número</x:v>
      </x:c>
      <x:c r="G442" s="69" t="str">
        <x:v>Texto→número</x:v>
      </x:c>
      <x:c r="H442" s="80" t="str">
        <x:v>OK</x:v>
      </x:c>
      <x:c r="I442" s="69" t="str"/>
      <x:c r="J442" s="69"/>
      <x:c r="K442" s="82" t="n">
        <x:v>1</x:v>
      </x:c>
    </x:row>
    <x:row r="443">
      <x:c r="A443" s="76" t="n">
        <x:v>443</x:v>
      </x:c>
      <x:c r="B443" s="69" t="str">
        <x:v>5.6833333</x:v>
      </x:c>
      <x:c r="C443" s="69" t="str">
        <x:v>-75.2333333</x:v>
      </x:c>
      <x:c r="D443" s="78" t="n">
        <x:v>5.6833333</x:v>
      </x:c>
      <x:c r="E443" s="78" t="n">
        <x:v>-75.2333333</x:v>
      </x:c>
      <x:c r="F443" s="69" t="str">
        <x:v>Texto→número</x:v>
      </x:c>
      <x:c r="G443" s="69" t="str">
        <x:v>Texto→número</x:v>
      </x:c>
      <x:c r="H443" s="80" t="str">
        <x:v>OK</x:v>
      </x:c>
      <x:c r="I443" s="69" t="str"/>
      <x:c r="J443" s="69"/>
      <x:c r="K443" s="82" t="n">
        <x:v>1</x:v>
      </x:c>
    </x:row>
    <x:row r="444">
      <x:c r="A444" s="76" t="n">
        <x:v>444</x:v>
      </x:c>
      <x:c r="B444" s="69" t="str">
        <x:v>6.9876667</x:v>
      </x:c>
      <x:c r="C444" s="69" t="str">
        <x:v>-75.1432222</x:v>
      </x:c>
      <x:c r="D444" s="78" t="n">
        <x:v>6.9876667</x:v>
      </x:c>
      <x:c r="E444" s="78" t="n">
        <x:v>-75.1432222</x:v>
      </x:c>
      <x:c r="F444" s="69" t="str">
        <x:v>Texto→número</x:v>
      </x:c>
      <x:c r="G444" s="69" t="str">
        <x:v>Texto→número</x:v>
      </x:c>
      <x:c r="H444" s="80" t="str">
        <x:v>OK</x:v>
      </x:c>
      <x:c r="I444" s="69" t="str"/>
      <x:c r="J444" s="69" t="str">
        <x:v>6.9876667|-75.1432222</x:v>
      </x:c>
      <x:c r="K444" s="82" t="n">
        <x:v>0</x:v>
      </x:c>
    </x:row>
    <x:row r="445">
      <x:c r="A445" s="76" t="n">
        <x:v>445</x:v>
      </x:c>
      <x:c r="B445" s="69" t="str">
        <x:v>6.4627778</x:v>
      </x:c>
      <x:c r="C445" s="69" t="str">
        <x:v>-75.5563889</x:v>
      </x:c>
      <x:c r="D445" s="78" t="n">
        <x:v>6.4627778</x:v>
      </x:c>
      <x:c r="E445" s="78" t="n">
        <x:v>-75.5563889</x:v>
      </x:c>
      <x:c r="F445" s="69" t="str">
        <x:v>Texto→número</x:v>
      </x:c>
      <x:c r="G445" s="69" t="str">
        <x:v>Texto→número</x:v>
      </x:c>
      <x:c r="H445" s="80" t="str">
        <x:v>OK</x:v>
      </x:c>
      <x:c r="I445" s="69" t="str"/>
      <x:c r="J445" s="69" t="str">
        <x:v>6.4627778|-75.5563889</x:v>
      </x:c>
      <x:c r="K445" s="82" t="n">
        <x:v>0</x:v>
      </x:c>
    </x:row>
    <x:row r="446">
      <x:c r="A446" s="76" t="n">
        <x:v>446</x:v>
      </x:c>
      <x:c r="B446" s="69" t="str">
        <x:v>6.31122</x:v>
      </x:c>
      <x:c r="C446" s="69" t="str">
        <x:v>-75.14609</x:v>
      </x:c>
      <x:c r="D446" s="78" t="n">
        <x:v>6.31122</x:v>
      </x:c>
      <x:c r="E446" s="78" t="n">
        <x:v>-75.14609</x:v>
      </x:c>
      <x:c r="F446" s="69" t="str">
        <x:v>Texto→número</x:v>
      </x:c>
      <x:c r="G446" s="69" t="str">
        <x:v>Texto→número</x:v>
      </x:c>
      <x:c r="H446" s="80" t="str">
        <x:v>OK</x:v>
      </x:c>
      <x:c r="I446" s="69" t="str"/>
      <x:c r="J446" s="69"/>
      <x:c r="K446" s="82" t="n">
        <x:v>1</x:v>
      </x:c>
    </x:row>
    <x:row r="447">
      <x:c r="A447" s="76" t="n">
        <x:v>447</x:v>
      </x:c>
      <x:c r="B447" s="69" t="str">
        <x:v>6.147</x:v>
      </x:c>
      <x:c r="C447" s="69" t="str">
        <x:v>-75.188</x:v>
      </x:c>
      <x:c r="D447" s="78" t="n">
        <x:v>6.147</x:v>
      </x:c>
      <x:c r="E447" s="78" t="n">
        <x:v>-75.188</x:v>
      </x:c>
      <x:c r="F447" s="69" t="str">
        <x:v>Texto→número</x:v>
      </x:c>
      <x:c r="G447" s="69" t="str">
        <x:v>Texto→número</x:v>
      </x:c>
      <x:c r="H447" s="80" t="str">
        <x:v>OK</x:v>
      </x:c>
      <x:c r="I447" s="69" t="str"/>
      <x:c r="J447" s="69" t="str">
        <x:v>6.147|-75.188</x:v>
      </x:c>
      <x:c r="K447" s="82" t="n">
        <x:v>0</x:v>
      </x:c>
    </x:row>
    <x:row r="448">
      <x:c r="A448" s="76" t="n">
        <x:v>448</x:v>
      </x:c>
      <x:c r="B448" s="69" t="str">
        <x:v>6.147</x:v>
      </x:c>
      <x:c r="C448" s="69" t="str">
        <x:v>-75.188</x:v>
      </x:c>
      <x:c r="D448" s="78" t="n">
        <x:v>6.147</x:v>
      </x:c>
      <x:c r="E448" s="78" t="n">
        <x:v>-75.188</x:v>
      </x:c>
      <x:c r="F448" s="69" t="str">
        <x:v>Texto→número</x:v>
      </x:c>
      <x:c r="G448" s="69" t="str">
        <x:v>Texto→número</x:v>
      </x:c>
      <x:c r="H448" s="80" t="str">
        <x:v>OK</x:v>
      </x:c>
      <x:c r="I448" s="69" t="str"/>
      <x:c r="J448" s="69"/>
      <x:c r="K448" s="82" t="n">
        <x:v>1</x:v>
      </x:c>
    </x:row>
    <x:row r="449">
      <x:c r="A449" s="76" t="n">
        <x:v>449</x:v>
      </x:c>
      <x:c r="B449" s="69" t="str">
        <x:v>5.42103</x:v>
      </x:c>
      <x:c r="C449" s="69" t="str">
        <x:v>-73.54418</x:v>
      </x:c>
      <x:c r="D449" s="78" t="n">
        <x:v>5.42103</x:v>
      </x:c>
      <x:c r="E449" s="78" t="n">
        <x:v>-73.54418</x:v>
      </x:c>
      <x:c r="F449" s="69" t="str">
        <x:v>Texto→número</x:v>
      </x:c>
      <x:c r="G449" s="69" t="str">
        <x:v>Texto→número</x:v>
      </x:c>
      <x:c r="H449" s="80" t="str">
        <x:v>OK</x:v>
      </x:c>
      <x:c r="I449" s="69" t="str"/>
      <x:c r="J449" s="69" t="str">
        <x:v>5.42103|-73.54418</x:v>
      </x:c>
      <x:c r="K449" s="82" t="n">
        <x:v>0</x:v>
      </x:c>
    </x:row>
    <x:row r="450">
      <x:c r="A450" s="76" t="n">
        <x:v>450</x:v>
      </x:c>
      <x:c r="B450" s="69" t="str">
        <x:v>6.17624</x:v>
      </x:c>
      <x:c r="C450" s="69" t="str">
        <x:v>-75.45785</x:v>
      </x:c>
      <x:c r="D450" s="78" t="n">
        <x:v>6.17624</x:v>
      </x:c>
      <x:c r="E450" s="78" t="n">
        <x:v>-75.45785</x:v>
      </x:c>
      <x:c r="F450" s="69" t="str">
        <x:v>Texto→número</x:v>
      </x:c>
      <x:c r="G450" s="69" t="str">
        <x:v>Texto→número</x:v>
      </x:c>
      <x:c r="H450" s="80" t="str">
        <x:v>OK</x:v>
      </x:c>
      <x:c r="I450" s="69" t="str"/>
      <x:c r="J450" s="69"/>
      <x:c r="K450" s="82" t="n">
        <x:v>1</x:v>
      </x:c>
    </x:row>
    <x:row r="451">
      <x:c r="A451" s="76" t="n">
        <x:v>451</x:v>
      </x:c>
      <x:c r="B451" s="69" t="str">
        <x:v>6.17624</x:v>
      </x:c>
      <x:c r="C451" s="69" t="str">
        <x:v>-75.45785</x:v>
      </x:c>
      <x:c r="D451" s="78" t="n">
        <x:v>6.17624</x:v>
      </x:c>
      <x:c r="E451" s="78" t="n">
        <x:v>-75.45785</x:v>
      </x:c>
      <x:c r="F451" s="69" t="str">
        <x:v>Texto→número</x:v>
      </x:c>
      <x:c r="G451" s="69" t="str">
        <x:v>Texto→número</x:v>
      </x:c>
      <x:c r="H451" s="80" t="str">
        <x:v>OK</x:v>
      </x:c>
      <x:c r="I451" s="69" t="str"/>
      <x:c r="J451" s="69"/>
      <x:c r="K451" s="82" t="n">
        <x:v>1</x:v>
      </x:c>
    </x:row>
    <x:row r="452">
      <x:c r="A452" s="76" t="n">
        <x:v>452</x:v>
      </x:c>
      <x:c r="B452" s="69" t="str">
        <x:v>4.11722</x:v>
      </x:c>
      <x:c r="C452" s="69" t="str">
        <x:v>-74.44062</x:v>
      </x:c>
      <x:c r="D452" s="78" t="n">
        <x:v>4.11722</x:v>
      </x:c>
      <x:c r="E452" s="78" t="n">
        <x:v>-74.44062</x:v>
      </x:c>
      <x:c r="F452" s="69" t="str">
        <x:v>Texto→número</x:v>
      </x:c>
      <x:c r="G452" s="69" t="str">
        <x:v>Texto→número</x:v>
      </x:c>
      <x:c r="H452" s="80" t="str">
        <x:v>OK</x:v>
      </x:c>
      <x:c r="I452" s="69" t="str"/>
      <x:c r="J452" s="69" t="str">
        <x:v>4.11722|-74.44062</x:v>
      </x:c>
      <x:c r="K452" s="82" t="n">
        <x:v>0</x:v>
      </x:c>
    </x:row>
    <x:row r="453">
      <x:c r="A453" s="76" t="n">
        <x:v>453</x:v>
      </x:c>
      <x:c r="B453" s="69" t="str">
        <x:v>6.31122</x:v>
      </x:c>
      <x:c r="C453" s="69" t="str">
        <x:v>-75.14609</x:v>
      </x:c>
      <x:c r="D453" s="78" t="n">
        <x:v>6.31122</x:v>
      </x:c>
      <x:c r="E453" s="78" t="n">
        <x:v>-75.14609</x:v>
      </x:c>
      <x:c r="F453" s="69" t="str">
        <x:v>Texto→número</x:v>
      </x:c>
      <x:c r="G453" s="69" t="str">
        <x:v>Texto→número</x:v>
      </x:c>
      <x:c r="H453" s="80" t="str">
        <x:v>OK</x:v>
      </x:c>
      <x:c r="I453" s="69" t="str"/>
      <x:c r="J453" s="69"/>
      <x:c r="K453" s="82" t="n">
        <x:v>1</x:v>
      </x:c>
    </x:row>
    <x:row r="454">
      <x:c r="A454" s="76" t="n">
        <x:v>454</x:v>
      </x:c>
      <x:c r="B454" s="69" t="str">
        <x:v>6.31122</x:v>
      </x:c>
      <x:c r="C454" s="69" t="str">
        <x:v>-75.14609</x:v>
      </x:c>
      <x:c r="D454" s="78" t="n">
        <x:v>6.31122</x:v>
      </x:c>
      <x:c r="E454" s="78" t="n">
        <x:v>-75.14609</x:v>
      </x:c>
      <x:c r="F454" s="69" t="str">
        <x:v>Texto→número</x:v>
      </x:c>
      <x:c r="G454" s="69" t="str">
        <x:v>Texto→número</x:v>
      </x:c>
      <x:c r="H454" s="80" t="str">
        <x:v>OK</x:v>
      </x:c>
      <x:c r="I454" s="69" t="str"/>
      <x:c r="J454" s="69"/>
      <x:c r="K454" s="82" t="n">
        <x:v>1</x:v>
      </x:c>
    </x:row>
    <x:row r="455">
      <x:c r="A455" s="76" t="n">
        <x:v>455</x:v>
      </x:c>
      <x:c r="B455" s="69" t="str">
        <x:v>6.31122</x:v>
      </x:c>
      <x:c r="C455" s="69" t="str">
        <x:v>-75.14609</x:v>
      </x:c>
      <x:c r="D455" s="78" t="n">
        <x:v>6.31122</x:v>
      </x:c>
      <x:c r="E455" s="78" t="n">
        <x:v>-75.14609</x:v>
      </x:c>
      <x:c r="F455" s="69" t="str">
        <x:v>Texto→número</x:v>
      </x:c>
      <x:c r="G455" s="69" t="str">
        <x:v>Texto→número</x:v>
      </x:c>
      <x:c r="H455" s="80" t="str">
        <x:v>OK</x:v>
      </x:c>
      <x:c r="I455" s="69" t="str"/>
      <x:c r="J455" s="69"/>
      <x:c r="K455" s="82" t="n">
        <x:v>1</x:v>
      </x:c>
    </x:row>
    <x:row r="456">
      <x:c r="A456" s="76" t="n">
        <x:v>456</x:v>
      </x:c>
      <x:c r="B456" s="69" t="str">
        <x:v>7.43993</x:v>
      </x:c>
      <x:c r="C456" s="69" t="str">
        <x:v>-72.45095</x:v>
      </x:c>
      <x:c r="D456" s="78" t="n">
        <x:v>7.43993</x:v>
      </x:c>
      <x:c r="E456" s="78" t="n">
        <x:v>-72.45095</x:v>
      </x:c>
      <x:c r="F456" s="69" t="str">
        <x:v>Texto→número</x:v>
      </x:c>
      <x:c r="G456" s="69" t="str">
        <x:v>Texto→número</x:v>
      </x:c>
      <x:c r="H456" s="80" t="str">
        <x:v>OK</x:v>
      </x:c>
      <x:c r="I456" s="69" t="str"/>
      <x:c r="J456" s="69" t="str">
        <x:v>7.43993|-72.45095</x:v>
      </x:c>
      <x:c r="K456" s="82" t="n">
        <x:v>0</x:v>
      </x:c>
    </x:row>
    <x:row r="457">
      <x:c r="A457" s="76" t="n">
        <x:v>457</x:v>
      </x:c>
      <x:c r="B457" s="69" t="str">
        <x:v>6.26153</x:v>
      </x:c>
      <x:c r="C457" s="69" t="str">
        <x:v>-75.52237</x:v>
      </x:c>
      <x:c r="D457" s="78" t="n">
        <x:v>6.26153</x:v>
      </x:c>
      <x:c r="E457" s="78" t="n">
        <x:v>-75.52237</x:v>
      </x:c>
      <x:c r="F457" s="69" t="str">
        <x:v>Texto→número</x:v>
      </x:c>
      <x:c r="G457" s="69" t="str">
        <x:v>Texto→número</x:v>
      </x:c>
      <x:c r="H457" s="80" t="str">
        <x:v>OK</x:v>
      </x:c>
      <x:c r="I457" s="69" t="str"/>
      <x:c r="J457" s="69"/>
      <x:c r="K457" s="82" t="n">
        <x:v>1</x:v>
      </x:c>
    </x:row>
    <x:row r="458">
      <x:c r="A458" s="76" t="n">
        <x:v>458</x:v>
      </x:c>
      <x:c r="B458" s="69" t="str">
        <x:v>5.92288</x:v>
      </x:c>
      <x:c r="C458" s="69" t="str">
        <x:v>-75.30358</x:v>
      </x:c>
      <x:c r="D458" s="78" t="n">
        <x:v>5.92288</x:v>
      </x:c>
      <x:c r="E458" s="78" t="n">
        <x:v>-75.30358</x:v>
      </x:c>
      <x:c r="F458" s="69" t="str">
        <x:v>Texto→número</x:v>
      </x:c>
      <x:c r="G458" s="69" t="str">
        <x:v>Texto→número</x:v>
      </x:c>
      <x:c r="H458" s="80" t="str">
        <x:v>OK</x:v>
      </x:c>
      <x:c r="I458" s="69" t="str"/>
      <x:c r="J458" s="69"/>
      <x:c r="K458" s="82" t="n">
        <x:v>1</x:v>
      </x:c>
    </x:row>
    <x:row r="459">
      <x:c r="A459" s="76" t="n">
        <x:v>459</x:v>
      </x:c>
      <x:c r="B459" s="69" t="str">
        <x:v>5.92288</x:v>
      </x:c>
      <x:c r="C459" s="69" t="str">
        <x:v>-75.30358</x:v>
      </x:c>
      <x:c r="D459" s="78" t="n">
        <x:v>5.92288</x:v>
      </x:c>
      <x:c r="E459" s="78" t="n">
        <x:v>-75.30358</x:v>
      </x:c>
      <x:c r="F459" s="69" t="str">
        <x:v>Texto→número</x:v>
      </x:c>
      <x:c r="G459" s="69" t="str">
        <x:v>Texto→número</x:v>
      </x:c>
      <x:c r="H459" s="80" t="str">
        <x:v>OK</x:v>
      </x:c>
      <x:c r="I459" s="69" t="str"/>
      <x:c r="J459" s="69"/>
      <x:c r="K459" s="82" t="n">
        <x:v>1</x:v>
      </x:c>
    </x:row>
    <x:row r="460">
      <x:c r="A460" s="76" t="n">
        <x:v>460</x:v>
      </x:c>
      <x:c r="B460" s="69" t="str">
        <x:v>5.92288</x:v>
      </x:c>
      <x:c r="C460" s="69" t="str">
        <x:v>-75.30358</x:v>
      </x:c>
      <x:c r="D460" s="78" t="n">
        <x:v>5.92288</x:v>
      </x:c>
      <x:c r="E460" s="78" t="n">
        <x:v>-75.30358</x:v>
      </x:c>
      <x:c r="F460" s="69" t="str">
        <x:v>Texto→número</x:v>
      </x:c>
      <x:c r="G460" s="69" t="str">
        <x:v>Texto→número</x:v>
      </x:c>
      <x:c r="H460" s="80" t="str">
        <x:v>OK</x:v>
      </x:c>
      <x:c r="I460" s="69" t="str"/>
      <x:c r="J460" s="69"/>
      <x:c r="K460" s="82" t="n">
        <x:v>1</x:v>
      </x:c>
    </x:row>
    <x:row r="461">
      <x:c r="A461" s="76" t="n">
        <x:v>461</x:v>
      </x:c>
      <x:c r="B461" s="69" t="str">
        <x:v>5.2277056</x:v>
      </x:c>
      <x:c r="C461" s="69" t="str">
        <x:v>-76.030475</x:v>
      </x:c>
      <x:c r="D461" s="78" t="n">
        <x:v>5.2277056</x:v>
      </x:c>
      <x:c r="E461" s="78" t="n">
        <x:v>-76.030475</x:v>
      </x:c>
      <x:c r="F461" s="69" t="str">
        <x:v>Texto→número</x:v>
      </x:c>
      <x:c r="G461" s="69" t="str">
        <x:v>Texto→número</x:v>
      </x:c>
      <x:c r="H461" s="80" t="str">
        <x:v>OK</x:v>
      </x:c>
      <x:c r="I461" s="69" t="str"/>
      <x:c r="J461" s="69" t="str">
        <x:v>5.2277056|-76.030475</x:v>
      </x:c>
      <x:c r="K461" s="82" t="n">
        <x:v>0</x:v>
      </x:c>
    </x:row>
    <x:row r="462">
      <x:c r="A462" s="76" t="n">
        <x:v>462</x:v>
      </x:c>
      <x:c r="B462" s="69" t="str">
        <x:v>6.9166667</x:v>
      </x:c>
      <x:c r="C462" s="69" t="str">
        <x:v>-75.0833333</x:v>
      </x:c>
      <x:c r="D462" s="78" t="n">
        <x:v>6.9166667</x:v>
      </x:c>
      <x:c r="E462" s="78" t="n">
        <x:v>-75.0833333</x:v>
      </x:c>
      <x:c r="F462" s="69" t="str">
        <x:v>Texto→número</x:v>
      </x:c>
      <x:c r="G462" s="69" t="str">
        <x:v>Texto→número</x:v>
      </x:c>
      <x:c r="H462" s="80" t="str">
        <x:v>OK</x:v>
      </x:c>
      <x:c r="I462" s="69" t="str"/>
      <x:c r="J462" s="69" t="str">
        <x:v>6.9166667|-75.0833333</x:v>
      </x:c>
      <x:c r="K462" s="82" t="n">
        <x:v>0</x:v>
      </x:c>
    </x:row>
    <x:row r="463">
      <x:c r="A463" s="76" t="n">
        <x:v>463</x:v>
      </x:c>
      <x:c r="B463" s="69" t="str">
        <x:v>6.9097222</x:v>
      </x:c>
      <x:c r="C463" s="69" t="str">
        <x:v>-75.1345</x:v>
      </x:c>
      <x:c r="D463" s="78" t="n">
        <x:v>6.9097222</x:v>
      </x:c>
      <x:c r="E463" s="78" t="n">
        <x:v>-75.1345</x:v>
      </x:c>
      <x:c r="F463" s="69" t="str">
        <x:v>Texto→número</x:v>
      </x:c>
      <x:c r="G463" s="69" t="str">
        <x:v>Texto→número</x:v>
      </x:c>
      <x:c r="H463" s="80" t="str">
        <x:v>OK</x:v>
      </x:c>
      <x:c r="I463" s="69" t="str"/>
      <x:c r="J463" s="69" t="str">
        <x:v>6.9097222|-75.1345</x:v>
      </x:c>
      <x:c r="K463" s="82" t="n">
        <x:v>0</x:v>
      </x:c>
    </x:row>
    <x:row r="464">
      <x:c r="A464" s="76" t="n">
        <x:v>464</x:v>
      </x:c>
      <x:c r="B464" s="69" t="str">
        <x:v>6.74418</x:v>
      </x:c>
      <x:c r="C464" s="69" t="str">
        <x:v>-76.36816</x:v>
      </x:c>
      <x:c r="D464" s="78" t="n">
        <x:v>6.74418</x:v>
      </x:c>
      <x:c r="E464" s="78" t="n">
        <x:v>-76.36816</x:v>
      </x:c>
      <x:c r="F464" s="69" t="str">
        <x:v>Texto→número</x:v>
      </x:c>
      <x:c r="G464" s="69" t="str">
        <x:v>Texto→número</x:v>
      </x:c>
      <x:c r="H464" s="80" t="str">
        <x:v>OK</x:v>
      </x:c>
      <x:c r="I464" s="69" t="str"/>
      <x:c r="J464" s="69"/>
      <x:c r="K464" s="82" t="n">
        <x:v>1</x:v>
      </x:c>
    </x:row>
    <x:row r="465">
      <x:c r="A465" s="76" t="n">
        <x:v>465</x:v>
      </x:c>
      <x:c r="B465" s="69" t="str">
        <x:v>6.31122</x:v>
      </x:c>
      <x:c r="C465" s="69" t="str">
        <x:v>-75.14609</x:v>
      </x:c>
      <x:c r="D465" s="78" t="n">
        <x:v>6.31122</x:v>
      </x:c>
      <x:c r="E465" s="78" t="n">
        <x:v>-75.14609</x:v>
      </x:c>
      <x:c r="F465" s="69" t="str">
        <x:v>Texto→número</x:v>
      </x:c>
      <x:c r="G465" s="69" t="str">
        <x:v>Texto→número</x:v>
      </x:c>
      <x:c r="H465" s="80" t="str">
        <x:v>OK</x:v>
      </x:c>
      <x:c r="I465" s="69" t="str"/>
      <x:c r="J465" s="69"/>
      <x:c r="K465" s="82" t="n">
        <x:v>1</x:v>
      </x:c>
    </x:row>
    <x:row r="466">
      <x:c r="A466" s="76" t="n">
        <x:v>466</x:v>
      </x:c>
      <x:c r="B466" s="69" t="str">
        <x:v>6.31122</x:v>
      </x:c>
      <x:c r="C466" s="69" t="str">
        <x:v>-75.14609</x:v>
      </x:c>
      <x:c r="D466" s="78" t="n">
        <x:v>6.31122</x:v>
      </x:c>
      <x:c r="E466" s="78" t="n">
        <x:v>-75.14609</x:v>
      </x:c>
      <x:c r="F466" s="69" t="str">
        <x:v>Texto→número</x:v>
      </x:c>
      <x:c r="G466" s="69" t="str">
        <x:v>Texto→número</x:v>
      </x:c>
      <x:c r="H466" s="80" t="str">
        <x:v>OK</x:v>
      </x:c>
      <x:c r="I466" s="69" t="str"/>
      <x:c r="J466" s="69"/>
      <x:c r="K466" s="82" t="n">
        <x:v>1</x:v>
      </x:c>
    </x:row>
    <x:row r="467">
      <x:c r="A467" s="76" t="n">
        <x:v>467</x:v>
      </x:c>
      <x:c r="B467" s="69" t="str">
        <x:v>6.31122</x:v>
      </x:c>
      <x:c r="C467" s="69" t="str">
        <x:v>-75.14609</x:v>
      </x:c>
      <x:c r="D467" s="78" t="n">
        <x:v>6.31122</x:v>
      </x:c>
      <x:c r="E467" s="78" t="n">
        <x:v>-75.14609</x:v>
      </x:c>
      <x:c r="F467" s="69" t="str">
        <x:v>Texto→número</x:v>
      </x:c>
      <x:c r="G467" s="69" t="str">
        <x:v>Texto→número</x:v>
      </x:c>
      <x:c r="H467" s="80" t="str">
        <x:v>OK</x:v>
      </x:c>
      <x:c r="I467" s="69" t="str"/>
      <x:c r="J467" s="69"/>
      <x:c r="K467" s="82" t="n">
        <x:v>1</x:v>
      </x:c>
    </x:row>
    <x:row r="468">
      <x:c r="A468" s="76" t="n">
        <x:v>468</x:v>
      </x:c>
      <x:c r="B468" s="69" t="str">
        <x:v>6.31122</x:v>
      </x:c>
      <x:c r="C468" s="69" t="str">
        <x:v>-75.14609</x:v>
      </x:c>
      <x:c r="D468" s="78" t="n">
        <x:v>6.31122</x:v>
      </x:c>
      <x:c r="E468" s="78" t="n">
        <x:v>-75.14609</x:v>
      </x:c>
      <x:c r="F468" s="69" t="str">
        <x:v>Texto→número</x:v>
      </x:c>
      <x:c r="G468" s="69" t="str">
        <x:v>Texto→número</x:v>
      </x:c>
      <x:c r="H468" s="80" t="str">
        <x:v>OK</x:v>
      </x:c>
      <x:c r="I468" s="69" t="str"/>
      <x:c r="J468" s="69"/>
      <x:c r="K468" s="82" t="n">
        <x:v>1</x:v>
      </x:c>
    </x:row>
    <x:row r="469">
      <x:c r="A469" s="76" t="n">
        <x:v>469</x:v>
      </x:c>
      <x:c r="B469" s="69" t="str">
        <x:v>6.31122</x:v>
      </x:c>
      <x:c r="C469" s="69" t="str">
        <x:v>-75.14609</x:v>
      </x:c>
      <x:c r="D469" s="78" t="n">
        <x:v>6.31122</x:v>
      </x:c>
      <x:c r="E469" s="78" t="n">
        <x:v>-75.14609</x:v>
      </x:c>
      <x:c r="F469" s="69" t="str">
        <x:v>Texto→número</x:v>
      </x:c>
      <x:c r="G469" s="69" t="str">
        <x:v>Texto→número</x:v>
      </x:c>
      <x:c r="H469" s="80" t="str">
        <x:v>OK</x:v>
      </x:c>
      <x:c r="I469" s="69" t="str"/>
      <x:c r="J469" s="69"/>
      <x:c r="K469" s="82" t="n">
        <x:v>1</x:v>
      </x:c>
    </x:row>
    <x:row r="470">
      <x:c r="A470" s="76" t="n">
        <x:v>470</x:v>
      </x:c>
      <x:c r="B470" s="69" t="str">
        <x:v>6.31122</x:v>
      </x:c>
      <x:c r="C470" s="69" t="str">
        <x:v>-75.14609</x:v>
      </x:c>
      <x:c r="D470" s="78" t="n">
        <x:v>6.31122</x:v>
      </x:c>
      <x:c r="E470" s="78" t="n">
        <x:v>-75.14609</x:v>
      </x:c>
      <x:c r="F470" s="69" t="str">
        <x:v>Texto→número</x:v>
      </x:c>
      <x:c r="G470" s="69" t="str">
        <x:v>Texto→número</x:v>
      </x:c>
      <x:c r="H470" s="80" t="str">
        <x:v>OK</x:v>
      </x:c>
      <x:c r="I470" s="69" t="str"/>
      <x:c r="J470" s="69"/>
      <x:c r="K470" s="82" t="n">
        <x:v>1</x:v>
      </x:c>
    </x:row>
    <x:row r="471">
      <x:c r="A471" s="76" t="n">
        <x:v>471</x:v>
      </x:c>
      <x:c r="B471" s="69" t="str">
        <x:v>6.31122</x:v>
      </x:c>
      <x:c r="C471" s="69" t="str">
        <x:v>-75.14609</x:v>
      </x:c>
      <x:c r="D471" s="78" t="n">
        <x:v>6.31122</x:v>
      </x:c>
      <x:c r="E471" s="78" t="n">
        <x:v>-75.14609</x:v>
      </x:c>
      <x:c r="F471" s="69" t="str">
        <x:v>Texto→número</x:v>
      </x:c>
      <x:c r="G471" s="69" t="str">
        <x:v>Texto→número</x:v>
      </x:c>
      <x:c r="H471" s="80" t="str">
        <x:v>OK</x:v>
      </x:c>
      <x:c r="I471" s="69" t="str"/>
      <x:c r="J471" s="69"/>
      <x:c r="K471" s="82" t="n">
        <x:v>1</x:v>
      </x:c>
    </x:row>
    <x:row r="472">
      <x:c r="A472" s="76" t="n">
        <x:v>472</x:v>
      </x:c>
      <x:c r="B472" s="69" t="str">
        <x:v>6.31122</x:v>
      </x:c>
      <x:c r="C472" s="69" t="str">
        <x:v>-75.14609</x:v>
      </x:c>
      <x:c r="D472" s="78" t="n">
        <x:v>6.31122</x:v>
      </x:c>
      <x:c r="E472" s="78" t="n">
        <x:v>-75.14609</x:v>
      </x:c>
      <x:c r="F472" s="69" t="str">
        <x:v>Texto→número</x:v>
      </x:c>
      <x:c r="G472" s="69" t="str">
        <x:v>Texto→número</x:v>
      </x:c>
      <x:c r="H472" s="80" t="str">
        <x:v>OK</x:v>
      </x:c>
      <x:c r="I472" s="69" t="str"/>
      <x:c r="J472" s="69"/>
      <x:c r="K472" s="82" t="n">
        <x:v>1</x:v>
      </x:c>
    </x:row>
    <x:row r="473">
      <x:c r="A473" s="76" t="n">
        <x:v>473</x:v>
      </x:c>
      <x:c r="B473" s="69" t="str">
        <x:v>6.31122</x:v>
      </x:c>
      <x:c r="C473" s="69" t="str">
        <x:v>-75.14609</x:v>
      </x:c>
      <x:c r="D473" s="78" t="n">
        <x:v>6.31122</x:v>
      </x:c>
      <x:c r="E473" s="78" t="n">
        <x:v>-75.14609</x:v>
      </x:c>
      <x:c r="F473" s="69" t="str">
        <x:v>Texto→número</x:v>
      </x:c>
      <x:c r="G473" s="69" t="str">
        <x:v>Texto→número</x:v>
      </x:c>
      <x:c r="H473" s="80" t="str">
        <x:v>OK</x:v>
      </x:c>
      <x:c r="I473" s="69" t="str"/>
      <x:c r="J473" s="69"/>
      <x:c r="K473" s="82" t="n">
        <x:v>1</x:v>
      </x:c>
    </x:row>
    <x:row r="474">
      <x:c r="A474" s="76" t="n">
        <x:v>474</x:v>
      </x:c>
      <x:c r="B474" s="69" t="str">
        <x:v>6.31122</x:v>
      </x:c>
      <x:c r="C474" s="69" t="str">
        <x:v>-75.14609</x:v>
      </x:c>
      <x:c r="D474" s="78" t="n">
        <x:v>6.31122</x:v>
      </x:c>
      <x:c r="E474" s="78" t="n">
        <x:v>-75.14609</x:v>
      </x:c>
      <x:c r="F474" s="69" t="str">
        <x:v>Texto→número</x:v>
      </x:c>
      <x:c r="G474" s="69" t="str">
        <x:v>Texto→número</x:v>
      </x:c>
      <x:c r="H474" s="80" t="str">
        <x:v>OK</x:v>
      </x:c>
      <x:c r="I474" s="69" t="str"/>
      <x:c r="J474" s="69"/>
      <x:c r="K474" s="82" t="n">
        <x:v>1</x:v>
      </x:c>
    </x:row>
    <x:row r="475">
      <x:c r="A475" s="76" t="n">
        <x:v>475</x:v>
      </x:c>
      <x:c r="B475" s="69" t="str">
        <x:v>6.31122</x:v>
      </x:c>
      <x:c r="C475" s="69" t="str">
        <x:v>-75.14609</x:v>
      </x:c>
      <x:c r="D475" s="78" t="n">
        <x:v>6.31122</x:v>
      </x:c>
      <x:c r="E475" s="78" t="n">
        <x:v>-75.14609</x:v>
      </x:c>
      <x:c r="F475" s="69" t="str">
        <x:v>Texto→número</x:v>
      </x:c>
      <x:c r="G475" s="69" t="str">
        <x:v>Texto→número</x:v>
      </x:c>
      <x:c r="H475" s="80" t="str">
        <x:v>OK</x:v>
      </x:c>
      <x:c r="I475" s="69" t="str"/>
      <x:c r="J475" s="69"/>
      <x:c r="K475" s="82" t="n">
        <x:v>1</x:v>
      </x:c>
    </x:row>
    <x:row r="476">
      <x:c r="A476" s="76" t="n">
        <x:v>476</x:v>
      </x:c>
      <x:c r="B476" s="69" t="str">
        <x:v>6.16954</x:v>
      </x:c>
      <x:c r="C476" s="69" t="str">
        <x:v>-75.46082</x:v>
      </x:c>
      <x:c r="D476" s="78" t="n">
        <x:v>6.16954</x:v>
      </x:c>
      <x:c r="E476" s="78" t="n">
        <x:v>-75.46082</x:v>
      </x:c>
      <x:c r="F476" s="69" t="str">
        <x:v>Texto→número</x:v>
      </x:c>
      <x:c r="G476" s="69" t="str">
        <x:v>Texto→número</x:v>
      </x:c>
      <x:c r="H476" s="80" t="str">
        <x:v>OK</x:v>
      </x:c>
      <x:c r="I476" s="69" t="str"/>
      <x:c r="J476" s="69" t="str">
        <x:v>6.16954|-75.46082</x:v>
      </x:c>
      <x:c r="K476" s="82" t="n">
        <x:v>0</x:v>
      </x:c>
    </x:row>
    <x:row r="477">
      <x:c r="A477" s="76" t="n">
        <x:v>477</x:v>
      </x:c>
      <x:c r="B477" s="69" t="str">
        <x:v>6.235925</x:v>
      </x:c>
      <x:c r="C477" s="69" t="str">
        <x:v>-75.5751361</x:v>
      </x:c>
      <x:c r="D477" s="78" t="n">
        <x:v>6.235925</x:v>
      </x:c>
      <x:c r="E477" s="78" t="n">
        <x:v>-75.5751361</x:v>
      </x:c>
      <x:c r="F477" s="69" t="str">
        <x:v>Texto→número</x:v>
      </x:c>
      <x:c r="G477" s="69" t="str">
        <x:v>Texto→número</x:v>
      </x:c>
      <x:c r="H477" s="80" t="str">
        <x:v>OK</x:v>
      </x:c>
      <x:c r="I477" s="69" t="str"/>
      <x:c r="J477" s="69" t="str">
        <x:v>6.235925|-75.5751361</x:v>
      </x:c>
      <x:c r="K477" s="82" t="n">
        <x:v>0</x:v>
      </x:c>
    </x:row>
    <x:row r="478">
      <x:c r="A478" s="76" t="n">
        <x:v>478</x:v>
      </x:c>
      <x:c r="B478" s="69" t="str">
        <x:v>6.235925</x:v>
      </x:c>
      <x:c r="C478" s="69" t="str">
        <x:v>-75.5751361</x:v>
      </x:c>
      <x:c r="D478" s="78" t="n">
        <x:v>6.235925</x:v>
      </x:c>
      <x:c r="E478" s="78" t="n">
        <x:v>-75.5751361</x:v>
      </x:c>
      <x:c r="F478" s="69" t="str">
        <x:v>Texto→número</x:v>
      </x:c>
      <x:c r="G478" s="69" t="str">
        <x:v>Texto→número</x:v>
      </x:c>
      <x:c r="H478" s="80" t="str">
        <x:v>OK</x:v>
      </x:c>
      <x:c r="I478" s="69" t="str"/>
      <x:c r="J478" s="69"/>
      <x:c r="K478" s="82" t="n">
        <x:v>1</x:v>
      </x:c>
    </x:row>
    <x:row r="479">
      <x:c r="A479" s="76" t="n">
        <x:v>479</x:v>
      </x:c>
      <x:c r="B479" s="69" t="str">
        <x:v>2.51058</x:v>
      </x:c>
      <x:c r="C479" s="69" t="str">
        <x:v>-76.98421</x:v>
      </x:c>
      <x:c r="D479" s="78" t="n">
        <x:v>2.51058</x:v>
      </x:c>
      <x:c r="E479" s="78" t="n">
        <x:v>-76.98421</x:v>
      </x:c>
      <x:c r="F479" s="69" t="str">
        <x:v>Texto→número</x:v>
      </x:c>
      <x:c r="G479" s="69" t="str">
        <x:v>Texto→número</x:v>
      </x:c>
      <x:c r="H479" s="80" t="str">
        <x:v>OK</x:v>
      </x:c>
      <x:c r="I479" s="69" t="str"/>
      <x:c r="J479" s="69"/>
      <x:c r="K479" s="82" t="n">
        <x:v>1</x:v>
      </x:c>
    </x:row>
    <x:row r="480">
      <x:c r="A480" s="76" t="n">
        <x:v>480</x:v>
      </x:c>
      <x:c r="B480" s="69" t="str">
        <x:v>6.4563056</x:v>
      </x:c>
      <x:c r="C480" s="69" t="str">
        <x:v>-75.2681111</x:v>
      </x:c>
      <x:c r="D480" s="78" t="n">
        <x:v>6.4563056</x:v>
      </x:c>
      <x:c r="E480" s="78" t="n">
        <x:v>-75.2681111</x:v>
      </x:c>
      <x:c r="F480" s="69" t="str">
        <x:v>Texto→número</x:v>
      </x:c>
      <x:c r="G480" s="69" t="str">
        <x:v>Texto→número</x:v>
      </x:c>
      <x:c r="H480" s="80" t="str">
        <x:v>OK</x:v>
      </x:c>
      <x:c r="I480" s="69" t="str"/>
      <x:c r="J480" s="69" t="str">
        <x:v>6.4563056|-75.2681111</x:v>
      </x:c>
      <x:c r="K480" s="82" t="n">
        <x:v>0</x:v>
      </x:c>
    </x:row>
    <x:row r="481">
      <x:c r="A481" s="76" t="n">
        <x:v>481</x:v>
      </x:c>
      <x:c r="B481" s="69" t="str">
        <x:v>6.3055556</x:v>
      </x:c>
      <x:c r="C481" s="69" t="str">
        <x:v>-75.5151667</x:v>
      </x:c>
      <x:c r="D481" s="78" t="n">
        <x:v>6.3055556</x:v>
      </x:c>
      <x:c r="E481" s="78" t="n">
        <x:v>-75.5151667</x:v>
      </x:c>
      <x:c r="F481" s="69" t="str">
        <x:v>Texto→número</x:v>
      </x:c>
      <x:c r="G481" s="69" t="str">
        <x:v>Texto→número</x:v>
      </x:c>
      <x:c r="H481" s="80" t="str">
        <x:v>OK</x:v>
      </x:c>
      <x:c r="I481" s="69" t="str"/>
      <x:c r="J481" s="69" t="str">
        <x:v>6.3055556|-75.5151667</x:v>
      </x:c>
      <x:c r="K481" s="82" t="n">
        <x:v>0</x:v>
      </x:c>
    </x:row>
    <x:row r="482">
      <x:c r="A482" s="76" t="n">
        <x:v>482</x:v>
      </x:c>
      <x:c r="B482" s="69" t="str">
        <x:v>6.3055556</x:v>
      </x:c>
      <x:c r="C482" s="69" t="str">
        <x:v>-75.5151667</x:v>
      </x:c>
      <x:c r="D482" s="78" t="n">
        <x:v>6.3055556</x:v>
      </x:c>
      <x:c r="E482" s="78" t="n">
        <x:v>-75.5151667</x:v>
      </x:c>
      <x:c r="F482" s="69" t="str">
        <x:v>Texto→número</x:v>
      </x:c>
      <x:c r="G482" s="69" t="str">
        <x:v>Texto→número</x:v>
      </x:c>
      <x:c r="H482" s="80" t="str">
        <x:v>OK</x:v>
      </x:c>
      <x:c r="I482" s="69" t="str"/>
      <x:c r="J482" s="69"/>
      <x:c r="K482" s="82" t="n">
        <x:v>1</x:v>
      </x:c>
    </x:row>
    <x:row r="483">
      <x:c r="A483" s="76" t="n">
        <x:v>483</x:v>
      </x:c>
      <x:c r="B483" s="69" t="str">
        <x:v>6.3055556</x:v>
      </x:c>
      <x:c r="C483" s="69" t="str">
        <x:v>-75.5151667</x:v>
      </x:c>
      <x:c r="D483" s="78" t="n">
        <x:v>6.3055556</x:v>
      </x:c>
      <x:c r="E483" s="78" t="n">
        <x:v>-75.5151667</x:v>
      </x:c>
      <x:c r="F483" s="69" t="str">
        <x:v>Texto→número</x:v>
      </x:c>
      <x:c r="G483" s="69" t="str">
        <x:v>Texto→número</x:v>
      </x:c>
      <x:c r="H483" s="80" t="str">
        <x:v>OK</x:v>
      </x:c>
      <x:c r="I483" s="69" t="str"/>
      <x:c r="J483" s="69"/>
      <x:c r="K483" s="82" t="n">
        <x:v>1</x:v>
      </x:c>
    </x:row>
    <x:row r="484">
      <x:c r="A484" s="76" t="n">
        <x:v>484</x:v>
      </x:c>
      <x:c r="B484" s="69" t="str">
        <x:v>6.60408</x:v>
      </x:c>
      <x:c r="C484" s="69" t="str">
        <x:v>-75.73611</x:v>
      </x:c>
      <x:c r="D484" s="78" t="n">
        <x:v>6.60408</x:v>
      </x:c>
      <x:c r="E484" s="78" t="n">
        <x:v>-75.73611</x:v>
      </x:c>
      <x:c r="F484" s="69" t="str">
        <x:v>Texto→número</x:v>
      </x:c>
      <x:c r="G484" s="69" t="str">
        <x:v>Texto→número</x:v>
      </x:c>
      <x:c r="H484" s="80" t="str">
        <x:v>OK</x:v>
      </x:c>
      <x:c r="I484" s="69" t="str"/>
      <x:c r="J484" s="69"/>
      <x:c r="K484" s="82" t="n">
        <x:v>1</x:v>
      </x:c>
    </x:row>
    <x:row r="485">
      <x:c r="A485" s="76" t="n">
        <x:v>485</x:v>
      </x:c>
      <x:c r="B485" s="69" t="str">
        <x:v>6.60408</x:v>
      </x:c>
      <x:c r="C485" s="69" t="str">
        <x:v>-75.73611</x:v>
      </x:c>
      <x:c r="D485" s="78" t="n">
        <x:v>6.60408</x:v>
      </x:c>
      <x:c r="E485" s="78" t="n">
        <x:v>-75.73611</x:v>
      </x:c>
      <x:c r="F485" s="69" t="str">
        <x:v>Texto→número</x:v>
      </x:c>
      <x:c r="G485" s="69" t="str">
        <x:v>Texto→número</x:v>
      </x:c>
      <x:c r="H485" s="80" t="str">
        <x:v>OK</x:v>
      </x:c>
      <x:c r="I485" s="69" t="str"/>
      <x:c r="J485" s="69"/>
      <x:c r="K485" s="82" t="n">
        <x:v>1</x:v>
      </x:c>
    </x:row>
    <x:row r="486">
      <x:c r="A486" s="76" t="n">
        <x:v>486</x:v>
      </x:c>
      <x:c r="B486" s="69" t="str">
        <x:v>6.60408</x:v>
      </x:c>
      <x:c r="C486" s="69" t="str">
        <x:v>-75.73611</x:v>
      </x:c>
      <x:c r="D486" s="78" t="n">
        <x:v>6.60408</x:v>
      </x:c>
      <x:c r="E486" s="78" t="n">
        <x:v>-75.73611</x:v>
      </x:c>
      <x:c r="F486" s="69" t="str">
        <x:v>Texto→número</x:v>
      </x:c>
      <x:c r="G486" s="69" t="str">
        <x:v>Texto→número</x:v>
      </x:c>
      <x:c r="H486" s="80" t="str">
        <x:v>OK</x:v>
      </x:c>
      <x:c r="I486" s="69" t="str"/>
      <x:c r="J486" s="69"/>
      <x:c r="K486" s="82" t="n">
        <x:v>1</x:v>
      </x:c>
    </x:row>
    <x:row r="487">
      <x:c r="A487" s="76" t="n">
        <x:v>487</x:v>
      </x:c>
      <x:c r="B487" s="69" t="str">
        <x:v>7.133</x:v>
      </x:c>
      <x:c r="C487" s="69" t="str">
        <x:v>-75.1596944</x:v>
      </x:c>
      <x:c r="D487" s="78" t="n">
        <x:v>7.133</x:v>
      </x:c>
      <x:c r="E487" s="78" t="n">
        <x:v>-75.1596944</x:v>
      </x:c>
      <x:c r="F487" s="69" t="str">
        <x:v>Texto→número</x:v>
      </x:c>
      <x:c r="G487" s="69" t="str">
        <x:v>Texto→número</x:v>
      </x:c>
      <x:c r="H487" s="80" t="str">
        <x:v>OK</x:v>
      </x:c>
      <x:c r="I487" s="69" t="str"/>
      <x:c r="J487" s="69" t="str">
        <x:v>7.133|-75.1596944</x:v>
      </x:c>
      <x:c r="K487" s="82" t="n">
        <x:v>0</x:v>
      </x:c>
    </x:row>
    <x:row r="488">
      <x:c r="A488" s="76" t="n">
        <x:v>488</x:v>
      </x:c>
      <x:c r="B488" s="69" t="str">
        <x:v>7.133</x:v>
      </x:c>
      <x:c r="C488" s="69" t="str">
        <x:v>-75.1596944</x:v>
      </x:c>
      <x:c r="D488" s="78" t="n">
        <x:v>7.133</x:v>
      </x:c>
      <x:c r="E488" s="78" t="n">
        <x:v>-75.1596944</x:v>
      </x:c>
      <x:c r="F488" s="69" t="str">
        <x:v>Texto→número</x:v>
      </x:c>
      <x:c r="G488" s="69" t="str">
        <x:v>Texto→número</x:v>
      </x:c>
      <x:c r="H488" s="80" t="str">
        <x:v>OK</x:v>
      </x:c>
      <x:c r="I488" s="69" t="str"/>
      <x:c r="J488" s="69"/>
      <x:c r="K488" s="82" t="n">
        <x:v>1</x:v>
      </x:c>
    </x:row>
    <x:row r="489">
      <x:c r="A489" s="76" t="n">
        <x:v>489</x:v>
      </x:c>
      <x:c r="B489" s="69" t="str">
        <x:v>5.9836111</x:v>
      </x:c>
      <x:c r="C489" s="69" t="str">
        <x:v>-75.6411944</x:v>
      </x:c>
      <x:c r="D489" s="78" t="n">
        <x:v>5.9836111</x:v>
      </x:c>
      <x:c r="E489" s="78" t="n">
        <x:v>-75.6411944</x:v>
      </x:c>
      <x:c r="F489" s="69" t="str">
        <x:v>Texto→número</x:v>
      </x:c>
      <x:c r="G489" s="69" t="str">
        <x:v>Texto→número</x:v>
      </x:c>
      <x:c r="H489" s="80" t="str">
        <x:v>OK</x:v>
      </x:c>
      <x:c r="I489" s="69" t="str"/>
      <x:c r="J489" s="69" t="str">
        <x:v>5.9836111|-75.6411944</x:v>
      </x:c>
      <x:c r="K489" s="82" t="n">
        <x:v>0</x:v>
      </x:c>
    </x:row>
    <x:row r="490">
      <x:c r="A490" s="76" t="n">
        <x:v>490</x:v>
      </x:c>
      <x:c r="B490" s="69" t="str">
        <x:v>2.51058</x:v>
      </x:c>
      <x:c r="C490" s="69" t="str">
        <x:v>-76.98421</x:v>
      </x:c>
      <x:c r="D490" s="78" t="n">
        <x:v>2.51058</x:v>
      </x:c>
      <x:c r="E490" s="78" t="n">
        <x:v>-76.98421</x:v>
      </x:c>
      <x:c r="F490" s="69" t="str">
        <x:v>Texto→número</x:v>
      </x:c>
      <x:c r="G490" s="69" t="str">
        <x:v>Texto→número</x:v>
      </x:c>
      <x:c r="H490" s="80" t="str">
        <x:v>OK</x:v>
      </x:c>
      <x:c r="I490" s="69" t="str"/>
      <x:c r="J490" s="69"/>
      <x:c r="K490" s="82" t="n">
        <x:v>1</x:v>
      </x:c>
    </x:row>
    <x:row r="491">
      <x:c r="A491" s="76" t="n">
        <x:v>491</x:v>
      </x:c>
      <x:c r="B491" s="69" t="str">
        <x:v>6.2110278</x:v>
      </x:c>
      <x:c r="C491" s="69" t="str">
        <x:v>-75.6551389</x:v>
      </x:c>
      <x:c r="D491" s="78" t="n">
        <x:v>6.2110278</x:v>
      </x:c>
      <x:c r="E491" s="78" t="n">
        <x:v>-75.6551389</x:v>
      </x:c>
      <x:c r="F491" s="69" t="str">
        <x:v>Texto→número</x:v>
      </x:c>
      <x:c r="G491" s="69" t="str">
        <x:v>Texto→número</x:v>
      </x:c>
      <x:c r="H491" s="80" t="str">
        <x:v>OK</x:v>
      </x:c>
      <x:c r="I491" s="69" t="str"/>
      <x:c r="J491" s="69"/>
      <x:c r="K491" s="82" t="n">
        <x:v>1</x:v>
      </x:c>
    </x:row>
    <x:row r="492">
      <x:c r="A492" s="76" t="n">
        <x:v>492</x:v>
      </x:c>
      <x:c r="B492" s="69" t="str">
        <x:v>6.5125556</x:v>
      </x:c>
      <x:c r="C492" s="69" t="str">
        <x:v>-76.2615</x:v>
      </x:c>
      <x:c r="D492" s="78" t="n">
        <x:v>6.5125556</x:v>
      </x:c>
      <x:c r="E492" s="78" t="n">
        <x:v>-76.2615</x:v>
      </x:c>
      <x:c r="F492" s="69" t="str">
        <x:v>Texto→número</x:v>
      </x:c>
      <x:c r="G492" s="69" t="str">
        <x:v>Texto→número</x:v>
      </x:c>
      <x:c r="H492" s="80" t="str">
        <x:v>OK</x:v>
      </x:c>
      <x:c r="I492" s="69" t="str"/>
      <x:c r="J492" s="69" t="str">
        <x:v>6.5125556|-76.2615</x:v>
      </x:c>
      <x:c r="K492" s="82" t="n">
        <x:v>0</x:v>
      </x:c>
    </x:row>
    <x:row r="493">
      <x:c r="A493" s="76" t="n">
        <x:v>493</x:v>
      </x:c>
      <x:c r="B493" s="69" t="str">
        <x:v>6.5125556</x:v>
      </x:c>
      <x:c r="C493" s="69" t="str">
        <x:v>-76.2615</x:v>
      </x:c>
      <x:c r="D493" s="78" t="n">
        <x:v>6.5125556</x:v>
      </x:c>
      <x:c r="E493" s="78" t="n">
        <x:v>-76.2615</x:v>
      </x:c>
      <x:c r="F493" s="69" t="str">
        <x:v>Texto→número</x:v>
      </x:c>
      <x:c r="G493" s="69" t="str">
        <x:v>Texto→número</x:v>
      </x:c>
      <x:c r="H493" s="80" t="str">
        <x:v>OK</x:v>
      </x:c>
      <x:c r="I493" s="69" t="str"/>
      <x:c r="J493" s="69"/>
      <x:c r="K493" s="82" t="n">
        <x:v>1</x:v>
      </x:c>
    </x:row>
    <x:row r="494">
      <x:c r="A494" s="76" t="n">
        <x:v>494</x:v>
      </x:c>
      <x:c r="B494" s="69" t="str">
        <x:v>6.5503611</x:v>
      </x:c>
      <x:c r="C494" s="69" t="str">
        <x:v>-76.3150833</x:v>
      </x:c>
      <x:c r="D494" s="78" t="n">
        <x:v>6.5503611</x:v>
      </x:c>
      <x:c r="E494" s="78" t="n">
        <x:v>-76.3150833</x:v>
      </x:c>
      <x:c r="F494" s="69" t="str">
        <x:v>Texto→número</x:v>
      </x:c>
      <x:c r="G494" s="69" t="str">
        <x:v>Texto→número</x:v>
      </x:c>
      <x:c r="H494" s="80" t="str">
        <x:v>OK</x:v>
      </x:c>
      <x:c r="I494" s="69" t="str"/>
      <x:c r="J494" s="69" t="str">
        <x:v>6.5503611|-76.3150833</x:v>
      </x:c>
      <x:c r="K494" s="82" t="n">
        <x:v>0</x:v>
      </x:c>
    </x:row>
    <x:row r="495">
      <x:c r="A495" s="76" t="n">
        <x:v>495</x:v>
      </x:c>
      <x:c r="B495" s="69" t="str">
        <x:v>6.2035</x:v>
      </x:c>
      <x:c r="C495" s="69" t="str">
        <x:v>-75.48725</x:v>
      </x:c>
      <x:c r="D495" s="78" t="n">
        <x:v>6.2035</x:v>
      </x:c>
      <x:c r="E495" s="78" t="n">
        <x:v>-75.48725</x:v>
      </x:c>
      <x:c r="F495" s="69" t="str">
        <x:v>Texto→número</x:v>
      </x:c>
      <x:c r="G495" s="69" t="str">
        <x:v>Texto→número</x:v>
      </x:c>
      <x:c r="H495" s="80" t="str">
        <x:v>OK</x:v>
      </x:c>
      <x:c r="I495" s="69" t="str"/>
      <x:c r="J495" s="69" t="str">
        <x:v>6.2035|-75.48725</x:v>
      </x:c>
      <x:c r="K495" s="82" t="n">
        <x:v>0</x:v>
      </x:c>
    </x:row>
    <x:row r="496">
      <x:c r="A496" s="76" t="n">
        <x:v>496</x:v>
      </x:c>
      <x:c r="B496" s="69" t="str">
        <x:v>4.87828</x:v>
      </x:c>
      <x:c r="C496" s="69" t="str">
        <x:v>-76.23353</x:v>
      </x:c>
      <x:c r="D496" s="78" t="n">
        <x:v>4.87828</x:v>
      </x:c>
      <x:c r="E496" s="78" t="n">
        <x:v>-76.23353</x:v>
      </x:c>
      <x:c r="F496" s="69" t="str">
        <x:v>Texto→número</x:v>
      </x:c>
      <x:c r="G496" s="69" t="str">
        <x:v>Texto→número</x:v>
      </x:c>
      <x:c r="H496" s="80" t="str">
        <x:v>OK</x:v>
      </x:c>
      <x:c r="I496" s="69" t="str"/>
      <x:c r="J496" s="69" t="str">
        <x:v>4.87828|-76.23353</x:v>
      </x:c>
      <x:c r="K496" s="82" t="n">
        <x:v>0</x:v>
      </x:c>
    </x:row>
    <x:row r="497">
      <x:c r="A497" s="76" t="n">
        <x:v>497</x:v>
      </x:c>
      <x:c r="B497" s="69" t="str">
        <x:v>6.2927</x:v>
      </x:c>
      <x:c r="C497" s="69" t="str">
        <x:v>-75.50709</x:v>
      </x:c>
      <x:c r="D497" s="78" t="n">
        <x:v>6.2927</x:v>
      </x:c>
      <x:c r="E497" s="78" t="n">
        <x:v>-75.50709</x:v>
      </x:c>
      <x:c r="F497" s="69" t="str">
        <x:v>Texto→número</x:v>
      </x:c>
      <x:c r="G497" s="69" t="str">
        <x:v>Texto→número</x:v>
      </x:c>
      <x:c r="H497" s="80" t="str">
        <x:v>OK</x:v>
      </x:c>
      <x:c r="I497" s="69" t="str"/>
      <x:c r="J497" s="69"/>
      <x:c r="K497" s="82" t="n">
        <x:v>1</x:v>
      </x:c>
    </x:row>
    <x:row r="498">
      <x:c r="A498" s="76" t="n">
        <x:v>498</x:v>
      </x:c>
      <x:c r="B498" s="69" t="str">
        <x:v>6.2833333</x:v>
      </x:c>
      <x:c r="C498" s="69" t="str">
        <x:v>-75.5</x:v>
      </x:c>
      <x:c r="D498" s="78" t="n">
        <x:v>6.2833333</x:v>
      </x:c>
      <x:c r="E498" s="78" t="n">
        <x:v>-75.5</x:v>
      </x:c>
      <x:c r="F498" s="69" t="str">
        <x:v>Texto→número</x:v>
      </x:c>
      <x:c r="G498" s="69" t="str">
        <x:v>Texto→número</x:v>
      </x:c>
      <x:c r="H498" s="80" t="str">
        <x:v>OK</x:v>
      </x:c>
      <x:c r="I498" s="69" t="str"/>
      <x:c r="J498" s="69" t="str">
        <x:v>6.2833333|-75.5</x:v>
      </x:c>
      <x:c r="K498" s="82" t="n">
        <x:v>0</x:v>
      </x:c>
    </x:row>
    <x:row r="499">
      <x:c r="A499" s="76" t="n">
        <x:v>499</x:v>
      </x:c>
      <x:c r="B499" s="69" t="str">
        <x:v>6.25</x:v>
      </x:c>
      <x:c r="C499" s="69" t="str">
        <x:v>-75.1666667</x:v>
      </x:c>
      <x:c r="D499" s="78" t="n">
        <x:v>6.25</x:v>
      </x:c>
      <x:c r="E499" s="78" t="n">
        <x:v>-75.1666667</x:v>
      </x:c>
      <x:c r="F499" s="69" t="str">
        <x:v>Texto→número</x:v>
      </x:c>
      <x:c r="G499" s="69" t="str">
        <x:v>Texto→número</x:v>
      </x:c>
      <x:c r="H499" s="80" t="str">
        <x:v>OK</x:v>
      </x:c>
      <x:c r="I499" s="69" t="str"/>
      <x:c r="J499" s="69" t="str">
        <x:v>6.25|-75.1666667</x:v>
      </x:c>
      <x:c r="K499" s="82" t="n">
        <x:v>0</x:v>
      </x:c>
    </x:row>
    <x:row r="500">
      <x:c r="A500" s="76" t="n">
        <x:v>500</x:v>
      </x:c>
      <x:c r="B500" s="69" t="str">
        <x:v>6.25</x:v>
      </x:c>
      <x:c r="C500" s="69" t="str">
        <x:v>-75.1666667</x:v>
      </x:c>
      <x:c r="D500" s="78" t="n">
        <x:v>6.25</x:v>
      </x:c>
      <x:c r="E500" s="78" t="n">
        <x:v>-75.1666667</x:v>
      </x:c>
      <x:c r="F500" s="69" t="str">
        <x:v>Texto→número</x:v>
      </x:c>
      <x:c r="G500" s="69" t="str">
        <x:v>Texto→número</x:v>
      </x:c>
      <x:c r="H500" s="80" t="str">
        <x:v>OK</x:v>
      </x:c>
      <x:c r="I500" s="69" t="str"/>
      <x:c r="J500" s="69"/>
      <x:c r="K500" s="82" t="n">
        <x:v>1</x:v>
      </x:c>
    </x:row>
    <x:row r="501">
      <x:c r="A501" s="76" t="n">
        <x:v>501</x:v>
      </x:c>
      <x:c r="B501" s="69" t="str">
        <x:v>6.2007778</x:v>
      </x:c>
      <x:c r="C501" s="69" t="str">
        <x:v>-75.4662222</x:v>
      </x:c>
      <x:c r="D501" s="78" t="n">
        <x:v>6.2007778</x:v>
      </x:c>
      <x:c r="E501" s="78" t="n">
        <x:v>-75.4662222</x:v>
      </x:c>
      <x:c r="F501" s="69" t="str">
        <x:v>Texto→número</x:v>
      </x:c>
      <x:c r="G501" s="69" t="str">
        <x:v>Texto→número</x:v>
      </x:c>
      <x:c r="H501" s="80" t="str">
        <x:v>OK</x:v>
      </x:c>
      <x:c r="I501" s="69" t="str"/>
      <x:c r="J501" s="69" t="str">
        <x:v>6.2007778|-75.4662222</x:v>
      </x:c>
      <x:c r="K501" s="82" t="n">
        <x:v>0</x:v>
      </x:c>
    </x:row>
    <x:row r="502">
      <x:c r="A502" s="76" t="n">
        <x:v>502</x:v>
      </x:c>
      <x:c r="B502" s="69" t="str">
        <x:v>6.2007778</x:v>
      </x:c>
      <x:c r="C502" s="69" t="str">
        <x:v>-75.4662222</x:v>
      </x:c>
      <x:c r="D502" s="78" t="n">
        <x:v>6.2007778</x:v>
      </x:c>
      <x:c r="E502" s="78" t="n">
        <x:v>-75.4662222</x:v>
      </x:c>
      <x:c r="F502" s="69" t="str">
        <x:v>Texto→número</x:v>
      </x:c>
      <x:c r="G502" s="69" t="str">
        <x:v>Texto→número</x:v>
      </x:c>
      <x:c r="H502" s="80" t="str">
        <x:v>OK</x:v>
      </x:c>
      <x:c r="I502" s="69" t="str"/>
      <x:c r="J502" s="69"/>
      <x:c r="K502" s="82" t="n">
        <x:v>1</x:v>
      </x:c>
    </x:row>
    <x:row r="503">
      <x:c r="A503" s="76" t="n">
        <x:v>503</x:v>
      </x:c>
      <x:c r="B503" s="69" t="str">
        <x:v>6.2007778</x:v>
      </x:c>
      <x:c r="C503" s="69" t="str">
        <x:v>-75.4662222</x:v>
      </x:c>
      <x:c r="D503" s="78" t="n">
        <x:v>6.2007778</x:v>
      </x:c>
      <x:c r="E503" s="78" t="n">
        <x:v>-75.4662222</x:v>
      </x:c>
      <x:c r="F503" s="69" t="str">
        <x:v>Texto→número</x:v>
      </x:c>
      <x:c r="G503" s="69" t="str">
        <x:v>Texto→número</x:v>
      </x:c>
      <x:c r="H503" s="80" t="str">
        <x:v>OK</x:v>
      </x:c>
      <x:c r="I503" s="69" t="str"/>
      <x:c r="J503" s="69"/>
      <x:c r="K503" s="82" t="n">
        <x:v>1</x:v>
      </x:c>
    </x:row>
    <x:row r="504">
      <x:c r="A504" s="76" t="n">
        <x:v>504</x:v>
      </x:c>
      <x:c r="B504" s="69" t="str">
        <x:v>2.57474</x:v>
      </x:c>
      <x:c r="C504" s="69" t="str">
        <x:v>-76.54821</x:v>
      </x:c>
      <x:c r="D504" s="78" t="n">
        <x:v>2.57474</x:v>
      </x:c>
      <x:c r="E504" s="78" t="n">
        <x:v>-76.54821</x:v>
      </x:c>
      <x:c r="F504" s="69" t="str">
        <x:v>Texto→número</x:v>
      </x:c>
      <x:c r="G504" s="69" t="str">
        <x:v>Texto→número</x:v>
      </x:c>
      <x:c r="H504" s="80" t="str">
        <x:v>OK</x:v>
      </x:c>
      <x:c r="I504" s="69" t="str"/>
      <x:c r="J504" s="69" t="str">
        <x:v>2.57474|-76.54821</x:v>
      </x:c>
      <x:c r="K504" s="82" t="n">
        <x:v>0</x:v>
      </x:c>
    </x:row>
    <x:row r="505">
      <x:c r="A505" s="76" t="n">
        <x:v>505</x:v>
      </x:c>
      <x:c r="B505" s="69" t="str">
        <x:v>2.5</x:v>
      </x:c>
      <x:c r="C505" s="69" t="str">
        <x:v>-76.5833333</x:v>
      </x:c>
      <x:c r="D505" s="78" t="n">
        <x:v>2.5</x:v>
      </x:c>
      <x:c r="E505" s="78" t="n">
        <x:v>-76.5833333</x:v>
      </x:c>
      <x:c r="F505" s="69" t="str">
        <x:v>Texto→número</x:v>
      </x:c>
      <x:c r="G505" s="69" t="str">
        <x:v>Texto→número</x:v>
      </x:c>
      <x:c r="H505" s="80" t="str">
        <x:v>OK</x:v>
      </x:c>
      <x:c r="I505" s="69" t="str"/>
      <x:c r="J505" s="69" t="str">
        <x:v>2.5|-76.5833333</x:v>
      </x:c>
      <x:c r="K505" s="82" t="n">
        <x:v>0</x:v>
      </x:c>
    </x:row>
    <x:row r="506">
      <x:c r="A506" s="76" t="n">
        <x:v>506</x:v>
      </x:c>
      <x:c r="B506" s="69" t="str">
        <x:v>2.5</x:v>
      </x:c>
      <x:c r="C506" s="69" t="str">
        <x:v>-76.5833333</x:v>
      </x:c>
      <x:c r="D506" s="78" t="n">
        <x:v>2.5</x:v>
      </x:c>
      <x:c r="E506" s="78" t="n">
        <x:v>-76.5833333</x:v>
      </x:c>
      <x:c r="F506" s="69" t="str">
        <x:v>Texto→número</x:v>
      </x:c>
      <x:c r="G506" s="69" t="str">
        <x:v>Texto→número</x:v>
      </x:c>
      <x:c r="H506" s="80" t="str">
        <x:v>OK</x:v>
      </x:c>
      <x:c r="I506" s="69" t="str"/>
      <x:c r="J506" s="69"/>
      <x:c r="K506" s="82" t="n">
        <x:v>1</x:v>
      </x:c>
    </x:row>
    <x:row r="507">
      <x:c r="A507" s="76" t="n">
        <x:v>507</x:v>
      </x:c>
      <x:c r="B507" s="69" t="str">
        <x:v>2.5</x:v>
      </x:c>
      <x:c r="C507" s="69" t="str">
        <x:v>-76.5833333</x:v>
      </x:c>
      <x:c r="D507" s="78" t="n">
        <x:v>2.5</x:v>
      </x:c>
      <x:c r="E507" s="78" t="n">
        <x:v>-76.5833333</x:v>
      </x:c>
      <x:c r="F507" s="69" t="str">
        <x:v>Texto→número</x:v>
      </x:c>
      <x:c r="G507" s="69" t="str">
        <x:v>Texto→número</x:v>
      </x:c>
      <x:c r="H507" s="80" t="str">
        <x:v>OK</x:v>
      </x:c>
      <x:c r="I507" s="69" t="str"/>
      <x:c r="J507" s="69"/>
      <x:c r="K507" s="82" t="n">
        <x:v>1</x:v>
      </x:c>
    </x:row>
    <x:row r="508">
      <x:c r="A508" s="76" t="n">
        <x:v>508</x:v>
      </x:c>
      <x:c r="B508" s="69" t="str">
        <x:v>2.5</x:v>
      </x:c>
      <x:c r="C508" s="69" t="str">
        <x:v>-76.5833333</x:v>
      </x:c>
      <x:c r="D508" s="78" t="n">
        <x:v>2.5</x:v>
      </x:c>
      <x:c r="E508" s="78" t="n">
        <x:v>-76.5833333</x:v>
      </x:c>
      <x:c r="F508" s="69" t="str">
        <x:v>Texto→número</x:v>
      </x:c>
      <x:c r="G508" s="69" t="str">
        <x:v>Texto→número</x:v>
      </x:c>
      <x:c r="H508" s="80" t="str">
        <x:v>OK</x:v>
      </x:c>
      <x:c r="I508" s="69" t="str"/>
      <x:c r="J508" s="69"/>
      <x:c r="K508" s="82" t="n">
        <x:v>1</x:v>
      </x:c>
    </x:row>
    <x:row r="509">
      <x:c r="A509" s="76" t="n">
        <x:v>509</x:v>
      </x:c>
      <x:c r="B509" s="69" t="str">
        <x:v>2.45</x:v>
      </x:c>
      <x:c r="C509" s="69" t="str">
        <x:v>-76.4833333</x:v>
      </x:c>
      <x:c r="D509" s="78" t="n">
        <x:v>2.45</x:v>
      </x:c>
      <x:c r="E509" s="78" t="n">
        <x:v>-76.4833333</x:v>
      </x:c>
      <x:c r="F509" s="69" t="str">
        <x:v>Texto→número</x:v>
      </x:c>
      <x:c r="G509" s="69" t="str">
        <x:v>Texto→número</x:v>
      </x:c>
      <x:c r="H509" s="80" t="str">
        <x:v>OK</x:v>
      </x:c>
      <x:c r="I509" s="69" t="str"/>
      <x:c r="J509" s="69" t="str">
        <x:v>2.45|-76.4833333</x:v>
      </x:c>
      <x:c r="K509" s="82" t="n">
        <x:v>0</x:v>
      </x:c>
    </x:row>
    <x:row r="510">
      <x:c r="A510" s="76" t="n">
        <x:v>510</x:v>
      </x:c>
      <x:c r="B510" s="69" t="str">
        <x:v>2.4441667</x:v>
      </x:c>
      <x:c r="C510" s="69" t="str">
        <x:v>-76.5902778</x:v>
      </x:c>
      <x:c r="D510" s="78" t="n">
        <x:v>2.4441667</x:v>
      </x:c>
      <x:c r="E510" s="78" t="n">
        <x:v>-76.5902778</x:v>
      </x:c>
      <x:c r="F510" s="69" t="str">
        <x:v>Texto→número</x:v>
      </x:c>
      <x:c r="G510" s="69" t="str">
        <x:v>Texto→número</x:v>
      </x:c>
      <x:c r="H510" s="80" t="str">
        <x:v>OK</x:v>
      </x:c>
      <x:c r="I510" s="69" t="str"/>
      <x:c r="J510" s="69" t="str">
        <x:v>2.4441667|-76.5902778</x:v>
      </x:c>
      <x:c r="K510" s="82" t="n">
        <x:v>0</x:v>
      </x:c>
    </x:row>
    <x:row r="511">
      <x:c r="A511" s="76" t="n">
        <x:v>511</x:v>
      </x:c>
      <x:c r="B511" s="69" t="str">
        <x:v>2.5</x:v>
      </x:c>
      <x:c r="C511" s="69" t="str">
        <x:v>-76.5833333</x:v>
      </x:c>
      <x:c r="D511" s="78" t="n">
        <x:v>2.5</x:v>
      </x:c>
      <x:c r="E511" s="78" t="n">
        <x:v>-76.5833333</x:v>
      </x:c>
      <x:c r="F511" s="69" t="str">
        <x:v>Texto→número</x:v>
      </x:c>
      <x:c r="G511" s="69" t="str">
        <x:v>Texto→número</x:v>
      </x:c>
      <x:c r="H511" s="80" t="str">
        <x:v>OK</x:v>
      </x:c>
      <x:c r="I511" s="69" t="str"/>
      <x:c r="J511" s="69"/>
      <x:c r="K511" s="82" t="n">
        <x:v>1</x:v>
      </x:c>
    </x:row>
    <x:row r="512">
      <x:c r="A512" s="76" t="n">
        <x:v>512</x:v>
      </x:c>
      <x:c r="B512" s="69" t="str">
        <x:v>2.45228</x:v>
      </x:c>
      <x:c r="C512" s="69" t="str">
        <x:v>-76.52246</x:v>
      </x:c>
      <x:c r="D512" s="78" t="n">
        <x:v>2.45228</x:v>
      </x:c>
      <x:c r="E512" s="78" t="n">
        <x:v>-76.52246</x:v>
      </x:c>
      <x:c r="F512" s="69" t="str">
        <x:v>Texto→número</x:v>
      </x:c>
      <x:c r="G512" s="69" t="str">
        <x:v>Texto→número</x:v>
      </x:c>
      <x:c r="H512" s="80" t="str">
        <x:v>OK</x:v>
      </x:c>
      <x:c r="I512" s="69" t="str"/>
      <x:c r="J512" s="69" t="str">
        <x:v>2.45228|-76.52246</x:v>
      </x:c>
      <x:c r="K512" s="82" t="n">
        <x:v>0</x:v>
      </x:c>
    </x:row>
    <x:row r="513">
      <x:c r="A513" s="76" t="n">
        <x:v>513</x:v>
      </x:c>
      <x:c r="B513" s="69" t="str">
        <x:v>2.57474</x:v>
      </x:c>
      <x:c r="C513" s="69" t="str">
        <x:v>-76.54821</x:v>
      </x:c>
      <x:c r="D513" s="78" t="n">
        <x:v>2.57474</x:v>
      </x:c>
      <x:c r="E513" s="78" t="n">
        <x:v>-76.54821</x:v>
      </x:c>
      <x:c r="F513" s="69" t="str">
        <x:v>Texto→número</x:v>
      </x:c>
      <x:c r="G513" s="69" t="str">
        <x:v>Texto→número</x:v>
      </x:c>
      <x:c r="H513" s="80" t="str">
        <x:v>OK</x:v>
      </x:c>
      <x:c r="I513" s="69" t="str"/>
      <x:c r="J513" s="69"/>
      <x:c r="K513" s="82" t="n">
        <x:v>1</x:v>
      </x:c>
    </x:row>
    <x:row r="514">
      <x:c r="A514" s="76" t="n">
        <x:v>514</x:v>
      </x:c>
      <x:c r="B514" s="69" t="str">
        <x:v>5.11310</x:v>
      </x:c>
      <x:c r="C514" s="69" t="str">
        <x:v>-73.84495</x:v>
      </x:c>
      <x:c r="D514" s="78" t="n">
        <x:v>5.1131</x:v>
      </x:c>
      <x:c r="E514" s="78" t="n">
        <x:v>-73.84495</x:v>
      </x:c>
      <x:c r="F514" s="69" t="str">
        <x:v>Texto→número</x:v>
      </x:c>
      <x:c r="G514" s="69" t="str">
        <x:v>Texto→número</x:v>
      </x:c>
      <x:c r="H514" s="80" t="str">
        <x:v>OK</x:v>
      </x:c>
      <x:c r="I514" s="69" t="str"/>
      <x:c r="J514" s="69" t="str">
        <x:v>5.1131|-73.84495</x:v>
      </x:c>
      <x:c r="K514" s="82" t="n">
        <x:v>0</x:v>
      </x:c>
    </x:row>
    <x:row r="515">
      <x:c r="A515" s="76" t="n">
        <x:v>515</x:v>
      </x:c>
      <x:c r="B515" s="69" t="str">
        <x:v>4.82077</x:v>
      </x:c>
      <x:c r="C515" s="69" t="str">
        <x:v>-73.63934</x:v>
      </x:c>
      <x:c r="D515" s="78" t="n">
        <x:v>4.82077</x:v>
      </x:c>
      <x:c r="E515" s="78" t="n">
        <x:v>-73.63934</x:v>
      </x:c>
      <x:c r="F515" s="69" t="str">
        <x:v>Texto→número</x:v>
      </x:c>
      <x:c r="G515" s="69" t="str">
        <x:v>Texto→número</x:v>
      </x:c>
      <x:c r="H515" s="80" t="str">
        <x:v>OK</x:v>
      </x:c>
      <x:c r="I515" s="69" t="str"/>
      <x:c r="J515" s="69" t="str">
        <x:v>4.82077|-73.63934</x:v>
      </x:c>
      <x:c r="K515" s="82" t="n">
        <x:v>0</x:v>
      </x:c>
    </x:row>
    <x:row r="516">
      <x:c r="A516" s="76" t="n">
        <x:v>516</x:v>
      </x:c>
      <x:c r="B516" s="69" t="str">
        <x:v>5.12055</x:v>
      </x:c>
      <x:c r="C516" s="69" t="str">
        <x:v>-73.83689</x:v>
      </x:c>
      <x:c r="D516" s="78" t="n">
        <x:v>5.12055</x:v>
      </x:c>
      <x:c r="E516" s="78" t="n">
        <x:v>-73.83689</x:v>
      </x:c>
      <x:c r="F516" s="69" t="str">
        <x:v>Texto→número</x:v>
      </x:c>
      <x:c r="G516" s="69" t="str">
        <x:v>Texto→número</x:v>
      </x:c>
      <x:c r="H516" s="80" t="str">
        <x:v>OK</x:v>
      </x:c>
      <x:c r="I516" s="69" t="str"/>
      <x:c r="J516" s="69" t="str">
        <x:v>5.12055|-73.83689</x:v>
      </x:c>
      <x:c r="K516" s="82" t="n">
        <x:v>0</x:v>
      </x:c>
    </x:row>
    <x:row r="517">
      <x:c r="A517" s="76" t="n">
        <x:v>517</x:v>
      </x:c>
      <x:c r="B517" s="69" t="str">
        <x:v>4.49991</x:v>
      </x:c>
      <x:c r="C517" s="69" t="str">
        <x:v>-73.93678</x:v>
      </x:c>
      <x:c r="D517" s="78" t="n">
        <x:v>4.49991</x:v>
      </x:c>
      <x:c r="E517" s="78" t="n">
        <x:v>-73.93678</x:v>
      </x:c>
      <x:c r="F517" s="69" t="str">
        <x:v>Texto→número</x:v>
      </x:c>
      <x:c r="G517" s="69" t="str">
        <x:v>Texto→número</x:v>
      </x:c>
      <x:c r="H517" s="80" t="str">
        <x:v>OK</x:v>
      </x:c>
      <x:c r="I517" s="69" t="str"/>
      <x:c r="J517" s="69" t="str">
        <x:v>4.49991|-73.93678</x:v>
      </x:c>
      <x:c r="K517" s="82" t="n">
        <x:v>0</x:v>
      </x:c>
    </x:row>
    <x:row r="518">
      <x:c r="A518" s="76" t="n">
        <x:v>518</x:v>
      </x:c>
      <x:c r="B518" s="69" t="str">
        <x:v>5.30378</x:v>
      </x:c>
      <x:c r="C518" s="69" t="str">
        <x:v>-74.08687</x:v>
      </x:c>
      <x:c r="D518" s="78" t="n">
        <x:v>5.30378</x:v>
      </x:c>
      <x:c r="E518" s="78" t="n">
        <x:v>-74.08687</x:v>
      </x:c>
      <x:c r="F518" s="69" t="str">
        <x:v>Texto→número</x:v>
      </x:c>
      <x:c r="G518" s="69" t="str">
        <x:v>Texto→número</x:v>
      </x:c>
      <x:c r="H518" s="80" t="str">
        <x:v>OK</x:v>
      </x:c>
      <x:c r="I518" s="69" t="str"/>
      <x:c r="J518" s="69" t="str">
        <x:v>5.30378|-74.08687</x:v>
      </x:c>
      <x:c r="K518" s="82" t="n">
        <x:v>0</x:v>
      </x:c>
    </x:row>
    <x:row r="519">
      <x:c r="A519" s="76" t="n">
        <x:v>519</x:v>
      </x:c>
      <x:c r="B519" s="69" t="str">
        <x:v>5.11310</x:v>
      </x:c>
      <x:c r="C519" s="69" t="str">
        <x:v>-73.84495</x:v>
      </x:c>
      <x:c r="D519" s="78" t="n">
        <x:v>5.1131</x:v>
      </x:c>
      <x:c r="E519" s="78" t="n">
        <x:v>-73.84495</x:v>
      </x:c>
      <x:c r="F519" s="69" t="str">
        <x:v>Texto→número</x:v>
      </x:c>
      <x:c r="G519" s="69" t="str">
        <x:v>Texto→número</x:v>
      </x:c>
      <x:c r="H519" s="80" t="str">
        <x:v>OK</x:v>
      </x:c>
      <x:c r="I519" s="69" t="str"/>
      <x:c r="J519" s="69"/>
      <x:c r="K519" s="82" t="n">
        <x:v>1</x:v>
      </x:c>
    </x:row>
    <x:row r="520">
      <x:c r="A520" s="76" t="n">
        <x:v>520</x:v>
      </x:c>
      <x:c r="B520" s="69" t="str">
        <x:v>4.68968</x:v>
      </x:c>
      <x:c r="C520" s="69" t="str">
        <x:v>-74.27968</x:v>
      </x:c>
      <x:c r="D520" s="78" t="n">
        <x:v>4.68968</x:v>
      </x:c>
      <x:c r="E520" s="78" t="n">
        <x:v>-74.27968</x:v>
      </x:c>
      <x:c r="F520" s="69" t="str">
        <x:v>Texto→número</x:v>
      </x:c>
      <x:c r="G520" s="69" t="str">
        <x:v>Texto→número</x:v>
      </x:c>
      <x:c r="H520" s="80" t="str">
        <x:v>OK</x:v>
      </x:c>
      <x:c r="I520" s="69" t="str"/>
      <x:c r="J520" s="69" t="str">
        <x:v>4.68968|-74.27968</x:v>
      </x:c>
      <x:c r="K520" s="82" t="n">
        <x:v>0</x:v>
      </x:c>
    </x:row>
    <x:row r="521">
      <x:c r="A521" s="76" t="n">
        <x:v>521</x:v>
      </x:c>
      <x:c r="B521" s="69" t="str">
        <x:v>4.68312</x:v>
      </x:c>
      <x:c r="C521" s="69" t="str">
        <x:v>-74.38963</x:v>
      </x:c>
      <x:c r="D521" s="78" t="n">
        <x:v>4.68312</x:v>
      </x:c>
      <x:c r="E521" s="78" t="n">
        <x:v>-74.38963</x:v>
      </x:c>
      <x:c r="F521" s="69" t="str">
        <x:v>Texto→número</x:v>
      </x:c>
      <x:c r="G521" s="69" t="str">
        <x:v>Texto→número</x:v>
      </x:c>
      <x:c r="H521" s="80" t="str">
        <x:v>OK</x:v>
      </x:c>
      <x:c r="I521" s="69" t="str"/>
      <x:c r="J521" s="69"/>
      <x:c r="K521" s="82" t="n">
        <x:v>1</x:v>
      </x:c>
    </x:row>
    <x:row r="522">
      <x:c r="A522" s="76" t="n">
        <x:v>522</x:v>
      </x:c>
      <x:c r="B522" s="69" t="str">
        <x:v>-0.992</x:v>
      </x:c>
      <x:c r="C522" s="69" t="str">
        <x:v>-70.44361</x:v>
      </x:c>
      <x:c r="D522" s="78" t="n">
        <x:v>-0.992</x:v>
      </x:c>
      <x:c r="E522" s="78" t="n">
        <x:v>-70.44361</x:v>
      </x:c>
      <x:c r="F522" s="69" t="str">
        <x:v>Texto→número</x:v>
      </x:c>
      <x:c r="G522" s="69" t="str">
        <x:v>Texto→número</x:v>
      </x:c>
      <x:c r="H522" s="80" t="str">
        <x:v>OK</x:v>
      </x:c>
      <x:c r="I522" s="69" t="str"/>
      <x:c r="J522" s="69" t="str">
        <x:v>-0.992|-70.44361</x:v>
      </x:c>
      <x:c r="K522" s="82" t="n">
        <x:v>0</x:v>
      </x:c>
    </x:row>
    <x:row r="523">
      <x:c r="A523" s="76" t="n">
        <x:v>523</x:v>
      </x:c>
      <x:c r="B523" s="69" t="str">
        <x:v>7.31676</x:v>
      </x:c>
      <x:c r="C523" s="69" t="str">
        <x:v>-75.05643</x:v>
      </x:c>
      <x:c r="D523" s="78" t="n">
        <x:v>7.31676</x:v>
      </x:c>
      <x:c r="E523" s="78" t="n">
        <x:v>-75.05643</x:v>
      </x:c>
      <x:c r="F523" s="69" t="str">
        <x:v>Texto→número</x:v>
      </x:c>
      <x:c r="G523" s="69" t="str">
        <x:v>Texto→número</x:v>
      </x:c>
      <x:c r="H523" s="80" t="str">
        <x:v>OK</x:v>
      </x:c>
      <x:c r="I523" s="69" t="str"/>
      <x:c r="J523" s="69" t="str">
        <x:v>7.31676|-75.05643</x:v>
      </x:c>
      <x:c r="K523" s="82" t="n">
        <x:v>0</x:v>
      </x:c>
    </x:row>
    <x:row r="524">
      <x:c r="A524" s="76" t="n">
        <x:v>524</x:v>
      </x:c>
      <x:c r="B524" s="69" t="str">
        <x:v>7.31676</x:v>
      </x:c>
      <x:c r="C524" s="69" t="str">
        <x:v>-75.05643</x:v>
      </x:c>
      <x:c r="D524" s="78" t="n">
        <x:v>7.31676</x:v>
      </x:c>
      <x:c r="E524" s="78" t="n">
        <x:v>-75.05643</x:v>
      </x:c>
      <x:c r="F524" s="69" t="str">
        <x:v>Texto→número</x:v>
      </x:c>
      <x:c r="G524" s="69" t="str">
        <x:v>Texto→número</x:v>
      </x:c>
      <x:c r="H524" s="80" t="str">
        <x:v>OK</x:v>
      </x:c>
      <x:c r="I524" s="69" t="str"/>
      <x:c r="J524" s="69"/>
      <x:c r="K524" s="82" t="n">
        <x:v>1</x:v>
      </x:c>
    </x:row>
    <x:row r="525">
      <x:c r="A525" s="76" t="n">
        <x:v>525</x:v>
      </x:c>
      <x:c r="B525" s="69" t="str">
        <x:v>7.0764389</x:v>
      </x:c>
      <x:c r="C525" s="69" t="str">
        <x:v>-75.1565389</x:v>
      </x:c>
      <x:c r="D525" s="78" t="n">
        <x:v>7.0764389</x:v>
      </x:c>
      <x:c r="E525" s="78" t="n">
        <x:v>-75.1565389</x:v>
      </x:c>
      <x:c r="F525" s="69" t="str">
        <x:v>Texto→número</x:v>
      </x:c>
      <x:c r="G525" s="69" t="str">
        <x:v>Texto→número</x:v>
      </x:c>
      <x:c r="H525" s="80" t="str">
        <x:v>OK</x:v>
      </x:c>
      <x:c r="I525" s="69" t="str"/>
      <x:c r="J525" s="69" t="str">
        <x:v>7.0764389|-75.1565389</x:v>
      </x:c>
      <x:c r="K525" s="82" t="n">
        <x:v>0</x:v>
      </x:c>
    </x:row>
    <x:row r="526">
      <x:c r="A526" s="76" t="n">
        <x:v>526</x:v>
      </x:c>
      <x:c r="B526" s="69" t="str">
        <x:v>7.0764389</x:v>
      </x:c>
      <x:c r="C526" s="69" t="str">
        <x:v>-75.1565389</x:v>
      </x:c>
      <x:c r="D526" s="78" t="n">
        <x:v>7.0764389</x:v>
      </x:c>
      <x:c r="E526" s="78" t="n">
        <x:v>-75.1565389</x:v>
      </x:c>
      <x:c r="F526" s="69" t="str">
        <x:v>Texto→número</x:v>
      </x:c>
      <x:c r="G526" s="69" t="str">
        <x:v>Texto→número</x:v>
      </x:c>
      <x:c r="H526" s="80" t="str">
        <x:v>OK</x:v>
      </x:c>
      <x:c r="I526" s="69" t="str"/>
      <x:c r="J526" s="69"/>
      <x:c r="K526" s="82" t="n">
        <x:v>1</x:v>
      </x:c>
    </x:row>
    <x:row r="527">
      <x:c r="A527" s="76" t="n">
        <x:v>527</x:v>
      </x:c>
      <x:c r="B527" s="69" t="str">
        <x:v>7.0764389</x:v>
      </x:c>
      <x:c r="C527" s="69" t="str">
        <x:v>-75.1565389</x:v>
      </x:c>
      <x:c r="D527" s="78" t="n">
        <x:v>7.0764389</x:v>
      </x:c>
      <x:c r="E527" s="78" t="n">
        <x:v>-75.1565389</x:v>
      </x:c>
      <x:c r="F527" s="69" t="str">
        <x:v>Texto→número</x:v>
      </x:c>
      <x:c r="G527" s="69" t="str">
        <x:v>Texto→número</x:v>
      </x:c>
      <x:c r="H527" s="80" t="str">
        <x:v>OK</x:v>
      </x:c>
      <x:c r="I527" s="69" t="str"/>
      <x:c r="J527" s="69"/>
      <x:c r="K527" s="82" t="n">
        <x:v>1</x:v>
      </x:c>
    </x:row>
    <x:row r="528">
      <x:c r="A528" s="76" t="n">
        <x:v>528</x:v>
      </x:c>
      <x:c r="B528" s="69" t="str">
        <x:v>7.0764389</x:v>
      </x:c>
      <x:c r="C528" s="69" t="str">
        <x:v>-75.1565389</x:v>
      </x:c>
      <x:c r="D528" s="78" t="n">
        <x:v>7.0764389</x:v>
      </x:c>
      <x:c r="E528" s="78" t="n">
        <x:v>-75.1565389</x:v>
      </x:c>
      <x:c r="F528" s="69" t="str">
        <x:v>Texto→número</x:v>
      </x:c>
      <x:c r="G528" s="69" t="str">
        <x:v>Texto→número</x:v>
      </x:c>
      <x:c r="H528" s="80" t="str">
        <x:v>OK</x:v>
      </x:c>
      <x:c r="I528" s="69" t="str"/>
      <x:c r="J528" s="69"/>
      <x:c r="K528" s="82" t="n">
        <x:v>1</x:v>
      </x:c>
    </x:row>
    <x:row r="529">
      <x:c r="A529" s="76" t="n">
        <x:v>529</x:v>
      </x:c>
      <x:c r="B529" s="69" t="str">
        <x:v>7.2166667</x:v>
      </x:c>
      <x:c r="C529" s="69" t="str">
        <x:v>-75.05</x:v>
      </x:c>
      <x:c r="D529" s="78" t="n">
        <x:v>7.2166667</x:v>
      </x:c>
      <x:c r="E529" s="78" t="n">
        <x:v>-75.05</x:v>
      </x:c>
      <x:c r="F529" s="69" t="str">
        <x:v>Texto→número</x:v>
      </x:c>
      <x:c r="G529" s="69" t="str">
        <x:v>Texto→número</x:v>
      </x:c>
      <x:c r="H529" s="80" t="str">
        <x:v>OK</x:v>
      </x:c>
      <x:c r="I529" s="69" t="str"/>
      <x:c r="J529" s="69" t="str">
        <x:v>7.2166667|-75.05</x:v>
      </x:c>
      <x:c r="K529" s="82" t="n">
        <x:v>0</x:v>
      </x:c>
    </x:row>
    <x:row r="530">
      <x:c r="A530" s="76" t="n">
        <x:v>530</x:v>
      </x:c>
      <x:c r="B530" s="69" t="str">
        <x:v>7.2166667</x:v>
      </x:c>
      <x:c r="C530" s="69" t="str">
        <x:v>-75.05</x:v>
      </x:c>
      <x:c r="D530" s="78" t="n">
        <x:v>7.2166667</x:v>
      </x:c>
      <x:c r="E530" s="78" t="n">
        <x:v>-75.05</x:v>
      </x:c>
      <x:c r="F530" s="69" t="str">
        <x:v>Texto→número</x:v>
      </x:c>
      <x:c r="G530" s="69" t="str">
        <x:v>Texto→número</x:v>
      </x:c>
      <x:c r="H530" s="80" t="str">
        <x:v>OK</x:v>
      </x:c>
      <x:c r="I530" s="69" t="str"/>
      <x:c r="J530" s="69"/>
      <x:c r="K530" s="82" t="n">
        <x:v>1</x:v>
      </x:c>
    </x:row>
    <x:row r="531">
      <x:c r="A531" s="76" t="n">
        <x:v>531</x:v>
      </x:c>
      <x:c r="B531" s="69" t="str">
        <x:v>7.5783889</x:v>
      </x:c>
      <x:c r="C531" s="69" t="str">
        <x:v>-75.3485056</x:v>
      </x:c>
      <x:c r="D531" s="78" t="n">
        <x:v>7.5783889</x:v>
      </x:c>
      <x:c r="E531" s="78" t="n">
        <x:v>-75.3485056</x:v>
      </x:c>
      <x:c r="F531" s="69" t="str">
        <x:v>Texto→número</x:v>
      </x:c>
      <x:c r="G531" s="69" t="str">
        <x:v>Texto→número</x:v>
      </x:c>
      <x:c r="H531" s="80" t="str">
        <x:v>OK</x:v>
      </x:c>
      <x:c r="I531" s="69" t="str"/>
      <x:c r="J531" s="69" t="str">
        <x:v>7.5783889|-75.3485056</x:v>
      </x:c>
      <x:c r="K531" s="82" t="n">
        <x:v>0</x:v>
      </x:c>
    </x:row>
    <x:row r="532">
      <x:c r="A532" s="76" t="n">
        <x:v>532</x:v>
      </x:c>
      <x:c r="B532" s="69" t="str">
        <x:v>5.5998333</x:v>
      </x:c>
      <x:c r="C532" s="69" t="str">
        <x:v>-75.8198333</x:v>
      </x:c>
      <x:c r="D532" s="78" t="n">
        <x:v>5.5998333</x:v>
      </x:c>
      <x:c r="E532" s="78" t="n">
        <x:v>-75.8198333</x:v>
      </x:c>
      <x:c r="F532" s="69" t="str">
        <x:v>Texto→número</x:v>
      </x:c>
      <x:c r="G532" s="69" t="str">
        <x:v>Texto→número</x:v>
      </x:c>
      <x:c r="H532" s="80" t="str">
        <x:v>OK</x:v>
      </x:c>
      <x:c r="I532" s="69" t="str"/>
      <x:c r="J532" s="69" t="str">
        <x:v>5.5998333|-75.8198333</x:v>
      </x:c>
      <x:c r="K532" s="82" t="n">
        <x:v>0</x:v>
      </x:c>
    </x:row>
    <x:row r="533">
      <x:c r="A533" s="76" t="n">
        <x:v>533</x:v>
      </x:c>
      <x:c r="B533" s="69" t="str">
        <x:v>7.5783889</x:v>
      </x:c>
      <x:c r="C533" s="69" t="str">
        <x:v>-75.3485056</x:v>
      </x:c>
      <x:c r="D533" s="78" t="n">
        <x:v>7.5783889</x:v>
      </x:c>
      <x:c r="E533" s="78" t="n">
        <x:v>-75.3485056</x:v>
      </x:c>
      <x:c r="F533" s="69" t="str">
        <x:v>Texto→número</x:v>
      </x:c>
      <x:c r="G533" s="69" t="str">
        <x:v>Texto→número</x:v>
      </x:c>
      <x:c r="H533" s="80" t="str">
        <x:v>OK</x:v>
      </x:c>
      <x:c r="I533" s="69" t="str"/>
      <x:c r="J533" s="69"/>
      <x:c r="K533" s="82" t="n">
        <x:v>1</x:v>
      </x:c>
    </x:row>
    <x:row r="534">
      <x:c r="A534" s="76" t="n">
        <x:v>534</x:v>
      </x:c>
      <x:c r="B534" s="69" t="str">
        <x:v>7.5783889</x:v>
      </x:c>
      <x:c r="C534" s="69" t="str">
        <x:v>-75.3485056</x:v>
      </x:c>
      <x:c r="D534" s="78" t="n">
        <x:v>7.5783889</x:v>
      </x:c>
      <x:c r="E534" s="78" t="n">
        <x:v>-75.3485056</x:v>
      </x:c>
      <x:c r="F534" s="69" t="str">
        <x:v>Texto→número</x:v>
      </x:c>
      <x:c r="G534" s="69" t="str">
        <x:v>Texto→número</x:v>
      </x:c>
      <x:c r="H534" s="80" t="str">
        <x:v>OK</x:v>
      </x:c>
      <x:c r="I534" s="69" t="str"/>
      <x:c r="J534" s="69"/>
      <x:c r="K534" s="82" t="n">
        <x:v>1</x:v>
      </x:c>
    </x:row>
    <x:row r="535">
      <x:c r="A535" s="76" t="n">
        <x:v>535</x:v>
      </x:c>
      <x:c r="B535" s="69" t="str">
        <x:v>5.5998333</x:v>
      </x:c>
      <x:c r="C535" s="69" t="str">
        <x:v>-75.8198333</x:v>
      </x:c>
      <x:c r="D535" s="78" t="n">
        <x:v>5.5998333</x:v>
      </x:c>
      <x:c r="E535" s="78" t="n">
        <x:v>-75.8198333</x:v>
      </x:c>
      <x:c r="F535" s="69" t="str">
        <x:v>Texto→número</x:v>
      </x:c>
      <x:c r="G535" s="69" t="str">
        <x:v>Texto→número</x:v>
      </x:c>
      <x:c r="H535" s="80" t="str">
        <x:v>OK</x:v>
      </x:c>
      <x:c r="I535" s="69" t="str"/>
      <x:c r="J535" s="69"/>
      <x:c r="K535" s="82" t="n">
        <x:v>1</x:v>
      </x:c>
    </x:row>
    <x:row r="536">
      <x:c r="A536" s="76" t="n">
        <x:v>536</x:v>
      </x:c>
      <x:c r="B536" s="69" t="str">
        <x:v>6.1067139</x:v>
      </x:c>
      <x:c r="C536" s="69" t="str">
        <x:v>-74.9608528</x:v>
      </x:c>
      <x:c r="D536" s="78" t="n">
        <x:v>6.1067139</x:v>
      </x:c>
      <x:c r="E536" s="78" t="n">
        <x:v>-74.9608528</x:v>
      </x:c>
      <x:c r="F536" s="69" t="str">
        <x:v>Texto→número</x:v>
      </x:c>
      <x:c r="G536" s="69" t="str">
        <x:v>Texto→número</x:v>
      </x:c>
      <x:c r="H536" s="80" t="str">
        <x:v>OK</x:v>
      </x:c>
      <x:c r="I536" s="69" t="str"/>
      <x:c r="J536" s="69" t="str">
        <x:v>6.1067139|-74.9608528</x:v>
      </x:c>
      <x:c r="K536" s="82" t="n">
        <x:v>0</x:v>
      </x:c>
    </x:row>
    <x:row r="537">
      <x:c r="A537" s="76" t="n">
        <x:v>537</x:v>
      </x:c>
      <x:c r="B537" s="69" t="str">
        <x:v>7.25</x:v>
      </x:c>
      <x:c r="C537" s="69" t="str">
        <x:v>-75.2</x:v>
      </x:c>
      <x:c r="D537" s="78" t="n">
        <x:v>7.25</x:v>
      </x:c>
      <x:c r="E537" s="78" t="n">
        <x:v>-75.2</x:v>
      </x:c>
      <x:c r="F537" s="69" t="str">
        <x:v>Texto→número</x:v>
      </x:c>
      <x:c r="G537" s="69" t="str">
        <x:v>Texto→número</x:v>
      </x:c>
      <x:c r="H537" s="80" t="str">
        <x:v>OK</x:v>
      </x:c>
      <x:c r="I537" s="69" t="str"/>
      <x:c r="J537" s="69" t="str">
        <x:v>7.25|-75.2</x:v>
      </x:c>
      <x:c r="K537" s="82" t="n">
        <x:v>0</x:v>
      </x:c>
    </x:row>
    <x:row r="538">
      <x:c r="A538" s="76" t="n">
        <x:v>538</x:v>
      </x:c>
      <x:c r="B538" s="69" t="str">
        <x:v>7.2668056</x:v>
      </x:c>
      <x:c r="C538" s="69" t="str">
        <x:v>-75.0644167</x:v>
      </x:c>
      <x:c r="D538" s="78" t="n">
        <x:v>7.2668056</x:v>
      </x:c>
      <x:c r="E538" s="78" t="n">
        <x:v>-75.0644167</x:v>
      </x:c>
      <x:c r="F538" s="69" t="str">
        <x:v>Texto→número</x:v>
      </x:c>
      <x:c r="G538" s="69" t="str">
        <x:v>Texto→número</x:v>
      </x:c>
      <x:c r="H538" s="80" t="str">
        <x:v>OK</x:v>
      </x:c>
      <x:c r="I538" s="69" t="str"/>
      <x:c r="J538" s="69" t="str">
        <x:v>7.2668056|-75.0644167</x:v>
      </x:c>
      <x:c r="K538" s="82" t="n">
        <x:v>0</x:v>
      </x:c>
    </x:row>
    <x:row r="539">
      <x:c r="A539" s="76" t="n">
        <x:v>539</x:v>
      </x:c>
      <x:c r="B539" s="69" t="str">
        <x:v>7.2668056</x:v>
      </x:c>
      <x:c r="C539" s="69" t="str">
        <x:v>-75.0644167</x:v>
      </x:c>
      <x:c r="D539" s="78" t="n">
        <x:v>7.2668056</x:v>
      </x:c>
      <x:c r="E539" s="78" t="n">
        <x:v>-75.0644167</x:v>
      </x:c>
      <x:c r="F539" s="69" t="str">
        <x:v>Texto→número</x:v>
      </x:c>
      <x:c r="G539" s="69" t="str">
        <x:v>Texto→número</x:v>
      </x:c>
      <x:c r="H539" s="80" t="str">
        <x:v>OK</x:v>
      </x:c>
      <x:c r="I539" s="69" t="str"/>
      <x:c r="J539" s="69"/>
      <x:c r="K539" s="82" t="n">
        <x:v>1</x:v>
      </x:c>
    </x:row>
    <x:row r="540">
      <x:c r="A540" s="76" t="n">
        <x:v>540</x:v>
      </x:c>
      <x:c r="B540" s="69" t="str">
        <x:v>7.2668056</x:v>
      </x:c>
      <x:c r="C540" s="69" t="str">
        <x:v>-75.0644167</x:v>
      </x:c>
      <x:c r="D540" s="78" t="n">
        <x:v>7.2668056</x:v>
      </x:c>
      <x:c r="E540" s="78" t="n">
        <x:v>-75.0644167</x:v>
      </x:c>
      <x:c r="F540" s="69" t="str">
        <x:v>Texto→número</x:v>
      </x:c>
      <x:c r="G540" s="69" t="str">
        <x:v>Texto→número</x:v>
      </x:c>
      <x:c r="H540" s="80" t="str">
        <x:v>OK</x:v>
      </x:c>
      <x:c r="I540" s="69" t="str"/>
      <x:c r="J540" s="69"/>
      <x:c r="K540" s="82" t="n">
        <x:v>1</x:v>
      </x:c>
    </x:row>
    <x:row r="541">
      <x:c r="A541" s="76" t="n">
        <x:v>541</x:v>
      </x:c>
      <x:c r="B541" s="69" t="str">
        <x:v>7.2662778</x:v>
      </x:c>
      <x:c r="C541" s="69" t="str">
        <x:v>-75.0741667</x:v>
      </x:c>
      <x:c r="D541" s="78" t="n">
        <x:v>7.2662778</x:v>
      </x:c>
      <x:c r="E541" s="78" t="n">
        <x:v>-75.0741667</x:v>
      </x:c>
      <x:c r="F541" s="69" t="str">
        <x:v>Texto→número</x:v>
      </x:c>
      <x:c r="G541" s="69" t="str">
        <x:v>Texto→número</x:v>
      </x:c>
      <x:c r="H541" s="80" t="str">
        <x:v>OK</x:v>
      </x:c>
      <x:c r="I541" s="69" t="str"/>
      <x:c r="J541" s="69"/>
      <x:c r="K541" s="82" t="n">
        <x:v>1</x:v>
      </x:c>
    </x:row>
    <x:row r="542">
      <x:c r="A542" s="76" t="n">
        <x:v>542</x:v>
      </x:c>
      <x:c r="B542" s="69" t="str">
        <x:v>7.2662778</x:v>
      </x:c>
      <x:c r="C542" s="69" t="str">
        <x:v>-75.0741667</x:v>
      </x:c>
      <x:c r="D542" s="78" t="n">
        <x:v>7.2662778</x:v>
      </x:c>
      <x:c r="E542" s="78" t="n">
        <x:v>-75.0741667</x:v>
      </x:c>
      <x:c r="F542" s="69" t="str">
        <x:v>Texto→número</x:v>
      </x:c>
      <x:c r="G542" s="69" t="str">
        <x:v>Texto→número</x:v>
      </x:c>
      <x:c r="H542" s="80" t="str">
        <x:v>OK</x:v>
      </x:c>
      <x:c r="I542" s="69" t="str"/>
      <x:c r="J542" s="69"/>
      <x:c r="K542" s="82" t="n">
        <x:v>1</x:v>
      </x:c>
    </x:row>
    <x:row r="543">
      <x:c r="A543" s="76" t="n">
        <x:v>543</x:v>
      </x:c>
      <x:c r="B543" s="69" t="str">
        <x:v>7.2836667</x:v>
      </x:c>
      <x:c r="C543" s="69" t="str">
        <x:v>-75.0880833</x:v>
      </x:c>
      <x:c r="D543" s="78" t="n">
        <x:v>7.2836667</x:v>
      </x:c>
      <x:c r="E543" s="78" t="n">
        <x:v>-75.0880833</x:v>
      </x:c>
      <x:c r="F543" s="69" t="str">
        <x:v>Texto→número</x:v>
      </x:c>
      <x:c r="G543" s="69" t="str">
        <x:v>Texto→número</x:v>
      </x:c>
      <x:c r="H543" s="80" t="str">
        <x:v>OK</x:v>
      </x:c>
      <x:c r="I543" s="69" t="str"/>
      <x:c r="J543" s="69" t="str">
        <x:v>7.2836667|-75.0880833</x:v>
      </x:c>
      <x:c r="K543" s="82" t="n">
        <x:v>0</x:v>
      </x:c>
    </x:row>
    <x:row r="544">
      <x:c r="A544" s="76" t="n">
        <x:v>544</x:v>
      </x:c>
      <x:c r="B544" s="69" t="str">
        <x:v>7.2836667</x:v>
      </x:c>
      <x:c r="C544" s="69" t="str">
        <x:v>-75.0880833</x:v>
      </x:c>
      <x:c r="D544" s="78" t="n">
        <x:v>7.2836667</x:v>
      </x:c>
      <x:c r="E544" s="78" t="n">
        <x:v>-75.0880833</x:v>
      </x:c>
      <x:c r="F544" s="69" t="str">
        <x:v>Texto→número</x:v>
      </x:c>
      <x:c r="G544" s="69" t="str">
        <x:v>Texto→número</x:v>
      </x:c>
      <x:c r="H544" s="80" t="str">
        <x:v>OK</x:v>
      </x:c>
      <x:c r="I544" s="69" t="str"/>
      <x:c r="J544" s="69"/>
      <x:c r="K544" s="82" t="n">
        <x:v>1</x:v>
      </x:c>
    </x:row>
    <x:row r="545">
      <x:c r="A545" s="76" t="n">
        <x:v>545</x:v>
      </x:c>
      <x:c r="B545" s="69" t="str">
        <x:v>7.2535</x:v>
      </x:c>
      <x:c r="C545" s="69" t="str">
        <x:v>-75.0432778</x:v>
      </x:c>
      <x:c r="D545" s="78" t="n">
        <x:v>7.2535</x:v>
      </x:c>
      <x:c r="E545" s="78" t="n">
        <x:v>-75.0432778</x:v>
      </x:c>
      <x:c r="F545" s="69" t="str">
        <x:v>Texto→número</x:v>
      </x:c>
      <x:c r="G545" s="69" t="str">
        <x:v>Texto→número</x:v>
      </x:c>
      <x:c r="H545" s="80" t="str">
        <x:v>OK</x:v>
      </x:c>
      <x:c r="I545" s="69" t="str"/>
      <x:c r="J545" s="69" t="str">
        <x:v>7.2535|-75.0432778</x:v>
      </x:c>
      <x:c r="K545" s="82" t="n">
        <x:v>0</x:v>
      </x:c>
    </x:row>
    <x:row r="546">
      <x:c r="A546" s="76" t="n">
        <x:v>546</x:v>
      </x:c>
      <x:c r="B546" s="69" t="str">
        <x:v>7.0764389</x:v>
      </x:c>
      <x:c r="C546" s="69" t="str">
        <x:v>-75.1565389</x:v>
      </x:c>
      <x:c r="D546" s="78" t="n">
        <x:v>7.0764389</x:v>
      </x:c>
      <x:c r="E546" s="78" t="n">
        <x:v>-75.1565389</x:v>
      </x:c>
      <x:c r="F546" s="69" t="str">
        <x:v>Texto→número</x:v>
      </x:c>
      <x:c r="G546" s="69" t="str">
        <x:v>Texto→número</x:v>
      </x:c>
      <x:c r="H546" s="80" t="str">
        <x:v>OK</x:v>
      </x:c>
      <x:c r="I546" s="69" t="str"/>
      <x:c r="J546" s="69"/>
      <x:c r="K546" s="82" t="n">
        <x:v>1</x:v>
      </x:c>
    </x:row>
    <x:row r="547">
      <x:c r="A547" s="76" t="n">
        <x:v>547</x:v>
      </x:c>
      <x:c r="B547" s="69" t="str">
        <x:v>6.5398611</x:v>
      </x:c>
      <x:c r="C547" s="69" t="str">
        <x:v>-76.3193611</x:v>
      </x:c>
      <x:c r="D547" s="78" t="n">
        <x:v>6.5398611</x:v>
      </x:c>
      <x:c r="E547" s="78" t="n">
        <x:v>-76.3193611</x:v>
      </x:c>
      <x:c r="F547" s="69" t="str">
        <x:v>Texto→número</x:v>
      </x:c>
      <x:c r="G547" s="69" t="str">
        <x:v>Texto→número</x:v>
      </x:c>
      <x:c r="H547" s="80" t="str">
        <x:v>OK</x:v>
      </x:c>
      <x:c r="I547" s="69" t="str"/>
      <x:c r="J547" s="69" t="str">
        <x:v>6.5398611|-76.3193611</x:v>
      </x:c>
      <x:c r="K547" s="82" t="n">
        <x:v>0</x:v>
      </x:c>
    </x:row>
    <x:row r="548">
      <x:c r="A548" s="76" t="n">
        <x:v>548</x:v>
      </x:c>
      <x:c r="B548" s="69" t="str">
        <x:v>6.5398611</x:v>
      </x:c>
      <x:c r="C548" s="69" t="str">
        <x:v>-76.3193611</x:v>
      </x:c>
      <x:c r="D548" s="78" t="n">
        <x:v>6.5398611</x:v>
      </x:c>
      <x:c r="E548" s="78" t="n">
        <x:v>-76.3193611</x:v>
      </x:c>
      <x:c r="F548" s="69" t="str">
        <x:v>Texto→número</x:v>
      </x:c>
      <x:c r="G548" s="69" t="str">
        <x:v>Texto→número</x:v>
      </x:c>
      <x:c r="H548" s="80" t="str">
        <x:v>OK</x:v>
      </x:c>
      <x:c r="I548" s="69" t="str"/>
      <x:c r="J548" s="69"/>
      <x:c r="K548" s="82" t="n">
        <x:v>1</x:v>
      </x:c>
    </x:row>
    <x:row r="549">
      <x:c r="A549" s="76" t="n">
        <x:v>549</x:v>
      </x:c>
      <x:c r="B549" s="69" t="str">
        <x:v>6.5352222</x:v>
      </x:c>
      <x:c r="C549" s="69" t="str">
        <x:v>-76.3128611</x:v>
      </x:c>
      <x:c r="D549" s="78" t="n">
        <x:v>6.5352222</x:v>
      </x:c>
      <x:c r="E549" s="78" t="n">
        <x:v>-76.3128611</x:v>
      </x:c>
      <x:c r="F549" s="69" t="str">
        <x:v>Texto→número</x:v>
      </x:c>
      <x:c r="G549" s="69" t="str">
        <x:v>Texto→número</x:v>
      </x:c>
      <x:c r="H549" s="80" t="str">
        <x:v>OK</x:v>
      </x:c>
      <x:c r="I549" s="69" t="str"/>
      <x:c r="J549" s="69" t="str">
        <x:v>6.5352222|-76.3128611</x:v>
      </x:c>
      <x:c r="K549" s="82" t="n">
        <x:v>0</x:v>
      </x:c>
    </x:row>
    <x:row r="550">
      <x:c r="A550" s="76" t="n">
        <x:v>550</x:v>
      </x:c>
      <x:c r="B550" s="69" t="str">
        <x:v>2.67839</x:v>
      </x:c>
      <x:c r="C550" s="69" t="str">
        <x:v>-77.90774</x:v>
      </x:c>
      <x:c r="D550" s="78" t="n">
        <x:v>2.67839</x:v>
      </x:c>
      <x:c r="E550" s="78" t="n">
        <x:v>-77.90774</x:v>
      </x:c>
      <x:c r="F550" s="69" t="str">
        <x:v>Texto→número</x:v>
      </x:c>
      <x:c r="G550" s="69" t="str">
        <x:v>Texto→número</x:v>
      </x:c>
      <x:c r="H550" s="80" t="str">
        <x:v>OK</x:v>
      </x:c>
      <x:c r="I550" s="69" t="str"/>
      <x:c r="J550" s="69" t="str">
        <x:v>2.67839|-77.90774</x:v>
      </x:c>
      <x:c r="K550" s="82" t="n">
        <x:v>0</x:v>
      </x:c>
    </x:row>
    <x:row r="551">
      <x:c r="A551" s="76" t="n">
        <x:v>551</x:v>
      </x:c>
      <x:c r="B551" s="69" t="str">
        <x:v>2.67839</x:v>
      </x:c>
      <x:c r="C551" s="69" t="str">
        <x:v>-77.90774</x:v>
      </x:c>
      <x:c r="D551" s="78" t="n">
        <x:v>2.67839</x:v>
      </x:c>
      <x:c r="E551" s="78" t="n">
        <x:v>-77.90774</x:v>
      </x:c>
      <x:c r="F551" s="69" t="str">
        <x:v>Texto→número</x:v>
      </x:c>
      <x:c r="G551" s="69" t="str">
        <x:v>Texto→número</x:v>
      </x:c>
      <x:c r="H551" s="80" t="str">
        <x:v>OK</x:v>
      </x:c>
      <x:c r="I551" s="69" t="str"/>
      <x:c r="J551" s="69"/>
      <x:c r="K551" s="82" t="n">
        <x:v>1</x:v>
      </x:c>
    </x:row>
    <x:row r="552">
      <x:c r="A552" s="76" t="n">
        <x:v>552</x:v>
      </x:c>
      <x:c r="B552" s="69" t="str">
        <x:v>2.67839</x:v>
      </x:c>
      <x:c r="C552" s="69" t="str">
        <x:v>-77.90774</x:v>
      </x:c>
      <x:c r="D552" s="78" t="n">
        <x:v>2.67839</x:v>
      </x:c>
      <x:c r="E552" s="78" t="n">
        <x:v>-77.90774</x:v>
      </x:c>
      <x:c r="F552" s="69" t="str">
        <x:v>Texto→número</x:v>
      </x:c>
      <x:c r="G552" s="69" t="str">
        <x:v>Texto→número</x:v>
      </x:c>
      <x:c r="H552" s="80" t="str">
        <x:v>OK</x:v>
      </x:c>
      <x:c r="I552" s="69" t="str"/>
      <x:c r="J552" s="69"/>
      <x:c r="K552" s="82" t="n">
        <x:v>1</x:v>
      </x:c>
    </x:row>
    <x:row r="553">
      <x:c r="A553" s="76" t="n">
        <x:v>553</x:v>
      </x:c>
      <x:c r="B553" s="69" t="str">
        <x:v>6.21507</x:v>
      </x:c>
      <x:c r="C553" s="69" t="str">
        <x:v>-77.35771</x:v>
      </x:c>
      <x:c r="D553" s="78" t="n">
        <x:v>6.21507</x:v>
      </x:c>
      <x:c r="E553" s="78" t="n">
        <x:v>-77.35771</x:v>
      </x:c>
      <x:c r="F553" s="69" t="str">
        <x:v>Texto→número</x:v>
      </x:c>
      <x:c r="G553" s="69" t="str">
        <x:v>Texto→número</x:v>
      </x:c>
      <x:c r="H553" s="80" t="str">
        <x:v>OK</x:v>
      </x:c>
      <x:c r="I553" s="69" t="str"/>
      <x:c r="J553" s="69" t="str">
        <x:v>6.21507|-77.35771</x:v>
      </x:c>
      <x:c r="K553" s="82" t="n">
        <x:v>0</x:v>
      </x:c>
    </x:row>
    <x:row r="554">
      <x:c r="A554" s="76" t="n">
        <x:v>554</x:v>
      </x:c>
      <x:c r="B554" s="69" t="str">
        <x:v>5.73269</x:v>
      </x:c>
      <x:c r="C554" s="69" t="str">
        <x:v>-76.63017</x:v>
      </x:c>
      <x:c r="D554" s="78" t="n">
        <x:v>5.73269</x:v>
      </x:c>
      <x:c r="E554" s="78" t="n">
        <x:v>-76.63017</x:v>
      </x:c>
      <x:c r="F554" s="69" t="str">
        <x:v>Texto→número</x:v>
      </x:c>
      <x:c r="G554" s="69" t="str">
        <x:v>Texto→número</x:v>
      </x:c>
      <x:c r="H554" s="80" t="str">
        <x:v>OK</x:v>
      </x:c>
      <x:c r="I554" s="69" t="str"/>
      <x:c r="J554" s="69" t="str">
        <x:v>5.73269|-76.63017</x:v>
      </x:c>
      <x:c r="K554" s="82" t="n">
        <x:v>0</x:v>
      </x:c>
    </x:row>
    <x:row r="555">
      <x:c r="A555" s="76" t="n">
        <x:v>555</x:v>
      </x:c>
      <x:c r="B555" s="69" t="str">
        <x:v>4.1569</x:v>
      </x:c>
      <x:c r="C555" s="69" t="str">
        <x:v>-77.13704</x:v>
      </x:c>
      <x:c r="D555" s="78" t="n">
        <x:v>4.1569</x:v>
      </x:c>
      <x:c r="E555" s="78" t="n">
        <x:v>-77.13704</x:v>
      </x:c>
      <x:c r="F555" s="69" t="str">
        <x:v>Texto→número</x:v>
      </x:c>
      <x:c r="G555" s="69" t="str">
        <x:v>Texto→número</x:v>
      </x:c>
      <x:c r="H555" s="80" t="str">
        <x:v>OK</x:v>
      </x:c>
      <x:c r="I555" s="69" t="str"/>
      <x:c r="J555" s="69"/>
      <x:c r="K555" s="82" t="n">
        <x:v>1</x:v>
      </x:c>
    </x:row>
    <x:row r="556">
      <x:c r="A556" s="76" t="n">
        <x:v>556</x:v>
      </x:c>
      <x:c r="B556" s="69" t="str">
        <x:v>5</x:v>
      </x:c>
      <x:c r="C556" s="69" t="str">
        <x:v>-76.7333333</x:v>
      </x:c>
      <x:c r="D556" s="78" t="n">
        <x:v>5</x:v>
      </x:c>
      <x:c r="E556" s="78" t="n">
        <x:v>-76.7333333</x:v>
      </x:c>
      <x:c r="F556" s="69" t="str">
        <x:v>Texto→número</x:v>
      </x:c>
      <x:c r="G556" s="69" t="str">
        <x:v>Texto→número</x:v>
      </x:c>
      <x:c r="H556" s="80" t="str">
        <x:v>OK</x:v>
      </x:c>
      <x:c r="I556" s="69" t="str"/>
      <x:c r="J556" s="69" t="str">
        <x:v>5|-76.7333333</x:v>
      </x:c>
      <x:c r="K556" s="82" t="n">
        <x:v>0</x:v>
      </x:c>
    </x:row>
    <x:row r="557">
      <x:c r="A557" s="76" t="n">
        <x:v>557</x:v>
      </x:c>
      <x:c r="B557" s="69" t="str">
        <x:v>5.1</x:v>
      </x:c>
      <x:c r="C557" s="69" t="str">
        <x:v>-76.7</x:v>
      </x:c>
      <x:c r="D557" s="78" t="n">
        <x:v>5.1</x:v>
      </x:c>
      <x:c r="E557" s="78" t="n">
        <x:v>-76.7</x:v>
      </x:c>
      <x:c r="F557" s="69" t="str">
        <x:v>Texto→número</x:v>
      </x:c>
      <x:c r="G557" s="69" t="str">
        <x:v>Texto→número</x:v>
      </x:c>
      <x:c r="H557" s="80" t="str">
        <x:v>OK</x:v>
      </x:c>
      <x:c r="I557" s="69" t="str"/>
      <x:c r="J557" s="69" t="str">
        <x:v>5.1|-76.7</x:v>
      </x:c>
      <x:c r="K557" s="82" t="n">
        <x:v>0</x:v>
      </x:c>
    </x:row>
    <x:row r="558">
      <x:c r="A558" s="76" t="n">
        <x:v>558</x:v>
      </x:c>
      <x:c r="B558" s="69" t="str">
        <x:v>7.96955</x:v>
      </x:c>
      <x:c r="C558" s="69" t="str">
        <x:v>-77.16071</x:v>
      </x:c>
      <x:c r="D558" s="78" t="n">
        <x:v>7.96955</x:v>
      </x:c>
      <x:c r="E558" s="78" t="n">
        <x:v>-77.16071</x:v>
      </x:c>
      <x:c r="F558" s="69" t="str">
        <x:v>Texto→número</x:v>
      </x:c>
      <x:c r="G558" s="69" t="str">
        <x:v>Texto→número</x:v>
      </x:c>
      <x:c r="H558" s="80" t="str">
        <x:v>OK</x:v>
      </x:c>
      <x:c r="I558" s="69" t="str"/>
      <x:c r="J558" s="69" t="str">
        <x:v>7.96955|-77.16071</x:v>
      </x:c>
      <x:c r="K558" s="82" t="n">
        <x:v>0</x:v>
      </x:c>
    </x:row>
    <x:row r="559">
      <x:c r="A559" s="76" t="n">
        <x:v>559</x:v>
      </x:c>
      <x:c r="B559" s="69" t="str">
        <x:v>6.02912</x:v>
      </x:c>
      <x:c r="C559" s="69" t="str">
        <x:v>-77.36486</x:v>
      </x:c>
      <x:c r="D559" s="78" t="n">
        <x:v>6.02912</x:v>
      </x:c>
      <x:c r="E559" s="78" t="n">
        <x:v>-77.36486</x:v>
      </x:c>
      <x:c r="F559" s="69" t="str">
        <x:v>Texto→número</x:v>
      </x:c>
      <x:c r="G559" s="69" t="str">
        <x:v>Texto→número</x:v>
      </x:c>
      <x:c r="H559" s="80" t="str">
        <x:v>OK</x:v>
      </x:c>
      <x:c r="I559" s="69" t="str"/>
      <x:c r="J559" s="69" t="str">
        <x:v>6.02912|-77.36486</x:v>
      </x:c>
      <x:c r="K559" s="82" t="n">
        <x:v>0</x:v>
      </x:c>
    </x:row>
    <x:row r="560">
      <x:c r="A560" s="76" t="n">
        <x:v>560</x:v>
      </x:c>
      <x:c r="B560" s="69" t="str">
        <x:v>4.8692722</x:v>
      </x:c>
      <x:c r="C560" s="69" t="str">
        <x:v>-76.2506472</x:v>
      </x:c>
      <x:c r="D560" s="78" t="n">
        <x:v>4.8692722</x:v>
      </x:c>
      <x:c r="E560" s="78" t="n">
        <x:v>-76.2506472</x:v>
      </x:c>
      <x:c r="F560" s="69" t="str">
        <x:v>Texto→número</x:v>
      </x:c>
      <x:c r="G560" s="69" t="str">
        <x:v>Texto→número</x:v>
      </x:c>
      <x:c r="H560" s="80" t="str">
        <x:v>OK</x:v>
      </x:c>
      <x:c r="I560" s="69" t="str"/>
      <x:c r="J560" s="69"/>
      <x:c r="K560" s="82" t="n">
        <x:v>1</x:v>
      </x:c>
    </x:row>
    <x:row r="561">
      <x:c r="A561" s="76" t="n">
        <x:v>561</x:v>
      </x:c>
      <x:c r="B561" s="69" t="str">
        <x:v>4.8692722</x:v>
      </x:c>
      <x:c r="C561" s="69" t="str">
        <x:v>-76.2506472</x:v>
      </x:c>
      <x:c r="D561" s="78" t="n">
        <x:v>4.8692722</x:v>
      </x:c>
      <x:c r="E561" s="78" t="n">
        <x:v>-76.2506472</x:v>
      </x:c>
      <x:c r="F561" s="69" t="str">
        <x:v>Texto→número</x:v>
      </x:c>
      <x:c r="G561" s="69" t="str">
        <x:v>Texto→número</x:v>
      </x:c>
      <x:c r="H561" s="80" t="str">
        <x:v>OK</x:v>
      </x:c>
      <x:c r="I561" s="69" t="str"/>
      <x:c r="J561" s="69"/>
      <x:c r="K561" s="82" t="n">
        <x:v>1</x:v>
      </x:c>
    </x:row>
    <x:row r="562">
      <x:c r="A562" s="76" t="n">
        <x:v>562</x:v>
      </x:c>
      <x:c r="B562" s="69" t="str">
        <x:v>4.8692722</x:v>
      </x:c>
      <x:c r="C562" s="69" t="str">
        <x:v>-76.2506472</x:v>
      </x:c>
      <x:c r="D562" s="78" t="n">
        <x:v>4.8692722</x:v>
      </x:c>
      <x:c r="E562" s="78" t="n">
        <x:v>-76.2506472</x:v>
      </x:c>
      <x:c r="F562" s="69" t="str">
        <x:v>Texto→número</x:v>
      </x:c>
      <x:c r="G562" s="69" t="str">
        <x:v>Texto→número</x:v>
      </x:c>
      <x:c r="H562" s="80" t="str">
        <x:v>OK</x:v>
      </x:c>
      <x:c r="I562" s="69" t="str"/>
      <x:c r="J562" s="69"/>
      <x:c r="K562" s="82" t="n">
        <x:v>1</x:v>
      </x:c>
    </x:row>
    <x:row r="563">
      <x:c r="A563" s="76" t="n">
        <x:v>563</x:v>
      </x:c>
      <x:c r="B563" s="69" t="str">
        <x:v>4.8692722</x:v>
      </x:c>
      <x:c r="C563" s="69" t="str">
        <x:v>-76.2506472</x:v>
      </x:c>
      <x:c r="D563" s="78" t="n">
        <x:v>4.8692722</x:v>
      </x:c>
      <x:c r="E563" s="78" t="n">
        <x:v>-76.2506472</x:v>
      </x:c>
      <x:c r="F563" s="69" t="str">
        <x:v>Texto→número</x:v>
      </x:c>
      <x:c r="G563" s="69" t="str">
        <x:v>Texto→número</x:v>
      </x:c>
      <x:c r="H563" s="80" t="str">
        <x:v>OK</x:v>
      </x:c>
      <x:c r="I563" s="69" t="str"/>
      <x:c r="J563" s="69"/>
      <x:c r="K563" s="82" t="n">
        <x:v>1</x:v>
      </x:c>
    </x:row>
    <x:row r="564">
      <x:c r="A564" s="76" t="n">
        <x:v>564</x:v>
      </x:c>
      <x:c r="B564" s="69" t="str">
        <x:v>5.2177806</x:v>
      </x:c>
      <x:c r="C564" s="69" t="str">
        <x:v>-76.6348667</x:v>
      </x:c>
      <x:c r="D564" s="78" t="n">
        <x:v>5.2177806</x:v>
      </x:c>
      <x:c r="E564" s="78" t="n">
        <x:v>-76.6348667</x:v>
      </x:c>
      <x:c r="F564" s="69" t="str">
        <x:v>Texto→número</x:v>
      </x:c>
      <x:c r="G564" s="69" t="str">
        <x:v>Texto→número</x:v>
      </x:c>
      <x:c r="H564" s="80" t="str">
        <x:v>OK</x:v>
      </x:c>
      <x:c r="I564" s="69" t="str"/>
      <x:c r="J564" s="69" t="str">
        <x:v>5.2177806|-76.6348667</x:v>
      </x:c>
      <x:c r="K564" s="82" t="n">
        <x:v>0</x:v>
      </x:c>
    </x:row>
    <x:row r="565">
      <x:c r="A565" s="76" t="n">
        <x:v>565</x:v>
      </x:c>
      <x:c r="B565" s="69" t="str">
        <x:v>5.42165</x:v>
      </x:c>
      <x:c r="C565" s="69" t="str">
        <x:v>-76.74507</x:v>
      </x:c>
      <x:c r="D565" s="78" t="n">
        <x:v>5.42165</x:v>
      </x:c>
      <x:c r="E565" s="78" t="n">
        <x:v>-76.74507</x:v>
      </x:c>
      <x:c r="F565" s="69" t="str">
        <x:v>Texto→número</x:v>
      </x:c>
      <x:c r="G565" s="69" t="str">
        <x:v>Texto→número</x:v>
      </x:c>
      <x:c r="H565" s="80" t="str">
        <x:v>OK</x:v>
      </x:c>
      <x:c r="I565" s="69" t="str"/>
      <x:c r="J565" s="69" t="str">
        <x:v>5.42165|-76.74507</x:v>
      </x:c>
      <x:c r="K565" s="82" t="n">
        <x:v>0</x:v>
      </x:c>
    </x:row>
    <x:row r="566">
      <x:c r="A566" s="76" t="n">
        <x:v>566</x:v>
      </x:c>
      <x:c r="B566" s="69" t="str">
        <x:v>1.9998611</x:v>
      </x:c>
      <x:c r="C566" s="69" t="str">
        <x:v>-76.2855028</x:v>
      </x:c>
      <x:c r="D566" s="78" t="n">
        <x:v>1.9998611</x:v>
      </x:c>
      <x:c r="E566" s="78" t="n">
        <x:v>-76.2855028</x:v>
      </x:c>
      <x:c r="F566" s="69" t="str">
        <x:v>Texto→número</x:v>
      </x:c>
      <x:c r="G566" s="69" t="str">
        <x:v>Texto→número</x:v>
      </x:c>
      <x:c r="H566" s="80" t="str">
        <x:v>OK</x:v>
      </x:c>
      <x:c r="I566" s="69" t="str"/>
      <x:c r="J566" s="69" t="str">
        <x:v>1.9998611|-76.2855028</x:v>
      </x:c>
      <x:c r="K566" s="82" t="n">
        <x:v>0</x:v>
      </x:c>
    </x:row>
    <x:row r="567">
      <x:c r="A567" s="76" t="n">
        <x:v>567</x:v>
      </x:c>
      <x:c r="B567" s="69" t="str">
        <x:v>1.25</x:v>
      </x:c>
      <x:c r="C567" s="69" t="str">
        <x:v>-78.1166667</x:v>
      </x:c>
      <x:c r="D567" s="78" t="n">
        <x:v>1.25</x:v>
      </x:c>
      <x:c r="E567" s="78" t="n">
        <x:v>-78.1166667</x:v>
      </x:c>
      <x:c r="F567" s="69" t="str">
        <x:v>Texto→número</x:v>
      </x:c>
      <x:c r="G567" s="69" t="str">
        <x:v>Texto→número</x:v>
      </x:c>
      <x:c r="H567" s="80" t="str">
        <x:v>OK</x:v>
      </x:c>
      <x:c r="I567" s="69" t="str"/>
      <x:c r="J567" s="69" t="str">
        <x:v>1.25|-78.1166667</x:v>
      </x:c>
      <x:c r="K567" s="82" t="n">
        <x:v>0</x:v>
      </x:c>
    </x:row>
    <x:row r="568">
      <x:c r="A568" s="76" t="n">
        <x:v>568</x:v>
      </x:c>
      <x:c r="B568" s="69" t="str">
        <x:v>1.7738</x:v>
      </x:c>
      <x:c r="C568" s="69" t="str">
        <x:v>-78.8333</x:v>
      </x:c>
      <x:c r="D568" s="78" t="n">
        <x:v>1.7738</x:v>
      </x:c>
      <x:c r="E568" s="78" t="n">
        <x:v>-78.8333</x:v>
      </x:c>
      <x:c r="F568" s="69" t="str">
        <x:v>Texto→número</x:v>
      </x:c>
      <x:c r="G568" s="69" t="str">
        <x:v>Texto→número</x:v>
      </x:c>
      <x:c r="H568" s="80" t="str">
        <x:v>OK</x:v>
      </x:c>
      <x:c r="I568" s="69" t="str"/>
      <x:c r="J568" s="69" t="str">
        <x:v>1.7738|-78.8333</x:v>
      </x:c>
      <x:c r="K568" s="82" t="n">
        <x:v>0</x:v>
      </x:c>
    </x:row>
    <x:row r="569">
      <x:c r="A569" s="76" t="n">
        <x:v>569</x:v>
      </x:c>
      <x:c r="B569" s="69" t="str">
        <x:v>1.7738</x:v>
      </x:c>
      <x:c r="C569" s="69" t="str">
        <x:v>-78.8333</x:v>
      </x:c>
      <x:c r="D569" s="78" t="n">
        <x:v>1.7738</x:v>
      </x:c>
      <x:c r="E569" s="78" t="n">
        <x:v>-78.8333</x:v>
      </x:c>
      <x:c r="F569" s="69" t="str">
        <x:v>Texto→número</x:v>
      </x:c>
      <x:c r="G569" s="69" t="str">
        <x:v>Texto→número</x:v>
      </x:c>
      <x:c r="H569" s="80" t="str">
        <x:v>OK</x:v>
      </x:c>
      <x:c r="I569" s="69" t="str"/>
      <x:c r="J569" s="69"/>
      <x:c r="K569" s="82" t="n">
        <x:v>1</x:v>
      </x:c>
    </x:row>
    <x:row r="570">
      <x:c r="A570" s="76" t="n">
        <x:v>570</x:v>
      </x:c>
      <x:c r="B570" s="69" t="str">
        <x:v>-0.49493</x:v>
      </x:c>
      <x:c r="C570" s="69" t="str">
        <x:v>-74.41941</x:v>
      </x:c>
      <x:c r="D570" s="78" t="n">
        <x:v>-0.49493</x:v>
      </x:c>
      <x:c r="E570" s="78" t="n">
        <x:v>-74.41941</x:v>
      </x:c>
      <x:c r="F570" s="69" t="str">
        <x:v>Texto→número</x:v>
      </x:c>
      <x:c r="G570" s="69" t="str">
        <x:v>Texto→número</x:v>
      </x:c>
      <x:c r="H570" s="80" t="str">
        <x:v>OK</x:v>
      </x:c>
      <x:c r="I570" s="69" t="str"/>
      <x:c r="J570" s="69" t="str">
        <x:v>-0.49493|-74.41941</x:v>
      </x:c>
      <x:c r="K570" s="82" t="n">
        <x:v>0</x:v>
      </x:c>
    </x:row>
    <x:row r="571">
      <x:c r="A571" s="76" t="n">
        <x:v>571</x:v>
      </x:c>
      <x:c r="B571" s="69" t="str">
        <x:v>0.65795</x:v>
      </x:c>
      <x:c r="C571" s="69" t="str">
        <x:v>-76.6929861</x:v>
      </x:c>
      <x:c r="D571" s="78" t="n">
        <x:v>0.65795</x:v>
      </x:c>
      <x:c r="E571" s="78" t="n">
        <x:v>-76.6929861</x:v>
      </x:c>
      <x:c r="F571" s="69" t="str">
        <x:v>Texto→número</x:v>
      </x:c>
      <x:c r="G571" s="69" t="str">
        <x:v>Texto→número</x:v>
      </x:c>
      <x:c r="H571" s="80" t="str">
        <x:v>OK</x:v>
      </x:c>
      <x:c r="I571" s="69" t="str"/>
      <x:c r="J571" s="69" t="str">
        <x:v>0.65795|-76.6929861</x:v>
      </x:c>
      <x:c r="K571" s="82" t="n">
        <x:v>0</x:v>
      </x:c>
    </x:row>
    <x:row r="572">
      <x:c r="A572" s="76" t="n">
        <x:v>572</x:v>
      </x:c>
      <x:c r="B572" s="69" t="str">
        <x:v>1.1666667</x:v>
      </x:c>
      <x:c r="C572" s="69" t="str">
        <x:v>-76.55</x:v>
      </x:c>
      <x:c r="D572" s="78" t="n">
        <x:v>1.1666667</x:v>
      </x:c>
      <x:c r="E572" s="78" t="n">
        <x:v>-76.55</x:v>
      </x:c>
      <x:c r="F572" s="69" t="str">
        <x:v>Texto→número</x:v>
      </x:c>
      <x:c r="G572" s="69" t="str">
        <x:v>Texto→número</x:v>
      </x:c>
      <x:c r="H572" s="80" t="str">
        <x:v>OK</x:v>
      </x:c>
      <x:c r="I572" s="69" t="str"/>
      <x:c r="J572" s="69" t="str">
        <x:v>1.1666667|-76.55</x:v>
      </x:c>
      <x:c r="K572" s="82" t="n">
        <x:v>0</x:v>
      </x:c>
    </x:row>
    <x:row r="573">
      <x:c r="A573" s="76" t="n">
        <x:v>573</x:v>
      </x:c>
      <x:c r="B573" s="69" t="str">
        <x:v>6.75739</x:v>
      </x:c>
      <x:c r="C573" s="69" t="str">
        <x:v>-74.1218</x:v>
      </x:c>
      <x:c r="D573" s="78" t="n">
        <x:v>6.75739</x:v>
      </x:c>
      <x:c r="E573" s="78" t="n">
        <x:v>-74.1218</x:v>
      </x:c>
      <x:c r="F573" s="69" t="str">
        <x:v>Texto→número</x:v>
      </x:c>
      <x:c r="G573" s="69" t="str">
        <x:v>Texto→número</x:v>
      </x:c>
      <x:c r="H573" s="80" t="str">
        <x:v>OK</x:v>
      </x:c>
      <x:c r="I573" s="69" t="str"/>
      <x:c r="J573" s="69" t="str">
        <x:v>6.75739|-74.1218</x:v>
      </x:c>
      <x:c r="K573" s="82" t="n">
        <x:v>0</x:v>
      </x:c>
    </x:row>
    <x:row r="574">
      <x:c r="A574" s="76" t="n">
        <x:v>574</x:v>
      </x:c>
      <x:c r="B574" s="69" t="str">
        <x:v>4.00206</x:v>
      </x:c>
      <x:c r="C574" s="69" t="str">
        <x:v>-76.97832</x:v>
      </x:c>
      <x:c r="D574" s="78" t="n">
        <x:v>4.00206</x:v>
      </x:c>
      <x:c r="E574" s="78" t="n">
        <x:v>-76.97832</x:v>
      </x:c>
      <x:c r="F574" s="69" t="str">
        <x:v>Texto→número</x:v>
      </x:c>
      <x:c r="G574" s="69" t="str">
        <x:v>Texto→número</x:v>
      </x:c>
      <x:c r="H574" s="80" t="str">
        <x:v>OK</x:v>
      </x:c>
      <x:c r="I574" s="69" t="str"/>
      <x:c r="J574" s="69" t="str">
        <x:v>4.00206|-76.97832</x:v>
      </x:c>
      <x:c r="K574" s="82" t="n">
        <x:v>0</x:v>
      </x:c>
    </x:row>
    <x:row r="575">
      <x:c r="A575" s="76" t="n">
        <x:v>575</x:v>
      </x:c>
      <x:c r="B575" s="69" t="str">
        <x:v>6.6288</x:v>
      </x:c>
      <x:c r="C575" s="69" t="str">
        <x:v>-75.68897</x:v>
      </x:c>
      <x:c r="D575" s="78" t="n">
        <x:v>6.6288</x:v>
      </x:c>
      <x:c r="E575" s="78" t="n">
        <x:v>-75.68897</x:v>
      </x:c>
      <x:c r="F575" s="69" t="str">
        <x:v>Texto→número</x:v>
      </x:c>
      <x:c r="G575" s="69" t="str">
        <x:v>Texto→número</x:v>
      </x:c>
      <x:c r="H575" s="80" t="str">
        <x:v>OK</x:v>
      </x:c>
      <x:c r="I575" s="69" t="str"/>
      <x:c r="J575" s="69" t="str">
        <x:v>6.6288|-75.68897</x:v>
      </x:c>
      <x:c r="K575" s="82" t="n">
        <x:v>0</x:v>
      </x:c>
    </x:row>
    <x:row r="576">
      <x:c r="A576" s="76" t="n">
        <x:v>576</x:v>
      </x:c>
      <x:c r="B576" s="69" t="str">
        <x:v>6.6288</x:v>
      </x:c>
      <x:c r="C576" s="69" t="str">
        <x:v>-75.68897</x:v>
      </x:c>
      <x:c r="D576" s="78" t="n">
        <x:v>6.6288</x:v>
      </x:c>
      <x:c r="E576" s="78" t="n">
        <x:v>-75.68897</x:v>
      </x:c>
      <x:c r="F576" s="69" t="str">
        <x:v>Texto→número</x:v>
      </x:c>
      <x:c r="G576" s="69" t="str">
        <x:v>Texto→número</x:v>
      </x:c>
      <x:c r="H576" s="80" t="str">
        <x:v>OK</x:v>
      </x:c>
      <x:c r="I576" s="69" t="str"/>
      <x:c r="J576" s="69"/>
      <x:c r="K576" s="82" t="n">
        <x:v>1</x:v>
      </x:c>
    </x:row>
    <x:row r="577">
      <x:c r="A577" s="76" t="n">
        <x:v>577</x:v>
      </x:c>
      <x:c r="B577" s="69" t="str">
        <x:v>6.33376</x:v>
      </x:c>
      <x:c r="C577" s="69" t="str">
        <x:v>-75.64393</x:v>
      </x:c>
      <x:c r="D577" s="78" t="n">
        <x:v>6.33376</x:v>
      </x:c>
      <x:c r="E577" s="78" t="n">
        <x:v>-75.64393</x:v>
      </x:c>
      <x:c r="F577" s="69" t="str">
        <x:v>Texto→número</x:v>
      </x:c>
      <x:c r="G577" s="69" t="str">
        <x:v>Texto→número</x:v>
      </x:c>
      <x:c r="H577" s="80" t="str">
        <x:v>OK</x:v>
      </x:c>
      <x:c r="I577" s="69" t="str"/>
      <x:c r="J577" s="69"/>
      <x:c r="K577" s="82" t="n">
        <x:v>1</x:v>
      </x:c>
    </x:row>
    <x:row r="578">
      <x:c r="A578" s="76" t="n">
        <x:v>578</x:v>
      </x:c>
      <x:c r="B578" s="69" t="str">
        <x:v>5.9280194</x:v>
      </x:c>
      <x:c r="C578" s="69" t="str">
        <x:v>-75.6717194</x:v>
      </x:c>
      <x:c r="D578" s="78" t="n">
        <x:v>5.9280194</x:v>
      </x:c>
      <x:c r="E578" s="78" t="n">
        <x:v>-75.6717194</x:v>
      </x:c>
      <x:c r="F578" s="69" t="str">
        <x:v>Texto→número</x:v>
      </x:c>
      <x:c r="G578" s="69" t="str">
        <x:v>Texto→número</x:v>
      </x:c>
      <x:c r="H578" s="80" t="str">
        <x:v>OK</x:v>
      </x:c>
      <x:c r="I578" s="69" t="str"/>
      <x:c r="J578" s="69" t="str">
        <x:v>5.9280194|-75.6717194</x:v>
      </x:c>
      <x:c r="K578" s="82" t="n">
        <x:v>0</x:v>
      </x:c>
    </x:row>
    <x:row r="579">
      <x:c r="A579" s="76" t="n">
        <x:v>579</x:v>
      </x:c>
      <x:c r="B579" s="69" t="str">
        <x:v>6.0572222</x:v>
      </x:c>
      <x:c r="C579" s="69" t="str">
        <x:v>-75.5025</x:v>
      </x:c>
      <x:c r="D579" s="78" t="n">
        <x:v>6.0572222</x:v>
      </x:c>
      <x:c r="E579" s="78" t="n">
        <x:v>-75.5025</x:v>
      </x:c>
      <x:c r="F579" s="69" t="str">
        <x:v>Texto→número</x:v>
      </x:c>
      <x:c r="G579" s="69" t="str">
        <x:v>Texto→número</x:v>
      </x:c>
      <x:c r="H579" s="80" t="str">
        <x:v>OK</x:v>
      </x:c>
      <x:c r="I579" s="69" t="str"/>
      <x:c r="J579" s="69" t="str">
        <x:v>6.0572222|-75.5025</x:v>
      </x:c>
      <x:c r="K579" s="82" t="n">
        <x:v>0</x:v>
      </x:c>
    </x:row>
    <x:row r="580">
      <x:c r="A580" s="76" t="n">
        <x:v>580</x:v>
      </x:c>
      <x:c r="B580" s="69" t="str">
        <x:v>6.3</x:v>
      </x:c>
      <x:c r="C580" s="69" t="str">
        <x:v>-75.6833333</x:v>
      </x:c>
      <x:c r="D580" s="78" t="n">
        <x:v>6.3</x:v>
      </x:c>
      <x:c r="E580" s="78" t="n">
        <x:v>-75.6833333</x:v>
      </x:c>
      <x:c r="F580" s="69" t="str">
        <x:v>Texto→número</x:v>
      </x:c>
      <x:c r="G580" s="69" t="str">
        <x:v>Texto→número</x:v>
      </x:c>
      <x:c r="H580" s="80" t="str">
        <x:v>OK</x:v>
      </x:c>
      <x:c r="I580" s="69" t="str"/>
      <x:c r="J580" s="69" t="str">
        <x:v>6.3|-75.6833333</x:v>
      </x:c>
      <x:c r="K580" s="82" t="n">
        <x:v>0</x:v>
      </x:c>
    </x:row>
    <x:row r="581">
      <x:c r="A581" s="76" t="n">
        <x:v>581</x:v>
      </x:c>
      <x:c r="B581" s="69" t="str">
        <x:v>6.33435</x:v>
      </x:c>
      <x:c r="C581" s="69" t="str">
        <x:v>-75.65691</x:v>
      </x:c>
      <x:c r="D581" s="78" t="n">
        <x:v>6.33435</x:v>
      </x:c>
      <x:c r="E581" s="78" t="n">
        <x:v>-75.65691</x:v>
      </x:c>
      <x:c r="F581" s="69" t="str">
        <x:v>Texto→número</x:v>
      </x:c>
      <x:c r="G581" s="69" t="str">
        <x:v>Texto→número</x:v>
      </x:c>
      <x:c r="H581" s="80" t="str">
        <x:v>OK</x:v>
      </x:c>
      <x:c r="I581" s="69" t="str"/>
      <x:c r="J581" s="69" t="str">
        <x:v>6.33435|-75.65691</x:v>
      </x:c>
      <x:c r="K581" s="82" t="n">
        <x:v>0</x:v>
      </x:c>
    </x:row>
    <x:row r="582">
      <x:c r="A582" s="76" t="n">
        <x:v>582</x:v>
      </x:c>
      <x:c r="B582" s="69" t="str">
        <x:v>6.9616833</x:v>
      </x:c>
      <x:c r="C582" s="69" t="str">
        <x:v>-75.426825</x:v>
      </x:c>
      <x:c r="D582" s="78" t="n">
        <x:v>6.9616833</x:v>
      </x:c>
      <x:c r="E582" s="78" t="n">
        <x:v>-75.426825</x:v>
      </x:c>
      <x:c r="F582" s="69" t="str">
        <x:v>Texto→número</x:v>
      </x:c>
      <x:c r="G582" s="69" t="str">
        <x:v>Texto→número</x:v>
      </x:c>
      <x:c r="H582" s="80" t="str">
        <x:v>OK</x:v>
      </x:c>
      <x:c r="I582" s="69" t="str"/>
      <x:c r="J582" s="69" t="str">
        <x:v>6.9616833|-75.426825</x:v>
      </x:c>
      <x:c r="K582" s="82" t="n">
        <x:v>0</x:v>
      </x:c>
    </x:row>
    <x:row r="583">
      <x:c r="A583" s="76" t="n">
        <x:v>583</x:v>
      </x:c>
      <x:c r="B583" s="69" t="str">
        <x:v>6.9616833</x:v>
      </x:c>
      <x:c r="C583" s="69" t="str">
        <x:v>-75.426825</x:v>
      </x:c>
      <x:c r="D583" s="78" t="n">
        <x:v>6.9616833</x:v>
      </x:c>
      <x:c r="E583" s="78" t="n">
        <x:v>-75.426825</x:v>
      </x:c>
      <x:c r="F583" s="69" t="str">
        <x:v>Texto→número</x:v>
      </x:c>
      <x:c r="G583" s="69" t="str">
        <x:v>Texto→número</x:v>
      </x:c>
      <x:c r="H583" s="80" t="str">
        <x:v>OK</x:v>
      </x:c>
      <x:c r="I583" s="69" t="str"/>
      <x:c r="J583" s="69"/>
      <x:c r="K583" s="82" t="n">
        <x:v>1</x:v>
      </x:c>
    </x:row>
    <x:row r="584">
      <x:c r="A584" s="76" t="n">
        <x:v>584</x:v>
      </x:c>
      <x:c r="B584" s="69" t="str">
        <x:v>6.9616833</x:v>
      </x:c>
      <x:c r="C584" s="69" t="str">
        <x:v>-75.426825</x:v>
      </x:c>
      <x:c r="D584" s="78" t="n">
        <x:v>6.9616833</x:v>
      </x:c>
      <x:c r="E584" s="78" t="n">
        <x:v>-75.426825</x:v>
      </x:c>
      <x:c r="F584" s="69" t="str">
        <x:v>Texto→número</x:v>
      </x:c>
      <x:c r="G584" s="69" t="str">
        <x:v>Texto→número</x:v>
      </x:c>
      <x:c r="H584" s="80" t="str">
        <x:v>OK</x:v>
      </x:c>
      <x:c r="I584" s="69" t="str"/>
      <x:c r="J584" s="69"/>
      <x:c r="K584" s="82" t="n">
        <x:v>1</x:v>
      </x:c>
    </x:row>
    <x:row r="585">
      <x:c r="A585" s="76" t="n">
        <x:v>585</x:v>
      </x:c>
      <x:c r="B585" s="69" t="str">
        <x:v>6.2833333</x:v>
      </x:c>
      <x:c r="C585" s="69" t="str">
        <x:v>-75.6333333</x:v>
      </x:c>
      <x:c r="D585" s="78" t="n">
        <x:v>6.2833333</x:v>
      </x:c>
      <x:c r="E585" s="78" t="n">
        <x:v>-75.6333333</x:v>
      </x:c>
      <x:c r="F585" s="69" t="str">
        <x:v>Texto→número</x:v>
      </x:c>
      <x:c r="G585" s="69" t="str">
        <x:v>Texto→número</x:v>
      </x:c>
      <x:c r="H585" s="80" t="str">
        <x:v>OK</x:v>
      </x:c>
      <x:c r="I585" s="69" t="str"/>
      <x:c r="J585" s="69" t="str">
        <x:v>6.2833333|-75.6333333</x:v>
      </x:c>
      <x:c r="K585" s="82" t="n">
        <x:v>0</x:v>
      </x:c>
    </x:row>
    <x:row r="586">
      <x:c r="A586" s="76" t="n">
        <x:v>586</x:v>
      </x:c>
      <x:c r="B586" s="69" t="str">
        <x:v>6.2800111</x:v>
      </x:c>
      <x:c r="C586" s="69" t="str">
        <x:v>-75.4427333</x:v>
      </x:c>
      <x:c r="D586" s="78" t="n">
        <x:v>6.2800111</x:v>
      </x:c>
      <x:c r="E586" s="78" t="n">
        <x:v>-75.4427333</x:v>
      </x:c>
      <x:c r="F586" s="69" t="str">
        <x:v>Texto→número</x:v>
      </x:c>
      <x:c r="G586" s="69" t="str">
        <x:v>Texto→número</x:v>
      </x:c>
      <x:c r="H586" s="80" t="str">
        <x:v>OK</x:v>
      </x:c>
      <x:c r="I586" s="69" t="str"/>
      <x:c r="J586" s="69" t="str">
        <x:v>6.2800111|-75.4427333</x:v>
      </x:c>
      <x:c r="K586" s="82" t="n">
        <x:v>0</x:v>
      </x:c>
    </x:row>
    <x:row r="587">
      <x:c r="A587" s="76" t="n">
        <x:v>587</x:v>
      </x:c>
      <x:c r="B587" s="69" t="str">
        <x:v>6.2800111</x:v>
      </x:c>
      <x:c r="C587" s="69" t="str">
        <x:v>-75.4427333</x:v>
      </x:c>
      <x:c r="D587" s="78" t="n">
        <x:v>6.2800111</x:v>
      </x:c>
      <x:c r="E587" s="78" t="n">
        <x:v>-75.4427333</x:v>
      </x:c>
      <x:c r="F587" s="69" t="str">
        <x:v>Texto→número</x:v>
      </x:c>
      <x:c r="G587" s="69" t="str">
        <x:v>Texto→número</x:v>
      </x:c>
      <x:c r="H587" s="80" t="str">
        <x:v>OK</x:v>
      </x:c>
      <x:c r="I587" s="69" t="str"/>
      <x:c r="J587" s="69"/>
      <x:c r="K587" s="82" t="n">
        <x:v>1</x:v>
      </x:c>
    </x:row>
    <x:row r="588">
      <x:c r="A588" s="76" t="n">
        <x:v>588</x:v>
      </x:c>
      <x:c r="B588" s="69" t="str">
        <x:v>6.09</x:v>
      </x:c>
      <x:c r="C588" s="69" t="str">
        <x:v>-75.638</x:v>
      </x:c>
      <x:c r="D588" s="78" t="n">
        <x:v>6.09</x:v>
      </x:c>
      <x:c r="E588" s="78" t="n">
        <x:v>-75.638</x:v>
      </x:c>
      <x:c r="F588" s="69" t="str">
        <x:v>Texto→número</x:v>
      </x:c>
      <x:c r="G588" s="69" t="str">
        <x:v>Texto→número</x:v>
      </x:c>
      <x:c r="H588" s="80" t="str">
        <x:v>OK</x:v>
      </x:c>
      <x:c r="I588" s="69" t="str"/>
      <x:c r="J588" s="69" t="str">
        <x:v>6.09|-75.638</x:v>
      </x:c>
      <x:c r="K588" s="82" t="n">
        <x:v>0</x:v>
      </x:c>
    </x:row>
    <x:row r="589">
      <x:c r="A589" s="76" t="n">
        <x:v>589</x:v>
      </x:c>
      <x:c r="B589" s="69" t="str">
        <x:v>6.09</x:v>
      </x:c>
      <x:c r="C589" s="69" t="str">
        <x:v>-75.638</x:v>
      </x:c>
      <x:c r="D589" s="78" t="n">
        <x:v>6.09</x:v>
      </x:c>
      <x:c r="E589" s="78" t="n">
        <x:v>-75.638</x:v>
      </x:c>
      <x:c r="F589" s="69" t="str">
        <x:v>Texto→número</x:v>
      </x:c>
      <x:c r="G589" s="69" t="str">
        <x:v>Texto→número</x:v>
      </x:c>
      <x:c r="H589" s="80" t="str">
        <x:v>OK</x:v>
      </x:c>
      <x:c r="I589" s="69" t="str"/>
      <x:c r="J589" s="69"/>
      <x:c r="K589" s="82" t="n">
        <x:v>1</x:v>
      </x:c>
    </x:row>
    <x:row r="590">
      <x:c r="A590" s="76" t="n">
        <x:v>590</x:v>
      </x:c>
      <x:c r="B590" s="69" t="str">
        <x:v>6.09</x:v>
      </x:c>
      <x:c r="C590" s="69" t="str">
        <x:v>-75.638</x:v>
      </x:c>
      <x:c r="D590" s="78" t="n">
        <x:v>6.09</x:v>
      </x:c>
      <x:c r="E590" s="78" t="n">
        <x:v>-75.638</x:v>
      </x:c>
      <x:c r="F590" s="69" t="str">
        <x:v>Texto→número</x:v>
      </x:c>
      <x:c r="G590" s="69" t="str">
        <x:v>Texto→número</x:v>
      </x:c>
      <x:c r="H590" s="80" t="str">
        <x:v>OK</x:v>
      </x:c>
      <x:c r="I590" s="69" t="str"/>
      <x:c r="J590" s="69"/>
      <x:c r="K590" s="82" t="n">
        <x:v>1</x:v>
      </x:c>
    </x:row>
    <x:row r="591">
      <x:c r="A591" s="76" t="n">
        <x:v>591</x:v>
      </x:c>
      <x:c r="B591" s="69" t="str">
        <x:v>6.09</x:v>
      </x:c>
      <x:c r="C591" s="69" t="str">
        <x:v>-75.638</x:v>
      </x:c>
      <x:c r="D591" s="78" t="n">
        <x:v>6.09</x:v>
      </x:c>
      <x:c r="E591" s="78" t="n">
        <x:v>-75.638</x:v>
      </x:c>
      <x:c r="F591" s="69" t="str">
        <x:v>Texto→número</x:v>
      </x:c>
      <x:c r="G591" s="69" t="str">
        <x:v>Texto→número</x:v>
      </x:c>
      <x:c r="H591" s="80" t="str">
        <x:v>OK</x:v>
      </x:c>
      <x:c r="I591" s="69" t="str"/>
      <x:c r="J591" s="69"/>
      <x:c r="K591" s="82" t="n">
        <x:v>1</x:v>
      </x:c>
    </x:row>
    <x:row r="592">
      <x:c r="A592" s="76" t="n">
        <x:v>592</x:v>
      </x:c>
      <x:c r="B592" s="69" t="str">
        <x:v>6.09</x:v>
      </x:c>
      <x:c r="C592" s="69" t="str">
        <x:v>-75.638</x:v>
      </x:c>
      <x:c r="D592" s="78" t="n">
        <x:v>6.09</x:v>
      </x:c>
      <x:c r="E592" s="78" t="n">
        <x:v>-75.638</x:v>
      </x:c>
      <x:c r="F592" s="69" t="str">
        <x:v>Texto→número</x:v>
      </x:c>
      <x:c r="G592" s="69" t="str">
        <x:v>Texto→número</x:v>
      </x:c>
      <x:c r="H592" s="80" t="str">
        <x:v>OK</x:v>
      </x:c>
      <x:c r="I592" s="69" t="str"/>
      <x:c r="J592" s="69"/>
      <x:c r="K592" s="82" t="n">
        <x:v>1</x:v>
      </x:c>
    </x:row>
    <x:row r="593">
      <x:c r="A593" s="76" t="n">
        <x:v>593</x:v>
      </x:c>
      <x:c r="B593" s="69" t="str">
        <x:v>6.09</x:v>
      </x:c>
      <x:c r="C593" s="69" t="str">
        <x:v>-75.638</x:v>
      </x:c>
      <x:c r="D593" s="78" t="n">
        <x:v>6.09</x:v>
      </x:c>
      <x:c r="E593" s="78" t="n">
        <x:v>-75.638</x:v>
      </x:c>
      <x:c r="F593" s="69" t="str">
        <x:v>Texto→número</x:v>
      </x:c>
      <x:c r="G593" s="69" t="str">
        <x:v>Texto→número</x:v>
      </x:c>
      <x:c r="H593" s="80" t="str">
        <x:v>OK</x:v>
      </x:c>
      <x:c r="I593" s="69" t="str"/>
      <x:c r="J593" s="69"/>
      <x:c r="K593" s="82" t="n">
        <x:v>1</x:v>
      </x:c>
    </x:row>
    <x:row r="594">
      <x:c r="A594" s="76" t="n">
        <x:v>594</x:v>
      </x:c>
      <x:c r="B594" s="69" t="str">
        <x:v>6.09</x:v>
      </x:c>
      <x:c r="C594" s="69" t="str">
        <x:v>-75.638</x:v>
      </x:c>
      <x:c r="D594" s="78" t="n">
        <x:v>6.09</x:v>
      </x:c>
      <x:c r="E594" s="78" t="n">
        <x:v>-75.638</x:v>
      </x:c>
      <x:c r="F594" s="69" t="str">
        <x:v>Texto→número</x:v>
      </x:c>
      <x:c r="G594" s="69" t="str">
        <x:v>Texto→número</x:v>
      </x:c>
      <x:c r="H594" s="80" t="str">
        <x:v>OK</x:v>
      </x:c>
      <x:c r="I594" s="69" t="str"/>
      <x:c r="J594" s="69"/>
      <x:c r="K594" s="82" t="n">
        <x:v>1</x:v>
      </x:c>
    </x:row>
    <x:row r="595">
      <x:c r="A595" s="76" t="n">
        <x:v>595</x:v>
      </x:c>
      <x:c r="B595" s="69" t="str">
        <x:v>6.9616833</x:v>
      </x:c>
      <x:c r="C595" s="69" t="str">
        <x:v>-75.426825</x:v>
      </x:c>
      <x:c r="D595" s="78" t="n">
        <x:v>6.9616833</x:v>
      </x:c>
      <x:c r="E595" s="78" t="n">
        <x:v>-75.426825</x:v>
      </x:c>
      <x:c r="F595" s="69" t="str">
        <x:v>Texto→número</x:v>
      </x:c>
      <x:c r="G595" s="69" t="str">
        <x:v>Texto→número</x:v>
      </x:c>
      <x:c r="H595" s="80" t="str">
        <x:v>OK</x:v>
      </x:c>
      <x:c r="I595" s="69" t="str"/>
      <x:c r="J595" s="69"/>
      <x:c r="K595" s="82" t="n">
        <x:v>1</x:v>
      </x:c>
    </x:row>
    <x:row r="596">
      <x:c r="A596" s="76" t="n">
        <x:v>596</x:v>
      </x:c>
      <x:c r="B596" s="69" t="str">
        <x:v>6.9616833</x:v>
      </x:c>
      <x:c r="C596" s="69" t="str">
        <x:v>-75.426825</x:v>
      </x:c>
      <x:c r="D596" s="78" t="n">
        <x:v>6.9616833</x:v>
      </x:c>
      <x:c r="E596" s="78" t="n">
        <x:v>-75.426825</x:v>
      </x:c>
      <x:c r="F596" s="69" t="str">
        <x:v>Texto→número</x:v>
      </x:c>
      <x:c r="G596" s="69" t="str">
        <x:v>Texto→número</x:v>
      </x:c>
      <x:c r="H596" s="80" t="str">
        <x:v>OK</x:v>
      </x:c>
      <x:c r="I596" s="69" t="str"/>
      <x:c r="J596" s="69"/>
      <x:c r="K596" s="82" t="n">
        <x:v>1</x:v>
      </x:c>
    </x:row>
    <x:row r="597">
      <x:c r="A597" s="76" t="n">
        <x:v>597</x:v>
      </x:c>
      <x:c r="B597" s="69" t="str">
        <x:v>6.95</x:v>
      </x:c>
      <x:c r="C597" s="69" t="str">
        <x:v>-75.4666667</x:v>
      </x:c>
      <x:c r="D597" s="78" t="n">
        <x:v>6.95</x:v>
      </x:c>
      <x:c r="E597" s="78" t="n">
        <x:v>-75.4666667</x:v>
      </x:c>
      <x:c r="F597" s="69" t="str">
        <x:v>Texto→número</x:v>
      </x:c>
      <x:c r="G597" s="69" t="str">
        <x:v>Texto→número</x:v>
      </x:c>
      <x:c r="H597" s="80" t="str">
        <x:v>OK</x:v>
      </x:c>
      <x:c r="I597" s="69" t="str"/>
      <x:c r="J597" s="69" t="str">
        <x:v>6.95|-75.4666667</x:v>
      </x:c>
      <x:c r="K597" s="82" t="n">
        <x:v>0</x:v>
      </x:c>
    </x:row>
    <x:row r="598">
      <x:c r="A598" s="76" t="n">
        <x:v>598</x:v>
      </x:c>
      <x:c r="B598" s="69" t="str">
        <x:v>6.3</x:v>
      </x:c>
      <x:c r="C598" s="69" t="str">
        <x:v>-75.6833333</x:v>
      </x:c>
      <x:c r="D598" s="78" t="n">
        <x:v>6.3</x:v>
      </x:c>
      <x:c r="E598" s="78" t="n">
        <x:v>-75.6833333</x:v>
      </x:c>
      <x:c r="F598" s="69" t="str">
        <x:v>Texto→número</x:v>
      </x:c>
      <x:c r="G598" s="69" t="str">
        <x:v>Texto→número</x:v>
      </x:c>
      <x:c r="H598" s="80" t="str">
        <x:v>OK</x:v>
      </x:c>
      <x:c r="I598" s="69" t="str"/>
      <x:c r="J598" s="69"/>
      <x:c r="K598" s="82" t="n">
        <x:v>1</x:v>
      </x:c>
    </x:row>
    <x:row r="599">
      <x:c r="A599" s="76" t="n">
        <x:v>599</x:v>
      </x:c>
      <x:c r="B599" s="69" t="str">
        <x:v>6.3</x:v>
      </x:c>
      <x:c r="C599" s="69" t="str">
        <x:v>-75.6833333</x:v>
      </x:c>
      <x:c r="D599" s="78" t="n">
        <x:v>6.3</x:v>
      </x:c>
      <x:c r="E599" s="78" t="n">
        <x:v>-75.6833333</x:v>
      </x:c>
      <x:c r="F599" s="69" t="str">
        <x:v>Texto→número</x:v>
      </x:c>
      <x:c r="G599" s="69" t="str">
        <x:v>Texto→número</x:v>
      </x:c>
      <x:c r="H599" s="80" t="str">
        <x:v>OK</x:v>
      </x:c>
      <x:c r="I599" s="69" t="str"/>
      <x:c r="J599" s="69"/>
      <x:c r="K599" s="82" t="n">
        <x:v>1</x:v>
      </x:c>
    </x:row>
    <x:row r="600">
      <x:c r="A600" s="76" t="n">
        <x:v>600</x:v>
      </x:c>
      <x:c r="B600" s="69" t="str">
        <x:v>5.9736111</x:v>
      </x:c>
      <x:c r="C600" s="69" t="str">
        <x:v>-75.3613833</x:v>
      </x:c>
      <x:c r="D600" s="78" t="n">
        <x:v>5.9736111</x:v>
      </x:c>
      <x:c r="E600" s="78" t="n">
        <x:v>-75.3613833</x:v>
      </x:c>
      <x:c r="F600" s="69" t="str">
        <x:v>Texto→número</x:v>
      </x:c>
      <x:c r="G600" s="69" t="str">
        <x:v>Texto→número</x:v>
      </x:c>
      <x:c r="H600" s="80" t="str">
        <x:v>OK</x:v>
      </x:c>
      <x:c r="I600" s="69" t="str"/>
      <x:c r="J600" s="69" t="str">
        <x:v>5.9736111|-75.3613833</x:v>
      </x:c>
      <x:c r="K600" s="82" t="n">
        <x:v>0</x:v>
      </x:c>
    </x:row>
    <x:row r="601">
      <x:c r="A601" s="76" t="n">
        <x:v>601</x:v>
      </x:c>
      <x:c r="B601" s="69" t="str">
        <x:v>6.2801111</x:v>
      </x:c>
      <x:c r="C601" s="69" t="str">
        <x:v>-75.4427333</x:v>
      </x:c>
      <x:c r="D601" s="78" t="n">
        <x:v>6.2801111</x:v>
      </x:c>
      <x:c r="E601" s="78" t="n">
        <x:v>-75.4427333</x:v>
      </x:c>
      <x:c r="F601" s="69" t="str">
        <x:v>Texto→número</x:v>
      </x:c>
      <x:c r="G601" s="69" t="str">
        <x:v>Texto→número</x:v>
      </x:c>
      <x:c r="H601" s="80" t="str">
        <x:v>OK</x:v>
      </x:c>
      <x:c r="I601" s="69" t="str"/>
      <x:c r="J601" s="69" t="str">
        <x:v>6.2801111|-75.4427333</x:v>
      </x:c>
      <x:c r="K601" s="82" t="n">
        <x:v>0</x:v>
      </x:c>
    </x:row>
    <x:row r="602">
      <x:c r="A602" s="76" t="n">
        <x:v>602</x:v>
      </x:c>
      <x:c r="B602" s="69" t="str">
        <x:v>6.25</x:v>
      </x:c>
      <x:c r="C602" s="69" t="str">
        <x:v>-75.5833333</x:v>
      </x:c>
      <x:c r="D602" s="78" t="n">
        <x:v>6.25</x:v>
      </x:c>
      <x:c r="E602" s="78" t="n">
        <x:v>-75.5833333</x:v>
      </x:c>
      <x:c r="F602" s="69" t="str">
        <x:v>Texto→número</x:v>
      </x:c>
      <x:c r="G602" s="69" t="str">
        <x:v>Texto→número</x:v>
      </x:c>
      <x:c r="H602" s="80" t="str">
        <x:v>OK</x:v>
      </x:c>
      <x:c r="I602" s="69" t="str"/>
      <x:c r="J602" s="69"/>
      <x:c r="K602" s="82" t="n">
        <x:v>1</x:v>
      </x:c>
    </x:row>
    <x:row r="603">
      <x:c r="A603" s="76" t="n">
        <x:v>603</x:v>
      </x:c>
      <x:c r="B603" s="69" t="str">
        <x:v>5.5</x:v>
      </x:c>
      <x:c r="C603" s="69" t="str">
        <x:v>-75.8333333</x:v>
      </x:c>
      <x:c r="D603" s="78" t="n">
        <x:v>5.5</x:v>
      </x:c>
      <x:c r="E603" s="78" t="n">
        <x:v>-75.8333333</x:v>
      </x:c>
      <x:c r="F603" s="69" t="str">
        <x:v>Texto→número</x:v>
      </x:c>
      <x:c r="G603" s="69" t="str">
        <x:v>Texto→número</x:v>
      </x:c>
      <x:c r="H603" s="80" t="str">
        <x:v>OK</x:v>
      </x:c>
      <x:c r="I603" s="69" t="str"/>
      <x:c r="J603" s="69"/>
      <x:c r="K603" s="82" t="n">
        <x:v>1</x:v>
      </x:c>
    </x:row>
    <x:row r="604">
      <x:c r="A604" s="76" t="n">
        <x:v>604</x:v>
      </x:c>
      <x:c r="B604" s="69" t="str">
        <x:v>5.6833333</x:v>
      </x:c>
      <x:c r="C604" s="69" t="str">
        <x:v>-75.2333333</x:v>
      </x:c>
      <x:c r="D604" s="78" t="n">
        <x:v>5.6833333</x:v>
      </x:c>
      <x:c r="E604" s="78" t="n">
        <x:v>-75.2333333</x:v>
      </x:c>
      <x:c r="F604" s="69" t="str">
        <x:v>Texto→número</x:v>
      </x:c>
      <x:c r="G604" s="69" t="str">
        <x:v>Texto→número</x:v>
      </x:c>
      <x:c r="H604" s="80" t="str">
        <x:v>OK</x:v>
      </x:c>
      <x:c r="I604" s="69" t="str"/>
      <x:c r="J604" s="69"/>
      <x:c r="K604" s="82" t="n">
        <x:v>1</x:v>
      </x:c>
    </x:row>
    <x:row r="605">
      <x:c r="A605" s="76" t="n">
        <x:v>605</x:v>
      </x:c>
      <x:c r="B605" s="69" t="str">
        <x:v>5.6833333</x:v>
      </x:c>
      <x:c r="C605" s="69" t="str">
        <x:v>-75.35</x:v>
      </x:c>
      <x:c r="D605" s="78" t="n">
        <x:v>5.6833333</x:v>
      </x:c>
      <x:c r="E605" s="78" t="n">
        <x:v>-75.35</x:v>
      </x:c>
      <x:c r="F605" s="69" t="str">
        <x:v>Texto→número</x:v>
      </x:c>
      <x:c r="G605" s="69" t="str">
        <x:v>Texto→número</x:v>
      </x:c>
      <x:c r="H605" s="80" t="str">
        <x:v>OK</x:v>
      </x:c>
      <x:c r="I605" s="69" t="str"/>
      <x:c r="J605" s="69" t="str">
        <x:v>5.6833333|-75.35</x:v>
      </x:c>
      <x:c r="K605" s="82" t="n">
        <x:v>0</x:v>
      </x:c>
    </x:row>
    <x:row r="606">
      <x:c r="A606" s="76" t="n">
        <x:v>606</x:v>
      </x:c>
      <x:c r="B606" s="69" t="str">
        <x:v>6.75</x:v>
      </x:c>
      <x:c r="C606" s="69" t="str">
        <x:v>-76.3833333</x:v>
      </x:c>
      <x:c r="D606" s="78" t="n">
        <x:v>6.75</x:v>
      </x:c>
      <x:c r="E606" s="78" t="n">
        <x:v>-76.3833333</x:v>
      </x:c>
      <x:c r="F606" s="69" t="str">
        <x:v>Texto→número</x:v>
      </x:c>
      <x:c r="G606" s="69" t="str">
        <x:v>Texto→número</x:v>
      </x:c>
      <x:c r="H606" s="80" t="str">
        <x:v>OK</x:v>
      </x:c>
      <x:c r="I606" s="69" t="str"/>
      <x:c r="J606" s="69" t="str">
        <x:v>6.75|-76.3833333</x:v>
      </x:c>
      <x:c r="K606" s="82" t="n">
        <x:v>0</x:v>
      </x:c>
    </x:row>
    <x:row r="607">
      <x:c r="A607" s="76" t="n">
        <x:v>607</x:v>
      </x:c>
      <x:c r="B607" s="69" t="str">
        <x:v>7.1136111</x:v>
      </x:c>
      <x:c r="C607" s="69" t="str">
        <x:v>-75.55</x:v>
      </x:c>
      <x:c r="D607" s="78" t="n">
        <x:v>7.1136111</x:v>
      </x:c>
      <x:c r="E607" s="78" t="n">
        <x:v>-75.55</x:v>
      </x:c>
      <x:c r="F607" s="69" t="str">
        <x:v>Texto→número</x:v>
      </x:c>
      <x:c r="G607" s="69" t="str">
        <x:v>Texto→número</x:v>
      </x:c>
      <x:c r="H607" s="80" t="str">
        <x:v>OK</x:v>
      </x:c>
      <x:c r="I607" s="69" t="str"/>
      <x:c r="J607" s="69" t="str">
        <x:v>7.1136111|-75.55</x:v>
      </x:c>
      <x:c r="K607" s="82" t="n">
        <x:v>0</x:v>
      </x:c>
    </x:row>
    <x:row r="608">
      <x:c r="A608" s="76" t="n">
        <x:v>608</x:v>
      </x:c>
      <x:c r="B608" s="69" t="str">
        <x:v>7.1164</x:v>
      </x:c>
      <x:c r="C608" s="69" t="str">
        <x:v>-75.41691</x:v>
      </x:c>
      <x:c r="D608" s="78" t="n">
        <x:v>7.1164</x:v>
      </x:c>
      <x:c r="E608" s="78" t="n">
        <x:v>-75.41691</x:v>
      </x:c>
      <x:c r="F608" s="69" t="str">
        <x:v>Texto→número</x:v>
      </x:c>
      <x:c r="G608" s="69" t="str">
        <x:v>Texto→número</x:v>
      </x:c>
      <x:c r="H608" s="80" t="str">
        <x:v>OK</x:v>
      </x:c>
      <x:c r="I608" s="69" t="str"/>
      <x:c r="J608" s="69" t="str">
        <x:v>7.1164|-75.41691</x:v>
      </x:c>
      <x:c r="K608" s="82" t="n">
        <x:v>0</x:v>
      </x:c>
    </x:row>
    <x:row r="609">
      <x:c r="A609" s="76" t="n">
        <x:v>609</x:v>
      </x:c>
      <x:c r="B609" s="69" t="str">
        <x:v>7.0333333</x:v>
      </x:c>
      <x:c r="C609" s="69" t="str">
        <x:v>-75.4</x:v>
      </x:c>
      <x:c r="D609" s="78" t="n">
        <x:v>7.0333333</x:v>
      </x:c>
      <x:c r="E609" s="78" t="n">
        <x:v>-75.4</x:v>
      </x:c>
      <x:c r="F609" s="69" t="str">
        <x:v>Texto→número</x:v>
      </x:c>
      <x:c r="G609" s="69" t="str">
        <x:v>Texto→número</x:v>
      </x:c>
      <x:c r="H609" s="80" t="str">
        <x:v>OK</x:v>
      </x:c>
      <x:c r="I609" s="69" t="str"/>
      <x:c r="J609" s="69" t="str">
        <x:v>7.0333333|-75.4</x:v>
      </x:c>
      <x:c r="K609" s="82" t="n">
        <x:v>0</x:v>
      </x:c>
    </x:row>
    <x:row r="610">
      <x:c r="A610" s="76" t="n">
        <x:v>610</x:v>
      </x:c>
      <x:c r="B610" s="69" t="str">
        <x:v>5.7097222</x:v>
      </x:c>
      <x:c r="C610" s="69" t="str">
        <x:v>-75.3108333</x:v>
      </x:c>
      <x:c r="D610" s="78" t="n">
        <x:v>5.7097222</x:v>
      </x:c>
      <x:c r="E610" s="78" t="n">
        <x:v>-75.3108333</x:v>
      </x:c>
      <x:c r="F610" s="69" t="str">
        <x:v>Texto→número</x:v>
      </x:c>
      <x:c r="G610" s="69" t="str">
        <x:v>Texto→número</x:v>
      </x:c>
      <x:c r="H610" s="80" t="str">
        <x:v>OK</x:v>
      </x:c>
      <x:c r="I610" s="69" t="str"/>
      <x:c r="J610" s="69" t="str">
        <x:v>5.7097222|-75.3108333</x:v>
      </x:c>
      <x:c r="K610" s="82" t="n">
        <x:v>0</x:v>
      </x:c>
    </x:row>
    <x:row r="611">
      <x:c r="A611" s="76" t="n">
        <x:v>611</x:v>
      </x:c>
      <x:c r="B611" s="69" t="str">
        <x:v>6.3</x:v>
      </x:c>
      <x:c r="C611" s="69" t="str">
        <x:v>-75.6833333</x:v>
      </x:c>
      <x:c r="D611" s="78" t="n">
        <x:v>6.3</x:v>
      </x:c>
      <x:c r="E611" s="78" t="n">
        <x:v>-75.6833333</x:v>
      </x:c>
      <x:c r="F611" s="69" t="str">
        <x:v>Texto→número</x:v>
      </x:c>
      <x:c r="G611" s="69" t="str">
        <x:v>Texto→número</x:v>
      </x:c>
      <x:c r="H611" s="80" t="str">
        <x:v>OK</x:v>
      </x:c>
      <x:c r="I611" s="69" t="str"/>
      <x:c r="J611" s="69"/>
      <x:c r="K611" s="82" t="n">
        <x:v>1</x:v>
      </x:c>
    </x:row>
    <x:row r="612">
      <x:c r="A612" s="76" t="n">
        <x:v>612</x:v>
      </x:c>
      <x:c r="B612" s="69" t="str">
        <x:v>6.3</x:v>
      </x:c>
      <x:c r="C612" s="69" t="str">
        <x:v>-75.6833333</x:v>
      </x:c>
      <x:c r="D612" s="78" t="n">
        <x:v>6.3</x:v>
      </x:c>
      <x:c r="E612" s="78" t="n">
        <x:v>-75.6833333</x:v>
      </x:c>
      <x:c r="F612" s="69" t="str">
        <x:v>Texto→número</x:v>
      </x:c>
      <x:c r="G612" s="69" t="str">
        <x:v>Texto→número</x:v>
      </x:c>
      <x:c r="H612" s="80" t="str">
        <x:v>OK</x:v>
      </x:c>
      <x:c r="I612" s="69" t="str"/>
      <x:c r="J612" s="69"/>
      <x:c r="K612" s="82" t="n">
        <x:v>1</x:v>
      </x:c>
    </x:row>
    <x:row r="613">
      <x:c r="A613" s="76" t="n">
        <x:v>613</x:v>
      </x:c>
      <x:c r="B613" s="69" t="str">
        <x:v>6.3</x:v>
      </x:c>
      <x:c r="C613" s="69" t="str">
        <x:v>-75.6833333</x:v>
      </x:c>
      <x:c r="D613" s="78" t="n">
        <x:v>6.3</x:v>
      </x:c>
      <x:c r="E613" s="78" t="n">
        <x:v>-75.6833333</x:v>
      </x:c>
      <x:c r="F613" s="69" t="str">
        <x:v>Texto→número</x:v>
      </x:c>
      <x:c r="G613" s="69" t="str">
        <x:v>Texto→número</x:v>
      </x:c>
      <x:c r="H613" s="80" t="str">
        <x:v>OK</x:v>
      </x:c>
      <x:c r="I613" s="69" t="str"/>
      <x:c r="J613" s="69"/>
      <x:c r="K613" s="82" t="n">
        <x:v>1</x:v>
      </x:c>
    </x:row>
    <x:row r="614">
      <x:c r="A614" s="76" t="n">
        <x:v>614</x:v>
      </x:c>
      <x:c r="B614" s="69" t="str">
        <x:v>5.6166667</x:v>
      </x:c>
      <x:c r="C614" s="69" t="str">
        <x:v>-75.8333333</x:v>
      </x:c>
      <x:c r="D614" s="78" t="n">
        <x:v>5.6166667</x:v>
      </x:c>
      <x:c r="E614" s="78" t="n">
        <x:v>-75.8333333</x:v>
      </x:c>
      <x:c r="F614" s="69" t="str">
        <x:v>Texto→número</x:v>
      </x:c>
      <x:c r="G614" s="69" t="str">
        <x:v>Texto→número</x:v>
      </x:c>
      <x:c r="H614" s="80" t="str">
        <x:v>OK</x:v>
      </x:c>
      <x:c r="I614" s="69" t="str"/>
      <x:c r="J614" s="69"/>
      <x:c r="K614" s="82" t="n">
        <x:v>1</x:v>
      </x:c>
    </x:row>
    <x:row r="615">
      <x:c r="A615" s="76" t="n">
        <x:v>615</x:v>
      </x:c>
      <x:c r="B615" s="69" t="str">
        <x:v>6.78125</x:v>
      </x:c>
      <x:c r="C615" s="69" t="str">
        <x:v>-76.1250611</x:v>
      </x:c>
      <x:c r="D615" s="78" t="n">
        <x:v>6.78125</x:v>
      </x:c>
      <x:c r="E615" s="78" t="n">
        <x:v>-76.1250611</x:v>
      </x:c>
      <x:c r="F615" s="69" t="str">
        <x:v>Texto→número</x:v>
      </x:c>
      <x:c r="G615" s="69" t="str">
        <x:v>Texto→número</x:v>
      </x:c>
      <x:c r="H615" s="80" t="str">
        <x:v>OK</x:v>
      </x:c>
      <x:c r="I615" s="69" t="str"/>
      <x:c r="J615" s="69" t="str">
        <x:v>6.78125|-76.1250611</x:v>
      </x:c>
      <x:c r="K615" s="82" t="n">
        <x:v>0</x:v>
      </x:c>
    </x:row>
    <x:row r="616">
      <x:c r="A616" s="76" t="n">
        <x:v>616</x:v>
      </x:c>
      <x:c r="B616" s="69" t="str">
        <x:v>5.5</x:v>
      </x:c>
      <x:c r="C616" s="69" t="str">
        <x:v>-75.8333333</x:v>
      </x:c>
      <x:c r="D616" s="78" t="n">
        <x:v>5.5</x:v>
      </x:c>
      <x:c r="E616" s="78" t="n">
        <x:v>-75.8333333</x:v>
      </x:c>
      <x:c r="F616" s="69" t="str">
        <x:v>Texto→número</x:v>
      </x:c>
      <x:c r="G616" s="69" t="str">
        <x:v>Texto→número</x:v>
      </x:c>
      <x:c r="H616" s="80" t="str">
        <x:v>OK</x:v>
      </x:c>
      <x:c r="I616" s="69" t="str"/>
      <x:c r="J616" s="69"/>
      <x:c r="K616" s="82" t="n">
        <x:v>1</x:v>
      </x:c>
    </x:row>
    <x:row r="617">
      <x:c r="A617" s="76" t="n">
        <x:v>617</x:v>
      </x:c>
      <x:c r="B617" s="69" t="str">
        <x:v>7.0166667</x:v>
      </x:c>
      <x:c r="C617" s="69" t="str">
        <x:v>-75.5833333</x:v>
      </x:c>
      <x:c r="D617" s="78" t="n">
        <x:v>7.0166667</x:v>
      </x:c>
      <x:c r="E617" s="78" t="n">
        <x:v>-75.5833333</x:v>
      </x:c>
      <x:c r="F617" s="69" t="str">
        <x:v>Texto→número</x:v>
      </x:c>
      <x:c r="G617" s="69" t="str">
        <x:v>Texto→número</x:v>
      </x:c>
      <x:c r="H617" s="80" t="str">
        <x:v>OK</x:v>
      </x:c>
      <x:c r="I617" s="69" t="str"/>
      <x:c r="J617" s="69" t="str">
        <x:v>7.0166667|-75.5833333</x:v>
      </x:c>
      <x:c r="K617" s="82" t="n">
        <x:v>0</x:v>
      </x:c>
    </x:row>
    <x:row r="618">
      <x:c r="A618" s="76" t="n">
        <x:v>618</x:v>
      </x:c>
      <x:c r="B618" s="69" t="str">
        <x:v>7.0166667</x:v>
      </x:c>
      <x:c r="C618" s="69" t="str">
        <x:v>-75.5833333</x:v>
      </x:c>
      <x:c r="D618" s="78" t="n">
        <x:v>7.0166667</x:v>
      </x:c>
      <x:c r="E618" s="78" t="n">
        <x:v>-75.5833333</x:v>
      </x:c>
      <x:c r="F618" s="69" t="str">
        <x:v>Texto→número</x:v>
      </x:c>
      <x:c r="G618" s="69" t="str">
        <x:v>Texto→número</x:v>
      </x:c>
      <x:c r="H618" s="80" t="str">
        <x:v>OK</x:v>
      </x:c>
      <x:c r="I618" s="69" t="str"/>
      <x:c r="J618" s="69"/>
      <x:c r="K618" s="82" t="n">
        <x:v>1</x:v>
      </x:c>
    </x:row>
    <x:row r="619">
      <x:c r="A619" s="76" t="n">
        <x:v>619</x:v>
      </x:c>
      <x:c r="B619" s="69" t="str">
        <x:v>6.6288</x:v>
      </x:c>
      <x:c r="C619" s="69" t="str">
        <x:v>-75.68897</x:v>
      </x:c>
      <x:c r="D619" s="78" t="n">
        <x:v>6.6288</x:v>
      </x:c>
      <x:c r="E619" s="78" t="n">
        <x:v>-75.68897</x:v>
      </x:c>
      <x:c r="F619" s="69" t="str">
        <x:v>Texto→número</x:v>
      </x:c>
      <x:c r="G619" s="69" t="str">
        <x:v>Texto→número</x:v>
      </x:c>
      <x:c r="H619" s="80" t="str">
        <x:v>OK</x:v>
      </x:c>
      <x:c r="I619" s="69" t="str"/>
      <x:c r="J619" s="69"/>
      <x:c r="K619" s="82" t="n">
        <x:v>1</x:v>
      </x:c>
    </x:row>
    <x:row r="620">
      <x:c r="A620" s="76" t="n">
        <x:v>620</x:v>
      </x:c>
      <x:c r="B620" s="69" t="str">
        <x:v>6.235925</x:v>
      </x:c>
      <x:c r="C620" s="69" t="str">
        <x:v>-75.5751361</x:v>
      </x:c>
      <x:c r="D620" s="78" t="n">
        <x:v>6.235925</x:v>
      </x:c>
      <x:c r="E620" s="78" t="n">
        <x:v>-75.5751361</x:v>
      </x:c>
      <x:c r="F620" s="69" t="str">
        <x:v>Texto→número</x:v>
      </x:c>
      <x:c r="G620" s="69" t="str">
        <x:v>Texto→número</x:v>
      </x:c>
      <x:c r="H620" s="80" t="str">
        <x:v>OK</x:v>
      </x:c>
      <x:c r="I620" s="69" t="str"/>
      <x:c r="J620" s="69"/>
      <x:c r="K620" s="82" t="n">
        <x:v>1</x:v>
      </x:c>
    </x:row>
    <x:row r="621">
      <x:c r="A621" s="76" t="n">
        <x:v>621</x:v>
      </x:c>
      <x:c r="B621" s="69" t="str">
        <x:v>6.25</x:v>
      </x:c>
      <x:c r="C621" s="69" t="str">
        <x:v>-75.5833333</x:v>
      </x:c>
      <x:c r="D621" s="78" t="n">
        <x:v>6.25</x:v>
      </x:c>
      <x:c r="E621" s="78" t="n">
        <x:v>-75.5833333</x:v>
      </x:c>
      <x:c r="F621" s="69" t="str">
        <x:v>Texto→número</x:v>
      </x:c>
      <x:c r="G621" s="69" t="str">
        <x:v>Texto→número</x:v>
      </x:c>
      <x:c r="H621" s="80" t="str">
        <x:v>OK</x:v>
      </x:c>
      <x:c r="I621" s="69" t="str"/>
      <x:c r="J621" s="69"/>
      <x:c r="K621" s="82" t="n">
        <x:v>1</x:v>
      </x:c>
    </x:row>
    <x:row r="622">
      <x:c r="A622" s="76" t="n">
        <x:v>622</x:v>
      </x:c>
      <x:c r="B622" s="69" t="str">
        <x:v>5.65</x:v>
      </x:c>
      <x:c r="C622" s="69" t="str">
        <x:v>-75.3</x:v>
      </x:c>
      <x:c r="D622" s="78" t="n">
        <x:v>5.65</x:v>
      </x:c>
      <x:c r="E622" s="78" t="n">
        <x:v>-75.3</x:v>
      </x:c>
      <x:c r="F622" s="69" t="str">
        <x:v>Texto→número</x:v>
      </x:c>
      <x:c r="G622" s="69" t="str">
        <x:v>Texto→número</x:v>
      </x:c>
      <x:c r="H622" s="80" t="str">
        <x:v>OK</x:v>
      </x:c>
      <x:c r="I622" s="69" t="str"/>
      <x:c r="J622" s="69" t="str">
        <x:v>5.65|-75.3</x:v>
      </x:c>
      <x:c r="K622" s="82" t="n">
        <x:v>0</x:v>
      </x:c>
    </x:row>
    <x:row r="623">
      <x:c r="A623" s="76" t="n">
        <x:v>623</x:v>
      </x:c>
      <x:c r="B623" s="69" t="str">
        <x:v>5.65</x:v>
      </x:c>
      <x:c r="C623" s="69" t="str">
        <x:v>-75.3</x:v>
      </x:c>
      <x:c r="D623" s="78" t="n">
        <x:v>5.65</x:v>
      </x:c>
      <x:c r="E623" s="78" t="n">
        <x:v>-75.3</x:v>
      </x:c>
      <x:c r="F623" s="69" t="str">
        <x:v>Texto→número</x:v>
      </x:c>
      <x:c r="G623" s="69" t="str">
        <x:v>Texto→número</x:v>
      </x:c>
      <x:c r="H623" s="80" t="str">
        <x:v>OK</x:v>
      </x:c>
      <x:c r="I623" s="69" t="str"/>
      <x:c r="J623" s="69"/>
      <x:c r="K623" s="82" t="n">
        <x:v>1</x:v>
      </x:c>
    </x:row>
    <x:row r="624">
      <x:c r="A624" s="76" t="n">
        <x:v>624</x:v>
      </x:c>
      <x:c r="B624" s="69" t="str">
        <x:v>5.7839</x:v>
      </x:c>
      <x:c r="C624" s="69" t="str">
        <x:v>-75.27997</x:v>
      </x:c>
      <x:c r="D624" s="78" t="n">
        <x:v>5.7839</x:v>
      </x:c>
      <x:c r="E624" s="78" t="n">
        <x:v>-75.27997</x:v>
      </x:c>
      <x:c r="F624" s="69" t="str">
        <x:v>Texto→número</x:v>
      </x:c>
      <x:c r="G624" s="69" t="str">
        <x:v>Texto→número</x:v>
      </x:c>
      <x:c r="H624" s="80" t="str">
        <x:v>OK</x:v>
      </x:c>
      <x:c r="I624" s="69" t="str"/>
      <x:c r="J624" s="69" t="str">
        <x:v>5.7839|-75.27997</x:v>
      </x:c>
      <x:c r="K624" s="82" t="n">
        <x:v>0</x:v>
      </x:c>
    </x:row>
    <x:row r="625">
      <x:c r="A625" s="76" t="n">
        <x:v>625</x:v>
      </x:c>
      <x:c r="B625" s="69" t="str">
        <x:v>6.3</x:v>
      </x:c>
      <x:c r="C625" s="69" t="str">
        <x:v>-75.4833333</x:v>
      </x:c>
      <x:c r="D625" s="78" t="n">
        <x:v>6.3</x:v>
      </x:c>
      <x:c r="E625" s="78" t="n">
        <x:v>-75.4833333</x:v>
      </x:c>
      <x:c r="F625" s="69" t="str">
        <x:v>Texto→número</x:v>
      </x:c>
      <x:c r="G625" s="69" t="str">
        <x:v>Texto→número</x:v>
      </x:c>
      <x:c r="H625" s="80" t="str">
        <x:v>OK</x:v>
      </x:c>
      <x:c r="I625" s="69" t="str"/>
      <x:c r="J625" s="69"/>
      <x:c r="K625" s="82" t="n">
        <x:v>1</x:v>
      </x:c>
    </x:row>
    <x:row r="626">
      <x:c r="A626" s="76" t="n">
        <x:v>626</x:v>
      </x:c>
      <x:c r="B626" s="69" t="str">
        <x:v>6.2666667</x:v>
      </x:c>
      <x:c r="C626" s="69" t="str">
        <x:v>-75.5666667</x:v>
      </x:c>
      <x:c r="D626" s="78" t="n">
        <x:v>6.2666667</x:v>
      </x:c>
      <x:c r="E626" s="78" t="n">
        <x:v>-75.5666667</x:v>
      </x:c>
      <x:c r="F626" s="69" t="str">
        <x:v>Texto→número</x:v>
      </x:c>
      <x:c r="G626" s="69" t="str">
        <x:v>Texto→número</x:v>
      </x:c>
      <x:c r="H626" s="80" t="str">
        <x:v>OK</x:v>
      </x:c>
      <x:c r="I626" s="69" t="str"/>
      <x:c r="J626" s="69" t="str">
        <x:v>6.2666667|-75.5666667</x:v>
      </x:c>
      <x:c r="K626" s="82" t="n">
        <x:v>0</x:v>
      </x:c>
    </x:row>
    <x:row r="627">
      <x:c r="A627" s="76" t="n">
        <x:v>627</x:v>
      </x:c>
      <x:c r="B627" s="69" t="str">
        <x:v>6.27804</x:v>
      </x:c>
      <x:c r="C627" s="69" t="str">
        <x:v>-75.49653</x:v>
      </x:c>
      <x:c r="D627" s="78" t="n">
        <x:v>6.27804</x:v>
      </x:c>
      <x:c r="E627" s="78" t="n">
        <x:v>-75.49653</x:v>
      </x:c>
      <x:c r="F627" s="69" t="str">
        <x:v>Texto→número</x:v>
      </x:c>
      <x:c r="G627" s="69" t="str">
        <x:v>Texto→número</x:v>
      </x:c>
      <x:c r="H627" s="80" t="str">
        <x:v>OK</x:v>
      </x:c>
      <x:c r="I627" s="69" t="str"/>
      <x:c r="J627" s="69" t="str">
        <x:v>6.27804|-75.49653</x:v>
      </x:c>
      <x:c r="K627" s="82" t="n">
        <x:v>0</x:v>
      </x:c>
    </x:row>
    <x:row r="628">
      <x:c r="A628" s="76" t="n">
        <x:v>628</x:v>
      </x:c>
      <x:c r="B628" s="69" t="str">
        <x:v>6.0289722</x:v>
      </x:c>
      <x:c r="C628" s="69" t="str">
        <x:v>-75.3262778</x:v>
      </x:c>
      <x:c r="D628" s="78" t="n">
        <x:v>6.0289722</x:v>
      </x:c>
      <x:c r="E628" s="78" t="n">
        <x:v>-75.3262778</x:v>
      </x:c>
      <x:c r="F628" s="69" t="str">
        <x:v>Texto→número</x:v>
      </x:c>
      <x:c r="G628" s="69" t="str">
        <x:v>Texto→número</x:v>
      </x:c>
      <x:c r="H628" s="80" t="str">
        <x:v>OK</x:v>
      </x:c>
      <x:c r="I628" s="69" t="str"/>
      <x:c r="J628" s="69" t="str">
        <x:v>6.0289722|-75.3262778</x:v>
      </x:c>
      <x:c r="K628" s="82" t="n">
        <x:v>0</x:v>
      </x:c>
    </x:row>
    <x:row r="629">
      <x:c r="A629" s="76" t="n">
        <x:v>629</x:v>
      </x:c>
      <x:c r="B629" s="69" t="str">
        <x:v>6.1719444</x:v>
      </x:c>
      <x:c r="C629" s="69" t="str">
        <x:v>-75.5858333</x:v>
      </x:c>
      <x:c r="D629" s="78" t="n">
        <x:v>6.1719444</x:v>
      </x:c>
      <x:c r="E629" s="78" t="n">
        <x:v>-75.5858333</x:v>
      </x:c>
      <x:c r="F629" s="69" t="str">
        <x:v>Texto→número</x:v>
      </x:c>
      <x:c r="G629" s="69" t="str">
        <x:v>Texto→número</x:v>
      </x:c>
      <x:c r="H629" s="80" t="str">
        <x:v>OK</x:v>
      </x:c>
      <x:c r="I629" s="69" t="str"/>
      <x:c r="J629" s="69"/>
      <x:c r="K629" s="82" t="n">
        <x:v>1</x:v>
      </x:c>
    </x:row>
    <x:row r="630">
      <x:c r="A630" s="76" t="n">
        <x:v>630</x:v>
      </x:c>
      <x:c r="B630" s="69" t="str">
        <x:v>6.3</x:v>
      </x:c>
      <x:c r="C630" s="69" t="str">
        <x:v>-75.4833333</x:v>
      </x:c>
      <x:c r="D630" s="78" t="n">
        <x:v>6.3</x:v>
      </x:c>
      <x:c r="E630" s="78" t="n">
        <x:v>-75.4833333</x:v>
      </x:c>
      <x:c r="F630" s="69" t="str">
        <x:v>Texto→número</x:v>
      </x:c>
      <x:c r="G630" s="69" t="str">
        <x:v>Texto→número</x:v>
      </x:c>
      <x:c r="H630" s="80" t="str">
        <x:v>OK</x:v>
      </x:c>
      <x:c r="I630" s="69" t="str"/>
      <x:c r="J630" s="69"/>
      <x:c r="K630" s="82" t="n">
        <x:v>1</x:v>
      </x:c>
    </x:row>
    <x:row r="631">
      <x:c r="A631" s="76" t="n">
        <x:v>631</x:v>
      </x:c>
      <x:c r="B631" s="69" t="str">
        <x:v>6.22788</x:v>
      </x:c>
      <x:c r="C631" s="69" t="str">
        <x:v>-75.50634</x:v>
      </x:c>
      <x:c r="D631" s="78" t="n">
        <x:v>6.22788</x:v>
      </x:c>
      <x:c r="E631" s="78" t="n">
        <x:v>-75.50634</x:v>
      </x:c>
      <x:c r="F631" s="69" t="str">
        <x:v>Texto→número</x:v>
      </x:c>
      <x:c r="G631" s="69" t="str">
        <x:v>Texto→número</x:v>
      </x:c>
      <x:c r="H631" s="80" t="str">
        <x:v>OK</x:v>
      </x:c>
      <x:c r="I631" s="69" t="str"/>
      <x:c r="J631" s="69" t="str">
        <x:v>6.22788|-75.50634</x:v>
      </x:c>
      <x:c r="K631" s="82" t="n">
        <x:v>0</x:v>
      </x:c>
    </x:row>
    <x:row r="632">
      <x:c r="A632" s="76" t="n">
        <x:v>632</x:v>
      </x:c>
      <x:c r="B632" s="69" t="str">
        <x:v>6.25</x:v>
      </x:c>
      <x:c r="C632" s="69" t="str">
        <x:v>-75.5833333</x:v>
      </x:c>
      <x:c r="D632" s="78" t="n">
        <x:v>6.25</x:v>
      </x:c>
      <x:c r="E632" s="78" t="n">
        <x:v>-75.5833333</x:v>
      </x:c>
      <x:c r="F632" s="69" t="str">
        <x:v>Texto→número</x:v>
      </x:c>
      <x:c r="G632" s="69" t="str">
        <x:v>Texto→número</x:v>
      </x:c>
      <x:c r="H632" s="80" t="str">
        <x:v>OK</x:v>
      </x:c>
      <x:c r="I632" s="69" t="str"/>
      <x:c r="J632" s="69"/>
      <x:c r="K632" s="82" t="n">
        <x:v>1</x:v>
      </x:c>
    </x:row>
    <x:row r="633">
      <x:c r="A633" s="76" t="n">
        <x:v>633</x:v>
      </x:c>
      <x:c r="B633" s="69" t="str">
        <x:v>6.3</x:v>
      </x:c>
      <x:c r="C633" s="69" t="str">
        <x:v>-75.6833333</x:v>
      </x:c>
      <x:c r="D633" s="78" t="n">
        <x:v>6.3</x:v>
      </x:c>
      <x:c r="E633" s="78" t="n">
        <x:v>-75.6833333</x:v>
      </x:c>
      <x:c r="F633" s="69" t="str">
        <x:v>Texto→número</x:v>
      </x:c>
      <x:c r="G633" s="69" t="str">
        <x:v>Texto→número</x:v>
      </x:c>
      <x:c r="H633" s="80" t="str">
        <x:v>OK</x:v>
      </x:c>
      <x:c r="I633" s="69" t="str"/>
      <x:c r="J633" s="69"/>
      <x:c r="K633" s="82" t="n">
        <x:v>1</x:v>
      </x:c>
    </x:row>
    <x:row r="634">
      <x:c r="A634" s="76" t="n">
        <x:v>634</x:v>
      </x:c>
      <x:c r="B634" s="69" t="str">
        <x:v>6.2616667</x:v>
      </x:c>
      <x:c r="C634" s="69" t="str">
        <x:v>-75.5089722</x:v>
      </x:c>
      <x:c r="D634" s="78" t="n">
        <x:v>6.2616667</x:v>
      </x:c>
      <x:c r="E634" s="78" t="n">
        <x:v>-75.5089722</x:v>
      </x:c>
      <x:c r="F634" s="69" t="str">
        <x:v>Texto→número</x:v>
      </x:c>
      <x:c r="G634" s="69" t="str">
        <x:v>Texto→número</x:v>
      </x:c>
      <x:c r="H634" s="80" t="str">
        <x:v>OK</x:v>
      </x:c>
      <x:c r="I634" s="69" t="str"/>
      <x:c r="J634" s="69" t="str">
        <x:v>6.2616667|-75.5089722</x:v>
      </x:c>
      <x:c r="K634" s="82" t="n">
        <x:v>0</x:v>
      </x:c>
    </x:row>
    <x:row r="635">
      <x:c r="A635" s="76" t="n">
        <x:v>635</x:v>
      </x:c>
      <x:c r="B635" s="69" t="str">
        <x:v>6.2616667</x:v>
      </x:c>
      <x:c r="C635" s="69" t="str">
        <x:v>-75.5089722</x:v>
      </x:c>
      <x:c r="D635" s="78" t="n">
        <x:v>6.2616667</x:v>
      </x:c>
      <x:c r="E635" s="78" t="n">
        <x:v>-75.5089722</x:v>
      </x:c>
      <x:c r="F635" s="69" t="str">
        <x:v>Texto→número</x:v>
      </x:c>
      <x:c r="G635" s="69" t="str">
        <x:v>Texto→número</x:v>
      </x:c>
      <x:c r="H635" s="80" t="str">
        <x:v>OK</x:v>
      </x:c>
      <x:c r="I635" s="69" t="str"/>
      <x:c r="J635" s="69"/>
      <x:c r="K635" s="82" t="n">
        <x:v>1</x:v>
      </x:c>
    </x:row>
    <x:row r="636">
      <x:c r="A636" s="76" t="n">
        <x:v>636</x:v>
      </x:c>
      <x:c r="B636" s="69" t="str">
        <x:v>6.2616667</x:v>
      </x:c>
      <x:c r="C636" s="69" t="str">
        <x:v>-75.5089722</x:v>
      </x:c>
      <x:c r="D636" s="78" t="n">
        <x:v>6.2616667</x:v>
      </x:c>
      <x:c r="E636" s="78" t="n">
        <x:v>-75.5089722</x:v>
      </x:c>
      <x:c r="F636" s="69" t="str">
        <x:v>Texto→número</x:v>
      </x:c>
      <x:c r="G636" s="69" t="str">
        <x:v>Texto→número</x:v>
      </x:c>
      <x:c r="H636" s="80" t="str">
        <x:v>OK</x:v>
      </x:c>
      <x:c r="I636" s="69" t="str"/>
      <x:c r="J636" s="69"/>
      <x:c r="K636" s="82" t="n">
        <x:v>1</x:v>
      </x:c>
    </x:row>
    <x:row r="637">
      <x:c r="A637" s="76" t="n">
        <x:v>637</x:v>
      </x:c>
      <x:c r="B637" s="69" t="str">
        <x:v>6.6108889</x:v>
      </x:c>
      <x:c r="C637" s="69" t="str">
        <x:v>-75.6661389</x:v>
      </x:c>
      <x:c r="D637" s="78" t="n">
        <x:v>6.6108889</x:v>
      </x:c>
      <x:c r="E637" s="78" t="n">
        <x:v>-75.6661389</x:v>
      </x:c>
      <x:c r="F637" s="69" t="str">
        <x:v>Texto→número</x:v>
      </x:c>
      <x:c r="G637" s="69" t="str">
        <x:v>Texto→número</x:v>
      </x:c>
      <x:c r="H637" s="80" t="str">
        <x:v>OK</x:v>
      </x:c>
      <x:c r="I637" s="69" t="str"/>
      <x:c r="J637" s="69" t="str">
        <x:v>6.6108889|-75.6661389</x:v>
      </x:c>
      <x:c r="K637" s="82" t="n">
        <x:v>0</x:v>
      </x:c>
    </x:row>
    <x:row r="638">
      <x:c r="A638" s="76" t="n">
        <x:v>638</x:v>
      </x:c>
      <x:c r="B638" s="69" t="str">
        <x:v>6.6108889</x:v>
      </x:c>
      <x:c r="C638" s="69" t="str">
        <x:v>-75.6661389</x:v>
      </x:c>
      <x:c r="D638" s="78" t="n">
        <x:v>6.6108889</x:v>
      </x:c>
      <x:c r="E638" s="78" t="n">
        <x:v>-75.6661389</x:v>
      </x:c>
      <x:c r="F638" s="69" t="str">
        <x:v>Texto→número</x:v>
      </x:c>
      <x:c r="G638" s="69" t="str">
        <x:v>Texto→número</x:v>
      </x:c>
      <x:c r="H638" s="80" t="str">
        <x:v>OK</x:v>
      </x:c>
      <x:c r="I638" s="69" t="str"/>
      <x:c r="J638" s="69"/>
      <x:c r="K638" s="82" t="n">
        <x:v>1</x:v>
      </x:c>
    </x:row>
    <x:row r="639">
      <x:c r="A639" s="76" t="n">
        <x:v>639</x:v>
      </x:c>
      <x:c r="B639" s="69" t="str">
        <x:v>6.5959167</x:v>
      </x:c>
      <x:c r="C639" s="69" t="str">
        <x:v>-75.6536111</x:v>
      </x:c>
      <x:c r="D639" s="78" t="n">
        <x:v>6.5959167</x:v>
      </x:c>
      <x:c r="E639" s="78" t="n">
        <x:v>-75.6536111</x:v>
      </x:c>
      <x:c r="F639" s="69" t="str">
        <x:v>Texto→número</x:v>
      </x:c>
      <x:c r="G639" s="69" t="str">
        <x:v>Texto→número</x:v>
      </x:c>
      <x:c r="H639" s="80" t="str">
        <x:v>OK</x:v>
      </x:c>
      <x:c r="I639" s="69" t="str"/>
      <x:c r="J639" s="69"/>
      <x:c r="K639" s="82" t="n">
        <x:v>1</x:v>
      </x:c>
    </x:row>
    <x:row r="640">
      <x:c r="A640" s="76" t="n">
        <x:v>640</x:v>
      </x:c>
      <x:c r="B640" s="69" t="str">
        <x:v>6.5959167</x:v>
      </x:c>
      <x:c r="C640" s="69" t="str">
        <x:v>-75.6536111</x:v>
      </x:c>
      <x:c r="D640" s="78" t="n">
        <x:v>6.5959167</x:v>
      </x:c>
      <x:c r="E640" s="78" t="n">
        <x:v>-75.6536111</x:v>
      </x:c>
      <x:c r="F640" s="69" t="str">
        <x:v>Texto→número</x:v>
      </x:c>
      <x:c r="G640" s="69" t="str">
        <x:v>Texto→número</x:v>
      </x:c>
      <x:c r="H640" s="80" t="str">
        <x:v>OK</x:v>
      </x:c>
      <x:c r="I640" s="69" t="str"/>
      <x:c r="J640" s="69"/>
      <x:c r="K640" s="82" t="n">
        <x:v>1</x:v>
      </x:c>
    </x:row>
    <x:row r="641">
      <x:c r="A641" s="76" t="n">
        <x:v>641</x:v>
      </x:c>
      <x:c r="B641" s="69" t="str">
        <x:v>6.6108889</x:v>
      </x:c>
      <x:c r="C641" s="69" t="str">
        <x:v>-75.6661389</x:v>
      </x:c>
      <x:c r="D641" s="78" t="n">
        <x:v>6.6108889</x:v>
      </x:c>
      <x:c r="E641" s="78" t="n">
        <x:v>-75.6661389</x:v>
      </x:c>
      <x:c r="F641" s="69" t="str">
        <x:v>Texto→número</x:v>
      </x:c>
      <x:c r="G641" s="69" t="str">
        <x:v>Texto→número</x:v>
      </x:c>
      <x:c r="H641" s="80" t="str">
        <x:v>OK</x:v>
      </x:c>
      <x:c r="I641" s="69" t="str"/>
      <x:c r="J641" s="69"/>
      <x:c r="K641" s="82" t="n">
        <x:v>1</x:v>
      </x:c>
    </x:row>
    <x:row r="642">
      <x:c r="A642" s="76" t="n">
        <x:v>642</x:v>
      </x:c>
      <x:c r="B642" s="69" t="str">
        <x:v>6.7727778</x:v>
      </x:c>
      <x:c r="C642" s="69" t="str">
        <x:v>-75.7920278</x:v>
      </x:c>
      <x:c r="D642" s="78" t="n">
        <x:v>6.7727778</x:v>
      </x:c>
      <x:c r="E642" s="78" t="n">
        <x:v>-75.7920278</x:v>
      </x:c>
      <x:c r="F642" s="69" t="str">
        <x:v>Texto→número</x:v>
      </x:c>
      <x:c r="G642" s="69" t="str">
        <x:v>Texto→número</x:v>
      </x:c>
      <x:c r="H642" s="80" t="str">
        <x:v>OK</x:v>
      </x:c>
      <x:c r="I642" s="69" t="str"/>
      <x:c r="J642" s="69"/>
      <x:c r="K642" s="82" t="n">
        <x:v>1</x:v>
      </x:c>
    </x:row>
    <x:row r="643">
      <x:c r="A643" s="76" t="n">
        <x:v>643</x:v>
      </x:c>
      <x:c r="B643" s="69" t="str">
        <x:v>6.2133333</x:v>
      </x:c>
      <x:c r="C643" s="69" t="str">
        <x:v>-75.4922778</x:v>
      </x:c>
      <x:c r="D643" s="78" t="n">
        <x:v>6.2133333</x:v>
      </x:c>
      <x:c r="E643" s="78" t="n">
        <x:v>-75.4922778</x:v>
      </x:c>
      <x:c r="F643" s="69" t="str">
        <x:v>Texto→número</x:v>
      </x:c>
      <x:c r="G643" s="69" t="str">
        <x:v>Texto→número</x:v>
      </x:c>
      <x:c r="H643" s="80" t="str">
        <x:v>OK</x:v>
      </x:c>
      <x:c r="I643" s="69" t="str"/>
      <x:c r="J643" s="69"/>
      <x:c r="K643" s="82" t="n">
        <x:v>1</x:v>
      </x:c>
    </x:row>
    <x:row r="644">
      <x:c r="A644" s="76" t="n">
        <x:v>644</x:v>
      </x:c>
      <x:c r="B644" s="69" t="str">
        <x:v>6.76799</x:v>
      </x:c>
      <x:c r="C644" s="69" t="str">
        <x:v>-75.49219</x:v>
      </x:c>
      <x:c r="D644" s="78" t="n">
        <x:v>6.76799</x:v>
      </x:c>
      <x:c r="E644" s="78" t="n">
        <x:v>-75.49219</x:v>
      </x:c>
      <x:c r="F644" s="69" t="str">
        <x:v>Texto→número</x:v>
      </x:c>
      <x:c r="G644" s="69" t="str">
        <x:v>Texto→número</x:v>
      </x:c>
      <x:c r="H644" s="80" t="str">
        <x:v>OK</x:v>
      </x:c>
      <x:c r="I644" s="69" t="str"/>
      <x:c r="J644" s="69" t="str">
        <x:v>6.76799|-75.49219</x:v>
      </x:c>
      <x:c r="K644" s="82" t="n">
        <x:v>0</x:v>
      </x:c>
    </x:row>
    <x:row r="645">
      <x:c r="A645" s="76" t="n">
        <x:v>645</x:v>
      </x:c>
      <x:c r="B645" s="69" t="str">
        <x:v>5.9856944</x:v>
      </x:c>
      <x:c r="C645" s="69" t="str">
        <x:v>-75.6352222</x:v>
      </x:c>
      <x:c r="D645" s="78" t="n">
        <x:v>5.9856944</x:v>
      </x:c>
      <x:c r="E645" s="78" t="n">
        <x:v>-75.6352222</x:v>
      </x:c>
      <x:c r="F645" s="69" t="str">
        <x:v>Texto→número</x:v>
      </x:c>
      <x:c r="G645" s="69" t="str">
        <x:v>Texto→número</x:v>
      </x:c>
      <x:c r="H645" s="80" t="str">
        <x:v>OK</x:v>
      </x:c>
      <x:c r="I645" s="69" t="str"/>
      <x:c r="J645" s="69" t="str">
        <x:v>5.9856944|-75.6352222</x:v>
      </x:c>
      <x:c r="K645" s="82" t="n">
        <x:v>0</x:v>
      </x:c>
    </x:row>
    <x:row r="646">
      <x:c r="A646" s="76" t="n">
        <x:v>646</x:v>
      </x:c>
      <x:c r="B646" s="69" t="str">
        <x:v>5.5417778</x:v>
      </x:c>
      <x:c r="C646" s="69" t="str">
        <x:v>-75.8075278</x:v>
      </x:c>
      <x:c r="D646" s="78" t="n">
        <x:v>5.5417778</x:v>
      </x:c>
      <x:c r="E646" s="78" t="n">
        <x:v>-75.8075278</x:v>
      </x:c>
      <x:c r="F646" s="69" t="str">
        <x:v>Texto→número</x:v>
      </x:c>
      <x:c r="G646" s="69" t="str">
        <x:v>Texto→número</x:v>
      </x:c>
      <x:c r="H646" s="80" t="str">
        <x:v>OK</x:v>
      </x:c>
      <x:c r="I646" s="69" t="str"/>
      <x:c r="J646" s="69" t="str">
        <x:v>5.5417778|-75.8075278</x:v>
      </x:c>
      <x:c r="K646" s="82" t="n">
        <x:v>0</x:v>
      </x:c>
    </x:row>
    <x:row r="647">
      <x:c r="A647" s="76" t="n">
        <x:v>647</x:v>
      </x:c>
      <x:c r="B647" s="69" t="str">
        <x:v>6.3416667</x:v>
      </x:c>
      <x:c r="C647" s="69" t="str">
        <x:v>-75.6472222</x:v>
      </x:c>
      <x:c r="D647" s="78" t="n">
        <x:v>6.3416667</x:v>
      </x:c>
      <x:c r="E647" s="78" t="n">
        <x:v>-75.6472222</x:v>
      </x:c>
      <x:c r="F647" s="69" t="str">
        <x:v>Texto→número</x:v>
      </x:c>
      <x:c r="G647" s="69" t="str">
        <x:v>Texto→número</x:v>
      </x:c>
      <x:c r="H647" s="80" t="str">
        <x:v>OK</x:v>
      </x:c>
      <x:c r="I647" s="69" t="str"/>
      <x:c r="J647" s="69" t="str">
        <x:v>6.3416667|-75.6472222</x:v>
      </x:c>
      <x:c r="K647" s="82" t="n">
        <x:v>0</x:v>
      </x:c>
    </x:row>
    <x:row r="648">
      <x:c r="A648" s="76" t="n">
        <x:v>648</x:v>
      </x:c>
      <x:c r="B648" s="69" t="str">
        <x:v>6.1580556</x:v>
      </x:c>
      <x:c r="C648" s="69" t="str">
        <x:v>-75.7013889</x:v>
      </x:c>
      <x:c r="D648" s="78" t="n">
        <x:v>6.1580556</x:v>
      </x:c>
      <x:c r="E648" s="78" t="n">
        <x:v>-75.7013889</x:v>
      </x:c>
      <x:c r="F648" s="69" t="str">
        <x:v>Texto→número</x:v>
      </x:c>
      <x:c r="G648" s="69" t="str">
        <x:v>Texto→número</x:v>
      </x:c>
      <x:c r="H648" s="80" t="str">
        <x:v>OK</x:v>
      </x:c>
      <x:c r="I648" s="69" t="str"/>
      <x:c r="J648" s="69"/>
      <x:c r="K648" s="82" t="n">
        <x:v>1</x:v>
      </x:c>
    </x:row>
    <x:row r="649">
      <x:c r="A649" s="76" t="n">
        <x:v>649</x:v>
      </x:c>
      <x:c r="B649" s="69" t="str">
        <x:v>6.2551444</x:v>
      </x:c>
      <x:c r="C649" s="69" t="str">
        <x:v>-75.7112889</x:v>
      </x:c>
      <x:c r="D649" s="78" t="n">
        <x:v>6.2551444</x:v>
      </x:c>
      <x:c r="E649" s="78" t="n">
        <x:v>-75.7112889</x:v>
      </x:c>
      <x:c r="F649" s="69" t="str">
        <x:v>Texto→número</x:v>
      </x:c>
      <x:c r="G649" s="69" t="str">
        <x:v>Texto→número</x:v>
      </x:c>
      <x:c r="H649" s="80" t="str">
        <x:v>OK</x:v>
      </x:c>
      <x:c r="I649" s="69" t="str"/>
      <x:c r="J649" s="69" t="str">
        <x:v>6.2551444|-75.7112889</x:v>
      </x:c>
      <x:c r="K649" s="82" t="n">
        <x:v>0</x:v>
      </x:c>
    </x:row>
    <x:row r="650">
      <x:c r="A650" s="76" t="n">
        <x:v>650</x:v>
      </x:c>
      <x:c r="B650" s="69" t="str">
        <x:v>6.21818</x:v>
      </x:c>
      <x:c r="C650" s="69" t="str">
        <x:v>-75.5003</x:v>
      </x:c>
      <x:c r="D650" s="78" t="n">
        <x:v>6.21818</x:v>
      </x:c>
      <x:c r="E650" s="78" t="n">
        <x:v>-75.5003</x:v>
      </x:c>
      <x:c r="F650" s="69" t="str">
        <x:v>Texto→número</x:v>
      </x:c>
      <x:c r="G650" s="69" t="str">
        <x:v>Texto→número</x:v>
      </x:c>
      <x:c r="H650" s="80" t="str">
        <x:v>OK</x:v>
      </x:c>
      <x:c r="I650" s="69" t="str"/>
      <x:c r="J650" s="69" t="str">
        <x:v>6.21818|-75.5003</x:v>
      </x:c>
      <x:c r="K650" s="82" t="n">
        <x:v>0</x:v>
      </x:c>
    </x:row>
    <x:row r="651">
      <x:c r="A651" s="76" t="n">
        <x:v>651</x:v>
      </x:c>
      <x:c r="B651" s="69" t="str">
        <x:v>6.50788</x:v>
      </x:c>
      <x:c r="C651" s="69" t="str">
        <x:v>-76.23337</x:v>
      </x:c>
      <x:c r="D651" s="78" t="n">
        <x:v>6.50788</x:v>
      </x:c>
      <x:c r="E651" s="78" t="n">
        <x:v>-76.23337</x:v>
      </x:c>
      <x:c r="F651" s="69" t="str">
        <x:v>Texto→número</x:v>
      </x:c>
      <x:c r="G651" s="69" t="str">
        <x:v>Texto→número</x:v>
      </x:c>
      <x:c r="H651" s="80" t="str">
        <x:v>OK</x:v>
      </x:c>
      <x:c r="I651" s="69" t="str"/>
      <x:c r="J651" s="69" t="str">
        <x:v>6.50788|-76.23337</x:v>
      </x:c>
      <x:c r="K651" s="82" t="n">
        <x:v>0</x:v>
      </x:c>
    </x:row>
    <x:row r="652">
      <x:c r="A652" s="76" t="n">
        <x:v>652</x:v>
      </x:c>
      <x:c r="B652" s="69" t="str">
        <x:v>6.34918</x:v>
      </x:c>
      <x:c r="C652" s="69" t="str">
        <x:v>-72.75461</x:v>
      </x:c>
      <x:c r="D652" s="78" t="n">
        <x:v>6.34918</x:v>
      </x:c>
      <x:c r="E652" s="78" t="n">
        <x:v>-72.75461</x:v>
      </x:c>
      <x:c r="F652" s="69" t="str">
        <x:v>Texto→número</x:v>
      </x:c>
      <x:c r="G652" s="69" t="str">
        <x:v>Texto→número</x:v>
      </x:c>
      <x:c r="H652" s="80" t="str">
        <x:v>OK</x:v>
      </x:c>
      <x:c r="I652" s="69" t="str"/>
      <x:c r="J652" s="69" t="str">
        <x:v>6.34918|-72.75461</x:v>
      </x:c>
      <x:c r="K652" s="82" t="n">
        <x:v>0</x:v>
      </x:c>
    </x:row>
    <x:row r="653">
      <x:c r="A653" s="76" t="n">
        <x:v>653</x:v>
      </x:c>
      <x:c r="B653" s="69" t="str">
        <x:v>6.26282</x:v>
      </x:c>
      <x:c r="C653" s="69" t="str">
        <x:v>-72.55623</x:v>
      </x:c>
      <x:c r="D653" s="78" t="n">
        <x:v>6.26282</x:v>
      </x:c>
      <x:c r="E653" s="78" t="n">
        <x:v>-72.55623</x:v>
      </x:c>
      <x:c r="F653" s="69" t="str">
        <x:v>Texto→número</x:v>
      </x:c>
      <x:c r="G653" s="69" t="str">
        <x:v>Texto→número</x:v>
      </x:c>
      <x:c r="H653" s="80" t="str">
        <x:v>OK</x:v>
      </x:c>
      <x:c r="I653" s="69" t="str"/>
      <x:c r="J653" s="69" t="str">
        <x:v>6.26282|-72.55623</x:v>
      </x:c>
      <x:c r="K653" s="82" t="n">
        <x:v>0</x:v>
      </x:c>
    </x:row>
    <x:row r="654">
      <x:c r="A654" s="76" t="n">
        <x:v>654</x:v>
      </x:c>
      <x:c r="B654" s="69" t="str">
        <x:v>5.6872222</x:v>
      </x:c>
      <x:c r="C654" s="69" t="str">
        <x:v>-73.4930556</x:v>
      </x:c>
      <x:c r="D654" s="78" t="n">
        <x:v>5.6872222</x:v>
      </x:c>
      <x:c r="E654" s="78" t="n">
        <x:v>-73.4930556</x:v>
      </x:c>
      <x:c r="F654" s="69" t="str">
        <x:v>Texto→número</x:v>
      </x:c>
      <x:c r="G654" s="69" t="str">
        <x:v>Texto→número</x:v>
      </x:c>
      <x:c r="H654" s="80" t="str">
        <x:v>OK</x:v>
      </x:c>
      <x:c r="I654" s="69" t="str"/>
      <x:c r="J654" s="69" t="str">
        <x:v>5.6872222|-73.4930556</x:v>
      </x:c>
      <x:c r="K654" s="82" t="n">
        <x:v>0</x:v>
      </x:c>
    </x:row>
    <x:row r="655">
      <x:c r="A655" s="76" t="n">
        <x:v>655</x:v>
      </x:c>
      <x:c r="B655" s="69" t="str">
        <x:v>5.3858972</x:v>
      </x:c>
      <x:c r="C655" s="69" t="str">
        <x:v>-75.1609194</x:v>
      </x:c>
      <x:c r="D655" s="78" t="n">
        <x:v>5.3858972</x:v>
      </x:c>
      <x:c r="E655" s="78" t="n">
        <x:v>-75.1609194</x:v>
      </x:c>
      <x:c r="F655" s="69" t="str">
        <x:v>Texto→número</x:v>
      </x:c>
      <x:c r="G655" s="69" t="str">
        <x:v>Texto→número</x:v>
      </x:c>
      <x:c r="H655" s="80" t="str">
        <x:v>OK</x:v>
      </x:c>
      <x:c r="I655" s="69" t="str"/>
      <x:c r="J655" s="69" t="str">
        <x:v>5.3858972|-75.1609194</x:v>
      </x:c>
      <x:c r="K655" s="82" t="n">
        <x:v>0</x:v>
      </x:c>
    </x:row>
    <x:row r="656">
      <x:c r="A656" s="76" t="n">
        <x:v>656</x:v>
      </x:c>
      <x:c r="B656" s="69" t="str">
        <x:v>5.3858972</x:v>
      </x:c>
      <x:c r="C656" s="69" t="str">
        <x:v>-75.1609194</x:v>
      </x:c>
      <x:c r="D656" s="78" t="n">
        <x:v>5.3858972</x:v>
      </x:c>
      <x:c r="E656" s="78" t="n">
        <x:v>-75.1609194</x:v>
      </x:c>
      <x:c r="F656" s="69" t="str">
        <x:v>Texto→número</x:v>
      </x:c>
      <x:c r="G656" s="69" t="str">
        <x:v>Texto→número</x:v>
      </x:c>
      <x:c r="H656" s="80" t="str">
        <x:v>OK</x:v>
      </x:c>
      <x:c r="I656" s="69" t="str"/>
      <x:c r="J656" s="69"/>
      <x:c r="K656" s="82" t="n">
        <x:v>1</x:v>
      </x:c>
    </x:row>
    <x:row r="657">
      <x:c r="A657" s="76" t="n">
        <x:v>657</x:v>
      </x:c>
      <x:c r="B657" s="69" t="str">
        <x:v>5.0671333</x:v>
      </x:c>
      <x:c r="C657" s="69" t="str">
        <x:v>-75.5182889</x:v>
      </x:c>
      <x:c r="D657" s="78" t="n">
        <x:v>5.0671333</x:v>
      </x:c>
      <x:c r="E657" s="78" t="n">
        <x:v>-75.5182889</x:v>
      </x:c>
      <x:c r="F657" s="69" t="str">
        <x:v>Texto→número</x:v>
      </x:c>
      <x:c r="G657" s="69" t="str">
        <x:v>Texto→número</x:v>
      </x:c>
      <x:c r="H657" s="80" t="str">
        <x:v>OK</x:v>
      </x:c>
      <x:c r="I657" s="69" t="str"/>
      <x:c r="J657" s="69"/>
      <x:c r="K657" s="82" t="n">
        <x:v>1</x:v>
      </x:c>
    </x:row>
    <x:row r="658">
      <x:c r="A658" s="76" t="n">
        <x:v>658</x:v>
      </x:c>
      <x:c r="B658" s="69" t="str">
        <x:v>5.0671333</x:v>
      </x:c>
      <x:c r="C658" s="69" t="str">
        <x:v>-75.5182889</x:v>
      </x:c>
      <x:c r="D658" s="78" t="n">
        <x:v>5.0671333</x:v>
      </x:c>
      <x:c r="E658" s="78" t="n">
        <x:v>-75.5182889</x:v>
      </x:c>
      <x:c r="F658" s="69" t="str">
        <x:v>Texto→número</x:v>
      </x:c>
      <x:c r="G658" s="69" t="str">
        <x:v>Texto→número</x:v>
      </x:c>
      <x:c r="H658" s="80" t="str">
        <x:v>OK</x:v>
      </x:c>
      <x:c r="I658" s="69" t="str"/>
      <x:c r="J658" s="69"/>
      <x:c r="K658" s="82" t="n">
        <x:v>1</x:v>
      </x:c>
    </x:row>
    <x:row r="659">
      <x:c r="A659" s="76" t="n">
        <x:v>659</x:v>
      </x:c>
      <x:c r="B659" s="69" t="str">
        <x:v>5.0671333</x:v>
      </x:c>
      <x:c r="C659" s="69" t="str">
        <x:v>-75.5182889</x:v>
      </x:c>
      <x:c r="D659" s="78" t="n">
        <x:v>5.0671333</x:v>
      </x:c>
      <x:c r="E659" s="78" t="n">
        <x:v>-75.5182889</x:v>
      </x:c>
      <x:c r="F659" s="69" t="str">
        <x:v>Texto→número</x:v>
      </x:c>
      <x:c r="G659" s="69" t="str">
        <x:v>Texto→número</x:v>
      </x:c>
      <x:c r="H659" s="80" t="str">
        <x:v>OK</x:v>
      </x:c>
      <x:c r="I659" s="69" t="str"/>
      <x:c r="J659" s="69"/>
      <x:c r="K659" s="82" t="n">
        <x:v>1</x:v>
      </x:c>
    </x:row>
    <x:row r="660">
      <x:c r="A660" s="76" t="n">
        <x:v>660</x:v>
      </x:c>
      <x:c r="B660" s="69" t="str">
        <x:v>5.0671333</x:v>
      </x:c>
      <x:c r="C660" s="69" t="str">
        <x:v>-75.5182889</x:v>
      </x:c>
      <x:c r="D660" s="78" t="n">
        <x:v>5.0671333</x:v>
      </x:c>
      <x:c r="E660" s="78" t="n">
        <x:v>-75.5182889</x:v>
      </x:c>
      <x:c r="F660" s="69" t="str">
        <x:v>Texto→número</x:v>
      </x:c>
      <x:c r="G660" s="69" t="str">
        <x:v>Texto→número</x:v>
      </x:c>
      <x:c r="H660" s="80" t="str">
        <x:v>OK</x:v>
      </x:c>
      <x:c r="I660" s="69" t="str"/>
      <x:c r="J660" s="69"/>
      <x:c r="K660" s="82" t="n">
        <x:v>1</x:v>
      </x:c>
    </x:row>
    <x:row r="661">
      <x:c r="A661" s="76" t="n">
        <x:v>661</x:v>
      </x:c>
      <x:c r="B661" s="69" t="str">
        <x:v>5.0294444</x:v>
      </x:c>
      <x:c r="C661" s="69" t="str">
        <x:v>-75.3905556</x:v>
      </x:c>
      <x:c r="D661" s="78" t="n">
        <x:v>5.0294444</x:v>
      </x:c>
      <x:c r="E661" s="78" t="n">
        <x:v>-75.3905556</x:v>
      </x:c>
      <x:c r="F661" s="69" t="str">
        <x:v>Texto→número</x:v>
      </x:c>
      <x:c r="G661" s="69" t="str">
        <x:v>Texto→número</x:v>
      </x:c>
      <x:c r="H661" s="80" t="str">
        <x:v>OK</x:v>
      </x:c>
      <x:c r="I661" s="69" t="str"/>
      <x:c r="J661" s="69" t="str">
        <x:v>5.0294444|-75.3905556</x:v>
      </x:c>
      <x:c r="K661" s="82" t="n">
        <x:v>0</x:v>
      </x:c>
    </x:row>
    <x:row r="662">
      <x:c r="A662" s="76" t="n">
        <x:v>662</x:v>
      </x:c>
      <x:c r="B662" s="69" t="str">
        <x:v>5.0821056</x:v>
      </x:c>
      <x:c r="C662" s="69" t="str">
        <x:v>-75.4633806</x:v>
      </x:c>
      <x:c r="D662" s="78" t="n">
        <x:v>5.0821056</x:v>
      </x:c>
      <x:c r="E662" s="78" t="n">
        <x:v>-75.4633806</x:v>
      </x:c>
      <x:c r="F662" s="69" t="str">
        <x:v>Texto→número</x:v>
      </x:c>
      <x:c r="G662" s="69" t="str">
        <x:v>Texto→número</x:v>
      </x:c>
      <x:c r="H662" s="80" t="str">
        <x:v>OK</x:v>
      </x:c>
      <x:c r="I662" s="69" t="str"/>
      <x:c r="J662" s="69" t="str">
        <x:v>5.0821056|-75.4633806</x:v>
      </x:c>
      <x:c r="K662" s="82" t="n">
        <x:v>0</x:v>
      </x:c>
    </x:row>
    <x:row r="663">
      <x:c r="A663" s="76" t="n">
        <x:v>663</x:v>
      </x:c>
      <x:c r="B663" s="69" t="str">
        <x:v>5.1661667</x:v>
      </x:c>
      <x:c r="C663" s="69" t="str">
        <x:v>-75.4113056</x:v>
      </x:c>
      <x:c r="D663" s="78" t="n">
        <x:v>5.1661667</x:v>
      </x:c>
      <x:c r="E663" s="78" t="n">
        <x:v>-75.4113056</x:v>
      </x:c>
      <x:c r="F663" s="69" t="str">
        <x:v>Texto→número</x:v>
      </x:c>
      <x:c r="G663" s="69" t="str">
        <x:v>Texto→número</x:v>
      </x:c>
      <x:c r="H663" s="80" t="str">
        <x:v>OK</x:v>
      </x:c>
      <x:c r="I663" s="69" t="str"/>
      <x:c r="J663" s="69" t="str">
        <x:v>5.1661667|-75.4113056</x:v>
      </x:c>
      <x:c r="K663" s="82" t="n">
        <x:v>0</x:v>
      </x:c>
    </x:row>
    <x:row r="664">
      <x:c r="A664" s="76" t="n">
        <x:v>664</x:v>
      </x:c>
      <x:c r="B664" s="69" t="str">
        <x:v>5.36289</x:v>
      </x:c>
      <x:c r="C664" s="69" t="str">
        <x:v>-75.68087</x:v>
      </x:c>
      <x:c r="D664" s="78" t="n">
        <x:v>5.36289</x:v>
      </x:c>
      <x:c r="E664" s="78" t="n">
        <x:v>-75.68087</x:v>
      </x:c>
      <x:c r="F664" s="69" t="str">
        <x:v>Texto→número</x:v>
      </x:c>
      <x:c r="G664" s="69" t="str">
        <x:v>Texto→número</x:v>
      </x:c>
      <x:c r="H664" s="80" t="str">
        <x:v>OK</x:v>
      </x:c>
      <x:c r="I664" s="69" t="str"/>
      <x:c r="J664" s="69"/>
      <x:c r="K664" s="82" t="n">
        <x:v>1</x:v>
      </x:c>
    </x:row>
    <x:row r="665">
      <x:c r="A665" s="76" t="n">
        <x:v>665</x:v>
      </x:c>
      <x:c r="B665" s="69" t="str">
        <x:v>5</x:v>
      </x:c>
      <x:c r="C665" s="69" t="str">
        <x:v>-75.5</x:v>
      </x:c>
      <x:c r="D665" s="78" t="n">
        <x:v>5</x:v>
      </x:c>
      <x:c r="E665" s="78" t="n">
        <x:v>-75.5</x:v>
      </x:c>
      <x:c r="F665" s="69" t="str">
        <x:v>Texto→número</x:v>
      </x:c>
      <x:c r="G665" s="69" t="str">
        <x:v>Texto→número</x:v>
      </x:c>
      <x:c r="H665" s="80" t="str">
        <x:v>OK</x:v>
      </x:c>
      <x:c r="I665" s="69" t="str"/>
      <x:c r="J665" s="69" t="str">
        <x:v>5|-75.5</x:v>
      </x:c>
      <x:c r="K665" s="82" t="n">
        <x:v>0</x:v>
      </x:c>
    </x:row>
    <x:row r="666">
      <x:c r="A666" s="76" t="n">
        <x:v>666</x:v>
      </x:c>
      <x:c r="B666" s="69" t="str">
        <x:v>5.2603056</x:v>
      </x:c>
      <x:c r="C666" s="69" t="str">
        <x:v>-75.4253889</x:v>
      </x:c>
      <x:c r="D666" s="78" t="n">
        <x:v>5.2603056</x:v>
      </x:c>
      <x:c r="E666" s="78" t="n">
        <x:v>-75.4253889</x:v>
      </x:c>
      <x:c r="F666" s="69" t="str">
        <x:v>Texto→número</x:v>
      </x:c>
      <x:c r="G666" s="69" t="str">
        <x:v>Texto→número</x:v>
      </x:c>
      <x:c r="H666" s="80" t="str">
        <x:v>OK</x:v>
      </x:c>
      <x:c r="I666" s="69" t="str"/>
      <x:c r="J666" s="69" t="str">
        <x:v>5.2603056|-75.4253889</x:v>
      </x:c>
      <x:c r="K666" s="82" t="n">
        <x:v>0</x:v>
      </x:c>
    </x:row>
    <x:row r="667">
      <x:c r="A667" s="76" t="n">
        <x:v>667</x:v>
      </x:c>
      <x:c r="B667" s="69" t="str">
        <x:v>4.9848806</x:v>
      </x:c>
      <x:c r="C667" s="69" t="str">
        <x:v>-75.4511389</x:v>
      </x:c>
      <x:c r="D667" s="78" t="n">
        <x:v>4.9848806</x:v>
      </x:c>
      <x:c r="E667" s="78" t="n">
        <x:v>-75.4511389</x:v>
      </x:c>
      <x:c r="F667" s="69" t="str">
        <x:v>Texto→número</x:v>
      </x:c>
      <x:c r="G667" s="69" t="str">
        <x:v>Texto→número</x:v>
      </x:c>
      <x:c r="H667" s="80" t="str">
        <x:v>OK</x:v>
      </x:c>
      <x:c r="I667" s="69" t="str"/>
      <x:c r="J667" s="69"/>
      <x:c r="K667" s="82" t="n">
        <x:v>1</x:v>
      </x:c>
    </x:row>
    <x:row r="668">
      <x:c r="A668" s="76" t="n">
        <x:v>668</x:v>
      </x:c>
      <x:c r="B668" s="69" t="str">
        <x:v>5.0433583</x:v>
      </x:c>
      <x:c r="C668" s="69" t="str">
        <x:v>-75.4835528</x:v>
      </x:c>
      <x:c r="D668" s="78" t="n">
        <x:v>5.0433583</x:v>
      </x:c>
      <x:c r="E668" s="78" t="n">
        <x:v>-75.4835528</x:v>
      </x:c>
      <x:c r="F668" s="69" t="str">
        <x:v>Texto→número</x:v>
      </x:c>
      <x:c r="G668" s="69" t="str">
        <x:v>Texto→número</x:v>
      </x:c>
      <x:c r="H668" s="80" t="str">
        <x:v>OK</x:v>
      </x:c>
      <x:c r="I668" s="69" t="str"/>
      <x:c r="J668" s="69" t="str">
        <x:v>5.0433583|-75.4835528</x:v>
      </x:c>
      <x:c r="K668" s="82" t="n">
        <x:v>0</x:v>
      </x:c>
    </x:row>
    <x:row r="669">
      <x:c r="A669" s="76" t="n">
        <x:v>669</x:v>
      </x:c>
      <x:c r="B669" s="69" t="str">
        <x:v>2.58873</x:v>
      </x:c>
      <x:c r="C669" s="69" t="str">
        <x:v>-76.64044</x:v>
      </x:c>
      <x:c r="D669" s="78" t="n">
        <x:v>2.58873</x:v>
      </x:c>
      <x:c r="E669" s="78" t="n">
        <x:v>-76.64044</x:v>
      </x:c>
      <x:c r="F669" s="69" t="str">
        <x:v>Texto→número</x:v>
      </x:c>
      <x:c r="G669" s="69" t="str">
        <x:v>Texto→número</x:v>
      </x:c>
      <x:c r="H669" s="80" t="str">
        <x:v>OK</x:v>
      </x:c>
      <x:c r="I669" s="69" t="str"/>
      <x:c r="J669" s="69" t="str">
        <x:v>2.58873|-76.64044</x:v>
      </x:c>
      <x:c r="K669" s="82" t="n">
        <x:v>0</x:v>
      </x:c>
    </x:row>
    <x:row r="670">
      <x:c r="A670" s="76" t="n">
        <x:v>670</x:v>
      </x:c>
      <x:c r="B670" s="69" t="str">
        <x:v>2.36016</x:v>
      </x:c>
      <x:c r="C670" s="69" t="str">
        <x:v>-76.61537</x:v>
      </x:c>
      <x:c r="D670" s="78" t="n">
        <x:v>2.36016</x:v>
      </x:c>
      <x:c r="E670" s="78" t="n">
        <x:v>-76.61537</x:v>
      </x:c>
      <x:c r="F670" s="69" t="str">
        <x:v>Texto→número</x:v>
      </x:c>
      <x:c r="G670" s="69" t="str">
        <x:v>Texto→número</x:v>
      </x:c>
      <x:c r="H670" s="80" t="str">
        <x:v>OK</x:v>
      </x:c>
      <x:c r="I670" s="69" t="str"/>
      <x:c r="J670" s="69" t="str">
        <x:v>2.36016|-76.61537</x:v>
      </x:c>
      <x:c r="K670" s="82" t="n">
        <x:v>0</x:v>
      </x:c>
    </x:row>
    <x:row r="671">
      <x:c r="A671" s="76" t="n">
        <x:v>671</x:v>
      </x:c>
      <x:c r="B671" s="69" t="str">
        <x:v>2.49123</x:v>
      </x:c>
      <x:c r="C671" s="69" t="str">
        <x:v>-76.97235</x:v>
      </x:c>
      <x:c r="D671" s="78" t="n">
        <x:v>2.49123</x:v>
      </x:c>
      <x:c r="E671" s="78" t="n">
        <x:v>-76.97235</x:v>
      </x:c>
      <x:c r="F671" s="69" t="str">
        <x:v>Texto→número</x:v>
      </x:c>
      <x:c r="G671" s="69" t="str">
        <x:v>Texto→número</x:v>
      </x:c>
      <x:c r="H671" s="80" t="str">
        <x:v>OK</x:v>
      </x:c>
      <x:c r="I671" s="69" t="str"/>
      <x:c r="J671" s="69" t="str">
        <x:v>2.49123|-76.97235</x:v>
      </x:c>
      <x:c r="K671" s="82" t="n">
        <x:v>0</x:v>
      </x:c>
    </x:row>
    <x:row r="672">
      <x:c r="A672" s="76" t="n">
        <x:v>672</x:v>
      </x:c>
      <x:c r="B672" s="69" t="str">
        <x:v>2.4582083</x:v>
      </x:c>
      <x:c r="C672" s="69" t="str">
        <x:v>-76.8086611</x:v>
      </x:c>
      <x:c r="D672" s="78" t="n">
        <x:v>2.4582083</x:v>
      </x:c>
      <x:c r="E672" s="78" t="n">
        <x:v>-76.8086611</x:v>
      </x:c>
      <x:c r="F672" s="69" t="str">
        <x:v>Texto→número</x:v>
      </x:c>
      <x:c r="G672" s="69" t="str">
        <x:v>Texto→número</x:v>
      </x:c>
      <x:c r="H672" s="80" t="str">
        <x:v>OK</x:v>
      </x:c>
      <x:c r="I672" s="69" t="str"/>
      <x:c r="J672" s="69" t="str">
        <x:v>2.4582083|-76.8086611</x:v>
      </x:c>
      <x:c r="K672" s="82" t="n">
        <x:v>0</x:v>
      </x:c>
    </x:row>
    <x:row r="673">
      <x:c r="A673" s="76" t="n">
        <x:v>673</x:v>
      </x:c>
      <x:c r="B673" s="69" t="str">
        <x:v>2.2559333</x:v>
      </x:c>
      <x:c r="C673" s="69" t="str">
        <x:v>-77.2484167</x:v>
      </x:c>
      <x:c r="D673" s="78" t="n">
        <x:v>2.2559333</x:v>
      </x:c>
      <x:c r="E673" s="78" t="n">
        <x:v>-77.2484167</x:v>
      </x:c>
      <x:c r="F673" s="69" t="str">
        <x:v>Texto→número</x:v>
      </x:c>
      <x:c r="G673" s="69" t="str">
        <x:v>Texto→número</x:v>
      </x:c>
      <x:c r="H673" s="80" t="str">
        <x:v>OK</x:v>
      </x:c>
      <x:c r="I673" s="69" t="str"/>
      <x:c r="J673" s="69" t="str">
        <x:v>2.2559333|-77.2484167</x:v>
      </x:c>
      <x:c r="K673" s="82" t="n">
        <x:v>0</x:v>
      </x:c>
    </x:row>
    <x:row r="674">
      <x:c r="A674" s="76" t="n">
        <x:v>674</x:v>
      </x:c>
      <x:c r="B674" s="69" t="str">
        <x:v>2.9580556</x:v>
      </x:c>
      <x:c r="C674" s="69" t="str">
        <x:v>-76.2713889</x:v>
      </x:c>
      <x:c r="D674" s="78" t="n">
        <x:v>2.9580556</x:v>
      </x:c>
      <x:c r="E674" s="78" t="n">
        <x:v>-76.2713889</x:v>
      </x:c>
      <x:c r="F674" s="69" t="str">
        <x:v>Texto→número</x:v>
      </x:c>
      <x:c r="G674" s="69" t="str">
        <x:v>Texto→número</x:v>
      </x:c>
      <x:c r="H674" s="80" t="str">
        <x:v>OK</x:v>
      </x:c>
      <x:c r="I674" s="69" t="str"/>
      <x:c r="J674" s="69" t="str">
        <x:v>2.9580556|-76.2713889</x:v>
      </x:c>
      <x:c r="K674" s="82" t="n">
        <x:v>0</x:v>
      </x:c>
    </x:row>
    <x:row r="675">
      <x:c r="A675" s="76" t="n">
        <x:v>675</x:v>
      </x:c>
      <x:c r="B675" s="69" t="str">
        <x:v>2.46374</x:v>
      </x:c>
      <x:c r="C675" s="69" t="str">
        <x:v>-76.00659</x:v>
      </x:c>
      <x:c r="D675" s="78" t="n">
        <x:v>2.46374</x:v>
      </x:c>
      <x:c r="E675" s="78" t="n">
        <x:v>-76.00659</x:v>
      </x:c>
      <x:c r="F675" s="69" t="str">
        <x:v>Texto→número</x:v>
      </x:c>
      <x:c r="G675" s="69" t="str">
        <x:v>Texto→número</x:v>
      </x:c>
      <x:c r="H675" s="80" t="str">
        <x:v>OK</x:v>
      </x:c>
      <x:c r="I675" s="69" t="str"/>
      <x:c r="J675" s="69" t="str">
        <x:v>2.46374|-76.00659</x:v>
      </x:c>
      <x:c r="K675" s="82" t="n">
        <x:v>0</x:v>
      </x:c>
    </x:row>
    <x:row r="676">
      <x:c r="A676" s="76" t="n">
        <x:v>676</x:v>
      </x:c>
      <x:c r="B676" s="69" t="str">
        <x:v>2.3853333</x:v>
      </x:c>
      <x:c r="C676" s="69" t="str">
        <x:v>-76.4416667</x:v>
      </x:c>
      <x:c r="D676" s="78" t="n">
        <x:v>2.3853333</x:v>
      </x:c>
      <x:c r="E676" s="78" t="n">
        <x:v>-76.4416667</x:v>
      </x:c>
      <x:c r="F676" s="69" t="str">
        <x:v>Texto→número</x:v>
      </x:c>
      <x:c r="G676" s="69" t="str">
        <x:v>Texto→número</x:v>
      </x:c>
      <x:c r="H676" s="80" t="str">
        <x:v>OK</x:v>
      </x:c>
      <x:c r="I676" s="69" t="str"/>
      <x:c r="J676" s="69" t="str">
        <x:v>2.3853333|-76.4416667</x:v>
      </x:c>
      <x:c r="K676" s="82" t="n">
        <x:v>0</x:v>
      </x:c>
    </x:row>
    <x:row r="677">
      <x:c r="A677" s="76" t="n">
        <x:v>677</x:v>
      </x:c>
      <x:c r="B677" s="69" t="str">
        <x:v>2.4582083</x:v>
      </x:c>
      <x:c r="C677" s="69" t="str">
        <x:v>-76.8086611</x:v>
      </x:c>
      <x:c r="D677" s="78" t="n">
        <x:v>2.4582083</x:v>
      </x:c>
      <x:c r="E677" s="78" t="n">
        <x:v>-76.8086611</x:v>
      </x:c>
      <x:c r="F677" s="69" t="str">
        <x:v>Texto→número</x:v>
      </x:c>
      <x:c r="G677" s="69" t="str">
        <x:v>Texto→número</x:v>
      </x:c>
      <x:c r="H677" s="80" t="str">
        <x:v>OK</x:v>
      </x:c>
      <x:c r="I677" s="69" t="str"/>
      <x:c r="J677" s="69"/>
      <x:c r="K677" s="82" t="n">
        <x:v>1</x:v>
      </x:c>
    </x:row>
    <x:row r="678">
      <x:c r="A678" s="76" t="n">
        <x:v>678</x:v>
      </x:c>
      <x:c r="B678" s="69" t="str">
        <x:v>2.4373889</x:v>
      </x:c>
      <x:c r="C678" s="69" t="str">
        <x:v>-76.4304722</x:v>
      </x:c>
      <x:c r="D678" s="78" t="n">
        <x:v>2.4373889</x:v>
      </x:c>
      <x:c r="E678" s="78" t="n">
        <x:v>-76.4304722</x:v>
      </x:c>
      <x:c r="F678" s="69" t="str">
        <x:v>Texto→número</x:v>
      </x:c>
      <x:c r="G678" s="69" t="str">
        <x:v>Texto→número</x:v>
      </x:c>
      <x:c r="H678" s="80" t="str">
        <x:v>OK</x:v>
      </x:c>
      <x:c r="I678" s="69" t="str"/>
      <x:c r="J678" s="69" t="str">
        <x:v>2.4373889|-76.4304722</x:v>
      </x:c>
      <x:c r="K678" s="82" t="n">
        <x:v>0</x:v>
      </x:c>
    </x:row>
    <x:row r="679">
      <x:c r="A679" s="76" t="n">
        <x:v>679</x:v>
      </x:c>
      <x:c r="B679" s="69" t="str">
        <x:v>2.4373889</x:v>
      </x:c>
      <x:c r="C679" s="69" t="str">
        <x:v>-76.4304722</x:v>
      </x:c>
      <x:c r="D679" s="78" t="n">
        <x:v>2.4373889</x:v>
      </x:c>
      <x:c r="E679" s="78" t="n">
        <x:v>-76.4304722</x:v>
      </x:c>
      <x:c r="F679" s="69" t="str">
        <x:v>Texto→número</x:v>
      </x:c>
      <x:c r="G679" s="69" t="str">
        <x:v>Texto→número</x:v>
      </x:c>
      <x:c r="H679" s="80" t="str">
        <x:v>OK</x:v>
      </x:c>
      <x:c r="I679" s="69" t="str"/>
      <x:c r="J679" s="69"/>
      <x:c r="K679" s="82" t="n">
        <x:v>1</x:v>
      </x:c>
    </x:row>
    <x:row r="680">
      <x:c r="A680" s="76" t="n">
        <x:v>680</x:v>
      </x:c>
      <x:c r="B680" s="69" t="str">
        <x:v>1.7598611</x:v>
      </x:c>
      <x:c r="C680" s="69" t="str">
        <x:v>-76.9058333</x:v>
      </x:c>
      <x:c r="D680" s="78" t="n">
        <x:v>1.7598611</x:v>
      </x:c>
      <x:c r="E680" s="78" t="n">
        <x:v>-76.9058333</x:v>
      </x:c>
      <x:c r="F680" s="69" t="str">
        <x:v>Texto→número</x:v>
      </x:c>
      <x:c r="G680" s="69" t="str">
        <x:v>Texto→número</x:v>
      </x:c>
      <x:c r="H680" s="80" t="str">
        <x:v>OK</x:v>
      </x:c>
      <x:c r="I680" s="69" t="str"/>
      <x:c r="J680" s="69"/>
      <x:c r="K680" s="82" t="n">
        <x:v>1</x:v>
      </x:c>
    </x:row>
    <x:row r="681">
      <x:c r="A681" s="76" t="n">
        <x:v>681</x:v>
      </x:c>
      <x:c r="B681" s="69" t="str">
        <x:v>2.55</x:v>
      </x:c>
      <x:c r="C681" s="69" t="str">
        <x:v>-76.0666667</x:v>
      </x:c>
      <x:c r="D681" s="78" t="n">
        <x:v>2.55</x:v>
      </x:c>
      <x:c r="E681" s="78" t="n">
        <x:v>-76.0666667</x:v>
      </x:c>
      <x:c r="F681" s="69" t="str">
        <x:v>Texto→número</x:v>
      </x:c>
      <x:c r="G681" s="69" t="str">
        <x:v>Texto→número</x:v>
      </x:c>
      <x:c r="H681" s="80" t="str">
        <x:v>OK</x:v>
      </x:c>
      <x:c r="I681" s="69" t="str"/>
      <x:c r="J681" s="69" t="str">
        <x:v>2.55|-76.0666667</x:v>
      </x:c>
      <x:c r="K681" s="82" t="n">
        <x:v>0</x:v>
      </x:c>
    </x:row>
    <x:row r="682">
      <x:c r="A682" s="76" t="n">
        <x:v>682</x:v>
      </x:c>
      <x:c r="B682" s="69" t="str">
        <x:v>4.83538</x:v>
      </x:c>
      <x:c r="C682" s="69" t="str">
        <x:v>-76.18943</x:v>
      </x:c>
      <x:c r="D682" s="78" t="n">
        <x:v>4.83538</x:v>
      </x:c>
      <x:c r="E682" s="78" t="n">
        <x:v>-76.18943</x:v>
      </x:c>
      <x:c r="F682" s="69" t="str">
        <x:v>Texto→número</x:v>
      </x:c>
      <x:c r="G682" s="69" t="str">
        <x:v>Texto→número</x:v>
      </x:c>
      <x:c r="H682" s="80" t="str">
        <x:v>OK</x:v>
      </x:c>
      <x:c r="I682" s="69" t="str"/>
      <x:c r="J682" s="69" t="str">
        <x:v>4.83538|-76.18943</x:v>
      </x:c>
      <x:c r="K682" s="82" t="n">
        <x:v>0</x:v>
      </x:c>
    </x:row>
    <x:row r="683">
      <x:c r="A683" s="76" t="n">
        <x:v>683</x:v>
      </x:c>
      <x:c r="B683" s="69" t="str">
        <x:v>4.88201</x:v>
      </x:c>
      <x:c r="C683" s="69" t="str">
        <x:v>-76.18287</x:v>
      </x:c>
      <x:c r="D683" s="78" t="n">
        <x:v>4.88201</x:v>
      </x:c>
      <x:c r="E683" s="78" t="n">
        <x:v>-76.18287</x:v>
      </x:c>
      <x:c r="F683" s="69" t="str">
        <x:v>Texto→número</x:v>
      </x:c>
      <x:c r="G683" s="69" t="str">
        <x:v>Texto→número</x:v>
      </x:c>
      <x:c r="H683" s="80" t="str">
        <x:v>OK</x:v>
      </x:c>
      <x:c r="I683" s="69" t="str"/>
      <x:c r="J683" s="69" t="str">
        <x:v>4.88201|-76.18287</x:v>
      </x:c>
      <x:c r="K683" s="82" t="n">
        <x:v>0</x:v>
      </x:c>
    </x:row>
    <x:row r="684">
      <x:c r="A684" s="76" t="n">
        <x:v>684</x:v>
      </x:c>
      <x:c r="B684" s="69" t="str">
        <x:v>4.85951</x:v>
      </x:c>
      <x:c r="C684" s="69" t="str">
        <x:v>-74.42246</x:v>
      </x:c>
      <x:c r="D684" s="78" t="n">
        <x:v>4.85951</x:v>
      </x:c>
      <x:c r="E684" s="78" t="n">
        <x:v>-74.42246</x:v>
      </x:c>
      <x:c r="F684" s="69" t="str">
        <x:v>Texto→número</x:v>
      </x:c>
      <x:c r="G684" s="69" t="str">
        <x:v>Texto→número</x:v>
      </x:c>
      <x:c r="H684" s="80" t="str">
        <x:v>OK</x:v>
      </x:c>
      <x:c r="I684" s="69" t="str"/>
      <x:c r="J684" s="69" t="str">
        <x:v>4.85951|-74.42246</x:v>
      </x:c>
      <x:c r="K684" s="82" t="n">
        <x:v>0</x:v>
      </x:c>
    </x:row>
    <x:row r="685">
      <x:c r="A685" s="76" t="n">
        <x:v>685</x:v>
      </x:c>
      <x:c r="B685" s="69" t="str">
        <x:v>4.9428</x:v>
      </x:c>
      <x:c r="C685" s="69" t="str">
        <x:v>-74.41477</x:v>
      </x:c>
      <x:c r="D685" s="78" t="n">
        <x:v>4.9428</x:v>
      </x:c>
      <x:c r="E685" s="78" t="n">
        <x:v>-74.41477</x:v>
      </x:c>
      <x:c r="F685" s="69" t="str">
        <x:v>Texto→número</x:v>
      </x:c>
      <x:c r="G685" s="69" t="str">
        <x:v>Texto→número</x:v>
      </x:c>
      <x:c r="H685" s="80" t="str">
        <x:v>OK</x:v>
      </x:c>
      <x:c r="I685" s="69" t="str"/>
      <x:c r="J685" s="69" t="str">
        <x:v>4.9428|-74.41477</x:v>
      </x:c>
      <x:c r="K685" s="82" t="n">
        <x:v>0</x:v>
      </x:c>
    </x:row>
    <x:row r="686">
      <x:c r="A686" s="76" t="n">
        <x:v>686</x:v>
      </x:c>
      <x:c r="B686" s="69" t="str">
        <x:v>4.84652</x:v>
      </x:c>
      <x:c r="C686" s="69" t="str">
        <x:v>-73.79624</x:v>
      </x:c>
      <x:c r="D686" s="78" t="n">
        <x:v>4.84652</x:v>
      </x:c>
      <x:c r="E686" s="78" t="n">
        <x:v>-73.79624</x:v>
      </x:c>
      <x:c r="F686" s="69" t="str">
        <x:v>Texto→número</x:v>
      </x:c>
      <x:c r="G686" s="69" t="str">
        <x:v>Texto→número</x:v>
      </x:c>
      <x:c r="H686" s="80" t="str">
        <x:v>OK</x:v>
      </x:c>
      <x:c r="I686" s="69" t="str"/>
      <x:c r="J686" s="69"/>
      <x:c r="K686" s="82" t="n">
        <x:v>1</x:v>
      </x:c>
    </x:row>
    <x:row r="687">
      <x:c r="A687" s="76" t="n">
        <x:v>687</x:v>
      </x:c>
      <x:c r="B687" s="69" t="str">
        <x:v>4.67415</x:v>
      </x:c>
      <x:c r="C687" s="69" t="str">
        <x:v>-74.03844</x:v>
      </x:c>
      <x:c r="D687" s="78" t="n">
        <x:v>4.67415</x:v>
      </x:c>
      <x:c r="E687" s="78" t="n">
        <x:v>-74.03844</x:v>
      </x:c>
      <x:c r="F687" s="69" t="str">
        <x:v>Texto→número</x:v>
      </x:c>
      <x:c r="G687" s="69" t="str">
        <x:v>Texto→número</x:v>
      </x:c>
      <x:c r="H687" s="80" t="str">
        <x:v>OK</x:v>
      </x:c>
      <x:c r="I687" s="69" t="str"/>
      <x:c r="J687" s="69" t="str">
        <x:v>4.67415|-74.03844</x:v>
      </x:c>
      <x:c r="K687" s="82" t="n">
        <x:v>0</x:v>
      </x:c>
    </x:row>
    <x:row r="688">
      <x:c r="A688" s="76" t="n">
        <x:v>688</x:v>
      </x:c>
      <x:c r="B688" s="69" t="str">
        <x:v>4.11004</x:v>
      </x:c>
      <x:c r="C688" s="69" t="str">
        <x:v>-74.43547</x:v>
      </x:c>
      <x:c r="D688" s="78" t="n">
        <x:v>4.11004</x:v>
      </x:c>
      <x:c r="E688" s="78" t="n">
        <x:v>-74.43547</x:v>
      </x:c>
      <x:c r="F688" s="69" t="str">
        <x:v>Texto→número</x:v>
      </x:c>
      <x:c r="G688" s="69" t="str">
        <x:v>Texto→número</x:v>
      </x:c>
      <x:c r="H688" s="80" t="str">
        <x:v>OK</x:v>
      </x:c>
      <x:c r="I688" s="69" t="str"/>
      <x:c r="J688" s="69" t="str">
        <x:v>4.11004|-74.43547</x:v>
      </x:c>
      <x:c r="K688" s="82" t="n">
        <x:v>0</x:v>
      </x:c>
    </x:row>
    <x:row r="689">
      <x:c r="A689" s="76" t="n">
        <x:v>689</x:v>
      </x:c>
      <x:c r="B689" s="69" t="str">
        <x:v>3.96377</x:v>
      </x:c>
      <x:c r="C689" s="69" t="str">
        <x:v>-74.49804</x:v>
      </x:c>
      <x:c r="D689" s="78" t="n">
        <x:v>3.96377</x:v>
      </x:c>
      <x:c r="E689" s="78" t="n">
        <x:v>-74.49804</x:v>
      </x:c>
      <x:c r="F689" s="69" t="str">
        <x:v>Texto→número</x:v>
      </x:c>
      <x:c r="G689" s="69" t="str">
        <x:v>Texto→número</x:v>
      </x:c>
      <x:c r="H689" s="80" t="str">
        <x:v>OK</x:v>
      </x:c>
      <x:c r="I689" s="69" t="str"/>
      <x:c r="J689" s="69" t="str">
        <x:v>3.96377|-74.49804</x:v>
      </x:c>
      <x:c r="K689" s="82" t="n">
        <x:v>0</x:v>
      </x:c>
    </x:row>
    <x:row r="690">
      <x:c r="A690" s="76" t="n">
        <x:v>690</x:v>
      </x:c>
      <x:c r="B690" s="69" t="str">
        <x:v>4.99789</x:v>
      </x:c>
      <x:c r="C690" s="69" t="str">
        <x:v>-74.14903</x:v>
      </x:c>
      <x:c r="D690" s="78" t="n">
        <x:v>4.99789</x:v>
      </x:c>
      <x:c r="E690" s="78" t="n">
        <x:v>-74.14903</x:v>
      </x:c>
      <x:c r="F690" s="69" t="str">
        <x:v>Texto→número</x:v>
      </x:c>
      <x:c r="G690" s="69" t="str">
        <x:v>Texto→número</x:v>
      </x:c>
      <x:c r="H690" s="80" t="str">
        <x:v>OK</x:v>
      </x:c>
      <x:c r="I690" s="69" t="str"/>
      <x:c r="J690" s="69" t="str">
        <x:v>4.99789|-74.14903</x:v>
      </x:c>
      <x:c r="K690" s="82" t="n">
        <x:v>0</x:v>
      </x:c>
    </x:row>
    <x:row r="691">
      <x:c r="A691" s="76" t="n">
        <x:v>691</x:v>
      </x:c>
      <x:c r="B691" s="69" t="str">
        <x:v>2.21928</x:v>
      </x:c>
      <x:c r="C691" s="69" t="str">
        <x:v>-76.11453</x:v>
      </x:c>
      <x:c r="D691" s="78" t="n">
        <x:v>2.21928</x:v>
      </x:c>
      <x:c r="E691" s="78" t="n">
        <x:v>-76.11453</x:v>
      </x:c>
      <x:c r="F691" s="69" t="str">
        <x:v>Texto→número</x:v>
      </x:c>
      <x:c r="G691" s="69" t="str">
        <x:v>Texto→número</x:v>
      </x:c>
      <x:c r="H691" s="80" t="str">
        <x:v>OK</x:v>
      </x:c>
      <x:c r="I691" s="69" t="str"/>
      <x:c r="J691" s="69"/>
      <x:c r="K691" s="82" t="n">
        <x:v>1</x:v>
      </x:c>
    </x:row>
    <x:row r="692">
      <x:c r="A692" s="76" t="n">
        <x:v>692</x:v>
      </x:c>
      <x:c r="B692" s="69" t="str">
        <x:v>2.3971694</x:v>
      </x:c>
      <x:c r="C692" s="69" t="str">
        <x:v>-75.8931806</x:v>
      </x:c>
      <x:c r="D692" s="78" t="n">
        <x:v>2.3971694</x:v>
      </x:c>
      <x:c r="E692" s="78" t="n">
        <x:v>-75.8931806</x:v>
      </x:c>
      <x:c r="F692" s="69" t="str">
        <x:v>Texto→número</x:v>
      </x:c>
      <x:c r="G692" s="69" t="str">
        <x:v>Texto→número</x:v>
      </x:c>
      <x:c r="H692" s="80" t="str">
        <x:v>OK</x:v>
      </x:c>
      <x:c r="I692" s="69" t="str"/>
      <x:c r="J692" s="69" t="str">
        <x:v>2.3971694|-75.8931806</x:v>
      </x:c>
      <x:c r="K692" s="82" t="n">
        <x:v>0</x:v>
      </x:c>
    </x:row>
    <x:row r="693">
      <x:c r="A693" s="76" t="n">
        <x:v>693</x:v>
      </x:c>
      <x:c r="B693" s="69" t="str">
        <x:v>1.74723</x:v>
      </x:c>
      <x:c r="C693" s="69" t="str">
        <x:v>-75.98338</x:v>
      </x:c>
      <x:c r="D693" s="78" t="n">
        <x:v>1.74723</x:v>
      </x:c>
      <x:c r="E693" s="78" t="n">
        <x:v>-75.98338</x:v>
      </x:c>
      <x:c r="F693" s="69" t="str">
        <x:v>Texto→número</x:v>
      </x:c>
      <x:c r="G693" s="69" t="str">
        <x:v>Texto→número</x:v>
      </x:c>
      <x:c r="H693" s="80" t="str">
        <x:v>OK</x:v>
      </x:c>
      <x:c r="I693" s="69" t="str"/>
      <x:c r="J693" s="69" t="str">
        <x:v>1.74723|-75.98338</x:v>
      </x:c>
      <x:c r="K693" s="82" t="n">
        <x:v>0</x:v>
      </x:c>
    </x:row>
    <x:row r="694">
      <x:c r="A694" s="76" t="n">
        <x:v>694</x:v>
      </x:c>
      <x:c r="B694" s="69" t="str">
        <x:v>2.21863</x:v>
      </x:c>
      <x:c r="C694" s="69" t="str">
        <x:v>-75.93424</x:v>
      </x:c>
      <x:c r="D694" s="78" t="n">
        <x:v>2.21863</x:v>
      </x:c>
      <x:c r="E694" s="78" t="n">
        <x:v>-75.93424</x:v>
      </x:c>
      <x:c r="F694" s="69" t="str">
        <x:v>Texto→número</x:v>
      </x:c>
      <x:c r="G694" s="69" t="str">
        <x:v>Texto→número</x:v>
      </x:c>
      <x:c r="H694" s="80" t="str">
        <x:v>OK</x:v>
      </x:c>
      <x:c r="I694" s="69" t="str"/>
      <x:c r="J694" s="69" t="str">
        <x:v>2.21863|-75.93424</x:v>
      </x:c>
      <x:c r="K694" s="82" t="n">
        <x:v>0</x:v>
      </x:c>
    </x:row>
    <x:row r="695">
      <x:c r="A695" s="76" t="n">
        <x:v>695</x:v>
      </x:c>
      <x:c r="B695" s="69" t="str">
        <x:v>2.21928</x:v>
      </x:c>
      <x:c r="C695" s="69" t="str">
        <x:v>-76.11453</x:v>
      </x:c>
      <x:c r="D695" s="78" t="n">
        <x:v>2.21928</x:v>
      </x:c>
      <x:c r="E695" s="78" t="n">
        <x:v>-76.11453</x:v>
      </x:c>
      <x:c r="F695" s="69" t="str">
        <x:v>Texto→número</x:v>
      </x:c>
      <x:c r="G695" s="69" t="str">
        <x:v>Texto→número</x:v>
      </x:c>
      <x:c r="H695" s="80" t="str">
        <x:v>OK</x:v>
      </x:c>
      <x:c r="I695" s="69" t="str"/>
      <x:c r="J695" s="69"/>
      <x:c r="K695" s="82" t="n">
        <x:v>1</x:v>
      </x:c>
    </x:row>
    <x:row r="696">
      <x:c r="A696" s="76" t="n">
        <x:v>696</x:v>
      </x:c>
      <x:c r="B696" s="69" t="str">
        <x:v>1.8767333</x:v>
      </x:c>
      <x:c r="C696" s="69" t="str">
        <x:v>-76.2681861</x:v>
      </x:c>
      <x:c r="D696" s="78" t="n">
        <x:v>1.8767333</x:v>
      </x:c>
      <x:c r="E696" s="78" t="n">
        <x:v>-76.2681861</x:v>
      </x:c>
      <x:c r="F696" s="69" t="str">
        <x:v>Texto→número</x:v>
      </x:c>
      <x:c r="G696" s="69" t="str">
        <x:v>Texto→número</x:v>
      </x:c>
      <x:c r="H696" s="80" t="str">
        <x:v>OK</x:v>
      </x:c>
      <x:c r="I696" s="69" t="str"/>
      <x:c r="J696" s="69"/>
      <x:c r="K696" s="82" t="n">
        <x:v>1</x:v>
      </x:c>
    </x:row>
    <x:row r="697">
      <x:c r="A697" s="76" t="n">
        <x:v>697</x:v>
      </x:c>
      <x:c r="B697" s="69" t="str">
        <x:v>2.5451222</x:v>
      </x:c>
      <x:c r="C697" s="69" t="str">
        <x:v>-75.8083611</x:v>
      </x:c>
      <x:c r="D697" s="78" t="n">
        <x:v>2.5451222</x:v>
      </x:c>
      <x:c r="E697" s="78" t="n">
        <x:v>-75.8083611</x:v>
      </x:c>
      <x:c r="F697" s="69" t="str">
        <x:v>Texto→número</x:v>
      </x:c>
      <x:c r="G697" s="69" t="str">
        <x:v>Texto→número</x:v>
      </x:c>
      <x:c r="H697" s="80" t="str">
        <x:v>OK</x:v>
      </x:c>
      <x:c r="I697" s="69" t="str"/>
      <x:c r="J697" s="69" t="str">
        <x:v>2.5451222|-75.8083611</x:v>
      </x:c>
      <x:c r="K697" s="82" t="n">
        <x:v>0</x:v>
      </x:c>
    </x:row>
    <x:row r="698">
      <x:c r="A698" s="76" t="n">
        <x:v>698</x:v>
      </x:c>
      <x:c r="B698" s="69" t="str">
        <x:v>2.5451222</x:v>
      </x:c>
      <x:c r="C698" s="69" t="str">
        <x:v>-75.8083611</x:v>
      </x:c>
      <x:c r="D698" s="78" t="n">
        <x:v>2.5451222</x:v>
      </x:c>
      <x:c r="E698" s="78" t="n">
        <x:v>-75.8083611</x:v>
      </x:c>
      <x:c r="F698" s="69" t="str">
        <x:v>Texto→número</x:v>
      </x:c>
      <x:c r="G698" s="69" t="str">
        <x:v>Texto→número</x:v>
      </x:c>
      <x:c r="H698" s="80" t="str">
        <x:v>OK</x:v>
      </x:c>
      <x:c r="I698" s="69" t="str"/>
      <x:c r="J698" s="69"/>
      <x:c r="K698" s="82" t="n">
        <x:v>1</x:v>
      </x:c>
    </x:row>
    <x:row r="699">
      <x:c r="A699" s="76" t="n">
        <x:v>699</x:v>
      </x:c>
      <x:c r="B699" s="69" t="str">
        <x:v>1.9849861</x:v>
      </x:c>
      <x:c r="C699" s="69" t="str">
        <x:v>-76.2855028</x:v>
      </x:c>
      <x:c r="D699" s="78" t="n">
        <x:v>1.9849861</x:v>
      </x:c>
      <x:c r="E699" s="78" t="n">
        <x:v>-76.2855028</x:v>
      </x:c>
      <x:c r="F699" s="69" t="str">
        <x:v>Texto→número</x:v>
      </x:c>
      <x:c r="G699" s="69" t="str">
        <x:v>Texto→número</x:v>
      </x:c>
      <x:c r="H699" s="80" t="str">
        <x:v>OK</x:v>
      </x:c>
      <x:c r="I699" s="69" t="str"/>
      <x:c r="J699" s="69"/>
      <x:c r="K699" s="82" t="n">
        <x:v>1</x:v>
      </x:c>
    </x:row>
    <x:row r="700">
      <x:c r="A700" s="76" t="n">
        <x:v>700</x:v>
      </x:c>
      <x:c r="B700" s="69" t="str">
        <x:v>1.7689806</x:v>
      </x:c>
      <x:c r="C700" s="69" t="str">
        <x:v>-76.0187333</x:v>
      </x:c>
      <x:c r="D700" s="78" t="n">
        <x:v>1.7689806</x:v>
      </x:c>
      <x:c r="E700" s="78" t="n">
        <x:v>-76.0187333</x:v>
      </x:c>
      <x:c r="F700" s="69" t="str">
        <x:v>Texto→número</x:v>
      </x:c>
      <x:c r="G700" s="69" t="str">
        <x:v>Texto→número</x:v>
      </x:c>
      <x:c r="H700" s="80" t="str">
        <x:v>OK</x:v>
      </x:c>
      <x:c r="I700" s="69" t="str"/>
      <x:c r="J700" s="69"/>
      <x:c r="K700" s="82" t="n">
        <x:v>1</x:v>
      </x:c>
    </x:row>
    <x:row r="701">
      <x:c r="A701" s="76" t="n">
        <x:v>701</x:v>
      </x:c>
      <x:c r="B701" s="69" t="str">
        <x:v>2.80854</x:v>
      </x:c>
      <x:c r="C701" s="69" t="str">
        <x:v>-75.05777</x:v>
      </x:c>
      <x:c r="D701" s="78" t="n">
        <x:v>2.80854</x:v>
      </x:c>
      <x:c r="E701" s="78" t="n">
        <x:v>-75.05777</x:v>
      </x:c>
      <x:c r="F701" s="69" t="str">
        <x:v>Texto→número</x:v>
      </x:c>
      <x:c r="G701" s="69" t="str">
        <x:v>Texto→número</x:v>
      </x:c>
      <x:c r="H701" s="80" t="str">
        <x:v>OK</x:v>
      </x:c>
      <x:c r="I701" s="69" t="str"/>
      <x:c r="J701" s="69" t="str">
        <x:v>2.80854|-75.05777</x:v>
      </x:c>
      <x:c r="K701" s="82" t="n">
        <x:v>0</x:v>
      </x:c>
    </x:row>
    <x:row r="702">
      <x:c r="A702" s="76" t="n">
        <x:v>702</x:v>
      </x:c>
      <x:c r="B702" s="69" t="str">
        <x:v>2.6904806</x:v>
      </x:c>
      <x:c r="C702" s="69" t="str">
        <x:v>-75.3282694</x:v>
      </x:c>
      <x:c r="D702" s="78" t="n">
        <x:v>2.6904806</x:v>
      </x:c>
      <x:c r="E702" s="78" t="n">
        <x:v>-75.3282694</x:v>
      </x:c>
      <x:c r="F702" s="69" t="str">
        <x:v>Texto→número</x:v>
      </x:c>
      <x:c r="G702" s="69" t="str">
        <x:v>Texto→número</x:v>
      </x:c>
      <x:c r="H702" s="80" t="str">
        <x:v>OK</x:v>
      </x:c>
      <x:c r="I702" s="69" t="str"/>
      <x:c r="J702" s="69" t="str">
        <x:v>2.6904806|-75.3282694</x:v>
      </x:c>
      <x:c r="K702" s="82" t="n">
        <x:v>0</x:v>
      </x:c>
    </x:row>
    <x:row r="703">
      <x:c r="A703" s="76" t="n">
        <x:v>703</x:v>
      </x:c>
      <x:c r="B703" s="69" t="str">
        <x:v>1.6010056</x:v>
      </x:c>
      <x:c r="C703" s="69" t="str">
        <x:v>-76.9715083</x:v>
      </x:c>
      <x:c r="D703" s="78" t="n">
        <x:v>1.6010056</x:v>
      </x:c>
      <x:c r="E703" s="78" t="n">
        <x:v>-76.9715083</x:v>
      </x:c>
      <x:c r="F703" s="69" t="str">
        <x:v>Texto→número</x:v>
      </x:c>
      <x:c r="G703" s="69" t="str">
        <x:v>Texto→número</x:v>
      </x:c>
      <x:c r="H703" s="80" t="str">
        <x:v>OK</x:v>
      </x:c>
      <x:c r="I703" s="69" t="str"/>
      <x:c r="J703" s="69" t="str">
        <x:v>1.6010056|-76.9715083</x:v>
      </x:c>
      <x:c r="K703" s="82" t="n">
        <x:v>0</x:v>
      </x:c>
    </x:row>
    <x:row r="704">
      <x:c r="A704" s="76" t="n">
        <x:v>704</x:v>
      </x:c>
      <x:c r="B704" s="69" t="str">
        <x:v>10.00286</x:v>
      </x:c>
      <x:c r="C704" s="69" t="str">
        <x:v>-73.01576</x:v>
      </x:c>
      <x:c r="D704" s="78" t="n">
        <x:v>10.00286</x:v>
      </x:c>
      <x:c r="E704" s="78" t="n">
        <x:v>-73.01576</x:v>
      </x:c>
      <x:c r="F704" s="69" t="str">
        <x:v>Texto→número</x:v>
      </x:c>
      <x:c r="G704" s="69" t="str">
        <x:v>Texto→número</x:v>
      </x:c>
      <x:c r="H704" s="80" t="str">
        <x:v>OK</x:v>
      </x:c>
      <x:c r="I704" s="69" t="str"/>
      <x:c r="J704" s="69" t="str">
        <x:v>10.00286|-73.01576</x:v>
      </x:c>
      <x:c r="K704" s="82" t="n">
        <x:v>0</x:v>
      </x:c>
    </x:row>
    <x:row r="705">
      <x:c r="A705" s="76" t="n">
        <x:v>705</x:v>
      </x:c>
      <x:c r="B705" s="69" t="str">
        <x:v>10.8833333</x:v>
      </x:c>
      <x:c r="C705" s="69" t="str">
        <x:v>-74.0166667</x:v>
      </x:c>
      <x:c r="D705" s="78" t="n">
        <x:v>10.8833333</x:v>
      </x:c>
      <x:c r="E705" s="78" t="n">
        <x:v>-74.0166667</x:v>
      </x:c>
      <x:c r="F705" s="69" t="str">
        <x:v>Texto→número</x:v>
      </x:c>
      <x:c r="G705" s="69" t="str">
        <x:v>Texto→número</x:v>
      </x:c>
      <x:c r="H705" s="80" t="str">
        <x:v>OK</x:v>
      </x:c>
      <x:c r="I705" s="69" t="str"/>
      <x:c r="J705" s="69" t="str">
        <x:v>10.8833333|-74.0166667</x:v>
      </x:c>
      <x:c r="K705" s="82" t="n">
        <x:v>0</x:v>
      </x:c>
    </x:row>
    <x:row r="706">
      <x:c r="A706" s="76" t="n">
        <x:v>706</x:v>
      </x:c>
      <x:c r="B706" s="69" t="str">
        <x:v>10.9833333</x:v>
      </x:c>
      <x:c r="C706" s="69" t="str">
        <x:v>-73.9833333</x:v>
      </x:c>
      <x:c r="D706" s="78" t="n">
        <x:v>10.9833333</x:v>
      </x:c>
      <x:c r="E706" s="78" t="n">
        <x:v>-73.9833333</x:v>
      </x:c>
      <x:c r="F706" s="69" t="str">
        <x:v>Texto→número</x:v>
      </x:c>
      <x:c r="G706" s="69" t="str">
        <x:v>Texto→número</x:v>
      </x:c>
      <x:c r="H706" s="80" t="str">
        <x:v>OK</x:v>
      </x:c>
      <x:c r="I706" s="69" t="str"/>
      <x:c r="J706" s="69" t="str">
        <x:v>10.9833333|-73.9833333</x:v>
      </x:c>
      <x:c r="K706" s="82" t="n">
        <x:v>0</x:v>
      </x:c>
    </x:row>
    <x:row r="707">
      <x:c r="A707" s="76" t="n">
        <x:v>707</x:v>
      </x:c>
      <x:c r="B707" s="69" t="str">
        <x:v>10.9166</x:v>
      </x:c>
      <x:c r="C707" s="69" t="str">
        <x:v>-73.83329</x:v>
      </x:c>
      <x:c r="D707" s="78" t="n">
        <x:v>10.9166</x:v>
      </x:c>
      <x:c r="E707" s="78" t="n">
        <x:v>-73.83329</x:v>
      </x:c>
      <x:c r="F707" s="69" t="str">
        <x:v>Texto→número</x:v>
      </x:c>
      <x:c r="G707" s="69" t="str">
        <x:v>Texto→número</x:v>
      </x:c>
      <x:c r="H707" s="80" t="str">
        <x:v>OK</x:v>
      </x:c>
      <x:c r="I707" s="69" t="str"/>
      <x:c r="J707" s="69"/>
      <x:c r="K707" s="82" t="n">
        <x:v>1</x:v>
      </x:c>
    </x:row>
    <x:row r="708">
      <x:c r="A708" s="76" t="n">
        <x:v>708</x:v>
      </x:c>
      <x:c r="B708" s="69" t="str">
        <x:v>5.02952</x:v>
      </x:c>
      <x:c r="C708" s="69" t="str">
        <x:v>-75.43439</x:v>
      </x:c>
      <x:c r="D708" s="78" t="n">
        <x:v>5.02952</x:v>
      </x:c>
      <x:c r="E708" s="78" t="n">
        <x:v>-75.43439</x:v>
      </x:c>
      <x:c r="F708" s="69" t="str">
        <x:v>Texto→número</x:v>
      </x:c>
      <x:c r="G708" s="69" t="str">
        <x:v>Texto→número</x:v>
      </x:c>
      <x:c r="H708" s="80" t="str">
        <x:v>OK</x:v>
      </x:c>
      <x:c r="I708" s="69" t="str"/>
      <x:c r="J708" s="69" t="str">
        <x:v>5.02952|-75.43439</x:v>
      </x:c>
      <x:c r="K708" s="82" t="n">
        <x:v>0</x:v>
      </x:c>
    </x:row>
    <x:row r="709">
      <x:c r="A709" s="76" t="n">
        <x:v>709</x:v>
      </x:c>
      <x:c r="B709" s="69" t="str">
        <x:v>4.11235</x:v>
      </x:c>
      <x:c r="C709" s="69" t="str">
        <x:v>-73.76649</x:v>
      </x:c>
      <x:c r="D709" s="78" t="n">
        <x:v>4.11235</x:v>
      </x:c>
      <x:c r="E709" s="78" t="n">
        <x:v>-73.76649</x:v>
      </x:c>
      <x:c r="F709" s="69" t="str">
        <x:v>Texto→número</x:v>
      </x:c>
      <x:c r="G709" s="69" t="str">
        <x:v>Texto→número</x:v>
      </x:c>
      <x:c r="H709" s="80" t="str">
        <x:v>OK</x:v>
      </x:c>
      <x:c r="I709" s="69" t="str"/>
      <x:c r="J709" s="69" t="str">
        <x:v>4.11235|-73.76649</x:v>
      </x:c>
      <x:c r="K709" s="82" t="n">
        <x:v>0</x:v>
      </x:c>
    </x:row>
    <x:row r="710">
      <x:c r="A710" s="76" t="n">
        <x:v>710</x:v>
      </x:c>
      <x:c r="B710" s="69" t="str">
        <x:v>4.08481</x:v>
      </x:c>
      <x:c r="C710" s="69" t="str">
        <x:v>-73.76841</x:v>
      </x:c>
      <x:c r="D710" s="78" t="n">
        <x:v>4.08481</x:v>
      </x:c>
      <x:c r="E710" s="78" t="n">
        <x:v>-73.76841</x:v>
      </x:c>
      <x:c r="F710" s="69" t="str">
        <x:v>Texto→número</x:v>
      </x:c>
      <x:c r="G710" s="69" t="str">
        <x:v>Texto→número</x:v>
      </x:c>
      <x:c r="H710" s="80" t="str">
        <x:v>OK</x:v>
      </x:c>
      <x:c r="I710" s="69" t="str"/>
      <x:c r="J710" s="69" t="str">
        <x:v>4.08481|-73.76841</x:v>
      </x:c>
      <x:c r="K710" s="82" t="n">
        <x:v>0</x:v>
      </x:c>
    </x:row>
    <x:row r="711">
      <x:c r="A711" s="76" t="n">
        <x:v>711</x:v>
      </x:c>
      <x:c r="B711" s="69" t="str">
        <x:v>2.9627</x:v>
      </x:c>
      <x:c r="C711" s="69" t="str">
        <x:v>-73.88673</x:v>
      </x:c>
      <x:c r="D711" s="78" t="n">
        <x:v>2.9627</x:v>
      </x:c>
      <x:c r="E711" s="78" t="n">
        <x:v>-73.88673</x:v>
      </x:c>
      <x:c r="F711" s="69" t="str">
        <x:v>Texto→número</x:v>
      </x:c>
      <x:c r="G711" s="69" t="str">
        <x:v>Texto→número</x:v>
      </x:c>
      <x:c r="H711" s="80" t="str">
        <x:v>OK</x:v>
      </x:c>
      <x:c r="I711" s="69" t="str"/>
      <x:c r="J711" s="69"/>
      <x:c r="K711" s="82" t="n">
        <x:v>1</x:v>
      </x:c>
    </x:row>
    <x:row r="712">
      <x:c r="A712" s="76" t="n">
        <x:v>712</x:v>
      </x:c>
      <x:c r="B712" s="69" t="str">
        <x:v>4.02519</x:v>
      </x:c>
      <x:c r="C712" s="69" t="str">
        <x:v>-73.8265</x:v>
      </x:c>
      <x:c r="D712" s="78" t="n">
        <x:v>4.02519</x:v>
      </x:c>
      <x:c r="E712" s="78" t="n">
        <x:v>-73.8265</x:v>
      </x:c>
      <x:c r="F712" s="69" t="str">
        <x:v>Texto→número</x:v>
      </x:c>
      <x:c r="G712" s="69" t="str">
        <x:v>Texto→número</x:v>
      </x:c>
      <x:c r="H712" s="80" t="str">
        <x:v>OK</x:v>
      </x:c>
      <x:c r="I712" s="69" t="str"/>
      <x:c r="J712" s="69" t="str">
        <x:v>4.02519|-73.8265</x:v>
      </x:c>
      <x:c r="K712" s="82" t="n">
        <x:v>0</x:v>
      </x:c>
    </x:row>
    <x:row r="713">
      <x:c r="A713" s="76" t="n">
        <x:v>713</x:v>
      </x:c>
      <x:c r="B713" s="69" t="str">
        <x:v>4.02519</x:v>
      </x:c>
      <x:c r="C713" s="69" t="str">
        <x:v>-73.8265</x:v>
      </x:c>
      <x:c r="D713" s="78" t="n">
        <x:v>4.02519</x:v>
      </x:c>
      <x:c r="E713" s="78" t="n">
        <x:v>-73.8265</x:v>
      </x:c>
      <x:c r="F713" s="69" t="str">
        <x:v>Texto→número</x:v>
      </x:c>
      <x:c r="G713" s="69" t="str">
        <x:v>Texto→número</x:v>
      </x:c>
      <x:c r="H713" s="80" t="str">
        <x:v>OK</x:v>
      </x:c>
      <x:c r="I713" s="69" t="str"/>
      <x:c r="J713" s="69"/>
      <x:c r="K713" s="82" t="n">
        <x:v>1</x:v>
      </x:c>
    </x:row>
    <x:row r="714">
      <x:c r="A714" s="76" t="n">
        <x:v>714</x:v>
      </x:c>
      <x:c r="B714" s="69" t="str">
        <x:v>1.2136917</x:v>
      </x:c>
      <x:c r="C714" s="69" t="str">
        <x:v>-77.2726361</x:v>
      </x:c>
      <x:c r="D714" s="78" t="n">
        <x:v>1.2136917</x:v>
      </x:c>
      <x:c r="E714" s="78" t="n">
        <x:v>-77.2726361</x:v>
      </x:c>
      <x:c r="F714" s="69" t="str">
        <x:v>Texto→número</x:v>
      </x:c>
      <x:c r="G714" s="69" t="str">
        <x:v>Texto→número</x:v>
      </x:c>
      <x:c r="H714" s="80" t="str">
        <x:v>OK</x:v>
      </x:c>
      <x:c r="I714" s="69" t="str"/>
      <x:c r="J714" s="69"/>
      <x:c r="K714" s="82" t="n">
        <x:v>1</x:v>
      </x:c>
    </x:row>
    <x:row r="715">
      <x:c r="A715" s="76" t="n">
        <x:v>715</x:v>
      </x:c>
      <x:c r="B715" s="69" t="str">
        <x:v>0.8217611</x:v>
      </x:c>
      <x:c r="C715" s="69" t="str">
        <x:v>-77.6416778</x:v>
      </x:c>
      <x:c r="D715" s="78" t="n">
        <x:v>0.8217611</x:v>
      </x:c>
      <x:c r="E715" s="78" t="n">
        <x:v>-77.6416778</x:v>
      </x:c>
      <x:c r="F715" s="69" t="str">
        <x:v>Texto→número</x:v>
      </x:c>
      <x:c r="G715" s="69" t="str">
        <x:v>Texto→número</x:v>
      </x:c>
      <x:c r="H715" s="80" t="str">
        <x:v>OK</x:v>
      </x:c>
      <x:c r="I715" s="69" t="str"/>
      <x:c r="J715" s="69" t="str">
        <x:v>0.8217611|-77.6416778</x:v>
      </x:c>
      <x:c r="K715" s="82" t="n">
        <x:v>0</x:v>
      </x:c>
    </x:row>
    <x:row r="716">
      <x:c r="A716" s="76" t="n">
        <x:v>716</x:v>
      </x:c>
      <x:c r="B716" s="69" t="str">
        <x:v>0.8217611</x:v>
      </x:c>
      <x:c r="C716" s="69" t="str">
        <x:v>-77.6416778</x:v>
      </x:c>
      <x:c r="D716" s="78" t="n">
        <x:v>0.8217611</x:v>
      </x:c>
      <x:c r="E716" s="78" t="n">
        <x:v>-77.6416778</x:v>
      </x:c>
      <x:c r="F716" s="69" t="str">
        <x:v>Texto→número</x:v>
      </x:c>
      <x:c r="G716" s="69" t="str">
        <x:v>Texto→número</x:v>
      </x:c>
      <x:c r="H716" s="80" t="str">
        <x:v>OK</x:v>
      </x:c>
      <x:c r="I716" s="69" t="str"/>
      <x:c r="J716" s="69"/>
      <x:c r="K716" s="82" t="n">
        <x:v>1</x:v>
      </x:c>
    </x:row>
    <x:row r="717">
      <x:c r="A717" s="76" t="n">
        <x:v>717</x:v>
      </x:c>
      <x:c r="B717" s="69" t="str">
        <x:v>0.8217611</x:v>
      </x:c>
      <x:c r="C717" s="69" t="str">
        <x:v>-77.6416778</x:v>
      </x:c>
      <x:c r="D717" s="78" t="n">
        <x:v>0.8217611</x:v>
      </x:c>
      <x:c r="E717" s="78" t="n">
        <x:v>-77.6416778</x:v>
      </x:c>
      <x:c r="F717" s="69" t="str">
        <x:v>Texto→número</x:v>
      </x:c>
      <x:c r="G717" s="69" t="str">
        <x:v>Texto→número</x:v>
      </x:c>
      <x:c r="H717" s="80" t="str">
        <x:v>OK</x:v>
      </x:c>
      <x:c r="I717" s="69" t="str"/>
      <x:c r="J717" s="69"/>
      <x:c r="K717" s="82" t="n">
        <x:v>1</x:v>
      </x:c>
    </x:row>
    <x:row r="718">
      <x:c r="A718" s="76" t="n">
        <x:v>718</x:v>
      </x:c>
      <x:c r="B718" s="69" t="str">
        <x:v>1.12957</x:v>
      </x:c>
      <x:c r="C718" s="69" t="str">
        <x:v>-77.14944</x:v>
      </x:c>
      <x:c r="D718" s="78" t="n">
        <x:v>1.12957</x:v>
      </x:c>
      <x:c r="E718" s="78" t="n">
        <x:v>-77.14944</x:v>
      </x:c>
      <x:c r="F718" s="69" t="str">
        <x:v>Texto→número</x:v>
      </x:c>
      <x:c r="G718" s="69" t="str">
        <x:v>Texto→número</x:v>
      </x:c>
      <x:c r="H718" s="80" t="str">
        <x:v>OK</x:v>
      </x:c>
      <x:c r="I718" s="69" t="str"/>
      <x:c r="J718" s="69" t="str">
        <x:v>1.12957|-77.14944</x:v>
      </x:c>
      <x:c r="K718" s="82" t="n">
        <x:v>0</x:v>
      </x:c>
    </x:row>
    <x:row r="719">
      <x:c r="A719" s="76" t="n">
        <x:v>719</x:v>
      </x:c>
      <x:c r="B719" s="69" t="str">
        <x:v>1.12957</x:v>
      </x:c>
      <x:c r="C719" s="69" t="str">
        <x:v>-77.14944</x:v>
      </x:c>
      <x:c r="D719" s="78" t="n">
        <x:v>1.12957</x:v>
      </x:c>
      <x:c r="E719" s="78" t="n">
        <x:v>-77.14944</x:v>
      </x:c>
      <x:c r="F719" s="69" t="str">
        <x:v>Texto→número</x:v>
      </x:c>
      <x:c r="G719" s="69" t="str">
        <x:v>Texto→número</x:v>
      </x:c>
      <x:c r="H719" s="80" t="str">
        <x:v>OK</x:v>
      </x:c>
      <x:c r="I719" s="69" t="str"/>
      <x:c r="J719" s="69"/>
      <x:c r="K719" s="82" t="n">
        <x:v>1</x:v>
      </x:c>
    </x:row>
    <x:row r="720">
      <x:c r="A720" s="76" t="n">
        <x:v>720</x:v>
      </x:c>
      <x:c r="B720" s="69" t="str">
        <x:v>1.12957</x:v>
      </x:c>
      <x:c r="C720" s="69" t="str">
        <x:v>-77.14944</x:v>
      </x:c>
      <x:c r="D720" s="78" t="n">
        <x:v>1.12957</x:v>
      </x:c>
      <x:c r="E720" s="78" t="n">
        <x:v>-77.14944</x:v>
      </x:c>
      <x:c r="F720" s="69" t="str">
        <x:v>Texto→número</x:v>
      </x:c>
      <x:c r="G720" s="69" t="str">
        <x:v>Texto→número</x:v>
      </x:c>
      <x:c r="H720" s="80" t="str">
        <x:v>OK</x:v>
      </x:c>
      <x:c r="I720" s="69" t="str"/>
      <x:c r="J720" s="69"/>
      <x:c r="K720" s="82" t="n">
        <x:v>1</x:v>
      </x:c>
    </x:row>
    <x:row r="721">
      <x:c r="A721" s="76" t="n">
        <x:v>721</x:v>
      </x:c>
      <x:c r="B721" s="69" t="str">
        <x:v>1.12957</x:v>
      </x:c>
      <x:c r="C721" s="69" t="str">
        <x:v>-77.14944</x:v>
      </x:c>
      <x:c r="D721" s="78" t="n">
        <x:v>1.12957</x:v>
      </x:c>
      <x:c r="E721" s="78" t="n">
        <x:v>-77.14944</x:v>
      </x:c>
      <x:c r="F721" s="69" t="str">
        <x:v>Texto→número</x:v>
      </x:c>
      <x:c r="G721" s="69" t="str">
        <x:v>Texto→número</x:v>
      </x:c>
      <x:c r="H721" s="80" t="str">
        <x:v>OK</x:v>
      </x:c>
      <x:c r="I721" s="69" t="str"/>
      <x:c r="J721" s="69"/>
      <x:c r="K721" s="82" t="n">
        <x:v>1</x:v>
      </x:c>
    </x:row>
    <x:row r="722">
      <x:c r="A722" s="76" t="n">
        <x:v>722</x:v>
      </x:c>
      <x:c r="B722" s="69" t="str">
        <x:v>1.12957</x:v>
      </x:c>
      <x:c r="C722" s="69" t="str">
        <x:v>-77.14944</x:v>
      </x:c>
      <x:c r="D722" s="78" t="n">
        <x:v>1.12957</x:v>
      </x:c>
      <x:c r="E722" s="78" t="n">
        <x:v>-77.14944</x:v>
      </x:c>
      <x:c r="F722" s="69" t="str">
        <x:v>Texto→número</x:v>
      </x:c>
      <x:c r="G722" s="69" t="str">
        <x:v>Texto→número</x:v>
      </x:c>
      <x:c r="H722" s="80" t="str">
        <x:v>OK</x:v>
      </x:c>
      <x:c r="I722" s="69" t="str"/>
      <x:c r="J722" s="69"/>
      <x:c r="K722" s="82" t="n">
        <x:v>1</x:v>
      </x:c>
    </x:row>
    <x:row r="723">
      <x:c r="A723" s="76" t="n">
        <x:v>723</x:v>
      </x:c>
      <x:c r="B723" s="69" t="str">
        <x:v>1.12957</x:v>
      </x:c>
      <x:c r="C723" s="69" t="str">
        <x:v>-77.14944</x:v>
      </x:c>
      <x:c r="D723" s="78" t="n">
        <x:v>1.12957</x:v>
      </x:c>
      <x:c r="E723" s="78" t="n">
        <x:v>-77.14944</x:v>
      </x:c>
      <x:c r="F723" s="69" t="str">
        <x:v>Texto→número</x:v>
      </x:c>
      <x:c r="G723" s="69" t="str">
        <x:v>Texto→número</x:v>
      </x:c>
      <x:c r="H723" s="80" t="str">
        <x:v>OK</x:v>
      </x:c>
      <x:c r="I723" s="69" t="str"/>
      <x:c r="J723" s="69"/>
      <x:c r="K723" s="82" t="n">
        <x:v>1</x:v>
      </x:c>
    </x:row>
    <x:row r="724">
      <x:c r="A724" s="76" t="n">
        <x:v>724</x:v>
      </x:c>
      <x:c r="B724" s="69" t="str">
        <x:v>1.6051556</x:v>
      </x:c>
      <x:c r="C724" s="69" t="str">
        <x:v>-77.1336361</x:v>
      </x:c>
      <x:c r="D724" s="78" t="n">
        <x:v>1.6051556</x:v>
      </x:c>
      <x:c r="E724" s="78" t="n">
        <x:v>-77.1336361</x:v>
      </x:c>
      <x:c r="F724" s="69" t="str">
        <x:v>Texto→número</x:v>
      </x:c>
      <x:c r="G724" s="69" t="str">
        <x:v>Texto→número</x:v>
      </x:c>
      <x:c r="H724" s="80" t="str">
        <x:v>OK</x:v>
      </x:c>
      <x:c r="I724" s="69" t="str"/>
      <x:c r="J724" s="69" t="str">
        <x:v>1.6051556|-77.1336361</x:v>
      </x:c>
      <x:c r="K724" s="82" t="n">
        <x:v>0</x:v>
      </x:c>
    </x:row>
    <x:row r="725">
      <x:c r="A725" s="76" t="n">
        <x:v>725</x:v>
      </x:c>
      <x:c r="B725" s="69" t="str">
        <x:v>1.32669</x:v>
      </x:c>
      <x:c r="C725" s="69" t="str">
        <x:v>-77.25978</x:v>
      </x:c>
      <x:c r="D725" s="78" t="n">
        <x:v>1.32669</x:v>
      </x:c>
      <x:c r="E725" s="78" t="n">
        <x:v>-77.25978</x:v>
      </x:c>
      <x:c r="F725" s="69" t="str">
        <x:v>Texto→número</x:v>
      </x:c>
      <x:c r="G725" s="69" t="str">
        <x:v>Texto→número</x:v>
      </x:c>
      <x:c r="H725" s="80" t="str">
        <x:v>OK</x:v>
      </x:c>
      <x:c r="I725" s="69" t="str"/>
      <x:c r="J725" s="69" t="str">
        <x:v>1.32669|-77.25978</x:v>
      </x:c>
      <x:c r="K725" s="82" t="n">
        <x:v>0</x:v>
      </x:c>
    </x:row>
    <x:row r="726">
      <x:c r="A726" s="76" t="n">
        <x:v>726</x:v>
      </x:c>
      <x:c r="B726" s="69" t="str">
        <x:v>1.2862778</x:v>
      </x:c>
      <x:c r="C726" s="69" t="str">
        <x:v>-77.4710528</x:v>
      </x:c>
      <x:c r="D726" s="78" t="n">
        <x:v>1.2862778</x:v>
      </x:c>
      <x:c r="E726" s="78" t="n">
        <x:v>-77.4710528</x:v>
      </x:c>
      <x:c r="F726" s="69" t="str">
        <x:v>Texto→número</x:v>
      </x:c>
      <x:c r="G726" s="69" t="str">
        <x:v>Texto→número</x:v>
      </x:c>
      <x:c r="H726" s="80" t="str">
        <x:v>OK</x:v>
      </x:c>
      <x:c r="I726" s="69" t="str"/>
      <x:c r="J726" s="69" t="str">
        <x:v>1.2862778|-77.4710528</x:v>
      </x:c>
      <x:c r="K726" s="82" t="n">
        <x:v>0</x:v>
      </x:c>
    </x:row>
    <x:row r="727">
      <x:c r="A727" s="76" t="n">
        <x:v>727</x:v>
      </x:c>
      <x:c r="B727" s="69" t="str">
        <x:v>1.32669</x:v>
      </x:c>
      <x:c r="C727" s="69" t="str">
        <x:v>-77.25978</x:v>
      </x:c>
      <x:c r="D727" s="78" t="n">
        <x:v>1.32669</x:v>
      </x:c>
      <x:c r="E727" s="78" t="n">
        <x:v>-77.25978</x:v>
      </x:c>
      <x:c r="F727" s="69" t="str">
        <x:v>Texto→número</x:v>
      </x:c>
      <x:c r="G727" s="69" t="str">
        <x:v>Texto→número</x:v>
      </x:c>
      <x:c r="H727" s="80" t="str">
        <x:v>OK</x:v>
      </x:c>
      <x:c r="I727" s="69" t="str"/>
      <x:c r="J727" s="69"/>
      <x:c r="K727" s="82" t="n">
        <x:v>1</x:v>
      </x:c>
    </x:row>
    <x:row r="728">
      <x:c r="A728" s="76" t="n">
        <x:v>728</x:v>
      </x:c>
      <x:c r="B728" s="69" t="str">
        <x:v>1.26251</x:v>
      </x:c>
      <x:c r="C728" s="69" t="str">
        <x:v>-77.2602</x:v>
      </x:c>
      <x:c r="D728" s="78" t="n">
        <x:v>1.26251</x:v>
      </x:c>
      <x:c r="E728" s="78" t="n">
        <x:v>-77.2602</x:v>
      </x:c>
      <x:c r="F728" s="69" t="str">
        <x:v>Texto→número</x:v>
      </x:c>
      <x:c r="G728" s="69" t="str">
        <x:v>Texto→número</x:v>
      </x:c>
      <x:c r="H728" s="80" t="str">
        <x:v>OK</x:v>
      </x:c>
      <x:c r="I728" s="69" t="str"/>
      <x:c r="J728" s="69" t="str">
        <x:v>1.26251|-77.2602</x:v>
      </x:c>
      <x:c r="K728" s="82" t="n">
        <x:v>0</x:v>
      </x:c>
    </x:row>
    <x:row r="729">
      <x:c r="A729" s="76" t="n">
        <x:v>729</x:v>
      </x:c>
      <x:c r="B729" s="69" t="str">
        <x:v>1.6010056</x:v>
      </x:c>
      <x:c r="C729" s="69" t="str">
        <x:v>-76.9715083</x:v>
      </x:c>
      <x:c r="D729" s="78" t="n">
        <x:v>1.6010056</x:v>
      </x:c>
      <x:c r="E729" s="78" t="n">
        <x:v>-76.9715083</x:v>
      </x:c>
      <x:c r="F729" s="69" t="str">
        <x:v>Texto→número</x:v>
      </x:c>
      <x:c r="G729" s="69" t="str">
        <x:v>Texto→número</x:v>
      </x:c>
      <x:c r="H729" s="80" t="str">
        <x:v>OK</x:v>
      </x:c>
      <x:c r="I729" s="69" t="str"/>
      <x:c r="J729" s="69"/>
      <x:c r="K729" s="82" t="n">
        <x:v>1</x:v>
      </x:c>
    </x:row>
    <x:row r="730">
      <x:c r="A730" s="76" t="n">
        <x:v>730</x:v>
      </x:c>
      <x:c r="B730" s="69" t="str">
        <x:v>1.6051556</x:v>
      </x:c>
      <x:c r="C730" s="69" t="str">
        <x:v>-77.1336361</x:v>
      </x:c>
      <x:c r="D730" s="78" t="n">
        <x:v>1.6051556</x:v>
      </x:c>
      <x:c r="E730" s="78" t="n">
        <x:v>-77.1336361</x:v>
      </x:c>
      <x:c r="F730" s="69" t="str">
        <x:v>Texto→número</x:v>
      </x:c>
      <x:c r="G730" s="69" t="str">
        <x:v>Texto→número</x:v>
      </x:c>
      <x:c r="H730" s="80" t="str">
        <x:v>OK</x:v>
      </x:c>
      <x:c r="I730" s="69" t="str"/>
      <x:c r="J730" s="69"/>
      <x:c r="K730" s="82" t="n">
        <x:v>1</x:v>
      </x:c>
    </x:row>
    <x:row r="731">
      <x:c r="A731" s="76" t="n">
        <x:v>731</x:v>
      </x:c>
      <x:c r="B731" s="69" t="str">
        <x:v>7.02477</x:v>
      </x:c>
      <x:c r="C731" s="69" t="str">
        <x:v>-72.03329</x:v>
      </x:c>
      <x:c r="D731" s="78" t="n">
        <x:v>7.02477</x:v>
      </x:c>
      <x:c r="E731" s="78" t="n">
        <x:v>-72.03329</x:v>
      </x:c>
      <x:c r="F731" s="69" t="str">
        <x:v>Texto→número</x:v>
      </x:c>
      <x:c r="G731" s="69" t="str">
        <x:v>Texto→número</x:v>
      </x:c>
      <x:c r="H731" s="80" t="str">
        <x:v>OK</x:v>
      </x:c>
      <x:c r="I731" s="69" t="str"/>
      <x:c r="J731" s="69" t="str">
        <x:v>7.02477|-72.03329</x:v>
      </x:c>
      <x:c r="K731" s="82" t="n">
        <x:v>0</x:v>
      </x:c>
    </x:row>
    <x:row r="732">
      <x:c r="A732" s="76" t="n">
        <x:v>732</x:v>
      </x:c>
      <x:c r="B732" s="69" t="str">
        <x:v>7.2752</x:v>
      </x:c>
      <x:c r="C732" s="69" t="str">
        <x:v>-72.55276</x:v>
      </x:c>
      <x:c r="D732" s="78" t="n">
        <x:v>7.2752</x:v>
      </x:c>
      <x:c r="E732" s="78" t="n">
        <x:v>-72.55276</x:v>
      </x:c>
      <x:c r="F732" s="69" t="str">
        <x:v>Texto→número</x:v>
      </x:c>
      <x:c r="G732" s="69" t="str">
        <x:v>Texto→número</x:v>
      </x:c>
      <x:c r="H732" s="80" t="str">
        <x:v>OK</x:v>
      </x:c>
      <x:c r="I732" s="69" t="str"/>
      <x:c r="J732" s="69" t="str">
        <x:v>7.2752|-72.55276</x:v>
      </x:c>
      <x:c r="K732" s="82" t="n">
        <x:v>0</x:v>
      </x:c>
    </x:row>
    <x:row r="733">
      <x:c r="A733" s="76" t="n">
        <x:v>733</x:v>
      </x:c>
      <x:c r="B733" s="69" t="str">
        <x:v>7.3666667</x:v>
      </x:c>
      <x:c r="C733" s="69" t="str">
        <x:v>-72.6333333</x:v>
      </x:c>
      <x:c r="D733" s="78" t="n">
        <x:v>7.3666667</x:v>
      </x:c>
      <x:c r="E733" s="78" t="n">
        <x:v>-72.6333333</x:v>
      </x:c>
      <x:c r="F733" s="69" t="str">
        <x:v>Texto→número</x:v>
      </x:c>
      <x:c r="G733" s="69" t="str">
        <x:v>Texto→número</x:v>
      </x:c>
      <x:c r="H733" s="80" t="str">
        <x:v>OK</x:v>
      </x:c>
      <x:c r="I733" s="69" t="str"/>
      <x:c r="J733" s="69" t="str">
        <x:v>7.3666667|-72.6333333</x:v>
      </x:c>
      <x:c r="K733" s="82" t="n">
        <x:v>0</x:v>
      </x:c>
    </x:row>
    <x:row r="734">
      <x:c r="A734" s="76" t="n">
        <x:v>734</x:v>
      </x:c>
      <x:c r="B734" s="69" t="str">
        <x:v>8.24997</x:v>
      </x:c>
      <x:c r="C734" s="69" t="str">
        <x:v>-73.24998</x:v>
      </x:c>
      <x:c r="D734" s="78" t="n">
        <x:v>8.24997</x:v>
      </x:c>
      <x:c r="E734" s="78" t="n">
        <x:v>-73.24998</x:v>
      </x:c>
      <x:c r="F734" s="69" t="str">
        <x:v>Texto→número</x:v>
      </x:c>
      <x:c r="G734" s="69" t="str">
        <x:v>Texto→número</x:v>
      </x:c>
      <x:c r="H734" s="80" t="str">
        <x:v>OK</x:v>
      </x:c>
      <x:c r="I734" s="69" t="str"/>
      <x:c r="J734" s="69" t="str">
        <x:v>8.24997|-73.24998</x:v>
      </x:c>
      <x:c r="K734" s="82" t="n">
        <x:v>0</x:v>
      </x:c>
    </x:row>
    <x:row r="735">
      <x:c r="A735" s="76" t="n">
        <x:v>735</x:v>
      </x:c>
      <x:c r="B735" s="69" t="str">
        <x:v>1.11202</x:v>
      </x:c>
      <x:c r="C735" s="69" t="str">
        <x:v>-76.96968</x:v>
      </x:c>
      <x:c r="D735" s="78" t="n">
        <x:v>1.11202</x:v>
      </x:c>
      <x:c r="E735" s="78" t="n">
        <x:v>-76.96968</x:v>
      </x:c>
      <x:c r="F735" s="69" t="str">
        <x:v>Texto→número</x:v>
      </x:c>
      <x:c r="G735" s="69" t="str">
        <x:v>Texto→número</x:v>
      </x:c>
      <x:c r="H735" s="80" t="str">
        <x:v>OK</x:v>
      </x:c>
      <x:c r="I735" s="69" t="str"/>
      <x:c r="J735" s="69" t="str">
        <x:v>1.11202|-76.96968</x:v>
      </x:c>
      <x:c r="K735" s="82" t="n">
        <x:v>0</x:v>
      </x:c>
    </x:row>
    <x:row r="736">
      <x:c r="A736" s="76" t="n">
        <x:v>736</x:v>
      </x:c>
      <x:c r="B736" s="69" t="str">
        <x:v>1.2017417</x:v>
      </x:c>
      <x:c r="C736" s="69" t="str">
        <x:v>-76.9153278</x:v>
      </x:c>
      <x:c r="D736" s="78" t="n">
        <x:v>1.2017417</x:v>
      </x:c>
      <x:c r="E736" s="78" t="n">
        <x:v>-76.9153278</x:v>
      </x:c>
      <x:c r="F736" s="69" t="str">
        <x:v>Texto→número</x:v>
      </x:c>
      <x:c r="G736" s="69" t="str">
        <x:v>Texto→número</x:v>
      </x:c>
      <x:c r="H736" s="80" t="str">
        <x:v>OK</x:v>
      </x:c>
      <x:c r="I736" s="69" t="str"/>
      <x:c r="J736" s="69" t="str">
        <x:v>1.2017417|-76.9153278</x:v>
      </x:c>
      <x:c r="K736" s="82" t="n">
        <x:v>0</x:v>
      </x:c>
    </x:row>
    <x:row r="737">
      <x:c r="A737" s="76" t="n">
        <x:v>737</x:v>
      </x:c>
      <x:c r="B737" s="69" t="str">
        <x:v>1.2017417</x:v>
      </x:c>
      <x:c r="C737" s="69" t="str">
        <x:v>-76.9153278</x:v>
      </x:c>
      <x:c r="D737" s="78" t="n">
        <x:v>1.2017417</x:v>
      </x:c>
      <x:c r="E737" s="78" t="n">
        <x:v>-76.9153278</x:v>
      </x:c>
      <x:c r="F737" s="69" t="str">
        <x:v>Texto→número</x:v>
      </x:c>
      <x:c r="G737" s="69" t="str">
        <x:v>Texto→número</x:v>
      </x:c>
      <x:c r="H737" s="80" t="str">
        <x:v>OK</x:v>
      </x:c>
      <x:c r="I737" s="69" t="str"/>
      <x:c r="J737" s="69"/>
      <x:c r="K737" s="82" t="n">
        <x:v>1</x:v>
      </x:c>
    </x:row>
    <x:row r="738">
      <x:c r="A738" s="76" t="n">
        <x:v>738</x:v>
      </x:c>
      <x:c r="B738" s="69" t="str">
        <x:v>1.2017417</x:v>
      </x:c>
      <x:c r="C738" s="69" t="str">
        <x:v>-76.9153278</x:v>
      </x:c>
      <x:c r="D738" s="78" t="n">
        <x:v>1.2017417</x:v>
      </x:c>
      <x:c r="E738" s="78" t="n">
        <x:v>-76.9153278</x:v>
      </x:c>
      <x:c r="F738" s="69" t="str">
        <x:v>Texto→número</x:v>
      </x:c>
      <x:c r="G738" s="69" t="str">
        <x:v>Texto→número</x:v>
      </x:c>
      <x:c r="H738" s="80" t="str">
        <x:v>OK</x:v>
      </x:c>
      <x:c r="I738" s="69" t="str"/>
      <x:c r="J738" s="69"/>
      <x:c r="K738" s="82" t="n">
        <x:v>1</x:v>
      </x:c>
    </x:row>
    <x:row r="739">
      <x:c r="A739" s="76" t="n">
        <x:v>739</x:v>
      </x:c>
      <x:c r="B739" s="69" t="str">
        <x:v>1.2017417</x:v>
      </x:c>
      <x:c r="C739" s="69" t="str">
        <x:v>-76.9153278</x:v>
      </x:c>
      <x:c r="D739" s="78" t="n">
        <x:v>1.2017417</x:v>
      </x:c>
      <x:c r="E739" s="78" t="n">
        <x:v>-76.9153278</x:v>
      </x:c>
      <x:c r="F739" s="69" t="str">
        <x:v>Texto→número</x:v>
      </x:c>
      <x:c r="G739" s="69" t="str">
        <x:v>Texto→número</x:v>
      </x:c>
      <x:c r="H739" s="80" t="str">
        <x:v>OK</x:v>
      </x:c>
      <x:c r="I739" s="69" t="str"/>
      <x:c r="J739" s="69"/>
      <x:c r="K739" s="82" t="n">
        <x:v>1</x:v>
      </x:c>
    </x:row>
    <x:row r="740">
      <x:c r="A740" s="76" t="n">
        <x:v>740</x:v>
      </x:c>
      <x:c r="B740" s="69" t="str">
        <x:v>1.2017417</x:v>
      </x:c>
      <x:c r="C740" s="69" t="str">
        <x:v>-76.9153278</x:v>
      </x:c>
      <x:c r="D740" s="78" t="n">
        <x:v>1.2017417</x:v>
      </x:c>
      <x:c r="E740" s="78" t="n">
        <x:v>-76.9153278</x:v>
      </x:c>
      <x:c r="F740" s="69" t="str">
        <x:v>Texto→número</x:v>
      </x:c>
      <x:c r="G740" s="69" t="str">
        <x:v>Texto→número</x:v>
      </x:c>
      <x:c r="H740" s="80" t="str">
        <x:v>OK</x:v>
      </x:c>
      <x:c r="I740" s="69" t="str"/>
      <x:c r="J740" s="69"/>
      <x:c r="K740" s="82" t="n">
        <x:v>1</x:v>
      </x:c>
    </x:row>
    <x:row r="741">
      <x:c r="A741" s="76" t="n">
        <x:v>741</x:v>
      </x:c>
      <x:c r="B741" s="69" t="str">
        <x:v>1.14918</x:v>
      </x:c>
      <x:c r="C741" s="69" t="str">
        <x:v>-77.00543</x:v>
      </x:c>
      <x:c r="D741" s="78" t="n">
        <x:v>1.14918</x:v>
      </x:c>
      <x:c r="E741" s="78" t="n">
        <x:v>-77.00543</x:v>
      </x:c>
      <x:c r="F741" s="69" t="str">
        <x:v>Texto→número</x:v>
      </x:c>
      <x:c r="G741" s="69" t="str">
        <x:v>Texto→número</x:v>
      </x:c>
      <x:c r="H741" s="80" t="str">
        <x:v>OK</x:v>
      </x:c>
      <x:c r="I741" s="69" t="str"/>
      <x:c r="J741" s="69" t="str">
        <x:v>1.14918|-77.00543</x:v>
      </x:c>
      <x:c r="K741" s="82" t="n">
        <x:v>0</x:v>
      </x:c>
    </x:row>
    <x:row r="742">
      <x:c r="A742" s="76" t="n">
        <x:v>742</x:v>
      </x:c>
      <x:c r="B742" s="69" t="str">
        <x:v>1.08259</x:v>
      </x:c>
      <x:c r="C742" s="69" t="str">
        <x:v>-76.66412</x:v>
      </x:c>
      <x:c r="D742" s="78" t="n">
        <x:v>1.08259</x:v>
      </x:c>
      <x:c r="E742" s="78" t="n">
        <x:v>-76.66412</x:v>
      </x:c>
      <x:c r="F742" s="69" t="str">
        <x:v>Texto→número</x:v>
      </x:c>
      <x:c r="G742" s="69" t="str">
        <x:v>Texto→número</x:v>
      </x:c>
      <x:c r="H742" s="80" t="str">
        <x:v>OK</x:v>
      </x:c>
      <x:c r="I742" s="69" t="str"/>
      <x:c r="J742" s="69"/>
      <x:c r="K742" s="82" t="n">
        <x:v>1</x:v>
      </x:c>
    </x:row>
    <x:row r="743">
      <x:c r="A743" s="76" t="n">
        <x:v>743</x:v>
      </x:c>
      <x:c r="B743" s="69" t="str">
        <x:v>1.1436</x:v>
      </x:c>
      <x:c r="C743" s="69" t="str">
        <x:v>-76.78623</x:v>
      </x:c>
      <x:c r="D743" s="78" t="n">
        <x:v>1.1436</x:v>
      </x:c>
      <x:c r="E743" s="78" t="n">
        <x:v>-76.78623</x:v>
      </x:c>
      <x:c r="F743" s="69" t="str">
        <x:v>Texto→número</x:v>
      </x:c>
      <x:c r="G743" s="69" t="str">
        <x:v>Texto→número</x:v>
      </x:c>
      <x:c r="H743" s="80" t="str">
        <x:v>OK</x:v>
      </x:c>
      <x:c r="I743" s="69" t="str"/>
      <x:c r="J743" s="69" t="str">
        <x:v>1.1436|-76.78623</x:v>
      </x:c>
      <x:c r="K743" s="82" t="n">
        <x:v>0</x:v>
      </x:c>
    </x:row>
    <x:row r="744">
      <x:c r="A744" s="76" t="n">
        <x:v>744</x:v>
      </x:c>
      <x:c r="B744" s="69" t="str">
        <x:v>4.47808</x:v>
      </x:c>
      <x:c r="C744" s="69" t="str">
        <x:v>-75.62875</x:v>
      </x:c>
      <x:c r="D744" s="78" t="n">
        <x:v>4.47808</x:v>
      </x:c>
      <x:c r="E744" s="78" t="n">
        <x:v>-75.62875</x:v>
      </x:c>
      <x:c r="F744" s="69" t="str">
        <x:v>Texto→número</x:v>
      </x:c>
      <x:c r="G744" s="69" t="str">
        <x:v>Texto→número</x:v>
      </x:c>
      <x:c r="H744" s="80" t="str">
        <x:v>OK</x:v>
      </x:c>
      <x:c r="I744" s="69" t="str"/>
      <x:c r="J744" s="69" t="str">
        <x:v>4.47808|-75.62875</x:v>
      </x:c>
      <x:c r="K744" s="82" t="n">
        <x:v>0</x:v>
      </x:c>
    </x:row>
    <x:row r="745">
      <x:c r="A745" s="76" t="n">
        <x:v>745</x:v>
      </x:c>
      <x:c r="B745" s="69" t="str">
        <x:v>4.68718</x:v>
      </x:c>
      <x:c r="C745" s="69" t="str">
        <x:v>-75.61751</x:v>
      </x:c>
      <x:c r="D745" s="78" t="n">
        <x:v>4.68718</x:v>
      </x:c>
      <x:c r="E745" s="78" t="n">
        <x:v>-75.61751</x:v>
      </x:c>
      <x:c r="F745" s="69" t="str">
        <x:v>Texto→número</x:v>
      </x:c>
      <x:c r="G745" s="69" t="str">
        <x:v>Texto→número</x:v>
      </x:c>
      <x:c r="H745" s="80" t="str">
        <x:v>OK</x:v>
      </x:c>
      <x:c r="I745" s="69" t="str"/>
      <x:c r="J745" s="69"/>
      <x:c r="K745" s="82" t="n">
        <x:v>1</x:v>
      </x:c>
    </x:row>
    <x:row r="746">
      <x:c r="A746" s="76" t="n">
        <x:v>746</x:v>
      </x:c>
      <x:c r="B746" s="69" t="str">
        <x:v>4.68718</x:v>
      </x:c>
      <x:c r="C746" s="69" t="str">
        <x:v>-75.61751</x:v>
      </x:c>
      <x:c r="D746" s="78" t="n">
        <x:v>4.68718</x:v>
      </x:c>
      <x:c r="E746" s="78" t="n">
        <x:v>-75.61751</x:v>
      </x:c>
      <x:c r="F746" s="69" t="str">
        <x:v>Texto→número</x:v>
      </x:c>
      <x:c r="G746" s="69" t="str">
        <x:v>Texto→número</x:v>
      </x:c>
      <x:c r="H746" s="80" t="str">
        <x:v>OK</x:v>
      </x:c>
      <x:c r="I746" s="69" t="str"/>
      <x:c r="J746" s="69"/>
      <x:c r="K746" s="82" t="n">
        <x:v>1</x:v>
      </x:c>
    </x:row>
    <x:row r="747">
      <x:c r="A747" s="76" t="n">
        <x:v>747</x:v>
      </x:c>
      <x:c r="B747" s="69" t="str">
        <x:v>4.6666667</x:v>
      </x:c>
      <x:c r="C747" s="69" t="str">
        <x:v>-75.5</x:v>
      </x:c>
      <x:c r="D747" s="78" t="n">
        <x:v>4.6666667</x:v>
      </x:c>
      <x:c r="E747" s="78" t="n">
        <x:v>-75.5</x:v>
      </x:c>
      <x:c r="F747" s="69" t="str">
        <x:v>Texto→número</x:v>
      </x:c>
      <x:c r="G747" s="69" t="str">
        <x:v>Texto→número</x:v>
      </x:c>
      <x:c r="H747" s="80" t="str">
        <x:v>OK</x:v>
      </x:c>
      <x:c r="I747" s="69" t="str"/>
      <x:c r="J747" s="69"/>
      <x:c r="K747" s="82" t="n">
        <x:v>1</x:v>
      </x:c>
    </x:row>
    <x:row r="748">
      <x:c r="A748" s="76" t="n">
        <x:v>748</x:v>
      </x:c>
      <x:c r="B748" s="69" t="str">
        <x:v>4.6666667</x:v>
      </x:c>
      <x:c r="C748" s="69" t="str">
        <x:v>-75.5</x:v>
      </x:c>
      <x:c r="D748" s="78" t="n">
        <x:v>4.6666667</x:v>
      </x:c>
      <x:c r="E748" s="78" t="n">
        <x:v>-75.5</x:v>
      </x:c>
      <x:c r="F748" s="69" t="str">
        <x:v>Texto→número</x:v>
      </x:c>
      <x:c r="G748" s="69" t="str">
        <x:v>Texto→número</x:v>
      </x:c>
      <x:c r="H748" s="80" t="str">
        <x:v>OK</x:v>
      </x:c>
      <x:c r="I748" s="69" t="str"/>
      <x:c r="J748" s="69"/>
      <x:c r="K748" s="82" t="n">
        <x:v>1</x:v>
      </x:c>
    </x:row>
    <x:row r="749">
      <x:c r="A749" s="76" t="n">
        <x:v>749</x:v>
      </x:c>
      <x:c r="B749" s="69" t="str">
        <x:v>4.6666667</x:v>
      </x:c>
      <x:c r="C749" s="69" t="str">
        <x:v>-75.5</x:v>
      </x:c>
      <x:c r="D749" s="78" t="n">
        <x:v>4.6666667</x:v>
      </x:c>
      <x:c r="E749" s="78" t="n">
        <x:v>-75.5</x:v>
      </x:c>
      <x:c r="F749" s="69" t="str">
        <x:v>Texto→número</x:v>
      </x:c>
      <x:c r="G749" s="69" t="str">
        <x:v>Texto→número</x:v>
      </x:c>
      <x:c r="H749" s="80" t="str">
        <x:v>OK</x:v>
      </x:c>
      <x:c r="I749" s="69" t="str"/>
      <x:c r="J749" s="69"/>
      <x:c r="K749" s="82" t="n">
        <x:v>1</x:v>
      </x:c>
    </x:row>
    <x:row r="750">
      <x:c r="A750" s="76" t="n">
        <x:v>750</x:v>
      </x:c>
      <x:c r="B750" s="69" t="str">
        <x:v>4.30167</x:v>
      </x:c>
      <x:c r="C750" s="69" t="str">
        <x:v>-75.68655</x:v>
      </x:c>
      <x:c r="D750" s="78" t="n">
        <x:v>4.30167</x:v>
      </x:c>
      <x:c r="E750" s="78" t="n">
        <x:v>-75.68655</x:v>
      </x:c>
      <x:c r="F750" s="69" t="str">
        <x:v>Texto→número</x:v>
      </x:c>
      <x:c r="G750" s="69" t="str">
        <x:v>Texto→número</x:v>
      </x:c>
      <x:c r="H750" s="80" t="str">
        <x:v>OK</x:v>
      </x:c>
      <x:c r="I750" s="69" t="str"/>
      <x:c r="J750" s="69" t="str">
        <x:v>4.30167|-75.68655</x:v>
      </x:c>
      <x:c r="K750" s="82" t="n">
        <x:v>0</x:v>
      </x:c>
    </x:row>
    <x:row r="751">
      <x:c r="A751" s="76" t="n">
        <x:v>751</x:v>
      </x:c>
      <x:c r="B751" s="69" t="str">
        <x:v>4.6666667</x:v>
      </x:c>
      <x:c r="C751" s="69" t="str">
        <x:v>-75.5</x:v>
      </x:c>
      <x:c r="D751" s="78" t="n">
        <x:v>4.6666667</x:v>
      </x:c>
      <x:c r="E751" s="78" t="n">
        <x:v>-75.5</x:v>
      </x:c>
      <x:c r="F751" s="69" t="str">
        <x:v>Texto→número</x:v>
      </x:c>
      <x:c r="G751" s="69" t="str">
        <x:v>Texto→número</x:v>
      </x:c>
      <x:c r="H751" s="80" t="str">
        <x:v>OK</x:v>
      </x:c>
      <x:c r="I751" s="69" t="str"/>
      <x:c r="J751" s="69"/>
      <x:c r="K751" s="82" t="n">
        <x:v>1</x:v>
      </x:c>
    </x:row>
    <x:row r="752">
      <x:c r="A752" s="76" t="n">
        <x:v>752</x:v>
      </x:c>
      <x:c r="B752" s="69" t="str">
        <x:v>4.534825</x:v>
      </x:c>
      <x:c r="C752" s="69" t="str">
        <x:v>-75.6315222</x:v>
      </x:c>
      <x:c r="D752" s="78" t="n">
        <x:v>4.534825</x:v>
      </x:c>
      <x:c r="E752" s="78" t="n">
        <x:v>-75.6315222</x:v>
      </x:c>
      <x:c r="F752" s="69" t="str">
        <x:v>Texto→número</x:v>
      </x:c>
      <x:c r="G752" s="69" t="str">
        <x:v>Texto→número</x:v>
      </x:c>
      <x:c r="H752" s="80" t="str">
        <x:v>OK</x:v>
      </x:c>
      <x:c r="I752" s="69" t="str"/>
      <x:c r="J752" s="69" t="str">
        <x:v>4.534825|-75.6315222</x:v>
      </x:c>
      <x:c r="K752" s="82" t="n">
        <x:v>0</x:v>
      </x:c>
    </x:row>
    <x:row r="753">
      <x:c r="A753" s="76" t="n">
        <x:v>753</x:v>
      </x:c>
      <x:c r="B753" s="69" t="str">
        <x:v>4.40125</x:v>
      </x:c>
      <x:c r="C753" s="69" t="str">
        <x:v>-75.60015</x:v>
      </x:c>
      <x:c r="D753" s="78" t="n">
        <x:v>4.40125</x:v>
      </x:c>
      <x:c r="E753" s="78" t="n">
        <x:v>-75.60015</x:v>
      </x:c>
      <x:c r="F753" s="69" t="str">
        <x:v>Texto→número</x:v>
      </x:c>
      <x:c r="G753" s="69" t="str">
        <x:v>Texto→número</x:v>
      </x:c>
      <x:c r="H753" s="80" t="str">
        <x:v>OK</x:v>
      </x:c>
      <x:c r="I753" s="69" t="str"/>
      <x:c r="J753" s="69"/>
      <x:c r="K753" s="82" t="n">
        <x:v>1</x:v>
      </x:c>
    </x:row>
    <x:row r="754">
      <x:c r="A754" s="76" t="n">
        <x:v>754</x:v>
      </x:c>
      <x:c r="B754" s="69" t="str">
        <x:v>4.10998</x:v>
      </x:c>
      <x:c r="C754" s="69" t="str">
        <x:v>-75.80861</x:v>
      </x:c>
      <x:c r="D754" s="78" t="n">
        <x:v>4.10998</x:v>
      </x:c>
      <x:c r="E754" s="78" t="n">
        <x:v>-75.80861</x:v>
      </x:c>
      <x:c r="F754" s="69" t="str">
        <x:v>Texto→número</x:v>
      </x:c>
      <x:c r="G754" s="69" t="str">
        <x:v>Texto→número</x:v>
      </x:c>
      <x:c r="H754" s="80" t="str">
        <x:v>OK</x:v>
      </x:c>
      <x:c r="I754" s="69" t="str"/>
      <x:c r="J754" s="69"/>
      <x:c r="K754" s="82" t="n">
        <x:v>1</x:v>
      </x:c>
    </x:row>
    <x:row r="755">
      <x:c r="A755" s="76" t="n">
        <x:v>755</x:v>
      </x:c>
      <x:c r="B755" s="69" t="str">
        <x:v>4.1435</x:v>
      </x:c>
      <x:c r="C755" s="69" t="str">
        <x:v>-75.75188</x:v>
      </x:c>
      <x:c r="D755" s="78" t="n">
        <x:v>4.1435</x:v>
      </x:c>
      <x:c r="E755" s="78" t="n">
        <x:v>-75.75188</x:v>
      </x:c>
      <x:c r="F755" s="69" t="str">
        <x:v>Texto→número</x:v>
      </x:c>
      <x:c r="G755" s="69" t="str">
        <x:v>Texto→número</x:v>
      </x:c>
      <x:c r="H755" s="80" t="str">
        <x:v>OK</x:v>
      </x:c>
      <x:c r="I755" s="69" t="str"/>
      <x:c r="J755" s="69" t="str">
        <x:v>4.1435|-75.75188</x:v>
      </x:c>
      <x:c r="K755" s="82" t="n">
        <x:v>0</x:v>
      </x:c>
    </x:row>
    <x:row r="756">
      <x:c r="A756" s="76" t="n">
        <x:v>756</x:v>
      </x:c>
      <x:c r="B756" s="69" t="str">
        <x:v>4.1435</x:v>
      </x:c>
      <x:c r="C756" s="69" t="str">
        <x:v>-75.75188</x:v>
      </x:c>
      <x:c r="D756" s="78" t="n">
        <x:v>4.1435</x:v>
      </x:c>
      <x:c r="E756" s="78" t="n">
        <x:v>-75.75188</x:v>
      </x:c>
      <x:c r="F756" s="69" t="str">
        <x:v>Texto→número</x:v>
      </x:c>
      <x:c r="G756" s="69" t="str">
        <x:v>Texto→número</x:v>
      </x:c>
      <x:c r="H756" s="80" t="str">
        <x:v>OK</x:v>
      </x:c>
      <x:c r="I756" s="69" t="str"/>
      <x:c r="J756" s="69"/>
      <x:c r="K756" s="82" t="n">
        <x:v>1</x:v>
      </x:c>
    </x:row>
    <x:row r="757">
      <x:c r="A757" s="76" t="n">
        <x:v>757</x:v>
      </x:c>
      <x:c r="B757" s="69" t="str">
        <x:v>4.1435</x:v>
      </x:c>
      <x:c r="C757" s="69" t="str">
        <x:v>-75.75188</x:v>
      </x:c>
      <x:c r="D757" s="78" t="n">
        <x:v>4.1435</x:v>
      </x:c>
      <x:c r="E757" s="78" t="n">
        <x:v>-75.75188</x:v>
      </x:c>
      <x:c r="F757" s="69" t="str">
        <x:v>Texto→número</x:v>
      </x:c>
      <x:c r="G757" s="69" t="str">
        <x:v>Texto→número</x:v>
      </x:c>
      <x:c r="H757" s="80" t="str">
        <x:v>OK</x:v>
      </x:c>
      <x:c r="I757" s="69" t="str"/>
      <x:c r="J757" s="69"/>
      <x:c r="K757" s="82" t="n">
        <x:v>1</x:v>
      </x:c>
    </x:row>
    <x:row r="758">
      <x:c r="A758" s="76" t="n">
        <x:v>758</x:v>
      </x:c>
      <x:c r="B758" s="69" t="str">
        <x:v>4.68573</x:v>
      </x:c>
      <x:c r="C758" s="69" t="str">
        <x:v>-75.57803</x:v>
      </x:c>
      <x:c r="D758" s="78" t="n">
        <x:v>4.68573</x:v>
      </x:c>
      <x:c r="E758" s="78" t="n">
        <x:v>-75.57803</x:v>
      </x:c>
      <x:c r="F758" s="69" t="str">
        <x:v>Texto→número</x:v>
      </x:c>
      <x:c r="G758" s="69" t="str">
        <x:v>Texto→número</x:v>
      </x:c>
      <x:c r="H758" s="80" t="str">
        <x:v>OK</x:v>
      </x:c>
      <x:c r="I758" s="69" t="str"/>
      <x:c r="J758" s="69"/>
      <x:c r="K758" s="82" t="n">
        <x:v>1</x:v>
      </x:c>
    </x:row>
    <x:row r="759">
      <x:c r="A759" s="76" t="n">
        <x:v>759</x:v>
      </x:c>
      <x:c r="B759" s="69" t="str">
        <x:v>4.6415</x:v>
      </x:c>
      <x:c r="C759" s="69" t="str">
        <x:v>-75.4867778</x:v>
      </x:c>
      <x:c r="D759" s="78" t="n">
        <x:v>4.6415</x:v>
      </x:c>
      <x:c r="E759" s="78" t="n">
        <x:v>-75.4867778</x:v>
      </x:c>
      <x:c r="F759" s="69" t="str">
        <x:v>Texto→número</x:v>
      </x:c>
      <x:c r="G759" s="69" t="str">
        <x:v>Texto→número</x:v>
      </x:c>
      <x:c r="H759" s="80" t="str">
        <x:v>OK</x:v>
      </x:c>
      <x:c r="I759" s="69" t="str"/>
      <x:c r="J759" s="69"/>
      <x:c r="K759" s="82" t="n">
        <x:v>1</x:v>
      </x:c>
    </x:row>
    <x:row r="760">
      <x:c r="A760" s="76" t="n">
        <x:v>760</x:v>
      </x:c>
      <x:c r="B760" s="69" t="str">
        <x:v>4.85</x:v>
      </x:c>
      <x:c r="C760" s="69" t="str">
        <x:v>-75.5333333</x:v>
      </x:c>
      <x:c r="D760" s="78" t="n">
        <x:v>4.85</x:v>
      </x:c>
      <x:c r="E760" s="78" t="n">
        <x:v>-75.5333333</x:v>
      </x:c>
      <x:c r="F760" s="69" t="str">
        <x:v>Texto→número</x:v>
      </x:c>
      <x:c r="G760" s="69" t="str">
        <x:v>Texto→número</x:v>
      </x:c>
      <x:c r="H760" s="80" t="str">
        <x:v>OK</x:v>
      </x:c>
      <x:c r="I760" s="69" t="str"/>
      <x:c r="J760" s="69" t="str">
        <x:v>4.85|-75.5333333</x:v>
      </x:c>
      <x:c r="K760" s="82" t="n">
        <x:v>0</x:v>
      </x:c>
    </x:row>
    <x:row r="761">
      <x:c r="A761" s="76" t="n">
        <x:v>761</x:v>
      </x:c>
      <x:c r="B761" s="69" t="str">
        <x:v>4.9637833</x:v>
      </x:c>
      <x:c r="C761" s="69" t="str">
        <x:v>-75.7269722</x:v>
      </x:c>
      <x:c r="D761" s="78" t="n">
        <x:v>4.9637833</x:v>
      </x:c>
      <x:c r="E761" s="78" t="n">
        <x:v>-75.7269722</x:v>
      </x:c>
      <x:c r="F761" s="69" t="str">
        <x:v>Texto→número</x:v>
      </x:c>
      <x:c r="G761" s="69" t="str">
        <x:v>Texto→número</x:v>
      </x:c>
      <x:c r="H761" s="80" t="str">
        <x:v>OK</x:v>
      </x:c>
      <x:c r="I761" s="69" t="str"/>
      <x:c r="J761" s="69" t="str">
        <x:v>4.9637833|-75.7269722</x:v>
      </x:c>
      <x:c r="K761" s="82" t="n">
        <x:v>0</x:v>
      </x:c>
    </x:row>
    <x:row r="762">
      <x:c r="A762" s="76" t="n">
        <x:v>762</x:v>
      </x:c>
      <x:c r="B762" s="69" t="str">
        <x:v>4.70767</x:v>
      </x:c>
      <x:c r="C762" s="69" t="str">
        <x:v>-75.49291</x:v>
      </x:c>
      <x:c r="D762" s="78" t="n">
        <x:v>4.70767</x:v>
      </x:c>
      <x:c r="E762" s="78" t="n">
        <x:v>-75.49291</x:v>
      </x:c>
      <x:c r="F762" s="69" t="str">
        <x:v>Texto→número</x:v>
      </x:c>
      <x:c r="G762" s="69" t="str">
        <x:v>Texto→número</x:v>
      </x:c>
      <x:c r="H762" s="80" t="str">
        <x:v>OK</x:v>
      </x:c>
      <x:c r="I762" s="69" t="str"/>
      <x:c r="J762" s="69"/>
      <x:c r="K762" s="82" t="n">
        <x:v>1</x:v>
      </x:c>
    </x:row>
    <x:row r="763">
      <x:c r="A763" s="76" t="n">
        <x:v>763</x:v>
      </x:c>
      <x:c r="B763" s="69" t="str">
        <x:v>4.71453</x:v>
      </x:c>
      <x:c r="C763" s="69" t="str">
        <x:v>-75.67197</x:v>
      </x:c>
      <x:c r="D763" s="78" t="n">
        <x:v>4.71453</x:v>
      </x:c>
      <x:c r="E763" s="78" t="n">
        <x:v>-75.67197</x:v>
      </x:c>
      <x:c r="F763" s="69" t="str">
        <x:v>Texto→número</x:v>
      </x:c>
      <x:c r="G763" s="69" t="str">
        <x:v>Texto→número</x:v>
      </x:c>
      <x:c r="H763" s="80" t="str">
        <x:v>OK</x:v>
      </x:c>
      <x:c r="I763" s="69" t="str"/>
      <x:c r="J763" s="69" t="str">
        <x:v>4.71453|-75.67197</x:v>
      </x:c>
      <x:c r="K763" s="82" t="n">
        <x:v>0</x:v>
      </x:c>
    </x:row>
    <x:row r="764">
      <x:c r="A764" s="76" t="n">
        <x:v>764</x:v>
      </x:c>
      <x:c r="B764" s="69" t="str">
        <x:v>5.11358</x:v>
      </x:c>
      <x:c r="C764" s="69" t="str">
        <x:v>-76.05836</x:v>
      </x:c>
      <x:c r="D764" s="78" t="n">
        <x:v>5.11358</x:v>
      </x:c>
      <x:c r="E764" s="78" t="n">
        <x:v>-76.05836</x:v>
      </x:c>
      <x:c r="F764" s="69" t="str">
        <x:v>Texto→número</x:v>
      </x:c>
      <x:c r="G764" s="69" t="str">
        <x:v>Texto→número</x:v>
      </x:c>
      <x:c r="H764" s="80" t="str">
        <x:v>OK</x:v>
      </x:c>
      <x:c r="I764" s="69" t="str"/>
      <x:c r="J764" s="69" t="str">
        <x:v>5.11358|-76.05836</x:v>
      </x:c>
      <x:c r="K764" s="82" t="n">
        <x:v>0</x:v>
      </x:c>
    </x:row>
    <x:row r="765">
      <x:c r="A765" s="76" t="n">
        <x:v>765</x:v>
      </x:c>
      <x:c r="B765" s="69" t="str">
        <x:v>4.72879</x:v>
      </x:c>
      <x:c r="C765" s="69" t="str">
        <x:v>-75.5779</x:v>
      </x:c>
      <x:c r="D765" s="78" t="n">
        <x:v>4.72879</x:v>
      </x:c>
      <x:c r="E765" s="78" t="n">
        <x:v>-75.5779</x:v>
      </x:c>
      <x:c r="F765" s="69" t="str">
        <x:v>Texto→número</x:v>
      </x:c>
      <x:c r="G765" s="69" t="str">
        <x:v>Texto→número</x:v>
      </x:c>
      <x:c r="H765" s="80" t="str">
        <x:v>OK</x:v>
      </x:c>
      <x:c r="I765" s="69" t="str"/>
      <x:c r="J765" s="69"/>
      <x:c r="K765" s="82" t="n">
        <x:v>1</x:v>
      </x:c>
    </x:row>
    <x:row r="766">
      <x:c r="A766" s="76" t="n">
        <x:v>766</x:v>
      </x:c>
      <x:c r="B766" s="69" t="str">
        <x:v>4.802236111</x:v>
      </x:c>
      <x:c r="C766" s="69" t="str">
        <x:v>-75.53600833</x:v>
      </x:c>
      <x:c r="D766" s="78" t="n">
        <x:v>4.802236111</x:v>
      </x:c>
      <x:c r="E766" s="78" t="n">
        <x:v>-75.53600833</x:v>
      </x:c>
      <x:c r="F766" s="69" t="str">
        <x:v>Texto→número</x:v>
      </x:c>
      <x:c r="G766" s="69" t="str">
        <x:v>Texto→número</x:v>
      </x:c>
      <x:c r="H766" s="80" t="str">
        <x:v>OK</x:v>
      </x:c>
      <x:c r="I766" s="69" t="str"/>
      <x:c r="J766" s="69" t="str">
        <x:v>4.802236111|-75.53600833</x:v>
      </x:c>
      <x:c r="K766" s="82" t="n">
        <x:v>0</x:v>
      </x:c>
    </x:row>
    <x:row r="767">
      <x:c r="A767" s="76" t="n">
        <x:v>767</x:v>
      </x:c>
      <x:c r="B767" s="69" t="str">
        <x:v>5.1244244</x:v>
      </x:c>
      <x:c r="C767" s="69" t="str">
        <x:v>-76.0416654</x:v>
      </x:c>
      <x:c r="D767" s="78" t="n">
        <x:v>5.1244244</x:v>
      </x:c>
      <x:c r="E767" s="78" t="n">
        <x:v>-76.0416654</x:v>
      </x:c>
      <x:c r="F767" s="69" t="str">
        <x:v>Texto→número</x:v>
      </x:c>
      <x:c r="G767" s="69" t="str">
        <x:v>Texto→número</x:v>
      </x:c>
      <x:c r="H767" s="80" t="str">
        <x:v>OK</x:v>
      </x:c>
      <x:c r="I767" s="69" t="str"/>
      <x:c r="J767" s="69"/>
      <x:c r="K767" s="82" t="n">
        <x:v>1</x:v>
      </x:c>
    </x:row>
    <x:row r="768">
      <x:c r="A768" s="76" t="n">
        <x:v>768</x:v>
      </x:c>
      <x:c r="B768" s="69" t="str">
        <x:v>5.1244244</x:v>
      </x:c>
      <x:c r="C768" s="69" t="str">
        <x:v>-76.0416654</x:v>
      </x:c>
      <x:c r="D768" s="78" t="n">
        <x:v>5.1244244</x:v>
      </x:c>
      <x:c r="E768" s="78" t="n">
        <x:v>-76.0416654</x:v>
      </x:c>
      <x:c r="F768" s="69" t="str">
        <x:v>Texto→número</x:v>
      </x:c>
      <x:c r="G768" s="69" t="str">
        <x:v>Texto→número</x:v>
      </x:c>
      <x:c r="H768" s="80" t="str">
        <x:v>OK</x:v>
      </x:c>
      <x:c r="I768" s="69" t="str"/>
      <x:c r="J768" s="69"/>
      <x:c r="K768" s="82" t="n">
        <x:v>1</x:v>
      </x:c>
    </x:row>
    <x:row r="769">
      <x:c r="A769" s="76" t="n">
        <x:v>769</x:v>
      </x:c>
      <x:c r="B769" s="69" t="str">
        <x:v>6.78619</x:v>
      </x:c>
      <x:c r="C769" s="69" t="str">
        <x:v>-73.05688</x:v>
      </x:c>
      <x:c r="D769" s="78" t="n">
        <x:v>6.78619</x:v>
      </x:c>
      <x:c r="E769" s="78" t="n">
        <x:v>-73.05688</x:v>
      </x:c>
      <x:c r="F769" s="69" t="str">
        <x:v>Texto→número</x:v>
      </x:c>
      <x:c r="G769" s="69" t="str">
        <x:v>Texto→número</x:v>
      </x:c>
      <x:c r="H769" s="80" t="str">
        <x:v>OK</x:v>
      </x:c>
      <x:c r="I769" s="69" t="str"/>
      <x:c r="J769" s="69" t="str">
        <x:v>6.78619|-73.05688</x:v>
      </x:c>
      <x:c r="K769" s="82" t="n">
        <x:v>0</x:v>
      </x:c>
    </x:row>
    <x:row r="770">
      <x:c r="A770" s="76" t="n">
        <x:v>770</x:v>
      </x:c>
      <x:c r="B770" s="69" t="str">
        <x:v>7.14189</x:v>
      </x:c>
      <x:c r="C770" s="69" t="str">
        <x:v>-73.02469</x:v>
      </x:c>
      <x:c r="D770" s="78" t="n">
        <x:v>7.14189</x:v>
      </x:c>
      <x:c r="E770" s="78" t="n">
        <x:v>-73.02469</x:v>
      </x:c>
      <x:c r="F770" s="69" t="str">
        <x:v>Texto→número</x:v>
      </x:c>
      <x:c r="G770" s="69" t="str">
        <x:v>Texto→número</x:v>
      </x:c>
      <x:c r="H770" s="80" t="str">
        <x:v>OK</x:v>
      </x:c>
      <x:c r="I770" s="69" t="str"/>
      <x:c r="J770" s="69"/>
      <x:c r="K770" s="82" t="n">
        <x:v>1</x:v>
      </x:c>
    </x:row>
    <x:row r="771">
      <x:c r="A771" s="76" t="n">
        <x:v>771</x:v>
      </x:c>
      <x:c r="B771" s="69" t="str">
        <x:v>4.5959167</x:v>
      </x:c>
      <x:c r="C771" s="69" t="str">
        <x:v>-75.1615306</x:v>
      </x:c>
      <x:c r="D771" s="78" t="n">
        <x:v>4.5959167</x:v>
      </x:c>
      <x:c r="E771" s="78" t="n">
        <x:v>-75.1615306</x:v>
      </x:c>
      <x:c r="F771" s="69" t="str">
        <x:v>Texto→número</x:v>
      </x:c>
      <x:c r="G771" s="69" t="str">
        <x:v>Texto→número</x:v>
      </x:c>
      <x:c r="H771" s="80" t="str">
        <x:v>OK</x:v>
      </x:c>
      <x:c r="I771" s="69" t="str"/>
      <x:c r="J771" s="69" t="str">
        <x:v>4.5959167|-75.1615306</x:v>
      </x:c>
      <x:c r="K771" s="82" t="n">
        <x:v>0</x:v>
      </x:c>
    </x:row>
    <x:row r="772">
      <x:c r="A772" s="76" t="n">
        <x:v>772</x:v>
      </x:c>
      <x:c r="B772" s="69" t="str">
        <x:v>4.71771</x:v>
      </x:c>
      <x:c r="C772" s="69" t="str">
        <x:v>-75.10414</x:v>
      </x:c>
      <x:c r="D772" s="78" t="n">
        <x:v>4.71771</x:v>
      </x:c>
      <x:c r="E772" s="78" t="n">
        <x:v>-75.10414</x:v>
      </x:c>
      <x:c r="F772" s="69" t="str">
        <x:v>Texto→número</x:v>
      </x:c>
      <x:c r="G772" s="69" t="str">
        <x:v>Texto→número</x:v>
      </x:c>
      <x:c r="H772" s="80" t="str">
        <x:v>OK</x:v>
      </x:c>
      <x:c r="I772" s="69" t="str"/>
      <x:c r="J772" s="69"/>
      <x:c r="K772" s="82" t="n">
        <x:v>1</x:v>
      </x:c>
    </x:row>
    <x:row r="773">
      <x:c r="A773" s="76" t="n">
        <x:v>773</x:v>
      </x:c>
      <x:c r="B773" s="69" t="str">
        <x:v>4.7189417</x:v>
      </x:c>
      <x:c r="C773" s="69" t="str">
        <x:v>-75.1007306</x:v>
      </x:c>
      <x:c r="D773" s="78" t="n">
        <x:v>4.7189417</x:v>
      </x:c>
      <x:c r="E773" s="78" t="n">
        <x:v>-75.1007306</x:v>
      </x:c>
      <x:c r="F773" s="69" t="str">
        <x:v>Texto→número</x:v>
      </x:c>
      <x:c r="G773" s="69" t="str">
        <x:v>Texto→número</x:v>
      </x:c>
      <x:c r="H773" s="80" t="str">
        <x:v>OK</x:v>
      </x:c>
      <x:c r="I773" s="69" t="str"/>
      <x:c r="J773" s="69"/>
      <x:c r="K773" s="82" t="n">
        <x:v>1</x:v>
      </x:c>
    </x:row>
    <x:row r="774">
      <x:c r="A774" s="76" t="n">
        <x:v>774</x:v>
      </x:c>
      <x:c r="B774" s="69" t="str">
        <x:v>4.8697778</x:v>
      </x:c>
      <x:c r="C774" s="69" t="str">
        <x:v>-75.1773528</x:v>
      </x:c>
      <x:c r="D774" s="78" t="n">
        <x:v>4.8697778</x:v>
      </x:c>
      <x:c r="E774" s="78" t="n">
        <x:v>-75.1773528</x:v>
      </x:c>
      <x:c r="F774" s="69" t="str">
        <x:v>Texto→número</x:v>
      </x:c>
      <x:c r="G774" s="69" t="str">
        <x:v>Texto→número</x:v>
      </x:c>
      <x:c r="H774" s="80" t="str">
        <x:v>OK</x:v>
      </x:c>
      <x:c r="I774" s="69" t="str"/>
      <x:c r="J774" s="69"/>
      <x:c r="K774" s="82" t="n">
        <x:v>1</x:v>
      </x:c>
    </x:row>
    <x:row r="775">
      <x:c r="A775" s="76" t="n">
        <x:v>775</x:v>
      </x:c>
      <x:c r="B775" s="69" t="str">
        <x:v>4.53037</x:v>
      </x:c>
      <x:c r="C775" s="69" t="str">
        <x:v>-75.44538</x:v>
      </x:c>
      <x:c r="D775" s="78" t="n">
        <x:v>4.53037</x:v>
      </x:c>
      <x:c r="E775" s="78" t="n">
        <x:v>-75.44538</x:v>
      </x:c>
      <x:c r="F775" s="69" t="str">
        <x:v>Texto→número</x:v>
      </x:c>
      <x:c r="G775" s="69" t="str">
        <x:v>Texto→número</x:v>
      </x:c>
      <x:c r="H775" s="80" t="str">
        <x:v>OK</x:v>
      </x:c>
      <x:c r="I775" s="69" t="str"/>
      <x:c r="J775" s="69" t="str">
        <x:v>4.53037|-75.44538</x:v>
      </x:c>
      <x:c r="K775" s="82" t="n">
        <x:v>0</x:v>
      </x:c>
    </x:row>
    <x:row r="776">
      <x:c r="A776" s="76" t="n">
        <x:v>776</x:v>
      </x:c>
      <x:c r="B776" s="69" t="str">
        <x:v>4.53679</x:v>
      </x:c>
      <x:c r="C776" s="69" t="str">
        <x:v>-75.45058</x:v>
      </x:c>
      <x:c r="D776" s="78" t="n">
        <x:v>4.53679</x:v>
      </x:c>
      <x:c r="E776" s="78" t="n">
        <x:v>-75.45058</x:v>
      </x:c>
      <x:c r="F776" s="69" t="str">
        <x:v>Texto→número</x:v>
      </x:c>
      <x:c r="G776" s="69" t="str">
        <x:v>Texto→número</x:v>
      </x:c>
      <x:c r="H776" s="80" t="str">
        <x:v>OK</x:v>
      </x:c>
      <x:c r="I776" s="69" t="str"/>
      <x:c r="J776" s="69" t="str">
        <x:v>4.53679|-75.45058</x:v>
      </x:c>
      <x:c r="K776" s="82" t="n">
        <x:v>0</x:v>
      </x:c>
    </x:row>
    <x:row r="777">
      <x:c r="A777" s="76" t="n">
        <x:v>777</x:v>
      </x:c>
      <x:c r="B777" s="69" t="str">
        <x:v>4.55835</x:v>
      </x:c>
      <x:c r="C777" s="69" t="str">
        <x:v>-75.32021</x:v>
      </x:c>
      <x:c r="D777" s="78" t="n">
        <x:v>4.55835</x:v>
      </x:c>
      <x:c r="E777" s="78" t="n">
        <x:v>-75.32021</x:v>
      </x:c>
      <x:c r="F777" s="69" t="str">
        <x:v>Texto→número</x:v>
      </x:c>
      <x:c r="G777" s="69" t="str">
        <x:v>Texto→número</x:v>
      </x:c>
      <x:c r="H777" s="80" t="str">
        <x:v>OK</x:v>
      </x:c>
      <x:c r="I777" s="69" t="str"/>
      <x:c r="J777" s="69"/>
      <x:c r="K777" s="82" t="n">
        <x:v>1</x:v>
      </x:c>
    </x:row>
    <x:row r="778">
      <x:c r="A778" s="76" t="n">
        <x:v>778</x:v>
      </x:c>
      <x:c r="B778" s="69" t="str">
        <x:v>4.55835</x:v>
      </x:c>
      <x:c r="C778" s="69" t="str">
        <x:v>-75.32021</x:v>
      </x:c>
      <x:c r="D778" s="78" t="n">
        <x:v>4.55835</x:v>
      </x:c>
      <x:c r="E778" s="78" t="n">
        <x:v>-75.32021</x:v>
      </x:c>
      <x:c r="F778" s="69" t="str">
        <x:v>Texto→número</x:v>
      </x:c>
      <x:c r="G778" s="69" t="str">
        <x:v>Texto→número</x:v>
      </x:c>
      <x:c r="H778" s="80" t="str">
        <x:v>OK</x:v>
      </x:c>
      <x:c r="I778" s="69" t="str"/>
      <x:c r="J778" s="69"/>
      <x:c r="K778" s="82" t="n">
        <x:v>1</x:v>
      </x:c>
    </x:row>
    <x:row r="779">
      <x:c r="A779" s="76" t="n">
        <x:v>779</x:v>
      </x:c>
      <x:c r="B779" s="69" t="str">
        <x:v>3.55349</x:v>
      </x:c>
      <x:c r="C779" s="69" t="str">
        <x:v>-76.11423</x:v>
      </x:c>
      <x:c r="D779" s="78" t="n">
        <x:v>3.55349</x:v>
      </x:c>
      <x:c r="E779" s="78" t="n">
        <x:v>-76.11423</x:v>
      </x:c>
      <x:c r="F779" s="69" t="str">
        <x:v>Texto→número</x:v>
      </x:c>
      <x:c r="G779" s="69" t="str">
        <x:v>Texto→número</x:v>
      </x:c>
      <x:c r="H779" s="80" t="str">
        <x:v>OK</x:v>
      </x:c>
      <x:c r="I779" s="69" t="str"/>
      <x:c r="J779" s="69" t="str">
        <x:v>3.55349|-76.11423</x:v>
      </x:c>
      <x:c r="K779" s="82" t="n">
        <x:v>0</x:v>
      </x:c>
    </x:row>
    <x:row r="780">
      <x:c r="A780" s="76" t="n">
        <x:v>780</x:v>
      </x:c>
      <x:c r="B780" s="69" t="str">
        <x:v>3.86054</x:v>
      </x:c>
      <x:c r="C780" s="69" t="str">
        <x:v>-76.13128</x:v>
      </x:c>
      <x:c r="D780" s="78" t="n">
        <x:v>3.86054</x:v>
      </x:c>
      <x:c r="E780" s="78" t="n">
        <x:v>-76.13128</x:v>
      </x:c>
      <x:c r="F780" s="69" t="str">
        <x:v>Texto→número</x:v>
      </x:c>
      <x:c r="G780" s="69" t="str">
        <x:v>Texto→número</x:v>
      </x:c>
      <x:c r="H780" s="80" t="str">
        <x:v>OK</x:v>
      </x:c>
      <x:c r="I780" s="69" t="str"/>
      <x:c r="J780" s="69" t="str">
        <x:v>3.86054|-76.13128</x:v>
      </x:c>
      <x:c r="K780" s="82" t="n">
        <x:v>0</x:v>
      </x:c>
    </x:row>
    <x:row r="781">
      <x:c r="A781" s="76" t="n">
        <x:v>781</x:v>
      </x:c>
      <x:c r="B781" s="69" t="str">
        <x:v>3.46144</x:v>
      </x:c>
      <x:c r="C781" s="69" t="str">
        <x:v>-76.63748</x:v>
      </x:c>
      <x:c r="D781" s="78" t="n">
        <x:v>3.46144</x:v>
      </x:c>
      <x:c r="E781" s="78" t="n">
        <x:v>-76.63748</x:v>
      </x:c>
      <x:c r="F781" s="69" t="str">
        <x:v>Texto→número</x:v>
      </x:c>
      <x:c r="G781" s="69" t="str">
        <x:v>Texto→número</x:v>
      </x:c>
      <x:c r="H781" s="80" t="str">
        <x:v>OK</x:v>
      </x:c>
      <x:c r="I781" s="69" t="str"/>
      <x:c r="J781" s="69"/>
      <x:c r="K781" s="82" t="n">
        <x:v>1</x:v>
      </x:c>
    </x:row>
    <x:row r="782">
      <x:c r="A782" s="76" t="n">
        <x:v>782</x:v>
      </x:c>
      <x:c r="B782" s="69" t="str">
        <x:v>3.22768</x:v>
      </x:c>
      <x:c r="C782" s="69" t="str">
        <x:v>-76.13953</x:v>
      </x:c>
      <x:c r="D782" s="78" t="n">
        <x:v>3.22768</x:v>
      </x:c>
      <x:c r="E782" s="78" t="n">
        <x:v>-76.13953</x:v>
      </x:c>
      <x:c r="F782" s="69" t="str">
        <x:v>Texto→número</x:v>
      </x:c>
      <x:c r="G782" s="69" t="str">
        <x:v>Texto→número</x:v>
      </x:c>
      <x:c r="H782" s="80" t="str">
        <x:v>OK</x:v>
      </x:c>
      <x:c r="I782" s="69" t="str"/>
      <x:c r="J782" s="69" t="str">
        <x:v>3.22768|-76.13953</x:v>
      </x:c>
      <x:c r="K782" s="82" t="n">
        <x:v>0</x:v>
      </x:c>
    </x:row>
    <x:row r="783">
      <x:c r="A783" s="76" t="n">
        <x:v>783</x:v>
      </x:c>
      <x:c r="B783" s="69" t="str">
        <x:v>3.34415</x:v>
      </x:c>
      <x:c r="C783" s="69" t="str">
        <x:v>-76.69581</x:v>
      </x:c>
      <x:c r="D783" s="78" t="n">
        <x:v>3.34415</x:v>
      </x:c>
      <x:c r="E783" s="78" t="n">
        <x:v>-76.69581</x:v>
      </x:c>
      <x:c r="F783" s="69" t="str">
        <x:v>Texto→número</x:v>
      </x:c>
      <x:c r="G783" s="69" t="str">
        <x:v>Texto→número</x:v>
      </x:c>
      <x:c r="H783" s="80" t="str">
        <x:v>OK</x:v>
      </x:c>
      <x:c r="I783" s="69" t="str"/>
      <x:c r="J783" s="69"/>
      <x:c r="K783" s="82" t="n">
        <x:v>1</x:v>
      </x:c>
    </x:row>
    <x:row r="784">
      <x:c r="A784" s="76" t="n">
        <x:v>784</x:v>
      </x:c>
      <x:c r="B784" s="69" t="str">
        <x:v>5.92288</x:v>
      </x:c>
      <x:c r="C784" s="69" t="str">
        <x:v>-75.30358</x:v>
      </x:c>
      <x:c r="D784" s="78" t="n">
        <x:v>5.92288</x:v>
      </x:c>
      <x:c r="E784" s="78" t="n">
        <x:v>-75.30358</x:v>
      </x:c>
      <x:c r="F784" s="69" t="str">
        <x:v>Texto→número</x:v>
      </x:c>
      <x:c r="G784" s="69" t="str">
        <x:v>Texto→número</x:v>
      </x:c>
      <x:c r="H784" s="80" t="str">
        <x:v>OK</x:v>
      </x:c>
      <x:c r="I784" s="69" t="str"/>
      <x:c r="J784" s="69"/>
      <x:c r="K784" s="82" t="n">
        <x:v>1</x:v>
      </x:c>
    </x:row>
    <x:row r="785">
      <x:c r="A785" s="76" t="n">
        <x:v>785</x:v>
      </x:c>
      <x:c r="B785" s="69" t="str">
        <x:v>4.97597</x:v>
      </x:c>
      <x:c r="C785" s="69" t="str">
        <x:v>-73.77301</x:v>
      </x:c>
      <x:c r="D785" s="78" t="n">
        <x:v>4.97597</x:v>
      </x:c>
      <x:c r="E785" s="78" t="n">
        <x:v>-73.77301</x:v>
      </x:c>
      <x:c r="F785" s="69" t="str">
        <x:v>Texto→número</x:v>
      </x:c>
      <x:c r="G785" s="69" t="str">
        <x:v>Texto→número</x:v>
      </x:c>
      <x:c r="H785" s="80" t="str">
        <x:v>OK</x:v>
      </x:c>
      <x:c r="I785" s="69" t="str"/>
      <x:c r="J785" s="69" t="str">
        <x:v>4.97597|-73.77301</x:v>
      </x:c>
      <x:c r="K785" s="82" t="n">
        <x:v>0</x:v>
      </x:c>
    </x:row>
    <x:row r="786">
      <x:c r="A786" s="76" t="n">
        <x:v>786</x:v>
      </x:c>
      <x:c r="B786" s="69" t="str">
        <x:v>7.04334</x:v>
      </x:c>
      <x:c r="C786" s="69" t="str">
        <x:v>-73.00302</x:v>
      </x:c>
      <x:c r="D786" s="78" t="n">
        <x:v>7.04334</x:v>
      </x:c>
      <x:c r="E786" s="78" t="n">
        <x:v>-73.00302</x:v>
      </x:c>
      <x:c r="F786" s="69" t="str">
        <x:v>Texto→número</x:v>
      </x:c>
      <x:c r="G786" s="69" t="str">
        <x:v>Texto→número</x:v>
      </x:c>
      <x:c r="H786" s="80" t="str">
        <x:v>OK</x:v>
      </x:c>
      <x:c r="I786" s="69" t="str"/>
      <x:c r="J786" s="69" t="str">
        <x:v>7.04334|-73.00302</x:v>
      </x:c>
      <x:c r="K786" s="82" t="n">
        <x:v>0</x:v>
      </x:c>
    </x:row>
    <x:row r="787">
      <x:c r="A787" s="76" t="n">
        <x:v>787</x:v>
      </x:c>
      <x:c r="B787" s="69" t="str">
        <x:v>1.7689806</x:v>
      </x:c>
      <x:c r="C787" s="69" t="str">
        <x:v>-76.0187333</x:v>
      </x:c>
      <x:c r="D787" s="78" t="n">
        <x:v>1.7689806</x:v>
      </x:c>
      <x:c r="E787" s="78" t="n">
        <x:v>-76.0187333</x:v>
      </x:c>
      <x:c r="F787" s="69" t="str">
        <x:v>Texto→número</x:v>
      </x:c>
      <x:c r="G787" s="69" t="str">
        <x:v>Texto→número</x:v>
      </x:c>
      <x:c r="H787" s="80" t="str">
        <x:v>OK</x:v>
      </x:c>
      <x:c r="I787" s="69" t="str"/>
      <x:c r="J787" s="69"/>
      <x:c r="K787" s="82" t="n">
        <x:v>1</x:v>
      </x:c>
    </x:row>
    <x:row r="788">
      <x:c r="A788" s="76" t="n">
        <x:v>788</x:v>
      </x:c>
      <x:c r="B788" s="69" t="str">
        <x:v>1.7689806</x:v>
      </x:c>
      <x:c r="C788" s="69" t="str">
        <x:v>-76.0187333</x:v>
      </x:c>
      <x:c r="D788" s="78" t="n">
        <x:v>1.7689806</x:v>
      </x:c>
      <x:c r="E788" s="78" t="n">
        <x:v>-76.0187333</x:v>
      </x:c>
      <x:c r="F788" s="69" t="str">
        <x:v>Texto→número</x:v>
      </x:c>
      <x:c r="G788" s="69" t="str">
        <x:v>Texto→número</x:v>
      </x:c>
      <x:c r="H788" s="80" t="str">
        <x:v>OK</x:v>
      </x:c>
      <x:c r="I788" s="69" t="str"/>
      <x:c r="J788" s="69"/>
      <x:c r="K788" s="82" t="n">
        <x:v>1</x:v>
      </x:c>
    </x:row>
    <x:row r="789">
      <x:c r="A789" s="76" t="n">
        <x:v>789</x:v>
      </x:c>
      <x:c r="B789" s="69" t="str">
        <x:v>1.7689806</x:v>
      </x:c>
      <x:c r="C789" s="69" t="str">
        <x:v>-76.0187333</x:v>
      </x:c>
      <x:c r="D789" s="78" t="n">
        <x:v>1.7689806</x:v>
      </x:c>
      <x:c r="E789" s="78" t="n">
        <x:v>-76.0187333</x:v>
      </x:c>
      <x:c r="F789" s="69" t="str">
        <x:v>Texto→número</x:v>
      </x:c>
      <x:c r="G789" s="69" t="str">
        <x:v>Texto→número</x:v>
      </x:c>
      <x:c r="H789" s="80" t="str">
        <x:v>OK</x:v>
      </x:c>
      <x:c r="I789" s="69" t="str"/>
      <x:c r="J789" s="69"/>
      <x:c r="K789" s="82" t="n">
        <x:v>1</x:v>
      </x:c>
    </x:row>
    <x:row r="790">
      <x:c r="A790" s="76" t="n">
        <x:v>790</x:v>
      </x:c>
      <x:c r="B790" s="69" t="str">
        <x:v>6.5397222</x:v>
      </x:c>
      <x:c r="C790" s="69" t="str">
        <x:v>-76.2997222</x:v>
      </x:c>
      <x:c r="D790" s="78" t="n">
        <x:v>6.5397222</x:v>
      </x:c>
      <x:c r="E790" s="78" t="n">
        <x:v>-76.2997222</x:v>
      </x:c>
      <x:c r="F790" s="69" t="str">
        <x:v>Texto→número</x:v>
      </x:c>
      <x:c r="G790" s="69" t="str">
        <x:v>Texto→número</x:v>
      </x:c>
      <x:c r="H790" s="80" t="str">
        <x:v>OK</x:v>
      </x:c>
      <x:c r="I790" s="69" t="str"/>
      <x:c r="J790" s="69" t="str">
        <x:v>6.5397222|-76.2997222</x:v>
      </x:c>
      <x:c r="K790" s="82" t="n">
        <x:v>0</x:v>
      </x:c>
    </x:row>
    <x:row r="791">
      <x:c r="A791" s="76" t="n">
        <x:v>791</x:v>
      </x:c>
      <x:c r="B791" s="69" t="str">
        <x:v>7.43993</x:v>
      </x:c>
      <x:c r="C791" s="69" t="str">
        <x:v>-72.45095</x:v>
      </x:c>
      <x:c r="D791" s="78" t="n">
        <x:v>7.43993</x:v>
      </x:c>
      <x:c r="E791" s="78" t="n">
        <x:v>-72.45095</x:v>
      </x:c>
      <x:c r="F791" s="69" t="str">
        <x:v>Texto→número</x:v>
      </x:c>
      <x:c r="G791" s="69" t="str">
        <x:v>Texto→número</x:v>
      </x:c>
      <x:c r="H791" s="80" t="str">
        <x:v>OK</x:v>
      </x:c>
      <x:c r="I791" s="69" t="str"/>
      <x:c r="J791" s="69"/>
      <x:c r="K791" s="82" t="n">
        <x:v>1</x:v>
      </x:c>
    </x:row>
    <x:row r="792">
      <x:c r="A792" s="76" t="n">
        <x:v>792</x:v>
      </x:c>
      <x:c r="B792" s="69" t="str">
        <x:v>1.08283</x:v>
      </x:c>
      <x:c r="C792" s="69" t="str">
        <x:v>-76.82111</x:v>
      </x:c>
      <x:c r="D792" s="78" t="n">
        <x:v>1.08283</x:v>
      </x:c>
      <x:c r="E792" s="78" t="n">
        <x:v>-76.82111</x:v>
      </x:c>
      <x:c r="F792" s="69" t="str">
        <x:v>Texto→número</x:v>
      </x:c>
      <x:c r="G792" s="69" t="str">
        <x:v>Texto→número</x:v>
      </x:c>
      <x:c r="H792" s="80" t="str">
        <x:v>OK</x:v>
      </x:c>
      <x:c r="I792" s="69" t="str"/>
      <x:c r="J792" s="69" t="str">
        <x:v>1.08283|-76.82111</x:v>
      </x:c>
      <x:c r="K792" s="82" t="n">
        <x:v>0</x:v>
      </x:c>
    </x:row>
    <x:row r="793">
      <x:c r="A793" s="76" t="n">
        <x:v>793</x:v>
      </x:c>
      <x:c r="B793" s="69" t="str">
        <x:v>5.09902</x:v>
      </x:c>
      <x:c r="C793" s="69" t="str">
        <x:v>-76.70063</x:v>
      </x:c>
      <x:c r="D793" s="78" t="n">
        <x:v>5.09902</x:v>
      </x:c>
      <x:c r="E793" s="78" t="n">
        <x:v>-76.70063</x:v>
      </x:c>
      <x:c r="F793" s="69" t="str">
        <x:v>Texto→número</x:v>
      </x:c>
      <x:c r="G793" s="69" t="str">
        <x:v>Texto→número</x:v>
      </x:c>
      <x:c r="H793" s="80" t="str">
        <x:v>OK</x:v>
      </x:c>
      <x:c r="I793" s="69" t="str"/>
      <x:c r="J793" s="69" t="str">
        <x:v>5.09902|-76.70063</x:v>
      </x:c>
      <x:c r="K793" s="82" t="n">
        <x:v>0</x:v>
      </x:c>
    </x:row>
    <x:row r="794">
      <x:c r="A794" s="76" t="n">
        <x:v>794</x:v>
      </x:c>
      <x:c r="B794" s="69" t="str">
        <x:v>1.25</x:v>
      </x:c>
      <x:c r="C794" s="69" t="str">
        <x:v>-78.1166667</x:v>
      </x:c>
      <x:c r="D794" s="78" t="n">
        <x:v>1.25</x:v>
      </x:c>
      <x:c r="E794" s="78" t="n">
        <x:v>-78.1166667</x:v>
      </x:c>
      <x:c r="F794" s="69" t="str">
        <x:v>Texto→número</x:v>
      </x:c>
      <x:c r="G794" s="69" t="str">
        <x:v>Texto→número</x:v>
      </x:c>
      <x:c r="H794" s="80" t="str">
        <x:v>OK</x:v>
      </x:c>
      <x:c r="I794" s="69" t="str"/>
      <x:c r="J794" s="69"/>
      <x:c r="K794" s="82" t="n">
        <x:v>1</x:v>
      </x:c>
    </x:row>
    <x:row r="795">
      <x:c r="A795" s="76" t="n">
        <x:v>795</x:v>
      </x:c>
      <x:c r="B795" s="69" t="str">
        <x:v>3.61633</x:v>
      </x:c>
      <x:c r="C795" s="69" t="str">
        <x:v>-76.89806</x:v>
      </x:c>
      <x:c r="D795" s="78" t="n">
        <x:v>3.61633</x:v>
      </x:c>
      <x:c r="E795" s="78" t="n">
        <x:v>-76.89806</x:v>
      </x:c>
      <x:c r="F795" s="69" t="str">
        <x:v>Texto→número</x:v>
      </x:c>
      <x:c r="G795" s="69" t="str">
        <x:v>Texto→número</x:v>
      </x:c>
      <x:c r="H795" s="80" t="str">
        <x:v>OK</x:v>
      </x:c>
      <x:c r="I795" s="69" t="str"/>
      <x:c r="J795" s="69" t="str">
        <x:v>3.61633|-76.89806</x:v>
      </x:c>
      <x:c r="K795" s="82" t="n">
        <x:v>0</x:v>
      </x:c>
    </x:row>
    <x:row r="796">
      <x:c r="A796" s="76" t="n">
        <x:v>796</x:v>
      </x:c>
      <x:c r="B796" s="69" t="str">
        <x:v>1.36416</x:v>
      </x:c>
      <x:c r="C796" s="69" t="str">
        <x:v>-78.10056</x:v>
      </x:c>
      <x:c r="D796" s="78" t="n">
        <x:v>1.36416</x:v>
      </x:c>
      <x:c r="E796" s="78" t="n">
        <x:v>-78.10056</x:v>
      </x:c>
      <x:c r="F796" s="69" t="str">
        <x:v>Texto→número</x:v>
      </x:c>
      <x:c r="G796" s="69" t="str">
        <x:v>Texto→número</x:v>
      </x:c>
      <x:c r="H796" s="80" t="str">
        <x:v>OK</x:v>
      </x:c>
      <x:c r="I796" s="69" t="str"/>
      <x:c r="J796" s="69" t="str">
        <x:v>1.36416|-78.10056</x:v>
      </x:c>
      <x:c r="K796" s="82" t="n">
        <x:v>0</x:v>
      </x:c>
    </x:row>
    <x:row r="797">
      <x:c r="A797" s="76" t="n">
        <x:v>797</x:v>
      </x:c>
      <x:c r="B797" s="69" t="str">
        <x:v>1.36416</x:v>
      </x:c>
      <x:c r="C797" s="69" t="str">
        <x:v>-78.10056</x:v>
      </x:c>
      <x:c r="D797" s="78" t="n">
        <x:v>1.36416</x:v>
      </x:c>
      <x:c r="E797" s="78" t="n">
        <x:v>-78.10056</x:v>
      </x:c>
      <x:c r="F797" s="69" t="str">
        <x:v>Texto→número</x:v>
      </x:c>
      <x:c r="G797" s="69" t="str">
        <x:v>Texto→número</x:v>
      </x:c>
      <x:c r="H797" s="80" t="str">
        <x:v>OK</x:v>
      </x:c>
      <x:c r="I797" s="69" t="str"/>
      <x:c r="J797" s="69"/>
      <x:c r="K797" s="82" t="n">
        <x:v>1</x:v>
      </x:c>
    </x:row>
    <x:row r="798">
      <x:c r="A798" s="76" t="n">
        <x:v>798</x:v>
      </x:c>
      <x:c r="B798" s="69" t="str">
        <x:v>1.53403</x:v>
      </x:c>
      <x:c r="C798" s="69" t="str">
        <x:v>-78.06769</x:v>
      </x:c>
      <x:c r="D798" s="78" t="n">
        <x:v>1.53403</x:v>
      </x:c>
      <x:c r="E798" s="78" t="n">
        <x:v>-78.06769</x:v>
      </x:c>
      <x:c r="F798" s="69" t="str">
        <x:v>Texto→número</x:v>
      </x:c>
      <x:c r="G798" s="69" t="str">
        <x:v>Texto→número</x:v>
      </x:c>
      <x:c r="H798" s="80" t="str">
        <x:v>OK</x:v>
      </x:c>
      <x:c r="I798" s="69" t="str"/>
      <x:c r="J798" s="69"/>
      <x:c r="K798" s="82" t="n">
        <x:v>1</x:v>
      </x:c>
    </x:row>
    <x:row r="799">
      <x:c r="A799" s="76" t="n">
        <x:v>799</x:v>
      </x:c>
      <x:c r="B799" s="69" t="str">
        <x:v>12.13776</x:v>
      </x:c>
      <x:c r="C799" s="69" t="str">
        <x:v>-71.33838</x:v>
      </x:c>
      <x:c r="D799" s="78" t="n">
        <x:v>12.13776</x:v>
      </x:c>
      <x:c r="E799" s="78" t="n">
        <x:v>-71.33838</x:v>
      </x:c>
      <x:c r="F799" s="69" t="str">
        <x:v>Texto→número</x:v>
      </x:c>
      <x:c r="G799" s="69" t="str">
        <x:v>Texto→número</x:v>
      </x:c>
      <x:c r="H799" s="80" t="str">
        <x:v>OK</x:v>
      </x:c>
      <x:c r="I799" s="69" t="str"/>
      <x:c r="J799" s="69" t="str">
        <x:v>12.13776|-71.33838</x:v>
      </x:c>
      <x:c r="K799" s="82" t="n">
        <x:v>0</x:v>
      </x:c>
    </x:row>
    <x:row r="800">
      <x:c r="A800" s="76" t="n">
        <x:v>800</x:v>
      </x:c>
      <x:c r="B800" s="69" t="str">
        <x:v>12.13776</x:v>
      </x:c>
      <x:c r="C800" s="69" t="str">
        <x:v>-71.33838</x:v>
      </x:c>
      <x:c r="D800" s="78" t="n">
        <x:v>12.13776</x:v>
      </x:c>
      <x:c r="E800" s="78" t="n">
        <x:v>-71.33838</x:v>
      </x:c>
      <x:c r="F800" s="69" t="str">
        <x:v>Texto→número</x:v>
      </x:c>
      <x:c r="G800" s="69" t="str">
        <x:v>Texto→número</x:v>
      </x:c>
      <x:c r="H800" s="80" t="str">
        <x:v>OK</x:v>
      </x:c>
      <x:c r="I800" s="69" t="str"/>
      <x:c r="J800" s="69"/>
      <x:c r="K800" s="82" t="n">
        <x:v>1</x:v>
      </x:c>
    </x:row>
    <x:row r="801">
      <x:c r="A801" s="76" t="n">
        <x:v>801</x:v>
      </x:c>
      <x:c r="B801" s="69" t="str">
        <x:v>5.1</x:v>
      </x:c>
      <x:c r="C801" s="69" t="str">
        <x:v>-76.6666667</x:v>
      </x:c>
      <x:c r="D801" s="78" t="n">
        <x:v>5.1</x:v>
      </x:c>
      <x:c r="E801" s="78" t="n">
        <x:v>-76.6666667</x:v>
      </x:c>
      <x:c r="F801" s="69" t="str">
        <x:v>Texto→número</x:v>
      </x:c>
      <x:c r="G801" s="69" t="str">
        <x:v>Texto→número</x:v>
      </x:c>
      <x:c r="H801" s="80" t="str">
        <x:v>OK</x:v>
      </x:c>
      <x:c r="I801" s="69" t="str"/>
      <x:c r="J801" s="69" t="str">
        <x:v>5.1|-76.6666667</x:v>
      </x:c>
      <x:c r="K801" s="82" t="n">
        <x:v>0</x:v>
      </x:c>
    </x:row>
    <x:row r="802">
      <x:c r="A802" s="76" t="n">
        <x:v>802</x:v>
      </x:c>
      <x:c r="B802" s="69" t="str">
        <x:v>4.87585</x:v>
      </x:c>
      <x:c r="C802" s="69" t="str">
        <x:v>-76.44222</x:v>
      </x:c>
      <x:c r="D802" s="78" t="n">
        <x:v>4.87585</x:v>
      </x:c>
      <x:c r="E802" s="78" t="n">
        <x:v>-76.44222</x:v>
      </x:c>
      <x:c r="F802" s="69" t="str">
        <x:v>Texto→número</x:v>
      </x:c>
      <x:c r="G802" s="69" t="str">
        <x:v>Texto→número</x:v>
      </x:c>
      <x:c r="H802" s="80" t="str">
        <x:v>OK</x:v>
      </x:c>
      <x:c r="I802" s="69" t="str"/>
      <x:c r="J802" s="69" t="str">
        <x:v>4.87585|-76.44222</x:v>
      </x:c>
      <x:c r="K802" s="82" t="n">
        <x:v>0</x:v>
      </x:c>
    </x:row>
    <x:row r="803">
      <x:c r="A803" s="76" t="n">
        <x:v>803</x:v>
      </x:c>
      <x:c r="B803" s="69" t="str">
        <x:v>4.89255</x:v>
      </x:c>
      <x:c r="C803" s="69" t="str">
        <x:v>-76.27434</x:v>
      </x:c>
      <x:c r="D803" s="78" t="n">
        <x:v>4.89255</x:v>
      </x:c>
      <x:c r="E803" s="78" t="n">
        <x:v>-76.27434</x:v>
      </x:c>
      <x:c r="F803" s="69" t="str">
        <x:v>Texto→número</x:v>
      </x:c>
      <x:c r="G803" s="69" t="str">
        <x:v>Texto→número</x:v>
      </x:c>
      <x:c r="H803" s="80" t="str">
        <x:v>OK</x:v>
      </x:c>
      <x:c r="I803" s="69" t="str"/>
      <x:c r="J803" s="69" t="str">
        <x:v>4.89255|-76.27434</x:v>
      </x:c>
      <x:c r="K803" s="82" t="n">
        <x:v>0</x:v>
      </x:c>
    </x:row>
    <x:row r="804">
      <x:c r="A804" s="76" t="n">
        <x:v>804</x:v>
      </x:c>
      <x:c r="B804" s="69" t="str">
        <x:v>11.29186</x:v>
      </x:c>
      <x:c r="C804" s="69" t="str">
        <x:v>-74.05682</x:v>
      </x:c>
      <x:c r="D804" s="78" t="n">
        <x:v>11.29186</x:v>
      </x:c>
      <x:c r="E804" s="78" t="n">
        <x:v>-74.05682</x:v>
      </x:c>
      <x:c r="F804" s="69" t="str">
        <x:v>Texto→número</x:v>
      </x:c>
      <x:c r="G804" s="69" t="str">
        <x:v>Texto→número</x:v>
      </x:c>
      <x:c r="H804" s="80" t="str">
        <x:v>OK</x:v>
      </x:c>
      <x:c r="I804" s="69" t="str"/>
      <x:c r="J804" s="69" t="str">
        <x:v>11.29186|-74.05682</x:v>
      </x:c>
      <x:c r="K804" s="82" t="n">
        <x:v>0</x:v>
      </x:c>
    </x:row>
    <x:row r="805">
      <x:c r="A805" s="76" t="n">
        <x:v>805</x:v>
      </x:c>
      <x:c r="B805" s="69" t="str">
        <x:v>3.5</x:v>
      </x:c>
      <x:c r="C805" s="69" t="str">
        <x:v>-76.75</x:v>
      </x:c>
      <x:c r="D805" s="78" t="n">
        <x:v>3.5</x:v>
      </x:c>
      <x:c r="E805" s="78" t="n">
        <x:v>-76.75</x:v>
      </x:c>
      <x:c r="F805" s="69" t="str">
        <x:v>Texto→número</x:v>
      </x:c>
      <x:c r="G805" s="69" t="str">
        <x:v>Texto→número</x:v>
      </x:c>
      <x:c r="H805" s="80" t="str">
        <x:v>OK</x:v>
      </x:c>
      <x:c r="I805" s="69" t="str"/>
      <x:c r="J805" s="69" t="str">
        <x:v>3.5|-76.75</x:v>
      </x:c>
      <x:c r="K805" s="82" t="n">
        <x:v>0</x:v>
      </x:c>
    </x:row>
    <x:row r="806">
      <x:c r="A806" s="76" t="n">
        <x:v>806</x:v>
      </x:c>
      <x:c r="B806" s="69" t="str">
        <x:v>3.5</x:v>
      </x:c>
      <x:c r="C806" s="69" t="str">
        <x:v>-76.75</x:v>
      </x:c>
      <x:c r="D806" s="78" t="n">
        <x:v>3.5</x:v>
      </x:c>
      <x:c r="E806" s="78" t="n">
        <x:v>-76.75</x:v>
      </x:c>
      <x:c r="F806" s="69" t="str">
        <x:v>Texto→número</x:v>
      </x:c>
      <x:c r="G806" s="69" t="str">
        <x:v>Texto→número</x:v>
      </x:c>
      <x:c r="H806" s="80" t="str">
        <x:v>OK</x:v>
      </x:c>
      <x:c r="I806" s="69" t="str"/>
      <x:c r="J806" s="69"/>
      <x:c r="K806" s="82" t="n">
        <x:v>1</x:v>
      </x:c>
    </x:row>
    <x:row r="807">
      <x:c r="A807" s="76" t="n">
        <x:v>807</x:v>
      </x:c>
      <x:c r="B807" s="69" t="str">
        <x:v>1.0833333</x:v>
      </x:c>
      <x:c r="C807" s="69" t="str">
        <x:v>-78.0166667</x:v>
      </x:c>
      <x:c r="D807" s="78" t="n">
        <x:v>1.0833333</x:v>
      </x:c>
      <x:c r="E807" s="78" t="n">
        <x:v>-78.0166667</x:v>
      </x:c>
      <x:c r="F807" s="69" t="str">
        <x:v>Texto→número</x:v>
      </x:c>
      <x:c r="G807" s="69" t="str">
        <x:v>Texto→número</x:v>
      </x:c>
      <x:c r="H807" s="80" t="str">
        <x:v>OK</x:v>
      </x:c>
      <x:c r="I807" s="69" t="str"/>
      <x:c r="J807" s="69" t="str">
        <x:v>1.0833333|-78.0166667</x:v>
      </x:c>
      <x:c r="K807" s="82" t="n">
        <x:v>0</x:v>
      </x:c>
    </x:row>
    <x:row r="808">
      <x:c r="A808" s="76" t="n">
        <x:v>808</x:v>
      </x:c>
      <x:c r="B808" s="69" t="str">
        <x:v>6.5125556</x:v>
      </x:c>
      <x:c r="C808" s="69" t="str">
        <x:v>-76.2615</x:v>
      </x:c>
      <x:c r="D808" s="78" t="n">
        <x:v>6.5125556</x:v>
      </x:c>
      <x:c r="E808" s="78" t="n">
        <x:v>-76.2615</x:v>
      </x:c>
      <x:c r="F808" s="69" t="str">
        <x:v>Texto→número</x:v>
      </x:c>
      <x:c r="G808" s="69" t="str">
        <x:v>Texto→número</x:v>
      </x:c>
      <x:c r="H808" s="80" t="str">
        <x:v>OK</x:v>
      </x:c>
      <x:c r="I808" s="69" t="str"/>
      <x:c r="J808" s="69"/>
      <x:c r="K808" s="82" t="n">
        <x:v>1</x:v>
      </x:c>
    </x:row>
    <x:row r="809">
      <x:c r="A809" s="76" t="n">
        <x:v>809</x:v>
      </x:c>
      <x:c r="B809" s="69" t="str">
        <x:v>1.53403</x:v>
      </x:c>
      <x:c r="C809" s="69" t="str">
        <x:v>-78.06769</x:v>
      </x:c>
      <x:c r="D809" s="78" t="n">
        <x:v>1.53403</x:v>
      </x:c>
      <x:c r="E809" s="78" t="n">
        <x:v>-78.06769</x:v>
      </x:c>
      <x:c r="F809" s="69" t="str">
        <x:v>Texto→número</x:v>
      </x:c>
      <x:c r="G809" s="69" t="str">
        <x:v>Texto→número</x:v>
      </x:c>
      <x:c r="H809" s="80" t="str">
        <x:v>OK</x:v>
      </x:c>
      <x:c r="I809" s="69" t="str"/>
      <x:c r="J809" s="69"/>
      <x:c r="K809" s="82" t="n">
        <x:v>1</x:v>
      </x:c>
    </x:row>
    <x:row r="810">
      <x:c r="A810" s="76" t="n">
        <x:v>810</x:v>
      </x:c>
      <x:c r="B810" s="69" t="str">
        <x:v>6.6073444</x:v>
      </x:c>
      <x:c r="C810" s="69" t="str">
        <x:v>-75.6659028</x:v>
      </x:c>
      <x:c r="D810" s="78" t="n">
        <x:v>6.6073444</x:v>
      </x:c>
      <x:c r="E810" s="78" t="n">
        <x:v>-75.6659028</x:v>
      </x:c>
      <x:c r="F810" s="69" t="str">
        <x:v>Texto→número</x:v>
      </x:c>
      <x:c r="G810" s="69" t="str">
        <x:v>Texto→número</x:v>
      </x:c>
      <x:c r="H810" s="80" t="str">
        <x:v>OK</x:v>
      </x:c>
      <x:c r="I810" s="69" t="str"/>
      <x:c r="J810" s="69" t="str">
        <x:v>6.6073444|-75.6659028</x:v>
      </x:c>
      <x:c r="K810" s="82" t="n">
        <x:v>0</x:v>
      </x:c>
    </x:row>
    <x:row r="811">
      <x:c r="A811" s="76" t="n">
        <x:v>811</x:v>
      </x:c>
      <x:c r="B811" s="69" t="str">
        <x:v>6.3166667</x:v>
      </x:c>
      <x:c r="C811" s="69" t="str">
        <x:v>-75.6833333</x:v>
      </x:c>
      <x:c r="D811" s="78" t="n">
        <x:v>6.3166667</x:v>
      </x:c>
      <x:c r="E811" s="78" t="n">
        <x:v>-75.6833333</x:v>
      </x:c>
      <x:c r="F811" s="69" t="str">
        <x:v>Texto→número</x:v>
      </x:c>
      <x:c r="G811" s="69" t="str">
        <x:v>Texto→número</x:v>
      </x:c>
      <x:c r="H811" s="80" t="str">
        <x:v>OK</x:v>
      </x:c>
      <x:c r="I811" s="69" t="str"/>
      <x:c r="J811" s="69" t="str">
        <x:v>6.3166667|-75.6833333</x:v>
      </x:c>
      <x:c r="K811" s="82" t="n">
        <x:v>0</x:v>
      </x:c>
    </x:row>
    <x:row r="812">
      <x:c r="A812" s="76" t="n">
        <x:v>812</x:v>
      </x:c>
      <x:c r="B812" s="69" t="str">
        <x:v>6.09</x:v>
      </x:c>
      <x:c r="C812" s="69" t="str">
        <x:v>-75.638</x:v>
      </x:c>
      <x:c r="D812" s="78" t="n">
        <x:v>6.09</x:v>
      </x:c>
      <x:c r="E812" s="78" t="n">
        <x:v>-75.638</x:v>
      </x:c>
      <x:c r="F812" s="69" t="str">
        <x:v>Texto→número</x:v>
      </x:c>
      <x:c r="G812" s="69" t="str">
        <x:v>Texto→número</x:v>
      </x:c>
      <x:c r="H812" s="80" t="str">
        <x:v>OK</x:v>
      </x:c>
      <x:c r="I812" s="69" t="str"/>
      <x:c r="J812" s="69"/>
      <x:c r="K812" s="82" t="n">
        <x:v>1</x:v>
      </x:c>
    </x:row>
    <x:row r="813">
      <x:c r="A813" s="76" t="n">
        <x:v>813</x:v>
      </x:c>
      <x:c r="B813" s="69" t="str">
        <x:v>6.6218611</x:v>
      </x:c>
      <x:c r="C813" s="69" t="str">
        <x:v>-75.675</x:v>
      </x:c>
      <x:c r="D813" s="78" t="n">
        <x:v>6.6218611</x:v>
      </x:c>
      <x:c r="E813" s="78" t="n">
        <x:v>-75.675</x:v>
      </x:c>
      <x:c r="F813" s="69" t="str">
        <x:v>Texto→número</x:v>
      </x:c>
      <x:c r="G813" s="69" t="str">
        <x:v>Texto→número</x:v>
      </x:c>
      <x:c r="H813" s="80" t="str">
        <x:v>OK</x:v>
      </x:c>
      <x:c r="I813" s="69" t="str"/>
      <x:c r="J813" s="69" t="str">
        <x:v>6.6218611|-75.675</x:v>
      </x:c>
      <x:c r="K813" s="82" t="n">
        <x:v>0</x:v>
      </x:c>
    </x:row>
    <x:row r="814">
      <x:c r="A814" s="76" t="n">
        <x:v>814</x:v>
      </x:c>
      <x:c r="B814" s="69" t="str">
        <x:v>5.487</x:v>
      </x:c>
      <x:c r="C814" s="69" t="str">
        <x:v>-75.8979444</x:v>
      </x:c>
      <x:c r="D814" s="78" t="n">
        <x:v>5.487</x:v>
      </x:c>
      <x:c r="E814" s="78" t="n">
        <x:v>-75.8979444</x:v>
      </x:c>
      <x:c r="F814" s="69" t="str">
        <x:v>Texto→número</x:v>
      </x:c>
      <x:c r="G814" s="69" t="str">
        <x:v>Texto→número</x:v>
      </x:c>
      <x:c r="H814" s="80" t="str">
        <x:v>OK</x:v>
      </x:c>
      <x:c r="I814" s="69" t="str"/>
      <x:c r="J814" s="69" t="str">
        <x:v>5.487|-75.8979444</x:v>
      </x:c>
      <x:c r="K814" s="82" t="n">
        <x:v>0</x:v>
      </x:c>
    </x:row>
    <x:row r="815">
      <x:c r="A815" s="76" t="n">
        <x:v>815</x:v>
      </x:c>
      <x:c r="B815" s="69" t="str">
        <x:v>6.5999444</x:v>
      </x:c>
      <x:c r="C815" s="69" t="str">
        <x:v>-75.6906111</x:v>
      </x:c>
      <x:c r="D815" s="78" t="n">
        <x:v>6.5999444</x:v>
      </x:c>
      <x:c r="E815" s="78" t="n">
        <x:v>-75.6906111</x:v>
      </x:c>
      <x:c r="F815" s="69" t="str">
        <x:v>Texto→número</x:v>
      </x:c>
      <x:c r="G815" s="69" t="str">
        <x:v>Texto→número</x:v>
      </x:c>
      <x:c r="H815" s="80" t="str">
        <x:v>OK</x:v>
      </x:c>
      <x:c r="I815" s="69" t="str"/>
      <x:c r="J815" s="69" t="str">
        <x:v>6.5999444|-75.6906111</x:v>
      </x:c>
      <x:c r="K815" s="82" t="n">
        <x:v>0</x:v>
      </x:c>
    </x:row>
    <x:row r="816">
      <x:c r="A816" s="76" t="n">
        <x:v>816</x:v>
      </x:c>
      <x:c r="B816" s="69" t="str">
        <x:v>6.5999444</x:v>
      </x:c>
      <x:c r="C816" s="69" t="str">
        <x:v>-75.6906111</x:v>
      </x:c>
      <x:c r="D816" s="78" t="n">
        <x:v>6.5999444</x:v>
      </x:c>
      <x:c r="E816" s="78" t="n">
        <x:v>-75.6906111</x:v>
      </x:c>
      <x:c r="F816" s="69" t="str">
        <x:v>Texto→número</x:v>
      </x:c>
      <x:c r="G816" s="69" t="str">
        <x:v>Texto→número</x:v>
      </x:c>
      <x:c r="H816" s="80" t="str">
        <x:v>OK</x:v>
      </x:c>
      <x:c r="I816" s="69" t="str"/>
      <x:c r="J816" s="69"/>
      <x:c r="K816" s="82" t="n">
        <x:v>1</x:v>
      </x:c>
    </x:row>
    <x:row r="817">
      <x:c r="A817" s="76" t="n">
        <x:v>817</x:v>
      </x:c>
      <x:c r="B817" s="69" t="str">
        <x:v>6.5999444</x:v>
      </x:c>
      <x:c r="C817" s="69" t="str">
        <x:v>-75.6906111</x:v>
      </x:c>
      <x:c r="D817" s="78" t="n">
        <x:v>6.5999444</x:v>
      </x:c>
      <x:c r="E817" s="78" t="n">
        <x:v>-75.6906111</x:v>
      </x:c>
      <x:c r="F817" s="69" t="str">
        <x:v>Texto→número</x:v>
      </x:c>
      <x:c r="G817" s="69" t="str">
        <x:v>Texto→número</x:v>
      </x:c>
      <x:c r="H817" s="80" t="str">
        <x:v>OK</x:v>
      </x:c>
      <x:c r="I817" s="69" t="str"/>
      <x:c r="J817" s="69"/>
      <x:c r="K817" s="82" t="n">
        <x:v>1</x:v>
      </x:c>
    </x:row>
    <x:row r="818">
      <x:c r="A818" s="76" t="n">
        <x:v>818</x:v>
      </x:c>
      <x:c r="B818" s="69" t="str">
        <x:v>6.49881</x:v>
      </x:c>
      <x:c r="C818" s="69" t="str">
        <x:v>-75.63637</x:v>
      </x:c>
      <x:c r="D818" s="78" t="n">
        <x:v>6.49881</x:v>
      </x:c>
      <x:c r="E818" s="78" t="n">
        <x:v>-75.63637</x:v>
      </x:c>
      <x:c r="F818" s="69" t="str">
        <x:v>Texto→número</x:v>
      </x:c>
      <x:c r="G818" s="69" t="str">
        <x:v>Texto→número</x:v>
      </x:c>
      <x:c r="H818" s="80" t="str">
        <x:v>OK</x:v>
      </x:c>
      <x:c r="I818" s="69" t="str"/>
      <x:c r="J818" s="69" t="str">
        <x:v>6.49881|-75.63637</x:v>
      </x:c>
      <x:c r="K818" s="82" t="n">
        <x:v>0</x:v>
      </x:c>
    </x:row>
    <x:row r="819">
      <x:c r="A819" s="76" t="n">
        <x:v>819</x:v>
      </x:c>
      <x:c r="B819" s="69" t="str">
        <x:v>6.49881</x:v>
      </x:c>
      <x:c r="C819" s="69" t="str">
        <x:v>-75.63637</x:v>
      </x:c>
      <x:c r="D819" s="78" t="n">
        <x:v>6.49881</x:v>
      </x:c>
      <x:c r="E819" s="78" t="n">
        <x:v>-75.63637</x:v>
      </x:c>
      <x:c r="F819" s="69" t="str">
        <x:v>Texto→número</x:v>
      </x:c>
      <x:c r="G819" s="69" t="str">
        <x:v>Texto→número</x:v>
      </x:c>
      <x:c r="H819" s="80" t="str">
        <x:v>OK</x:v>
      </x:c>
      <x:c r="I819" s="69" t="str"/>
      <x:c r="J819" s="69"/>
      <x:c r="K819" s="82" t="n">
        <x:v>1</x:v>
      </x:c>
    </x:row>
    <x:row r="820">
      <x:c r="A820" s="76" t="n">
        <x:v>820</x:v>
      </x:c>
      <x:c r="B820" s="69" t="str">
        <x:v>6.49881</x:v>
      </x:c>
      <x:c r="C820" s="69" t="str">
        <x:v>-75.63637</x:v>
      </x:c>
      <x:c r="D820" s="78" t="n">
        <x:v>6.49881</x:v>
      </x:c>
      <x:c r="E820" s="78" t="n">
        <x:v>-75.63637</x:v>
      </x:c>
      <x:c r="F820" s="69" t="str">
        <x:v>Texto→número</x:v>
      </x:c>
      <x:c r="G820" s="69" t="str">
        <x:v>Texto→número</x:v>
      </x:c>
      <x:c r="H820" s="80" t="str">
        <x:v>OK</x:v>
      </x:c>
      <x:c r="I820" s="69" t="str"/>
      <x:c r="J820" s="69"/>
      <x:c r="K820" s="82" t="n">
        <x:v>1</x:v>
      </x:c>
    </x:row>
    <x:row r="821">
      <x:c r="A821" s="76" t="n">
        <x:v>821</x:v>
      </x:c>
      <x:c r="B821" s="69" t="str">
        <x:v>5.487</x:v>
      </x:c>
      <x:c r="C821" s="69" t="str">
        <x:v>-75.8979444</x:v>
      </x:c>
      <x:c r="D821" s="78" t="n">
        <x:v>5.487</x:v>
      </x:c>
      <x:c r="E821" s="78" t="n">
        <x:v>-75.8979444</x:v>
      </x:c>
      <x:c r="F821" s="69" t="str">
        <x:v>Texto→número</x:v>
      </x:c>
      <x:c r="G821" s="69" t="str">
        <x:v>Texto→número</x:v>
      </x:c>
      <x:c r="H821" s="80" t="str">
        <x:v>OK</x:v>
      </x:c>
      <x:c r="I821" s="69" t="str"/>
      <x:c r="J821" s="69"/>
      <x:c r="K821" s="82" t="n">
        <x:v>1</x:v>
      </x:c>
    </x:row>
    <x:row r="822">
      <x:c r="A822" s="76" t="n">
        <x:v>822</x:v>
      </x:c>
      <x:c r="B822" s="69" t="str">
        <x:v>5.5417778</x:v>
      </x:c>
      <x:c r="C822" s="69" t="str">
        <x:v>-75.8075278</x:v>
      </x:c>
      <x:c r="D822" s="78" t="n">
        <x:v>5.5417778</x:v>
      </x:c>
      <x:c r="E822" s="78" t="n">
        <x:v>-75.8075278</x:v>
      </x:c>
      <x:c r="F822" s="69" t="str">
        <x:v>Texto→número</x:v>
      </x:c>
      <x:c r="G822" s="69" t="str">
        <x:v>Texto→número</x:v>
      </x:c>
      <x:c r="H822" s="80" t="str">
        <x:v>OK</x:v>
      </x:c>
      <x:c r="I822" s="69" t="str"/>
      <x:c r="J822" s="69"/>
      <x:c r="K822" s="82" t="n">
        <x:v>1</x:v>
      </x:c>
    </x:row>
    <x:row r="823">
      <x:c r="A823" s="76" t="n">
        <x:v>823</x:v>
      </x:c>
      <x:c r="B823" s="69" t="str">
        <x:v>5.5417778</x:v>
      </x:c>
      <x:c r="C823" s="69" t="str">
        <x:v>-75.8075278</x:v>
      </x:c>
      <x:c r="D823" s="78" t="n">
        <x:v>5.5417778</x:v>
      </x:c>
      <x:c r="E823" s="78" t="n">
        <x:v>-75.8075278</x:v>
      </x:c>
      <x:c r="F823" s="69" t="str">
        <x:v>Texto→número</x:v>
      </x:c>
      <x:c r="G823" s="69" t="str">
        <x:v>Texto→número</x:v>
      </x:c>
      <x:c r="H823" s="80" t="str">
        <x:v>OK</x:v>
      </x:c>
      <x:c r="I823" s="69" t="str"/>
      <x:c r="J823" s="69"/>
      <x:c r="K823" s="82" t="n">
        <x:v>1</x:v>
      </x:c>
    </x:row>
    <x:row r="824">
      <x:c r="A824" s="76" t="n">
        <x:v>824</x:v>
      </x:c>
      <x:c r="B824" s="69" t="str">
        <x:v>6.3416667</x:v>
      </x:c>
      <x:c r="C824" s="69" t="str">
        <x:v>-75.6472222</x:v>
      </x:c>
      <x:c r="D824" s="78" t="n">
        <x:v>6.3416667</x:v>
      </x:c>
      <x:c r="E824" s="78" t="n">
        <x:v>-75.6472222</x:v>
      </x:c>
      <x:c r="F824" s="69" t="str">
        <x:v>Texto→número</x:v>
      </x:c>
      <x:c r="G824" s="69" t="str">
        <x:v>Texto→número</x:v>
      </x:c>
      <x:c r="H824" s="80" t="str">
        <x:v>OK</x:v>
      </x:c>
      <x:c r="I824" s="69" t="str"/>
      <x:c r="J824" s="69"/>
      <x:c r="K824" s="82" t="n">
        <x:v>1</x:v>
      </x:c>
    </x:row>
    <x:row r="825">
      <x:c r="A825" s="76" t="n">
        <x:v>825</x:v>
      </x:c>
      <x:c r="B825" s="69" t="str">
        <x:v>6.2546472</x:v>
      </x:c>
      <x:c r="C825" s="69" t="str">
        <x:v>-75.7113861</x:v>
      </x:c>
      <x:c r="D825" s="78" t="n">
        <x:v>6.2546472</x:v>
      </x:c>
      <x:c r="E825" s="78" t="n">
        <x:v>-75.7113861</x:v>
      </x:c>
      <x:c r="F825" s="69" t="str">
        <x:v>Texto→número</x:v>
      </x:c>
      <x:c r="G825" s="69" t="str">
        <x:v>Texto→número</x:v>
      </x:c>
      <x:c r="H825" s="80" t="str">
        <x:v>OK</x:v>
      </x:c>
      <x:c r="I825" s="69" t="str"/>
      <x:c r="J825" s="69" t="str">
        <x:v>6.2546472|-75.7113861</x:v>
      </x:c>
      <x:c r="K825" s="82" t="n">
        <x:v>0</x:v>
      </x:c>
    </x:row>
    <x:row r="826">
      <x:c r="A826" s="76" t="n">
        <x:v>826</x:v>
      </x:c>
      <x:c r="B826" s="69" t="str">
        <x:v>6.2546472</x:v>
      </x:c>
      <x:c r="C826" s="69" t="str">
        <x:v>-75.7113861</x:v>
      </x:c>
      <x:c r="D826" s="78" t="n">
        <x:v>6.2546472</x:v>
      </x:c>
      <x:c r="E826" s="78" t="n">
        <x:v>-75.7113861</x:v>
      </x:c>
      <x:c r="F826" s="69" t="str">
        <x:v>Texto→número</x:v>
      </x:c>
      <x:c r="G826" s="69" t="str">
        <x:v>Texto→número</x:v>
      </x:c>
      <x:c r="H826" s="80" t="str">
        <x:v>OK</x:v>
      </x:c>
      <x:c r="I826" s="69" t="str"/>
      <x:c r="J826" s="69"/>
      <x:c r="K826" s="82" t="n">
        <x:v>1</x:v>
      </x:c>
    </x:row>
    <x:row r="827">
      <x:c r="A827" s="76" t="n">
        <x:v>827</x:v>
      </x:c>
      <x:c r="B827" s="69" t="str">
        <x:v>6.621966667</x:v>
      </x:c>
      <x:c r="C827" s="69" t="str">
        <x:v>-75.64495</x:v>
      </x:c>
      <x:c r="D827" s="78" t="n">
        <x:v>6.621966667</x:v>
      </x:c>
      <x:c r="E827" s="78" t="n">
        <x:v>-75.64495</x:v>
      </x:c>
      <x:c r="F827" s="69" t="str">
        <x:v>Texto→número</x:v>
      </x:c>
      <x:c r="G827" s="69" t="str">
        <x:v>Texto→número</x:v>
      </x:c>
      <x:c r="H827" s="80" t="str">
        <x:v>OK</x:v>
      </x:c>
      <x:c r="I827" s="69" t="str"/>
      <x:c r="J827" s="69" t="str">
        <x:v>6.621966667|-75.64495</x:v>
      </x:c>
      <x:c r="K827" s="82" t="n">
        <x:v>0</x:v>
      </x:c>
    </x:row>
    <x:row r="828">
      <x:c r="A828" s="76" t="n">
        <x:v>828</x:v>
      </x:c>
      <x:c r="B828" s="69" t="str">
        <x:v>6.621966667</x:v>
      </x:c>
      <x:c r="C828" s="69" t="str">
        <x:v>-75.64495</x:v>
      </x:c>
      <x:c r="D828" s="78" t="n">
        <x:v>6.621966667</x:v>
      </x:c>
      <x:c r="E828" s="78" t="n">
        <x:v>-75.64495</x:v>
      </x:c>
      <x:c r="F828" s="69" t="str">
        <x:v>Texto→número</x:v>
      </x:c>
      <x:c r="G828" s="69" t="str">
        <x:v>Texto→número</x:v>
      </x:c>
      <x:c r="H828" s="80" t="str">
        <x:v>OK</x:v>
      </x:c>
      <x:c r="I828" s="69" t="str"/>
      <x:c r="J828" s="69"/>
      <x:c r="K828" s="82" t="n">
        <x:v>1</x:v>
      </x:c>
    </x:row>
    <x:row r="829">
      <x:c r="A829" s="76" t="n">
        <x:v>829</x:v>
      </x:c>
      <x:c r="B829" s="69" t="str">
        <x:v>5.64016</x:v>
      </x:c>
      <x:c r="C829" s="69" t="str">
        <x:v>-72.79209</x:v>
      </x:c>
      <x:c r="D829" s="78" t="n">
        <x:v>5.64016</x:v>
      </x:c>
      <x:c r="E829" s="78" t="n">
        <x:v>-72.79209</x:v>
      </x:c>
      <x:c r="F829" s="69" t="str">
        <x:v>Texto→número</x:v>
      </x:c>
      <x:c r="G829" s="69" t="str">
        <x:v>Texto→número</x:v>
      </x:c>
      <x:c r="H829" s="80" t="str">
        <x:v>OK</x:v>
      </x:c>
      <x:c r="I829" s="69" t="str"/>
      <x:c r="J829" s="69" t="str">
        <x:v>5.64016|-72.79209</x:v>
      </x:c>
      <x:c r="K829" s="82" t="n">
        <x:v>0</x:v>
      </x:c>
    </x:row>
    <x:row r="830">
      <x:c r="A830" s="76" t="n">
        <x:v>830</x:v>
      </x:c>
      <x:c r="B830" s="69" t="str">
        <x:v>5.7076</x:v>
      </x:c>
      <x:c r="C830" s="69" t="str">
        <x:v>-73.46126</x:v>
      </x:c>
      <x:c r="D830" s="78" t="n">
        <x:v>5.7076</x:v>
      </x:c>
      <x:c r="E830" s="78" t="n">
        <x:v>-73.46126</x:v>
      </x:c>
      <x:c r="F830" s="69" t="str">
        <x:v>Texto→número</x:v>
      </x:c>
      <x:c r="G830" s="69" t="str">
        <x:v>Texto→número</x:v>
      </x:c>
      <x:c r="H830" s="80" t="str">
        <x:v>OK</x:v>
      </x:c>
      <x:c r="I830" s="69" t="str"/>
      <x:c r="J830" s="69"/>
      <x:c r="K830" s="82" t="n">
        <x:v>1</x:v>
      </x:c>
    </x:row>
    <x:row r="831">
      <x:c r="A831" s="76" t="n">
        <x:v>831</x:v>
      </x:c>
      <x:c r="B831" s="69" t="str">
        <x:v>2.55</x:v>
      </x:c>
      <x:c r="C831" s="69" t="str">
        <x:v>-76.0666667</x:v>
      </x:c>
      <x:c r="D831" s="78" t="n">
        <x:v>2.55</x:v>
      </x:c>
      <x:c r="E831" s="78" t="n">
        <x:v>-76.0666667</x:v>
      </x:c>
      <x:c r="F831" s="69" t="str">
        <x:v>Texto→número</x:v>
      </x:c>
      <x:c r="G831" s="69" t="str">
        <x:v>Texto→número</x:v>
      </x:c>
      <x:c r="H831" s="80" t="str">
        <x:v>OK</x:v>
      </x:c>
      <x:c r="I831" s="69" t="str"/>
      <x:c r="J831" s="69"/>
      <x:c r="K831" s="82" t="n">
        <x:v>1</x:v>
      </x:c>
    </x:row>
    <x:row r="832">
      <x:c r="A832" s="76" t="n">
        <x:v>832</x:v>
      </x:c>
      <x:c r="B832" s="69" t="str">
        <x:v>4.4642</x:v>
      </x:c>
      <x:c r="C832" s="69" t="str">
        <x:v>-74.29754</x:v>
      </x:c>
      <x:c r="D832" s="78" t="n">
        <x:v>4.4642</x:v>
      </x:c>
      <x:c r="E832" s="78" t="n">
        <x:v>-74.29754</x:v>
      </x:c>
      <x:c r="F832" s="69" t="str">
        <x:v>Texto→número</x:v>
      </x:c>
      <x:c r="G832" s="69" t="str">
        <x:v>Texto→número</x:v>
      </x:c>
      <x:c r="H832" s="80" t="str">
        <x:v>OK</x:v>
      </x:c>
      <x:c r="I832" s="69" t="str"/>
      <x:c r="J832" s="69" t="str">
        <x:v>4.4642|-74.29754</x:v>
      </x:c>
      <x:c r="K832" s="82" t="n">
        <x:v>0</x:v>
      </x:c>
    </x:row>
    <x:row r="833">
      <x:c r="A833" s="76" t="n">
        <x:v>833</x:v>
      </x:c>
      <x:c r="B833" s="69" t="str">
        <x:v>4.4642</x:v>
      </x:c>
      <x:c r="C833" s="69" t="str">
        <x:v>-74.29754</x:v>
      </x:c>
      <x:c r="D833" s="78" t="n">
        <x:v>4.4642</x:v>
      </x:c>
      <x:c r="E833" s="78" t="n">
        <x:v>-74.29754</x:v>
      </x:c>
      <x:c r="F833" s="69" t="str">
        <x:v>Texto→número</x:v>
      </x:c>
      <x:c r="G833" s="69" t="str">
        <x:v>Texto→número</x:v>
      </x:c>
      <x:c r="H833" s="80" t="str">
        <x:v>OK</x:v>
      </x:c>
      <x:c r="I833" s="69" t="str"/>
      <x:c r="J833" s="69"/>
      <x:c r="K833" s="82" t="n">
        <x:v>1</x:v>
      </x:c>
    </x:row>
    <x:row r="834">
      <x:c r="A834" s="76" t="n">
        <x:v>834</x:v>
      </x:c>
      <x:c r="B834" s="69" t="str">
        <x:v>4.93365</x:v>
      </x:c>
      <x:c r="C834" s="69" t="str">
        <x:v>-74.0504</x:v>
      </x:c>
      <x:c r="D834" s="78" t="n">
        <x:v>4.93365</x:v>
      </x:c>
      <x:c r="E834" s="78" t="n">
        <x:v>-74.0504</x:v>
      </x:c>
      <x:c r="F834" s="69" t="str">
        <x:v>Texto→número</x:v>
      </x:c>
      <x:c r="G834" s="69" t="str">
        <x:v>Texto→número</x:v>
      </x:c>
      <x:c r="H834" s="80" t="str">
        <x:v>OK</x:v>
      </x:c>
      <x:c r="I834" s="69" t="str"/>
      <x:c r="J834" s="69" t="str">
        <x:v>4.93365|-74.0504</x:v>
      </x:c>
      <x:c r="K834" s="82" t="n">
        <x:v>0</x:v>
      </x:c>
    </x:row>
    <x:row r="835">
      <x:c r="A835" s="76" t="n">
        <x:v>835</x:v>
      </x:c>
      <x:c r="B835" s="69" t="str">
        <x:v>4.44382</x:v>
      </x:c>
      <x:c r="C835" s="69" t="str">
        <x:v>-74.30207</x:v>
      </x:c>
      <x:c r="D835" s="78" t="n">
        <x:v>4.44382</x:v>
      </x:c>
      <x:c r="E835" s="78" t="n">
        <x:v>-74.30207</x:v>
      </x:c>
      <x:c r="F835" s="69" t="str">
        <x:v>Texto→número</x:v>
      </x:c>
      <x:c r="G835" s="69" t="str">
        <x:v>Texto→número</x:v>
      </x:c>
      <x:c r="H835" s="80" t="str">
        <x:v>OK</x:v>
      </x:c>
      <x:c r="I835" s="69" t="str"/>
      <x:c r="J835" s="69" t="str">
        <x:v>4.44382|-74.30207</x:v>
      </x:c>
      <x:c r="K835" s="82" t="n">
        <x:v>0</x:v>
      </x:c>
    </x:row>
    <x:row r="836">
      <x:c r="A836" s="76" t="n">
        <x:v>836</x:v>
      </x:c>
      <x:c r="B836" s="69" t="str">
        <x:v>1.1213</x:v>
      </x:c>
      <x:c r="C836" s="69" t="str">
        <x:v>-77.18953</x:v>
      </x:c>
      <x:c r="D836" s="78" t="n">
        <x:v>1.1213</x:v>
      </x:c>
      <x:c r="E836" s="78" t="n">
        <x:v>-77.18953</x:v>
      </x:c>
      <x:c r="F836" s="69" t="str">
        <x:v>Texto→número</x:v>
      </x:c>
      <x:c r="G836" s="69" t="str">
        <x:v>Texto→número</x:v>
      </x:c>
      <x:c r="H836" s="80" t="str">
        <x:v>OK</x:v>
      </x:c>
      <x:c r="I836" s="69" t="str"/>
      <x:c r="J836" s="69" t="str">
        <x:v>1.1213|-77.18953</x:v>
      </x:c>
      <x:c r="K836" s="82" t="n">
        <x:v>0</x:v>
      </x:c>
    </x:row>
    <x:row r="837">
      <x:c r="A837" s="76" t="n">
        <x:v>837</x:v>
      </x:c>
      <x:c r="B837" s="69" t="str">
        <x:v>1.1213</x:v>
      </x:c>
      <x:c r="C837" s="69" t="str">
        <x:v>-77.18953</x:v>
      </x:c>
      <x:c r="D837" s="78" t="n">
        <x:v>1.1213</x:v>
      </x:c>
      <x:c r="E837" s="78" t="n">
        <x:v>-77.18953</x:v>
      </x:c>
      <x:c r="F837" s="69" t="str">
        <x:v>Texto→número</x:v>
      </x:c>
      <x:c r="G837" s="69" t="str">
        <x:v>Texto→número</x:v>
      </x:c>
      <x:c r="H837" s="80" t="str">
        <x:v>OK</x:v>
      </x:c>
      <x:c r="I837" s="69" t="str"/>
      <x:c r="J837" s="69"/>
      <x:c r="K837" s="82" t="n">
        <x:v>1</x:v>
      </x:c>
    </x:row>
    <x:row r="838">
      <x:c r="A838" s="76" t="n">
        <x:v>838</x:v>
      </x:c>
      <x:c r="B838" s="69" t="str">
        <x:v>7.51532</x:v>
      </x:c>
      <x:c r="C838" s="69" t="str">
        <x:v>-72.47675</x:v>
      </x:c>
      <x:c r="D838" s="78" t="n">
        <x:v>7.51532</x:v>
      </x:c>
      <x:c r="E838" s="78" t="n">
        <x:v>-72.47675</x:v>
      </x:c>
      <x:c r="F838" s="69" t="str">
        <x:v>Texto→número</x:v>
      </x:c>
      <x:c r="G838" s="69" t="str">
        <x:v>Texto→número</x:v>
      </x:c>
      <x:c r="H838" s="80" t="str">
        <x:v>OK</x:v>
      </x:c>
      <x:c r="I838" s="69" t="str"/>
      <x:c r="J838" s="69" t="str">
        <x:v>7.51532|-72.47675</x:v>
      </x:c>
      <x:c r="K838" s="82" t="n">
        <x:v>0</x:v>
      </x:c>
    </x:row>
    <x:row r="839">
      <x:c r="A839" s="76" t="n">
        <x:v>839</x:v>
      </x:c>
      <x:c r="B839" s="69" t="str">
        <x:v>7.43993</x:v>
      </x:c>
      <x:c r="C839" s="69" t="str">
        <x:v>-72.45095</x:v>
      </x:c>
      <x:c r="D839" s="78" t="n">
        <x:v>7.43993</x:v>
      </x:c>
      <x:c r="E839" s="78" t="n">
        <x:v>-72.45095</x:v>
      </x:c>
      <x:c r="F839" s="69" t="str">
        <x:v>Texto→número</x:v>
      </x:c>
      <x:c r="G839" s="69" t="str">
        <x:v>Texto→número</x:v>
      </x:c>
      <x:c r="H839" s="80" t="str">
        <x:v>OK</x:v>
      </x:c>
      <x:c r="I839" s="69" t="str"/>
      <x:c r="J839" s="69"/>
      <x:c r="K839" s="82" t="n">
        <x:v>1</x:v>
      </x:c>
    </x:row>
    <x:row r="840">
      <x:c r="A840" s="76" t="n">
        <x:v>840</x:v>
      </x:c>
      <x:c r="B840" s="69" t="str">
        <x:v>7.43993</x:v>
      </x:c>
      <x:c r="C840" s="69" t="str">
        <x:v>-72.45095</x:v>
      </x:c>
      <x:c r="D840" s="78" t="n">
        <x:v>7.43993</x:v>
      </x:c>
      <x:c r="E840" s="78" t="n">
        <x:v>-72.45095</x:v>
      </x:c>
      <x:c r="F840" s="69" t="str">
        <x:v>Texto→número</x:v>
      </x:c>
      <x:c r="G840" s="69" t="str">
        <x:v>Texto→número</x:v>
      </x:c>
      <x:c r="H840" s="80" t="str">
        <x:v>OK</x:v>
      </x:c>
      <x:c r="I840" s="69" t="str"/>
      <x:c r="J840" s="69"/>
      <x:c r="K840" s="82" t="n">
        <x:v>1</x:v>
      </x:c>
    </x:row>
    <x:row r="841">
      <x:c r="A841" s="76" t="n">
        <x:v>841</x:v>
      </x:c>
      <x:c r="B841" s="69" t="str">
        <x:v>1.23373</x:v>
      </x:c>
      <x:c r="C841" s="69" t="str">
        <x:v>-76.92627</x:v>
      </x:c>
      <x:c r="D841" s="78" t="n">
        <x:v>1.23373</x:v>
      </x:c>
      <x:c r="E841" s="78" t="n">
        <x:v>-76.92627</x:v>
      </x:c>
      <x:c r="F841" s="69" t="str">
        <x:v>Texto→número</x:v>
      </x:c>
      <x:c r="G841" s="69" t="str">
        <x:v>Texto→número</x:v>
      </x:c>
      <x:c r="H841" s="80" t="str">
        <x:v>OK</x:v>
      </x:c>
      <x:c r="I841" s="69" t="str"/>
      <x:c r="J841" s="69" t="str">
        <x:v>1.23373|-76.92627</x:v>
      </x:c>
      <x:c r="K841" s="82" t="n">
        <x:v>0</x:v>
      </x:c>
    </x:row>
    <x:row r="842">
      <x:c r="A842" s="76" t="n">
        <x:v>842</x:v>
      </x:c>
      <x:c r="B842" s="69" t="str">
        <x:v>1.23373</x:v>
      </x:c>
      <x:c r="C842" s="69" t="str">
        <x:v>-76.92627</x:v>
      </x:c>
      <x:c r="D842" s="78" t="n">
        <x:v>1.23373</x:v>
      </x:c>
      <x:c r="E842" s="78" t="n">
        <x:v>-76.92627</x:v>
      </x:c>
      <x:c r="F842" s="69" t="str">
        <x:v>Texto→número</x:v>
      </x:c>
      <x:c r="G842" s="69" t="str">
        <x:v>Texto→número</x:v>
      </x:c>
      <x:c r="H842" s="80" t="str">
        <x:v>OK</x:v>
      </x:c>
      <x:c r="I842" s="69" t="str"/>
      <x:c r="J842" s="69"/>
      <x:c r="K842" s="82" t="n">
        <x:v>1</x:v>
      </x:c>
    </x:row>
    <x:row r="843">
      <x:c r="A843" s="76" t="n">
        <x:v>843</x:v>
      </x:c>
      <x:c r="B843" s="69" t="str">
        <x:v>4.10998</x:v>
      </x:c>
      <x:c r="C843" s="69" t="str">
        <x:v>-75.80861</x:v>
      </x:c>
      <x:c r="D843" s="78" t="n">
        <x:v>4.10998</x:v>
      </x:c>
      <x:c r="E843" s="78" t="n">
        <x:v>-75.80861</x:v>
      </x:c>
      <x:c r="F843" s="69" t="str">
        <x:v>Texto→número</x:v>
      </x:c>
      <x:c r="G843" s="69" t="str">
        <x:v>Texto→número</x:v>
      </x:c>
      <x:c r="H843" s="80" t="str">
        <x:v>OK</x:v>
      </x:c>
      <x:c r="I843" s="69" t="str"/>
      <x:c r="J843" s="69"/>
      <x:c r="K843" s="82" t="n">
        <x:v>1</x:v>
      </x:c>
    </x:row>
    <x:row r="844">
      <x:c r="A844" s="76" t="n">
        <x:v>844</x:v>
      </x:c>
      <x:c r="B844" s="69" t="str">
        <x:v>5.1244244</x:v>
      </x:c>
      <x:c r="C844" s="69" t="str">
        <x:v>-76.0416654</x:v>
      </x:c>
      <x:c r="D844" s="78" t="n">
        <x:v>5.1244244</x:v>
      </x:c>
      <x:c r="E844" s="78" t="n">
        <x:v>-76.0416654</x:v>
      </x:c>
      <x:c r="F844" s="69" t="str">
        <x:v>Texto→número</x:v>
      </x:c>
      <x:c r="G844" s="69" t="str">
        <x:v>Texto→número</x:v>
      </x:c>
      <x:c r="H844" s="80" t="str">
        <x:v>OK</x:v>
      </x:c>
      <x:c r="I844" s="69" t="str"/>
      <x:c r="J844" s="69"/>
      <x:c r="K844" s="82" t="n">
        <x:v>1</x:v>
      </x:c>
    </x:row>
    <x:row r="845">
      <x:c r="A845" s="76" t="n">
        <x:v>845</x:v>
      </x:c>
      <x:c r="B845" s="69" t="str">
        <x:v>5.1208051</x:v>
      </x:c>
      <x:c r="C845" s="69" t="str">
        <x:v>-76.0594532</x:v>
      </x:c>
      <x:c r="D845" s="78" t="n">
        <x:v>5.1208051</x:v>
      </x:c>
      <x:c r="E845" s="78" t="n">
        <x:v>-76.0594532</x:v>
      </x:c>
      <x:c r="F845" s="69" t="str">
        <x:v>Texto→número</x:v>
      </x:c>
      <x:c r="G845" s="69" t="str">
        <x:v>Texto→número</x:v>
      </x:c>
      <x:c r="H845" s="80" t="str">
        <x:v>OK</x:v>
      </x:c>
      <x:c r="I845" s="69" t="str"/>
      <x:c r="J845" s="69"/>
      <x:c r="K845" s="82" t="n">
        <x:v>1</x:v>
      </x:c>
    </x:row>
    <x:row r="846">
      <x:c r="A846" s="76" t="n">
        <x:v>846</x:v>
      </x:c>
      <x:c r="B846" s="69" t="str">
        <x:v>5.6833333</x:v>
      </x:c>
      <x:c r="C846" s="69" t="str">
        <x:v>-75.2333333</x:v>
      </x:c>
      <x:c r="D846" s="78" t="n">
        <x:v>5.6833333</x:v>
      </x:c>
      <x:c r="E846" s="78" t="n">
        <x:v>-75.2333333</x:v>
      </x:c>
      <x:c r="F846" s="69" t="str">
        <x:v>Texto→número</x:v>
      </x:c>
      <x:c r="G846" s="69" t="str">
        <x:v>Texto→número</x:v>
      </x:c>
      <x:c r="H846" s="80" t="str">
        <x:v>OK</x:v>
      </x:c>
      <x:c r="I846" s="69" t="str"/>
      <x:c r="J846" s="69"/>
      <x:c r="K846" s="82" t="n">
        <x:v>1</x:v>
      </x:c>
    </x:row>
    <x:row r="847">
      <x:c r="A847" s="76" t="n">
        <x:v>847</x:v>
      </x:c>
      <x:c r="B847" s="69" t="str">
        <x:v>3.34415</x:v>
      </x:c>
      <x:c r="C847" s="69" t="str">
        <x:v>-76.69581</x:v>
      </x:c>
      <x:c r="D847" s="78" t="n">
        <x:v>3.34415</x:v>
      </x:c>
      <x:c r="E847" s="78" t="n">
        <x:v>-76.69581</x:v>
      </x:c>
      <x:c r="F847" s="69" t="str">
        <x:v>Texto→número</x:v>
      </x:c>
      <x:c r="G847" s="69" t="str">
        <x:v>Texto→número</x:v>
      </x:c>
      <x:c r="H847" s="80" t="str">
        <x:v>OK</x:v>
      </x:c>
      <x:c r="I847" s="69" t="str"/>
      <x:c r="J847" s="69"/>
      <x:c r="K847" s="82" t="n">
        <x:v>1</x:v>
      </x:c>
    </x:row>
    <x:row r="848">
      <x:c r="A848" s="76" t="n">
        <x:v>848</x:v>
      </x:c>
      <x:c r="B848" s="69" t="str">
        <x:v>6.7692</x:v>
      </x:c>
      <x:c r="C848" s="69" t="str">
        <x:v>-76.24974</x:v>
      </x:c>
      <x:c r="D848" s="78" t="n">
        <x:v>6.7692</x:v>
      </x:c>
      <x:c r="E848" s="78" t="n">
        <x:v>-76.24974</x:v>
      </x:c>
      <x:c r="F848" s="69" t="str">
        <x:v>Texto→número</x:v>
      </x:c>
      <x:c r="G848" s="69" t="str">
        <x:v>Texto→número</x:v>
      </x:c>
      <x:c r="H848" s="80" t="str">
        <x:v>OK</x:v>
      </x:c>
      <x:c r="I848" s="69" t="str"/>
      <x:c r="J848" s="69" t="str">
        <x:v>6.7692|-76.24974</x:v>
      </x:c>
      <x:c r="K848" s="82" t="n">
        <x:v>0</x:v>
      </x:c>
    </x:row>
    <x:row r="849">
      <x:c r="A849" s="76" t="n">
        <x:v>849</x:v>
      </x:c>
      <x:c r="B849" s="69" t="str">
        <x:v>6.7523</x:v>
      </x:c>
      <x:c r="C849" s="69" t="str">
        <x:v>-76.28958</x:v>
      </x:c>
      <x:c r="D849" s="78" t="n">
        <x:v>6.7523</x:v>
      </x:c>
      <x:c r="E849" s="78" t="n">
        <x:v>-76.28958</x:v>
      </x:c>
      <x:c r="F849" s="69" t="str">
        <x:v>Texto→número</x:v>
      </x:c>
      <x:c r="G849" s="69" t="str">
        <x:v>Texto→número</x:v>
      </x:c>
      <x:c r="H849" s="80" t="str">
        <x:v>OK</x:v>
      </x:c>
      <x:c r="I849" s="69" t="str"/>
      <x:c r="J849" s="69" t="str">
        <x:v>6.7523|-76.28958</x:v>
      </x:c>
      <x:c r="K849" s="82" t="n">
        <x:v>0</x:v>
      </x:c>
    </x:row>
    <x:row r="850">
      <x:c r="A850" s="76" t="n">
        <x:v>850</x:v>
      </x:c>
      <x:c r="B850" s="69" t="str">
        <x:v>1.36416</x:v>
      </x:c>
      <x:c r="C850" s="69" t="str">
        <x:v>-78.10056</x:v>
      </x:c>
      <x:c r="D850" s="78" t="n">
        <x:v>1.36416</x:v>
      </x:c>
      <x:c r="E850" s="78" t="n">
        <x:v>-78.10056</x:v>
      </x:c>
      <x:c r="F850" s="69" t="str">
        <x:v>Texto→número</x:v>
      </x:c>
      <x:c r="G850" s="69" t="str">
        <x:v>Texto→número</x:v>
      </x:c>
      <x:c r="H850" s="80" t="str">
        <x:v>OK</x:v>
      </x:c>
      <x:c r="I850" s="69" t="str"/>
      <x:c r="J850" s="69"/>
      <x:c r="K850" s="82" t="n">
        <x:v>1</x:v>
      </x:c>
    </x:row>
    <x:row r="851">
      <x:c r="A851" s="76" t="n">
        <x:v>851</x:v>
      </x:c>
      <x:c r="B851" s="69" t="str">
        <x:v>1.1602778</x:v>
      </x:c>
      <x:c r="C851" s="69" t="str">
        <x:v>-77.9869444</x:v>
      </x:c>
      <x:c r="D851" s="78" t="n">
        <x:v>1.1602778</x:v>
      </x:c>
      <x:c r="E851" s="78" t="n">
        <x:v>-77.9869444</x:v>
      </x:c>
      <x:c r="F851" s="69" t="str">
        <x:v>Texto→número</x:v>
      </x:c>
      <x:c r="G851" s="69" t="str">
        <x:v>Texto→número</x:v>
      </x:c>
      <x:c r="H851" s="80" t="str">
        <x:v>OK</x:v>
      </x:c>
      <x:c r="I851" s="69" t="str"/>
      <x:c r="J851" s="69" t="str">
        <x:v>1.1602778|-77.9869444</x:v>
      </x:c>
      <x:c r="K851" s="82" t="n">
        <x:v>0</x:v>
      </x:c>
    </x:row>
    <x:row r="852">
      <x:c r="A852" s="76" t="n">
        <x:v>852</x:v>
      </x:c>
      <x:c r="B852" s="69" t="str">
        <x:v>1.1652778</x:v>
      </x:c>
      <x:c r="C852" s="69" t="str">
        <x:v>-77.9788889</x:v>
      </x:c>
      <x:c r="D852" s="78" t="n">
        <x:v>1.1652778</x:v>
      </x:c>
      <x:c r="E852" s="78" t="n">
        <x:v>-77.9788889</x:v>
      </x:c>
      <x:c r="F852" s="69" t="str">
        <x:v>Texto→número</x:v>
      </x:c>
      <x:c r="G852" s="69" t="str">
        <x:v>Texto→número</x:v>
      </x:c>
      <x:c r="H852" s="80" t="str">
        <x:v>OK</x:v>
      </x:c>
      <x:c r="I852" s="69" t="str"/>
      <x:c r="J852" s="69" t="str">
        <x:v>1.1652778|-77.9788889</x:v>
      </x:c>
      <x:c r="K852" s="82" t="n">
        <x:v>0</x:v>
      </x:c>
    </x:row>
    <x:row r="853">
      <x:c r="A853" s="76" t="n">
        <x:v>853</x:v>
      </x:c>
      <x:c r="B853" s="69" t="str">
        <x:v>1.1716667</x:v>
      </x:c>
      <x:c r="C853" s="69" t="str">
        <x:v>-78.0025</x:v>
      </x:c>
      <x:c r="D853" s="78" t="n">
        <x:v>1.1716667</x:v>
      </x:c>
      <x:c r="E853" s="78" t="n">
        <x:v>-78.0025</x:v>
      </x:c>
      <x:c r="F853" s="69" t="str">
        <x:v>Texto→número</x:v>
      </x:c>
      <x:c r="G853" s="69" t="str">
        <x:v>Texto→número</x:v>
      </x:c>
      <x:c r="H853" s="80" t="str">
        <x:v>OK</x:v>
      </x:c>
      <x:c r="I853" s="69" t="str"/>
      <x:c r="J853" s="69"/>
      <x:c r="K853" s="82" t="n">
        <x:v>1</x:v>
      </x:c>
    </x:row>
    <x:row r="854">
      <x:c r="A854" s="76" t="n">
        <x:v>854</x:v>
      </x:c>
      <x:c r="B854" s="69" t="str">
        <x:v>1.1666667</x:v>
      </x:c>
      <x:c r="C854" s="69" t="str">
        <x:v>-77.9666667</x:v>
      </x:c>
      <x:c r="D854" s="78" t="n">
        <x:v>1.1666667</x:v>
      </x:c>
      <x:c r="E854" s="78" t="n">
        <x:v>-77.9666667</x:v>
      </x:c>
      <x:c r="F854" s="69" t="str">
        <x:v>Texto→número</x:v>
      </x:c>
      <x:c r="G854" s="69" t="str">
        <x:v>Texto→número</x:v>
      </x:c>
      <x:c r="H854" s="80" t="str">
        <x:v>OK</x:v>
      </x:c>
      <x:c r="I854" s="69" t="str"/>
      <x:c r="J854" s="69"/>
      <x:c r="K854" s="82" t="n">
        <x:v>1</x:v>
      </x:c>
    </x:row>
    <x:row r="855">
      <x:c r="A855" s="76" t="n">
        <x:v>855</x:v>
      </x:c>
      <x:c r="B855" s="69" t="str">
        <x:v>1.1666667</x:v>
      </x:c>
      <x:c r="C855" s="69" t="str">
        <x:v>-77.9666667</x:v>
      </x:c>
      <x:c r="D855" s="78" t="n">
        <x:v>1.1666667</x:v>
      </x:c>
      <x:c r="E855" s="78" t="n">
        <x:v>-77.9666667</x:v>
      </x:c>
      <x:c r="F855" s="69" t="str">
        <x:v>Texto→número</x:v>
      </x:c>
      <x:c r="G855" s="69" t="str">
        <x:v>Texto→número</x:v>
      </x:c>
      <x:c r="H855" s="80" t="str">
        <x:v>OK</x:v>
      </x:c>
      <x:c r="I855" s="69" t="str"/>
      <x:c r="J855" s="69"/>
      <x:c r="K855" s="82" t="n">
        <x:v>1</x:v>
      </x:c>
    </x:row>
    <x:row r="856">
      <x:c r="A856" s="76" t="n">
        <x:v>856</x:v>
      </x:c>
      <x:c r="B856" s="69" t="str">
        <x:v>1.25195</x:v>
      </x:c>
      <x:c r="C856" s="69" t="str">
        <x:v>-77.99668</x:v>
      </x:c>
      <x:c r="D856" s="78" t="n">
        <x:v>1.25195</x:v>
      </x:c>
      <x:c r="E856" s="78" t="n">
        <x:v>-77.99668</x:v>
      </x:c>
      <x:c r="F856" s="69" t="str">
        <x:v>Texto→número</x:v>
      </x:c>
      <x:c r="G856" s="69" t="str">
        <x:v>Texto→número</x:v>
      </x:c>
      <x:c r="H856" s="80" t="str">
        <x:v>OK</x:v>
      </x:c>
      <x:c r="I856" s="69" t="str"/>
      <x:c r="J856" s="69"/>
      <x:c r="K856" s="82" t="n">
        <x:v>1</x:v>
      </x:c>
    </x:row>
    <x:row r="857">
      <x:c r="A857" s="76" t="n">
        <x:v>857</x:v>
      </x:c>
      <x:c r="B857" s="69" t="str">
        <x:v>1.25195</x:v>
      </x:c>
      <x:c r="C857" s="69" t="str">
        <x:v>-77.99668</x:v>
      </x:c>
      <x:c r="D857" s="78" t="n">
        <x:v>1.25195</x:v>
      </x:c>
      <x:c r="E857" s="78" t="n">
        <x:v>-77.99668</x:v>
      </x:c>
      <x:c r="F857" s="69" t="str">
        <x:v>Texto→número</x:v>
      </x:c>
      <x:c r="G857" s="69" t="str">
        <x:v>Texto→número</x:v>
      </x:c>
      <x:c r="H857" s="80" t="str">
        <x:v>OK</x:v>
      </x:c>
      <x:c r="I857" s="69" t="str"/>
      <x:c r="J857" s="69"/>
      <x:c r="K857" s="82" t="n">
        <x:v>1</x:v>
      </x:c>
    </x:row>
    <x:row r="858">
      <x:c r="A858" s="76" t="n">
        <x:v>858</x:v>
      </x:c>
      <x:c r="B858" s="69" t="str">
        <x:v>3.5361111</x:v>
      </x:c>
      <x:c r="C858" s="69" t="str">
        <x:v>-76.6102778</x:v>
      </x:c>
      <x:c r="D858" s="78" t="n">
        <x:v>3.5361111</x:v>
      </x:c>
      <x:c r="E858" s="78" t="n">
        <x:v>-76.6102778</x:v>
      </x:c>
      <x:c r="F858" s="69" t="str">
        <x:v>Texto→número</x:v>
      </x:c>
      <x:c r="G858" s="69" t="str">
        <x:v>Texto→número</x:v>
      </x:c>
      <x:c r="H858" s="80" t="str">
        <x:v>OK</x:v>
      </x:c>
      <x:c r="I858" s="69" t="str"/>
      <x:c r="J858" s="69" t="str">
        <x:v>3.5361111|-76.6102778</x:v>
      </x:c>
      <x:c r="K858" s="82" t="n">
        <x:v>0</x:v>
      </x:c>
    </x:row>
    <x:row r="859">
      <x:c r="A859" s="76" t="n">
        <x:v>859</x:v>
      </x:c>
      <x:c r="B859" s="69" t="str">
        <x:v>6.13331</x:v>
      </x:c>
      <x:c r="C859" s="69" t="str">
        <x:v>-75.69901</x:v>
      </x:c>
      <x:c r="D859" s="78" t="n">
        <x:v>6.13331</x:v>
      </x:c>
      <x:c r="E859" s="78" t="n">
        <x:v>-75.69901</x:v>
      </x:c>
      <x:c r="F859" s="69" t="str">
        <x:v>Texto→número</x:v>
      </x:c>
      <x:c r="G859" s="69" t="str">
        <x:v>Texto→número</x:v>
      </x:c>
      <x:c r="H859" s="80" t="str">
        <x:v>OK</x:v>
      </x:c>
      <x:c r="I859" s="69" t="str"/>
      <x:c r="J859" s="69" t="str">
        <x:v>6.13331|-75.69901</x:v>
      </x:c>
      <x:c r="K859" s="82" t="n">
        <x:v>0</x:v>
      </x:c>
    </x:row>
    <x:row r="860">
      <x:c r="A860" s="76" t="n">
        <x:v>860</x:v>
      </x:c>
      <x:c r="B860" s="69" t="str">
        <x:v>5.51811</x:v>
      </x:c>
      <x:c r="C860" s="69" t="str">
        <x:v>-75.04391</x:v>
      </x:c>
      <x:c r="D860" s="78" t="n">
        <x:v>5.51811</x:v>
      </x:c>
      <x:c r="E860" s="78" t="n">
        <x:v>-75.04391</x:v>
      </x:c>
      <x:c r="F860" s="69" t="str">
        <x:v>Texto→número</x:v>
      </x:c>
      <x:c r="G860" s="69" t="str">
        <x:v>Texto→número</x:v>
      </x:c>
      <x:c r="H860" s="80" t="str">
        <x:v>OK</x:v>
      </x:c>
      <x:c r="I860" s="69" t="str"/>
      <x:c r="J860" s="69" t="str">
        <x:v>5.51811|-75.04391</x:v>
      </x:c>
      <x:c r="K860" s="82" t="n">
        <x:v>0</x:v>
      </x:c>
    </x:row>
    <x:row r="861">
      <x:c r="A861" s="76" t="n">
        <x:v>861</x:v>
      </x:c>
      <x:c r="B861" s="69"/>
      <x:c r="C861" s="69"/>
      <x:c r="D861" s="78"/>
      <x:c r="E861" s="78"/>
      <x:c r="F861" s="69" t="str">
        <x:v>Vacío</x:v>
      </x:c>
      <x:c r="G861" s="69" t="str">
        <x:v>Vacío</x:v>
      </x:c>
      <x:c r="H861" s="80" t="str">
        <x:v>FALTA_COORDENADA</x:v>
      </x:c>
      <x:c r="I861" s="69" t="str">
        <x:v>Latitud y longitud vacías</x:v>
      </x:c>
      <x:c r="J861" s="69"/>
      <x:c r="K861" s="82" t="n">
        <x:v>0</x:v>
      </x:c>
    </x:row>
    <x:row r="862">
      <x:c r="A862" s="76" t="n">
        <x:v>862</x:v>
      </x:c>
      <x:c r="B862" s="69"/>
      <x:c r="C862" s="69"/>
      <x:c r="D862" s="78"/>
      <x:c r="E862" s="78"/>
      <x:c r="F862" s="69" t="str">
        <x:v>Vacío</x:v>
      </x:c>
      <x:c r="G862" s="69" t="str">
        <x:v>Vacío</x:v>
      </x:c>
      <x:c r="H862" s="80" t="str">
        <x:v>FALTA_COORDENADA</x:v>
      </x:c>
      <x:c r="I862" s="69" t="str">
        <x:v>Latitud y longitud vacías</x:v>
      </x:c>
      <x:c r="J862" s="69"/>
      <x:c r="K862" s="82" t="n">
        <x:v>0</x:v>
      </x:c>
    </x:row>
    <x:row r="863">
      <x:c r="A863" s="76" t="n">
        <x:v>863</x:v>
      </x:c>
      <x:c r="B863" s="69"/>
      <x:c r="C863" s="69"/>
      <x:c r="D863" s="78"/>
      <x:c r="E863" s="78"/>
      <x:c r="F863" s="69" t="str">
        <x:v>Vacío</x:v>
      </x:c>
      <x:c r="G863" s="69" t="str">
        <x:v>Vacío</x:v>
      </x:c>
      <x:c r="H863" s="80" t="str">
        <x:v>FALTA_COORDENADA</x:v>
      </x:c>
      <x:c r="I863" s="69" t="str">
        <x:v>Latitud y longitud vacías</x:v>
      </x:c>
      <x:c r="J863" s="69"/>
      <x:c r="K863" s="82" t="n">
        <x:v>0</x:v>
      </x:c>
    </x:row>
    <x:row r="864">
      <x:c r="A864" s="76" t="n">
        <x:v>864</x:v>
      </x:c>
      <x:c r="B864" s="69" t="str">
        <x:v>7.17362</x:v>
      </x:c>
      <x:c r="C864" s="69" t="str">
        <x:v>-72.39430</x:v>
      </x:c>
      <x:c r="D864" s="78" t="n">
        <x:v>7.17362</x:v>
      </x:c>
      <x:c r="E864" s="78" t="n">
        <x:v>-72.3943</x:v>
      </x:c>
      <x:c r="F864" s="69" t="str">
        <x:v>Texto→número</x:v>
      </x:c>
      <x:c r="G864" s="69" t="str">
        <x:v>Texto→número</x:v>
      </x:c>
      <x:c r="H864" s="80" t="str">
        <x:v>OK</x:v>
      </x:c>
      <x:c r="I864" s="69" t="str"/>
      <x:c r="J864" s="69" t="str">
        <x:v>7.17362|-72.3943</x:v>
      </x:c>
      <x:c r="K864" s="82" t="n">
        <x:v>0</x:v>
      </x:c>
    </x:row>
    <x:row r="865">
      <x:c r="A865" s="76" t="n">
        <x:v>865</x:v>
      </x:c>
      <x:c r="B865" s="69"/>
      <x:c r="C865" s="69"/>
      <x:c r="D865" s="78"/>
      <x:c r="E865" s="78"/>
      <x:c r="F865" s="69" t="str">
        <x:v>Vacío</x:v>
      </x:c>
      <x:c r="G865" s="69" t="str">
        <x:v>Vacío</x:v>
      </x:c>
      <x:c r="H865" s="80" t="str">
        <x:v>FALTA_COORDENADA</x:v>
      </x:c>
      <x:c r="I865" s="69" t="str">
        <x:v>Latitud y longitud vacías</x:v>
      </x:c>
      <x:c r="J865" s="69"/>
      <x:c r="K865" s="82" t="n">
        <x:v>0</x:v>
      </x:c>
    </x:row>
    <x:row r="866">
      <x:c r="A866" s="76" t="n">
        <x:v>866</x:v>
      </x:c>
      <x:c r="B866" s="69" t="str">
        <x:v>-1.50668</x:v>
      </x:c>
      <x:c r="C866" s="69" t="str">
        <x:v>-70.01698</x:v>
      </x:c>
      <x:c r="D866" s="78" t="n">
        <x:v>-1.50668</x:v>
      </x:c>
      <x:c r="E866" s="78" t="n">
        <x:v>-70.01698</x:v>
      </x:c>
      <x:c r="F866" s="69" t="str">
        <x:v>Texto→número</x:v>
      </x:c>
      <x:c r="G866" s="69" t="str">
        <x:v>Texto→número</x:v>
      </x:c>
      <x:c r="H866" s="80" t="str">
        <x:v>OK</x:v>
      </x:c>
      <x:c r="I866" s="69" t="str"/>
      <x:c r="J866" s="69" t="str">
        <x:v>-1.50668|-70.01698</x:v>
      </x:c>
      <x:c r="K866" s="82" t="n">
        <x:v>0</x:v>
      </x:c>
    </x:row>
    <x:row r="867">
      <x:c r="A867" s="76" t="n">
        <x:v>867</x:v>
      </x:c>
      <x:c r="B867" s="69" t="str">
        <x:v>-1.50668</x:v>
      </x:c>
      <x:c r="C867" s="69" t="str">
        <x:v>-70.01698</x:v>
      </x:c>
      <x:c r="D867" s="78" t="n">
        <x:v>-1.50668</x:v>
      </x:c>
      <x:c r="E867" s="78" t="n">
        <x:v>-70.01698</x:v>
      </x:c>
      <x:c r="F867" s="69" t="str">
        <x:v>Texto→número</x:v>
      </x:c>
      <x:c r="G867" s="69" t="str">
        <x:v>Texto→número</x:v>
      </x:c>
      <x:c r="H867" s="80" t="str">
        <x:v>OK</x:v>
      </x:c>
      <x:c r="I867" s="69" t="str"/>
      <x:c r="J867" s="69"/>
      <x:c r="K867" s="82" t="n">
        <x:v>1</x:v>
      </x:c>
    </x:row>
    <x:row r="868">
      <x:c r="A868" s="76" t="n">
        <x:v>868</x:v>
      </x:c>
      <x:c r="B868" s="69" t="str">
        <x:v>-1.50668</x:v>
      </x:c>
      <x:c r="C868" s="69" t="str">
        <x:v>-70.01698</x:v>
      </x:c>
      <x:c r="D868" s="78" t="n">
        <x:v>-1.50668</x:v>
      </x:c>
      <x:c r="E868" s="78" t="n">
        <x:v>-70.01698</x:v>
      </x:c>
      <x:c r="F868" s="69" t="str">
        <x:v>Texto→número</x:v>
      </x:c>
      <x:c r="G868" s="69" t="str">
        <x:v>Texto→número</x:v>
      </x:c>
      <x:c r="H868" s="80" t="str">
        <x:v>OK</x:v>
      </x:c>
      <x:c r="I868" s="69" t="str"/>
      <x:c r="J868" s="69"/>
      <x:c r="K868" s="82" t="n">
        <x:v>1</x:v>
      </x:c>
    </x:row>
    <x:row r="869">
      <x:c r="A869" s="76" t="n">
        <x:v>869</x:v>
      </x:c>
      <x:c r="B869" s="69" t="str">
        <x:v>6.30172</x:v>
      </x:c>
      <x:c r="C869" s="69" t="str">
        <x:v>-75.07573</x:v>
      </x:c>
      <x:c r="D869" s="78" t="n">
        <x:v>6.30172</x:v>
      </x:c>
      <x:c r="E869" s="78" t="n">
        <x:v>-75.07573</x:v>
      </x:c>
      <x:c r="F869" s="69" t="str">
        <x:v>Texto→número</x:v>
      </x:c>
      <x:c r="G869" s="69" t="str">
        <x:v>Texto→número</x:v>
      </x:c>
      <x:c r="H869" s="80" t="str">
        <x:v>OK</x:v>
      </x:c>
      <x:c r="I869" s="69" t="str"/>
      <x:c r="J869" s="69" t="str">
        <x:v>6.30172|-75.07573</x:v>
      </x:c>
      <x:c r="K869" s="82" t="n">
        <x:v>0</x:v>
      </x:c>
    </x:row>
    <x:row r="870">
      <x:c r="A870" s="76" t="n">
        <x:v>870</x:v>
      </x:c>
      <x:c r="B870" s="69" t="str">
        <x:v>6.30172</x:v>
      </x:c>
      <x:c r="C870" s="69" t="str">
        <x:v>-75.07573</x:v>
      </x:c>
      <x:c r="D870" s="78" t="n">
        <x:v>6.30172</x:v>
      </x:c>
      <x:c r="E870" s="78" t="n">
        <x:v>-75.07573</x:v>
      </x:c>
      <x:c r="F870" s="69" t="str">
        <x:v>Texto→número</x:v>
      </x:c>
      <x:c r="G870" s="69" t="str">
        <x:v>Texto→número</x:v>
      </x:c>
      <x:c r="H870" s="80" t="str">
        <x:v>OK</x:v>
      </x:c>
      <x:c r="I870" s="69" t="str"/>
      <x:c r="J870" s="69"/>
      <x:c r="K870" s="82" t="n">
        <x:v>1</x:v>
      </x:c>
    </x:row>
    <x:row r="871">
      <x:c r="A871" s="76" t="n">
        <x:v>871</x:v>
      </x:c>
      <x:c r="B871" s="69" t="str">
        <x:v>6.30172</x:v>
      </x:c>
      <x:c r="C871" s="69" t="str">
        <x:v>-75.07573</x:v>
      </x:c>
      <x:c r="D871" s="78" t="n">
        <x:v>6.30172</x:v>
      </x:c>
      <x:c r="E871" s="78" t="n">
        <x:v>-75.07573</x:v>
      </x:c>
      <x:c r="F871" s="69" t="str">
        <x:v>Texto→número</x:v>
      </x:c>
      <x:c r="G871" s="69" t="str">
        <x:v>Texto→número</x:v>
      </x:c>
      <x:c r="H871" s="80" t="str">
        <x:v>OK</x:v>
      </x:c>
      <x:c r="I871" s="69" t="str"/>
      <x:c r="J871" s="69"/>
      <x:c r="K871" s="82" t="n">
        <x:v>1</x:v>
      </x:c>
    </x:row>
    <x:row r="872">
      <x:c r="A872" s="76" t="n">
        <x:v>872</x:v>
      </x:c>
      <x:c r="B872" s="69" t="str">
        <x:v>6.9</x:v>
      </x:c>
      <x:c r="C872" s="69" t="str">
        <x:v>-75.1</x:v>
      </x:c>
      <x:c r="D872" s="78" t="n">
        <x:v>6.9</x:v>
      </x:c>
      <x:c r="E872" s="78" t="n">
        <x:v>-75.1</x:v>
      </x:c>
      <x:c r="F872" s="69" t="str">
        <x:v>Texto→número</x:v>
      </x:c>
      <x:c r="G872" s="69" t="str">
        <x:v>Texto→número</x:v>
      </x:c>
      <x:c r="H872" s="80" t="str">
        <x:v>OK</x:v>
      </x:c>
      <x:c r="I872" s="69" t="str"/>
      <x:c r="J872" s="69" t="str">
        <x:v>6.9|-75.1</x:v>
      </x:c>
      <x:c r="K872" s="82" t="n">
        <x:v>0</x:v>
      </x:c>
    </x:row>
    <x:row r="873">
      <x:c r="A873" s="76" t="n">
        <x:v>873</x:v>
      </x:c>
      <x:c r="B873" s="69" t="str">
        <x:v>6.9</x:v>
      </x:c>
      <x:c r="C873" s="69" t="str">
        <x:v>-75.1</x:v>
      </x:c>
      <x:c r="D873" s="78" t="n">
        <x:v>6.9</x:v>
      </x:c>
      <x:c r="E873" s="78" t="n">
        <x:v>-75.1</x:v>
      </x:c>
      <x:c r="F873" s="69" t="str">
        <x:v>Texto→número</x:v>
      </x:c>
      <x:c r="G873" s="69" t="str">
        <x:v>Texto→número</x:v>
      </x:c>
      <x:c r="H873" s="80" t="str">
        <x:v>OK</x:v>
      </x:c>
      <x:c r="I873" s="69" t="str"/>
      <x:c r="J873" s="69"/>
      <x:c r="K873" s="82" t="n">
        <x:v>1</x:v>
      </x:c>
    </x:row>
    <x:row r="874">
      <x:c r="A874" s="76" t="n">
        <x:v>874</x:v>
      </x:c>
      <x:c r="B874" s="69" t="str">
        <x:v>6.9</x:v>
      </x:c>
      <x:c r="C874" s="69" t="str">
        <x:v>-75.1</x:v>
      </x:c>
      <x:c r="D874" s="78" t="n">
        <x:v>6.9</x:v>
      </x:c>
      <x:c r="E874" s="78" t="n">
        <x:v>-75.1</x:v>
      </x:c>
      <x:c r="F874" s="69" t="str">
        <x:v>Texto→número</x:v>
      </x:c>
      <x:c r="G874" s="69" t="str">
        <x:v>Texto→número</x:v>
      </x:c>
      <x:c r="H874" s="80" t="str">
        <x:v>OK</x:v>
      </x:c>
      <x:c r="I874" s="69" t="str"/>
      <x:c r="J874" s="69"/>
      <x:c r="K874" s="82" t="n">
        <x:v>1</x:v>
      </x:c>
    </x:row>
    <x:row r="875">
      <x:c r="A875" s="76" t="n">
        <x:v>875</x:v>
      </x:c>
      <x:c r="B875" s="69" t="str">
        <x:v>6.31122</x:v>
      </x:c>
      <x:c r="C875" s="69" t="str">
        <x:v>-75.14609</x:v>
      </x:c>
      <x:c r="D875" s="78" t="n">
        <x:v>6.31122</x:v>
      </x:c>
      <x:c r="E875" s="78" t="n">
        <x:v>-75.14609</x:v>
      </x:c>
      <x:c r="F875" s="69" t="str">
        <x:v>Texto→número</x:v>
      </x:c>
      <x:c r="G875" s="69" t="str">
        <x:v>Texto→número</x:v>
      </x:c>
      <x:c r="H875" s="80" t="str">
        <x:v>OK</x:v>
      </x:c>
      <x:c r="I875" s="69" t="str"/>
      <x:c r="J875" s="69"/>
      <x:c r="K875" s="82" t="n">
        <x:v>1</x:v>
      </x:c>
    </x:row>
    <x:row r="876">
      <x:c r="A876" s="76" t="n">
        <x:v>876</x:v>
      </x:c>
      <x:c r="B876" s="69" t="str">
        <x:v>6.0333333</x:v>
      </x:c>
      <x:c r="C876" s="69" t="str">
        <x:v>-75.1333333</x:v>
      </x:c>
      <x:c r="D876" s="78" t="n">
        <x:v>6.0333333</x:v>
      </x:c>
      <x:c r="E876" s="78" t="n">
        <x:v>-75.1333333</x:v>
      </x:c>
      <x:c r="F876" s="69" t="str">
        <x:v>Texto→número</x:v>
      </x:c>
      <x:c r="G876" s="69" t="str">
        <x:v>Texto→número</x:v>
      </x:c>
      <x:c r="H876" s="80" t="str">
        <x:v>OK</x:v>
      </x:c>
      <x:c r="I876" s="69" t="str"/>
      <x:c r="J876" s="69"/>
      <x:c r="K876" s="82" t="n">
        <x:v>1</x:v>
      </x:c>
    </x:row>
    <x:row r="877">
      <x:c r="A877" s="76" t="n">
        <x:v>877</x:v>
      </x:c>
      <x:c r="B877" s="69" t="str">
        <x:v>6.0333333</x:v>
      </x:c>
      <x:c r="C877" s="69" t="str">
        <x:v>-75.1333333</x:v>
      </x:c>
      <x:c r="D877" s="78" t="n">
        <x:v>6.0333333</x:v>
      </x:c>
      <x:c r="E877" s="78" t="n">
        <x:v>-75.1333333</x:v>
      </x:c>
      <x:c r="F877" s="69" t="str">
        <x:v>Texto→número</x:v>
      </x:c>
      <x:c r="G877" s="69" t="str">
        <x:v>Texto→número</x:v>
      </x:c>
      <x:c r="H877" s="80" t="str">
        <x:v>OK</x:v>
      </x:c>
      <x:c r="I877" s="69" t="str"/>
      <x:c r="J877" s="69"/>
      <x:c r="K877" s="82" t="n">
        <x:v>1</x:v>
      </x:c>
    </x:row>
    <x:row r="878">
      <x:c r="A878" s="76" t="n">
        <x:v>878</x:v>
      </x:c>
      <x:c r="B878" s="69" t="str">
        <x:v>6.5</x:v>
      </x:c>
      <x:c r="C878" s="69" t="str">
        <x:v>-75.3</x:v>
      </x:c>
      <x:c r="D878" s="78" t="n">
        <x:v>6.5</x:v>
      </x:c>
      <x:c r="E878" s="78" t="n">
        <x:v>-75.3</x:v>
      </x:c>
      <x:c r="F878" s="69" t="str">
        <x:v>Texto→número</x:v>
      </x:c>
      <x:c r="G878" s="69" t="str">
        <x:v>Texto→número</x:v>
      </x:c>
      <x:c r="H878" s="80" t="str">
        <x:v>OK</x:v>
      </x:c>
      <x:c r="I878" s="69" t="str"/>
      <x:c r="J878" s="69" t="str">
        <x:v>6.5|-75.3</x:v>
      </x:c>
      <x:c r="K878" s="82" t="n">
        <x:v>0</x:v>
      </x:c>
    </x:row>
    <x:row r="879">
      <x:c r="A879" s="76" t="n">
        <x:v>879</x:v>
      </x:c>
      <x:c r="B879" s="69" t="str">
        <x:v>6.5</x:v>
      </x:c>
      <x:c r="C879" s="69" t="str">
        <x:v>-75.3</x:v>
      </x:c>
      <x:c r="D879" s="78" t="n">
        <x:v>6.5</x:v>
      </x:c>
      <x:c r="E879" s="78" t="n">
        <x:v>-75.3</x:v>
      </x:c>
      <x:c r="F879" s="69" t="str">
        <x:v>Texto→número</x:v>
      </x:c>
      <x:c r="G879" s="69" t="str">
        <x:v>Texto→número</x:v>
      </x:c>
      <x:c r="H879" s="80" t="str">
        <x:v>OK</x:v>
      </x:c>
      <x:c r="I879" s="69" t="str"/>
      <x:c r="J879" s="69"/>
      <x:c r="K879" s="82" t="n">
        <x:v>1</x:v>
      </x:c>
    </x:row>
    <x:row r="880">
      <x:c r="A880" s="76" t="n">
        <x:v>880</x:v>
      </x:c>
      <x:c r="B880" s="69" t="str">
        <x:v>6.5</x:v>
      </x:c>
      <x:c r="C880" s="69" t="str">
        <x:v>-75.3</x:v>
      </x:c>
      <x:c r="D880" s="78" t="n">
        <x:v>6.5</x:v>
      </x:c>
      <x:c r="E880" s="78" t="n">
        <x:v>-75.3</x:v>
      </x:c>
      <x:c r="F880" s="69" t="str">
        <x:v>Texto→número</x:v>
      </x:c>
      <x:c r="G880" s="69" t="str">
        <x:v>Texto→número</x:v>
      </x:c>
      <x:c r="H880" s="80" t="str">
        <x:v>OK</x:v>
      </x:c>
      <x:c r="I880" s="69" t="str"/>
      <x:c r="J880" s="69"/>
      <x:c r="K880" s="82" t="n">
        <x:v>1</x:v>
      </x:c>
    </x:row>
    <x:row r="881">
      <x:c r="A881" s="76" t="n">
        <x:v>881</x:v>
      </x:c>
      <x:c r="B881" s="69" t="str">
        <x:v>6.79257</x:v>
      </x:c>
      <x:c r="C881" s="69" t="str">
        <x:v>-75.12252</x:v>
      </x:c>
      <x:c r="D881" s="78" t="n">
        <x:v>6.79257</x:v>
      </x:c>
      <x:c r="E881" s="78" t="n">
        <x:v>-75.12252</x:v>
      </x:c>
      <x:c r="F881" s="69" t="str">
        <x:v>Texto→número</x:v>
      </x:c>
      <x:c r="G881" s="69" t="str">
        <x:v>Texto→número</x:v>
      </x:c>
      <x:c r="H881" s="80" t="str">
        <x:v>OK</x:v>
      </x:c>
      <x:c r="I881" s="69" t="str"/>
      <x:c r="J881" s="69" t="str">
        <x:v>6.79257|-75.12252</x:v>
      </x:c>
      <x:c r="K881" s="82" t="n">
        <x:v>0</x:v>
      </x:c>
    </x:row>
    <x:row r="882">
      <x:c r="A882" s="76" t="n">
        <x:v>882</x:v>
      </x:c>
      <x:c r="B882" s="69" t="str">
        <x:v>6.44112</x:v>
      </x:c>
      <x:c r="C882" s="69" t="str">
        <x:v>-75.31479</x:v>
      </x:c>
      <x:c r="D882" s="78" t="n">
        <x:v>6.44112</x:v>
      </x:c>
      <x:c r="E882" s="78" t="n">
        <x:v>-75.31479</x:v>
      </x:c>
      <x:c r="F882" s="69" t="str">
        <x:v>Texto→número</x:v>
      </x:c>
      <x:c r="G882" s="69" t="str">
        <x:v>Texto→número</x:v>
      </x:c>
      <x:c r="H882" s="80" t="str">
        <x:v>OK</x:v>
      </x:c>
      <x:c r="I882" s="69" t="str"/>
      <x:c r="J882" s="69" t="str">
        <x:v>6.44112|-75.31479</x:v>
      </x:c>
      <x:c r="K882" s="82" t="n">
        <x:v>0</x:v>
      </x:c>
    </x:row>
    <x:row r="883">
      <x:c r="A883" s="76" t="n">
        <x:v>883</x:v>
      </x:c>
      <x:c r="B883" s="69" t="str">
        <x:v>6.44112</x:v>
      </x:c>
      <x:c r="C883" s="69" t="str">
        <x:v>-75.31479</x:v>
      </x:c>
      <x:c r="D883" s="78" t="n">
        <x:v>6.44112</x:v>
      </x:c>
      <x:c r="E883" s="78" t="n">
        <x:v>-75.31479</x:v>
      </x:c>
      <x:c r="F883" s="69" t="str">
        <x:v>Texto→número</x:v>
      </x:c>
      <x:c r="G883" s="69" t="str">
        <x:v>Texto→número</x:v>
      </x:c>
      <x:c r="H883" s="80" t="str">
        <x:v>OK</x:v>
      </x:c>
      <x:c r="I883" s="69" t="str"/>
      <x:c r="J883" s="69"/>
      <x:c r="K883" s="82" t="n">
        <x:v>1</x:v>
      </x:c>
    </x:row>
    <x:row r="884">
      <x:c r="A884" s="76" t="n">
        <x:v>884</x:v>
      </x:c>
      <x:c r="B884" s="69" t="str">
        <x:v>6.44112</x:v>
      </x:c>
      <x:c r="C884" s="69" t="str">
        <x:v>-75.31479</x:v>
      </x:c>
      <x:c r="D884" s="78" t="n">
        <x:v>6.44112</x:v>
      </x:c>
      <x:c r="E884" s="78" t="n">
        <x:v>-75.31479</x:v>
      </x:c>
      <x:c r="F884" s="69" t="str">
        <x:v>Texto→número</x:v>
      </x:c>
      <x:c r="G884" s="69" t="str">
        <x:v>Texto→número</x:v>
      </x:c>
      <x:c r="H884" s="80" t="str">
        <x:v>OK</x:v>
      </x:c>
      <x:c r="I884" s="69" t="str"/>
      <x:c r="J884" s="69"/>
      <x:c r="K884" s="82" t="n">
        <x:v>1</x:v>
      </x:c>
    </x:row>
    <x:row r="885">
      <x:c r="A885" s="76" t="n">
        <x:v>885</x:v>
      </x:c>
      <x:c r="B885" s="69" t="str">
        <x:v>6.79257</x:v>
      </x:c>
      <x:c r="C885" s="69" t="str">
        <x:v>-75.12252</x:v>
      </x:c>
      <x:c r="D885" s="78" t="n">
        <x:v>6.79257</x:v>
      </x:c>
      <x:c r="E885" s="78" t="n">
        <x:v>-75.12252</x:v>
      </x:c>
      <x:c r="F885" s="69" t="str">
        <x:v>Texto→número</x:v>
      </x:c>
      <x:c r="G885" s="69" t="str">
        <x:v>Texto→número</x:v>
      </x:c>
      <x:c r="H885" s="80" t="str">
        <x:v>OK</x:v>
      </x:c>
      <x:c r="I885" s="69" t="str"/>
      <x:c r="J885" s="69"/>
      <x:c r="K885" s="82" t="n">
        <x:v>1</x:v>
      </x:c>
    </x:row>
    <x:row r="886">
      <x:c r="A886" s="76" t="n">
        <x:v>886</x:v>
      </x:c>
      <x:c r="B886" s="69" t="str">
        <x:v>6.79257</x:v>
      </x:c>
      <x:c r="C886" s="69" t="str">
        <x:v>-75.12252</x:v>
      </x:c>
      <x:c r="D886" s="78" t="n">
        <x:v>6.79257</x:v>
      </x:c>
      <x:c r="E886" s="78" t="n">
        <x:v>-75.12252</x:v>
      </x:c>
      <x:c r="F886" s="69" t="str">
        <x:v>Texto→número</x:v>
      </x:c>
      <x:c r="G886" s="69" t="str">
        <x:v>Texto→número</x:v>
      </x:c>
      <x:c r="H886" s="80" t="str">
        <x:v>OK</x:v>
      </x:c>
      <x:c r="I886" s="69" t="str"/>
      <x:c r="J886" s="69"/>
      <x:c r="K886" s="82" t="n">
        <x:v>1</x:v>
      </x:c>
    </x:row>
    <x:row r="887">
      <x:c r="A887" s="76" t="n">
        <x:v>887</x:v>
      </x:c>
      <x:c r="B887" s="69" t="str">
        <x:v>7.133</x:v>
      </x:c>
      <x:c r="C887" s="69" t="str">
        <x:v>-75.1596944</x:v>
      </x:c>
      <x:c r="D887" s="78" t="n">
        <x:v>7.133</x:v>
      </x:c>
      <x:c r="E887" s="78" t="n">
        <x:v>-75.1596944</x:v>
      </x:c>
      <x:c r="F887" s="69" t="str">
        <x:v>Texto→número</x:v>
      </x:c>
      <x:c r="G887" s="69" t="str">
        <x:v>Texto→número</x:v>
      </x:c>
      <x:c r="H887" s="80" t="str">
        <x:v>OK</x:v>
      </x:c>
      <x:c r="I887" s="69" t="str"/>
      <x:c r="J887" s="69"/>
      <x:c r="K887" s="82" t="n">
        <x:v>1</x:v>
      </x:c>
    </x:row>
    <x:row r="888">
      <x:c r="A888" s="76" t="n">
        <x:v>888</x:v>
      </x:c>
      <x:c r="B888" s="69" t="str">
        <x:v>7.133</x:v>
      </x:c>
      <x:c r="C888" s="69" t="str">
        <x:v>-75.1596944</x:v>
      </x:c>
      <x:c r="D888" s="78" t="n">
        <x:v>7.133</x:v>
      </x:c>
      <x:c r="E888" s="78" t="n">
        <x:v>-75.1596944</x:v>
      </x:c>
      <x:c r="F888" s="69" t="str">
        <x:v>Texto→número</x:v>
      </x:c>
      <x:c r="G888" s="69" t="str">
        <x:v>Texto→número</x:v>
      </x:c>
      <x:c r="H888" s="80" t="str">
        <x:v>OK</x:v>
      </x:c>
      <x:c r="I888" s="69" t="str"/>
      <x:c r="J888" s="69"/>
      <x:c r="K888" s="82" t="n">
        <x:v>1</x:v>
      </x:c>
    </x:row>
    <x:row r="889">
      <x:c r="A889" s="76" t="n">
        <x:v>889</x:v>
      </x:c>
      <x:c r="B889" s="69" t="str">
        <x:v>7.133</x:v>
      </x:c>
      <x:c r="C889" s="69" t="str">
        <x:v>-75.1596944</x:v>
      </x:c>
      <x:c r="D889" s="78" t="n">
        <x:v>7.133</x:v>
      </x:c>
      <x:c r="E889" s="78" t="n">
        <x:v>-75.1596944</x:v>
      </x:c>
      <x:c r="F889" s="69" t="str">
        <x:v>Texto→número</x:v>
      </x:c>
      <x:c r="G889" s="69" t="str">
        <x:v>Texto→número</x:v>
      </x:c>
      <x:c r="H889" s="80" t="str">
        <x:v>OK</x:v>
      </x:c>
      <x:c r="I889" s="69" t="str"/>
      <x:c r="J889" s="69"/>
      <x:c r="K889" s="82" t="n">
        <x:v>1</x:v>
      </x:c>
    </x:row>
    <x:row r="890">
      <x:c r="A890" s="76" t="n">
        <x:v>890</x:v>
      </x:c>
      <x:c r="B890" s="69" t="str">
        <x:v>7.133</x:v>
      </x:c>
      <x:c r="C890" s="69" t="str">
        <x:v>-75.1596944</x:v>
      </x:c>
      <x:c r="D890" s="78" t="n">
        <x:v>7.133</x:v>
      </x:c>
      <x:c r="E890" s="78" t="n">
        <x:v>-75.1596944</x:v>
      </x:c>
      <x:c r="F890" s="69" t="str">
        <x:v>Texto→número</x:v>
      </x:c>
      <x:c r="G890" s="69" t="str">
        <x:v>Texto→número</x:v>
      </x:c>
      <x:c r="H890" s="80" t="str">
        <x:v>OK</x:v>
      </x:c>
      <x:c r="I890" s="69" t="str"/>
      <x:c r="J890" s="69"/>
      <x:c r="K890" s="82" t="n">
        <x:v>1</x:v>
      </x:c>
    </x:row>
    <x:row r="891">
      <x:c r="A891" s="76" t="n">
        <x:v>891</x:v>
      </x:c>
      <x:c r="B891" s="69" t="str">
        <x:v>5.6524</x:v>
      </x:c>
      <x:c r="C891" s="69" t="str">
        <x:v>-74.03534</x:v>
      </x:c>
      <x:c r="D891" s="78" t="n">
        <x:v>5.6524</x:v>
      </x:c>
      <x:c r="E891" s="78" t="n">
        <x:v>-74.03534</x:v>
      </x:c>
      <x:c r="F891" s="69" t="str">
        <x:v>Texto→número</x:v>
      </x:c>
      <x:c r="G891" s="69" t="str">
        <x:v>Texto→número</x:v>
      </x:c>
      <x:c r="H891" s="80" t="str">
        <x:v>OK</x:v>
      </x:c>
      <x:c r="I891" s="69" t="str"/>
      <x:c r="J891" s="69" t="str">
        <x:v>5.6524|-74.03534</x:v>
      </x:c>
      <x:c r="K891" s="82" t="n">
        <x:v>0</x:v>
      </x:c>
    </x:row>
    <x:row r="892">
      <x:c r="A892" s="76" t="n">
        <x:v>892</x:v>
      </x:c>
      <x:c r="B892" s="69" t="str">
        <x:v>0.9375</x:v>
      </x:c>
      <x:c r="C892" s="69" t="str">
        <x:v>-72.7016667</x:v>
      </x:c>
      <x:c r="D892" s="78" t="n">
        <x:v>0.9375</x:v>
      </x:c>
      <x:c r="E892" s="78" t="n">
        <x:v>-72.7016667</x:v>
      </x:c>
      <x:c r="F892" s="69" t="str">
        <x:v>Texto→número</x:v>
      </x:c>
      <x:c r="G892" s="69" t="str">
        <x:v>Texto→número</x:v>
      </x:c>
      <x:c r="H892" s="80" t="str">
        <x:v>OK</x:v>
      </x:c>
      <x:c r="I892" s="69" t="str"/>
      <x:c r="J892" s="69" t="str">
        <x:v>0.9375|-72.7016667</x:v>
      </x:c>
      <x:c r="K892" s="82" t="n">
        <x:v>0</x:v>
      </x:c>
    </x:row>
    <x:row r="893">
      <x:c r="A893" s="76" t="n">
        <x:v>893</x:v>
      </x:c>
      <x:c r="B893" s="69" t="str">
        <x:v>0.9375</x:v>
      </x:c>
      <x:c r="C893" s="69" t="str">
        <x:v>-72.7016667</x:v>
      </x:c>
      <x:c r="D893" s="78" t="n">
        <x:v>0.9375</x:v>
      </x:c>
      <x:c r="E893" s="78" t="n">
        <x:v>-72.7016667</x:v>
      </x:c>
      <x:c r="F893" s="69" t="str">
        <x:v>Texto→número</x:v>
      </x:c>
      <x:c r="G893" s="69" t="str">
        <x:v>Texto→número</x:v>
      </x:c>
      <x:c r="H893" s="80" t="str">
        <x:v>OK</x:v>
      </x:c>
      <x:c r="I893" s="69" t="str"/>
      <x:c r="J893" s="69"/>
      <x:c r="K893" s="82" t="n">
        <x:v>1</x:v>
      </x:c>
    </x:row>
    <x:row r="894">
      <x:c r="A894" s="76" t="n">
        <x:v>894</x:v>
      </x:c>
      <x:c r="B894" s="69" t="str">
        <x:v>10.05</x:v>
      </x:c>
      <x:c r="C894" s="69" t="str">
        <x:v>-73.05</x:v>
      </x:c>
      <x:c r="D894" s="78" t="n">
        <x:v>10.05</x:v>
      </x:c>
      <x:c r="E894" s="78" t="n">
        <x:v>-73.05</x:v>
      </x:c>
      <x:c r="F894" s="69" t="str">
        <x:v>Texto→número</x:v>
      </x:c>
      <x:c r="G894" s="69" t="str">
        <x:v>Texto→número</x:v>
      </x:c>
      <x:c r="H894" s="80" t="str">
        <x:v>OK</x:v>
      </x:c>
      <x:c r="I894" s="69" t="str"/>
      <x:c r="J894" s="69" t="str">
        <x:v>10.05|-73.05</x:v>
      </x:c>
      <x:c r="K894" s="82" t="n">
        <x:v>0</x:v>
      </x:c>
    </x:row>
    <x:row r="895">
      <x:c r="A895" s="76" t="n">
        <x:v>895</x:v>
      </x:c>
      <x:c r="B895" s="69" t="str">
        <x:v>10.05</x:v>
      </x:c>
      <x:c r="C895" s="69" t="str">
        <x:v>-73.05</x:v>
      </x:c>
      <x:c r="D895" s="78" t="n">
        <x:v>10.05</x:v>
      </x:c>
      <x:c r="E895" s="78" t="n">
        <x:v>-73.05</x:v>
      </x:c>
      <x:c r="F895" s="69" t="str">
        <x:v>Texto→número</x:v>
      </x:c>
      <x:c r="G895" s="69" t="str">
        <x:v>Texto→número</x:v>
      </x:c>
      <x:c r="H895" s="80" t="str">
        <x:v>OK</x:v>
      </x:c>
      <x:c r="I895" s="69" t="str"/>
      <x:c r="J895" s="69"/>
      <x:c r="K895" s="82" t="n">
        <x:v>1</x:v>
      </x:c>
    </x:row>
    <x:row r="896">
      <x:c r="A896" s="76" t="n">
        <x:v>896</x:v>
      </x:c>
      <x:c r="B896" s="69" t="str">
        <x:v>4.96954</x:v>
      </x:c>
      <x:c r="C896" s="69" t="str">
        <x:v>-74.39447</x:v>
      </x:c>
      <x:c r="D896" s="78" t="n">
        <x:v>4.96954</x:v>
      </x:c>
      <x:c r="E896" s="78" t="n">
        <x:v>-74.39447</x:v>
      </x:c>
      <x:c r="F896" s="69" t="str">
        <x:v>Texto→número</x:v>
      </x:c>
      <x:c r="G896" s="69" t="str">
        <x:v>Texto→número</x:v>
      </x:c>
      <x:c r="H896" s="80" t="str">
        <x:v>OK</x:v>
      </x:c>
      <x:c r="I896" s="69" t="str"/>
      <x:c r="J896" s="69"/>
      <x:c r="K896" s="82" t="n">
        <x:v>1</x:v>
      </x:c>
    </x:row>
    <x:row r="897">
      <x:c r="A897" s="76" t="n">
        <x:v>897</x:v>
      </x:c>
      <x:c r="B897" s="69" t="str">
        <x:v>4.92729</x:v>
      </x:c>
      <x:c r="C897" s="69" t="str">
        <x:v>-74.42441</x:v>
      </x:c>
      <x:c r="D897" s="78" t="n">
        <x:v>4.92729</x:v>
      </x:c>
      <x:c r="E897" s="78" t="n">
        <x:v>-74.42441</x:v>
      </x:c>
      <x:c r="F897" s="69" t="str">
        <x:v>Texto→número</x:v>
      </x:c>
      <x:c r="G897" s="69" t="str">
        <x:v>Texto→número</x:v>
      </x:c>
      <x:c r="H897" s="80" t="str">
        <x:v>OK</x:v>
      </x:c>
      <x:c r="I897" s="69" t="str"/>
      <x:c r="J897" s="69" t="str">
        <x:v>4.92729|-74.42441</x:v>
      </x:c>
      <x:c r="K897" s="82" t="n">
        <x:v>0</x:v>
      </x:c>
    </x:row>
    <x:row r="898">
      <x:c r="A898" s="76" t="n">
        <x:v>898</x:v>
      </x:c>
      <x:c r="B898" s="69" t="str">
        <x:v>4.20474</x:v>
      </x:c>
      <x:c r="C898" s="69" t="str">
        <x:v>-73.89205</x:v>
      </x:c>
      <x:c r="D898" s="78" t="n">
        <x:v>4.20474</x:v>
      </x:c>
      <x:c r="E898" s="78" t="n">
        <x:v>-73.89205</x:v>
      </x:c>
      <x:c r="F898" s="69" t="str">
        <x:v>Texto→número</x:v>
      </x:c>
      <x:c r="G898" s="69" t="str">
        <x:v>Texto→número</x:v>
      </x:c>
      <x:c r="H898" s="80" t="str">
        <x:v>OK</x:v>
      </x:c>
      <x:c r="I898" s="69" t="str"/>
      <x:c r="J898" s="69" t="str">
        <x:v>4.20474|-73.89205</x:v>
      </x:c>
      <x:c r="K898" s="82" t="n">
        <x:v>0</x:v>
      </x:c>
    </x:row>
    <x:row r="899">
      <x:c r="A899" s="76" t="n">
        <x:v>899</x:v>
      </x:c>
      <x:c r="B899" s="69" t="str">
        <x:v>5.55832</x:v>
      </x:c>
      <x:c r="C899" s="69" t="str">
        <x:v>-74.29157</x:v>
      </x:c>
      <x:c r="D899" s="78" t="n">
        <x:v>5.55832</x:v>
      </x:c>
      <x:c r="E899" s="78" t="n">
        <x:v>-74.29157</x:v>
      </x:c>
      <x:c r="F899" s="69" t="str">
        <x:v>Texto→número</x:v>
      </x:c>
      <x:c r="G899" s="69" t="str">
        <x:v>Texto→número</x:v>
      </x:c>
      <x:c r="H899" s="80" t="str">
        <x:v>OK</x:v>
      </x:c>
      <x:c r="I899" s="69" t="str"/>
      <x:c r="J899" s="69" t="str">
        <x:v>5.55832|-74.29157</x:v>
      </x:c>
      <x:c r="K899" s="82" t="n">
        <x:v>0</x:v>
      </x:c>
    </x:row>
    <x:row r="900">
      <x:c r="A900" s="76" t="n">
        <x:v>900</x:v>
      </x:c>
      <x:c r="B900" s="69" t="str">
        <x:v>2.1833333</x:v>
      </x:c>
      <x:c r="C900" s="69" t="str">
        <x:v>-74.05</x:v>
      </x:c>
      <x:c r="D900" s="78" t="n">
        <x:v>2.1833333</x:v>
      </x:c>
      <x:c r="E900" s="78" t="n">
        <x:v>-74.05</x:v>
      </x:c>
      <x:c r="F900" s="69" t="str">
        <x:v>Texto→número</x:v>
      </x:c>
      <x:c r="G900" s="69" t="str">
        <x:v>Texto→número</x:v>
      </x:c>
      <x:c r="H900" s="80" t="str">
        <x:v>OK</x:v>
      </x:c>
      <x:c r="I900" s="69" t="str"/>
      <x:c r="J900" s="69" t="str">
        <x:v>2.1833333|-74.05</x:v>
      </x:c>
      <x:c r="K900" s="82" t="n">
        <x:v>0</x:v>
      </x:c>
    </x:row>
    <x:row r="901">
      <x:c r="A901" s="76" t="n">
        <x:v>901</x:v>
      </x:c>
      <x:c r="B901" s="69" t="str">
        <x:v>2.7806583</x:v>
      </x:c>
      <x:c r="C901" s="69" t="str">
        <x:v>-75.2566556</x:v>
      </x:c>
      <x:c r="D901" s="78" t="n">
        <x:v>2.7806583</x:v>
      </x:c>
      <x:c r="E901" s="78" t="n">
        <x:v>-75.2566556</x:v>
      </x:c>
      <x:c r="F901" s="69" t="str">
        <x:v>Texto→número</x:v>
      </x:c>
      <x:c r="G901" s="69" t="str">
        <x:v>Texto→número</x:v>
      </x:c>
      <x:c r="H901" s="80" t="str">
        <x:v>OK</x:v>
      </x:c>
      <x:c r="I901" s="69" t="str"/>
      <x:c r="J901" s="69"/>
      <x:c r="K901" s="82" t="n">
        <x:v>1</x:v>
      </x:c>
    </x:row>
    <x:row r="902">
      <x:c r="A902" s="76" t="n">
        <x:v>902</x:v>
      </x:c>
      <x:c r="B902" s="69" t="str">
        <x:v>1.809</x:v>
      </x:c>
      <x:c r="C902" s="69" t="str">
        <x:v>-76.0165</x:v>
      </x:c>
      <x:c r="D902" s="78" t="n">
        <x:v>1.809</x:v>
      </x:c>
      <x:c r="E902" s="78" t="n">
        <x:v>-76.0165</x:v>
      </x:c>
      <x:c r="F902" s="69" t="str">
        <x:v>Texto→número</x:v>
      </x:c>
      <x:c r="G902" s="69" t="str">
        <x:v>Texto→número</x:v>
      </x:c>
      <x:c r="H902" s="80" t="str">
        <x:v>OK</x:v>
      </x:c>
      <x:c r="I902" s="69" t="str"/>
      <x:c r="J902" s="69"/>
      <x:c r="K902" s="82" t="n">
        <x:v>1</x:v>
      </x:c>
    </x:row>
    <x:row r="903">
      <x:c r="A903" s="76" t="n">
        <x:v>903</x:v>
      </x:c>
      <x:c r="B903" s="69" t="str">
        <x:v>1.7284722</x:v>
      </x:c>
      <x:c r="C903" s="69" t="str">
        <x:v>-76.1152222</x:v>
      </x:c>
      <x:c r="D903" s="78" t="n">
        <x:v>1.7284722</x:v>
      </x:c>
      <x:c r="E903" s="78" t="n">
        <x:v>-76.1152222</x:v>
      </x:c>
      <x:c r="F903" s="69" t="str">
        <x:v>Texto→número</x:v>
      </x:c>
      <x:c r="G903" s="69" t="str">
        <x:v>Texto→número</x:v>
      </x:c>
      <x:c r="H903" s="80" t="str">
        <x:v>OK</x:v>
      </x:c>
      <x:c r="I903" s="69" t="str"/>
      <x:c r="J903" s="69" t="str">
        <x:v>1.7284722|-76.1152222</x:v>
      </x:c>
      <x:c r="K903" s="82" t="n">
        <x:v>0</x:v>
      </x:c>
    </x:row>
    <x:row r="904">
      <x:c r="A904" s="76" t="n">
        <x:v>904</x:v>
      </x:c>
      <x:c r="B904" s="69" t="str">
        <x:v>6.2927</x:v>
      </x:c>
      <x:c r="C904" s="69" t="str">
        <x:v>-75.50709</x:v>
      </x:c>
      <x:c r="D904" s="78" t="n">
        <x:v>6.2927</x:v>
      </x:c>
      <x:c r="E904" s="78" t="n">
        <x:v>-75.50709</x:v>
      </x:c>
      <x:c r="F904" s="69" t="str">
        <x:v>Texto→número</x:v>
      </x:c>
      <x:c r="G904" s="69" t="str">
        <x:v>Texto→número</x:v>
      </x:c>
      <x:c r="H904" s="80" t="str">
        <x:v>OK</x:v>
      </x:c>
      <x:c r="I904" s="69" t="str"/>
      <x:c r="J904" s="69"/>
      <x:c r="K904" s="82" t="n">
        <x:v>1</x:v>
      </x:c>
    </x:row>
    <x:row r="905">
      <x:c r="A905" s="76" t="n">
        <x:v>905</x:v>
      </x:c>
      <x:c r="B905" s="69" t="str">
        <x:v>6.2927</x:v>
      </x:c>
      <x:c r="C905" s="69" t="str">
        <x:v>-75.50709</x:v>
      </x:c>
      <x:c r="D905" s="78" t="n">
        <x:v>6.2927</x:v>
      </x:c>
      <x:c r="E905" s="78" t="n">
        <x:v>-75.50709</x:v>
      </x:c>
      <x:c r="F905" s="69" t="str">
        <x:v>Texto→número</x:v>
      </x:c>
      <x:c r="G905" s="69" t="str">
        <x:v>Texto→número</x:v>
      </x:c>
      <x:c r="H905" s="80" t="str">
        <x:v>OK</x:v>
      </x:c>
      <x:c r="I905" s="69" t="str"/>
      <x:c r="J905" s="69"/>
      <x:c r="K905" s="82" t="n">
        <x:v>1</x:v>
      </x:c>
    </x:row>
    <x:row r="906">
      <x:c r="A906" s="76" t="n">
        <x:v>906</x:v>
      </x:c>
      <x:c r="B906" s="69" t="str">
        <x:v>6.31122</x:v>
      </x:c>
      <x:c r="C906" s="69" t="str">
        <x:v>-75.14609</x:v>
      </x:c>
      <x:c r="D906" s="78" t="n">
        <x:v>6.31122</x:v>
      </x:c>
      <x:c r="E906" s="78" t="n">
        <x:v>-75.14609</x:v>
      </x:c>
      <x:c r="F906" s="69" t="str">
        <x:v>Texto→número</x:v>
      </x:c>
      <x:c r="G906" s="69" t="str">
        <x:v>Texto→número</x:v>
      </x:c>
      <x:c r="H906" s="80" t="str">
        <x:v>OK</x:v>
      </x:c>
      <x:c r="I906" s="69" t="str"/>
      <x:c r="J906" s="69"/>
      <x:c r="K906" s="82" t="n">
        <x:v>1</x:v>
      </x:c>
    </x:row>
    <x:row r="907">
      <x:c r="A907" s="76" t="n">
        <x:v>907</x:v>
      </x:c>
      <x:c r="B907" s="69" t="str">
        <x:v>6.31122</x:v>
      </x:c>
      <x:c r="C907" s="69" t="str">
        <x:v>-75.14609</x:v>
      </x:c>
      <x:c r="D907" s="78" t="n">
        <x:v>6.31122</x:v>
      </x:c>
      <x:c r="E907" s="78" t="n">
        <x:v>-75.14609</x:v>
      </x:c>
      <x:c r="F907" s="69" t="str">
        <x:v>Texto→número</x:v>
      </x:c>
      <x:c r="G907" s="69" t="str">
        <x:v>Texto→número</x:v>
      </x:c>
      <x:c r="H907" s="80" t="str">
        <x:v>OK</x:v>
      </x:c>
      <x:c r="I907" s="69" t="str"/>
      <x:c r="J907" s="69"/>
      <x:c r="K907" s="82" t="n">
        <x:v>1</x:v>
      </x:c>
    </x:row>
    <x:row r="908">
      <x:c r="A908" s="76" t="n">
        <x:v>908</x:v>
      </x:c>
      <x:c r="B908" s="69" t="str">
        <x:v>5.6833333</x:v>
      </x:c>
      <x:c r="C908" s="69" t="str">
        <x:v>-75.2333333</x:v>
      </x:c>
      <x:c r="D908" s="78" t="n">
        <x:v>5.6833333</x:v>
      </x:c>
      <x:c r="E908" s="78" t="n">
        <x:v>-75.2333333</x:v>
      </x:c>
      <x:c r="F908" s="69" t="str">
        <x:v>Texto→número</x:v>
      </x:c>
      <x:c r="G908" s="69" t="str">
        <x:v>Texto→número</x:v>
      </x:c>
      <x:c r="H908" s="80" t="str">
        <x:v>OK</x:v>
      </x:c>
      <x:c r="I908" s="69" t="str"/>
      <x:c r="J908" s="69"/>
      <x:c r="K908" s="82" t="n">
        <x:v>1</x:v>
      </x:c>
    </x:row>
    <x:row r="909">
      <x:c r="A909" s="76" t="n">
        <x:v>909</x:v>
      </x:c>
      <x:c r="B909" s="69" t="str">
        <x:v>6.9058333</x:v>
      </x:c>
      <x:c r="C909" s="69" t="str">
        <x:v>-75.1345</x:v>
      </x:c>
      <x:c r="D909" s="78" t="n">
        <x:v>6.9058333</x:v>
      </x:c>
      <x:c r="E909" s="78" t="n">
        <x:v>-75.1345</x:v>
      </x:c>
      <x:c r="F909" s="69" t="str">
        <x:v>Texto→número</x:v>
      </x:c>
      <x:c r="G909" s="69" t="str">
        <x:v>Texto→número</x:v>
      </x:c>
      <x:c r="H909" s="80" t="str">
        <x:v>OK</x:v>
      </x:c>
      <x:c r="I909" s="69" t="str"/>
      <x:c r="J909" s="69" t="str">
        <x:v>6.9058333|-75.1345</x:v>
      </x:c>
      <x:c r="K909" s="82" t="n">
        <x:v>0</x:v>
      </x:c>
    </x:row>
    <x:row r="910">
      <x:c r="A910" s="76" t="n">
        <x:v>910</x:v>
      </x:c>
      <x:c r="B910" s="69" t="str">
        <x:v>6.31122</x:v>
      </x:c>
      <x:c r="C910" s="69" t="str">
        <x:v>-75.14609</x:v>
      </x:c>
      <x:c r="D910" s="78" t="n">
        <x:v>6.31122</x:v>
      </x:c>
      <x:c r="E910" s="78" t="n">
        <x:v>-75.14609</x:v>
      </x:c>
      <x:c r="F910" s="69" t="str">
        <x:v>Texto→número</x:v>
      </x:c>
      <x:c r="G910" s="69" t="str">
        <x:v>Texto→número</x:v>
      </x:c>
      <x:c r="H910" s="80" t="str">
        <x:v>OK</x:v>
      </x:c>
      <x:c r="I910" s="69" t="str"/>
      <x:c r="J910" s="69"/>
      <x:c r="K910" s="82" t="n">
        <x:v>1</x:v>
      </x:c>
    </x:row>
    <x:row r="911">
      <x:c r="A911" s="76" t="n">
        <x:v>911</x:v>
      </x:c>
      <x:c r="B911" s="69" t="str">
        <x:v>6.31122</x:v>
      </x:c>
      <x:c r="C911" s="69" t="str">
        <x:v>-75.14609</x:v>
      </x:c>
      <x:c r="D911" s="78" t="n">
        <x:v>6.31122</x:v>
      </x:c>
      <x:c r="E911" s="78" t="n">
        <x:v>-75.14609</x:v>
      </x:c>
      <x:c r="F911" s="69" t="str">
        <x:v>Texto→número</x:v>
      </x:c>
      <x:c r="G911" s="69" t="str">
        <x:v>Texto→número</x:v>
      </x:c>
      <x:c r="H911" s="80" t="str">
        <x:v>OK</x:v>
      </x:c>
      <x:c r="I911" s="69" t="str"/>
      <x:c r="J911" s="69"/>
      <x:c r="K911" s="82" t="n">
        <x:v>1</x:v>
      </x:c>
    </x:row>
    <x:row r="912">
      <x:c r="A912" s="76" t="n">
        <x:v>912</x:v>
      </x:c>
      <x:c r="B912" s="69" t="str">
        <x:v>6.30387</x:v>
      </x:c>
      <x:c r="C912" s="69" t="str">
        <x:v>-75.51813</x:v>
      </x:c>
      <x:c r="D912" s="78" t="n">
        <x:v>6.30387</x:v>
      </x:c>
      <x:c r="E912" s="78" t="n">
        <x:v>-75.51813</x:v>
      </x:c>
      <x:c r="F912" s="69" t="str">
        <x:v>Texto→número</x:v>
      </x:c>
      <x:c r="G912" s="69" t="str">
        <x:v>Texto→número</x:v>
      </x:c>
      <x:c r="H912" s="80" t="str">
        <x:v>OK</x:v>
      </x:c>
      <x:c r="I912" s="69" t="str"/>
      <x:c r="J912" s="69" t="str">
        <x:v>6.30387|-75.51813</x:v>
      </x:c>
      <x:c r="K912" s="82" t="n">
        <x:v>0</x:v>
      </x:c>
    </x:row>
    <x:row r="913">
      <x:c r="A913" s="76" t="n">
        <x:v>913</x:v>
      </x:c>
      <x:c r="B913" s="69" t="str">
        <x:v>6.30387</x:v>
      </x:c>
      <x:c r="C913" s="69" t="str">
        <x:v>-75.51813</x:v>
      </x:c>
      <x:c r="D913" s="78" t="n">
        <x:v>6.30387</x:v>
      </x:c>
      <x:c r="E913" s="78" t="n">
        <x:v>-75.51813</x:v>
      </x:c>
      <x:c r="F913" s="69" t="str">
        <x:v>Texto→número</x:v>
      </x:c>
      <x:c r="G913" s="69" t="str">
        <x:v>Texto→número</x:v>
      </x:c>
      <x:c r="H913" s="80" t="str">
        <x:v>OK</x:v>
      </x:c>
      <x:c r="I913" s="69" t="str"/>
      <x:c r="J913" s="69"/>
      <x:c r="K913" s="82" t="n">
        <x:v>1</x:v>
      </x:c>
    </x:row>
    <x:row r="914">
      <x:c r="A914" s="76" t="n">
        <x:v>914</x:v>
      </x:c>
      <x:c r="B914" s="69" t="str">
        <x:v>6.3056111</x:v>
      </x:c>
      <x:c r="C914" s="69" t="str">
        <x:v>-75.5151667</x:v>
      </x:c>
      <x:c r="D914" s="78" t="n">
        <x:v>6.3056111</x:v>
      </x:c>
      <x:c r="E914" s="78" t="n">
        <x:v>-75.5151667</x:v>
      </x:c>
      <x:c r="F914" s="69" t="str">
        <x:v>Texto→número</x:v>
      </x:c>
      <x:c r="G914" s="69" t="str">
        <x:v>Texto→número</x:v>
      </x:c>
      <x:c r="H914" s="80" t="str">
        <x:v>OK</x:v>
      </x:c>
      <x:c r="I914" s="69" t="str"/>
      <x:c r="J914" s="69" t="str">
        <x:v>6.3056111|-75.5151667</x:v>
      </x:c>
      <x:c r="K914" s="82" t="n">
        <x:v>0</x:v>
      </x:c>
    </x:row>
    <x:row r="915">
      <x:c r="A915" s="76" t="n">
        <x:v>915</x:v>
      </x:c>
      <x:c r="B915" s="69" t="str">
        <x:v>6.2133333</x:v>
      </x:c>
      <x:c r="C915" s="69" t="str">
        <x:v>-75.4922778</x:v>
      </x:c>
      <x:c r="D915" s="78" t="n">
        <x:v>6.2133333</x:v>
      </x:c>
      <x:c r="E915" s="78" t="n">
        <x:v>-75.4922778</x:v>
      </x:c>
      <x:c r="F915" s="69" t="str">
        <x:v>Texto→número</x:v>
      </x:c>
      <x:c r="G915" s="69" t="str">
        <x:v>Texto→número</x:v>
      </x:c>
      <x:c r="H915" s="80" t="str">
        <x:v>OK</x:v>
      </x:c>
      <x:c r="I915" s="69" t="str"/>
      <x:c r="J915" s="69"/>
      <x:c r="K915" s="82" t="n">
        <x:v>1</x:v>
      </x:c>
    </x:row>
    <x:row r="916">
      <x:c r="A916" s="76" t="n">
        <x:v>916</x:v>
      </x:c>
      <x:c r="B916" s="69" t="str">
        <x:v>6.9876667</x:v>
      </x:c>
      <x:c r="C916" s="69" t="str">
        <x:v>-75.1432222</x:v>
      </x:c>
      <x:c r="D916" s="78" t="n">
        <x:v>6.9876667</x:v>
      </x:c>
      <x:c r="E916" s="78" t="n">
        <x:v>-75.1432222</x:v>
      </x:c>
      <x:c r="F916" s="69" t="str">
        <x:v>Texto→número</x:v>
      </x:c>
      <x:c r="G916" s="69" t="str">
        <x:v>Texto→número</x:v>
      </x:c>
      <x:c r="H916" s="80" t="str">
        <x:v>OK</x:v>
      </x:c>
      <x:c r="I916" s="69" t="str"/>
      <x:c r="J916" s="69"/>
      <x:c r="K916" s="82" t="n">
        <x:v>1</x:v>
      </x:c>
    </x:row>
    <x:row r="917">
      <x:c r="A917" s="76" t="n">
        <x:v>917</x:v>
      </x:c>
      <x:c r="B917" s="69" t="str">
        <x:v>6.1301</x:v>
      </x:c>
      <x:c r="C917" s="69" t="str">
        <x:v>-75.41415</x:v>
      </x:c>
      <x:c r="D917" s="78" t="n">
        <x:v>6.1301</x:v>
      </x:c>
      <x:c r="E917" s="78" t="n">
        <x:v>-75.41415</x:v>
      </x:c>
      <x:c r="F917" s="69" t="str">
        <x:v>Texto→número</x:v>
      </x:c>
      <x:c r="G917" s="69" t="str">
        <x:v>Texto→número</x:v>
      </x:c>
      <x:c r="H917" s="80" t="str">
        <x:v>OK</x:v>
      </x:c>
      <x:c r="I917" s="69" t="str"/>
      <x:c r="J917" s="69" t="str">
        <x:v>6.1301|-75.41415</x:v>
      </x:c>
      <x:c r="K917" s="82" t="n">
        <x:v>0</x:v>
      </x:c>
    </x:row>
    <x:row r="918">
      <x:c r="A918" s="76" t="n">
        <x:v>918</x:v>
      </x:c>
      <x:c r="B918" s="69" t="str">
        <x:v>1.16918</x:v>
      </x:c>
      <x:c r="C918" s="69" t="str">
        <x:v>-76.69335</x:v>
      </x:c>
      <x:c r="D918" s="78" t="n">
        <x:v>1.16918</x:v>
      </x:c>
      <x:c r="E918" s="78" t="n">
        <x:v>-76.69335</x:v>
      </x:c>
      <x:c r="F918" s="69" t="str">
        <x:v>Texto→número</x:v>
      </x:c>
      <x:c r="G918" s="69" t="str">
        <x:v>Texto→número</x:v>
      </x:c>
      <x:c r="H918" s="80" t="str">
        <x:v>OK</x:v>
      </x:c>
      <x:c r="I918" s="69" t="str"/>
      <x:c r="J918" s="69" t="str">
        <x:v>1.16918|-76.69335</x:v>
      </x:c>
      <x:c r="K918" s="82" t="n">
        <x:v>0</x:v>
      </x:c>
    </x:row>
    <x:row r="919">
      <x:c r="A919" s="76" t="n">
        <x:v>919</x:v>
      </x:c>
      <x:c r="B919" s="69" t="str">
        <x:v>4.96950</x:v>
      </x:c>
      <x:c r="C919" s="69" t="str">
        <x:v>-74.39396</x:v>
      </x:c>
      <x:c r="D919" s="78" t="n">
        <x:v>4.9695</x:v>
      </x:c>
      <x:c r="E919" s="78" t="n">
        <x:v>-74.39396</x:v>
      </x:c>
      <x:c r="F919" s="69" t="str">
        <x:v>Texto→número</x:v>
      </x:c>
      <x:c r="G919" s="69" t="str">
        <x:v>Texto→número</x:v>
      </x:c>
      <x:c r="H919" s="80" t="str">
        <x:v>OK</x:v>
      </x:c>
      <x:c r="I919" s="69" t="str"/>
      <x:c r="J919" s="69" t="str">
        <x:v>4.9695|-74.39396</x:v>
      </x:c>
      <x:c r="K919" s="82" t="n">
        <x:v>0</x:v>
      </x:c>
    </x:row>
    <x:row r="920">
      <x:c r="A920" s="76" t="n">
        <x:v>920</x:v>
      </x:c>
      <x:c r="B920" s="69" t="str">
        <x:v>5.81850</x:v>
      </x:c>
      <x:c r="C920" s="69" t="str">
        <x:v>-74.07841</x:v>
      </x:c>
      <x:c r="D920" s="78" t="n">
        <x:v>5.8185</x:v>
      </x:c>
      <x:c r="E920" s="78" t="n">
        <x:v>-74.07841</x:v>
      </x:c>
      <x:c r="F920" s="69" t="str">
        <x:v>Texto→número</x:v>
      </x:c>
      <x:c r="G920" s="69" t="str">
        <x:v>Texto→número</x:v>
      </x:c>
      <x:c r="H920" s="80" t="str">
        <x:v>OK</x:v>
      </x:c>
      <x:c r="I920" s="69" t="str"/>
      <x:c r="J920" s="69" t="str">
        <x:v>5.8185|-74.07841</x:v>
      </x:c>
      <x:c r="K920" s="82" t="n">
        <x:v>0</x:v>
      </x:c>
    </x:row>
    <x:row r="921">
      <x:c r="A921" s="76" t="n">
        <x:v>921</x:v>
      </x:c>
      <x:c r="B921" s="69" t="str">
        <x:v>1.08696</x:v>
      </x:c>
      <x:c r="C921" s="69" t="str">
        <x:v>-76.63255</x:v>
      </x:c>
      <x:c r="D921" s="78" t="n">
        <x:v>1.08696</x:v>
      </x:c>
      <x:c r="E921" s="78" t="n">
        <x:v>-76.63255</x:v>
      </x:c>
      <x:c r="F921" s="69" t="str">
        <x:v>Texto→número</x:v>
      </x:c>
      <x:c r="G921" s="69" t="str">
        <x:v>Texto→número</x:v>
      </x:c>
      <x:c r="H921" s="80" t="str">
        <x:v>OK</x:v>
      </x:c>
      <x:c r="I921" s="69" t="str"/>
      <x:c r="J921" s="69" t="str">
        <x:v>1.08696|-76.63255</x:v>
      </x:c>
      <x:c r="K921" s="82" t="n">
        <x:v>0</x:v>
      </x:c>
    </x:row>
    <x:row r="922">
      <x:c r="A922" s="76" t="n">
        <x:v>922</x:v>
      </x:c>
      <x:c r="B922" s="69" t="str">
        <x:v>5.92288</x:v>
      </x:c>
      <x:c r="C922" s="69" t="str">
        <x:v>-75.30358</x:v>
      </x:c>
      <x:c r="D922" s="78" t="n">
        <x:v>5.92288</x:v>
      </x:c>
      <x:c r="E922" s="78" t="n">
        <x:v>-75.30358</x:v>
      </x:c>
      <x:c r="F922" s="69" t="str">
        <x:v>Texto→número</x:v>
      </x:c>
      <x:c r="G922" s="69" t="str">
        <x:v>Texto→número</x:v>
      </x:c>
      <x:c r="H922" s="80" t="str">
        <x:v>OK</x:v>
      </x:c>
      <x:c r="I922" s="69" t="str"/>
      <x:c r="J922" s="69"/>
      <x:c r="K922" s="82" t="n">
        <x:v>1</x:v>
      </x:c>
    </x:row>
    <x:row r="923">
      <x:c r="A923" s="76" t="n">
        <x:v>923</x:v>
      </x:c>
      <x:c r="B923" s="69" t="str">
        <x:v>6.6259722</x:v>
      </x:c>
      <x:c r="C923" s="69" t="str">
        <x:v>-75.6666667</x:v>
      </x:c>
      <x:c r="D923" s="78" t="n">
        <x:v>6.6259722</x:v>
      </x:c>
      <x:c r="E923" s="78" t="n">
        <x:v>-75.6666667</x:v>
      </x:c>
      <x:c r="F923" s="69" t="str">
        <x:v>Texto→número</x:v>
      </x:c>
      <x:c r="G923" s="69" t="str">
        <x:v>Texto→número</x:v>
      </x:c>
      <x:c r="H923" s="80" t="str">
        <x:v>OK</x:v>
      </x:c>
      <x:c r="I923" s="69" t="str"/>
      <x:c r="J923" s="69" t="str">
        <x:v>6.6259722|-75.6666667</x:v>
      </x:c>
      <x:c r="K923" s="82" t="n">
        <x:v>0</x:v>
      </x:c>
    </x:row>
    <x:row r="924">
      <x:c r="A924" s="76" t="n">
        <x:v>924</x:v>
      </x:c>
      <x:c r="B924" s="69" t="str">
        <x:v>5.85</x:v>
      </x:c>
      <x:c r="C924" s="69" t="str">
        <x:v>-75.3666667</x:v>
      </x:c>
      <x:c r="D924" s="78" t="n">
        <x:v>5.85</x:v>
      </x:c>
      <x:c r="E924" s="78" t="n">
        <x:v>-75.3666667</x:v>
      </x:c>
      <x:c r="F924" s="69" t="str">
        <x:v>Texto→número</x:v>
      </x:c>
      <x:c r="G924" s="69" t="str">
        <x:v>Texto→número</x:v>
      </x:c>
      <x:c r="H924" s="80" t="str">
        <x:v>OK</x:v>
      </x:c>
      <x:c r="I924" s="69" t="str"/>
      <x:c r="J924" s="69"/>
      <x:c r="K924" s="82" t="n">
        <x:v>1</x:v>
      </x:c>
    </x:row>
    <x:row r="925">
      <x:c r="A925" s="76" t="n">
        <x:v>925</x:v>
      </x:c>
      <x:c r="B925" s="69" t="str">
        <x:v>6.6858611</x:v>
      </x:c>
      <x:c r="C925" s="69" t="str">
        <x:v>-75.6748889</x:v>
      </x:c>
      <x:c r="D925" s="78" t="n">
        <x:v>6.6858611</x:v>
      </x:c>
      <x:c r="E925" s="78" t="n">
        <x:v>-75.6748889</x:v>
      </x:c>
      <x:c r="F925" s="69" t="str">
        <x:v>Texto→número</x:v>
      </x:c>
      <x:c r="G925" s="69" t="str">
        <x:v>Texto→número</x:v>
      </x:c>
      <x:c r="H925" s="80" t="str">
        <x:v>OK</x:v>
      </x:c>
      <x:c r="I925" s="69" t="str"/>
      <x:c r="J925" s="69"/>
      <x:c r="K925" s="82" t="n">
        <x:v>1</x:v>
      </x:c>
    </x:row>
    <x:row r="926">
      <x:c r="A926" s="76" t="n">
        <x:v>926</x:v>
      </x:c>
      <x:c r="B926" s="69" t="str">
        <x:v>6.6858611</x:v>
      </x:c>
      <x:c r="C926" s="69" t="str">
        <x:v>-75.6748889</x:v>
      </x:c>
      <x:c r="D926" s="78" t="n">
        <x:v>6.6858611</x:v>
      </x:c>
      <x:c r="E926" s="78" t="n">
        <x:v>-75.6748889</x:v>
      </x:c>
      <x:c r="F926" s="69" t="str">
        <x:v>Texto→número</x:v>
      </x:c>
      <x:c r="G926" s="69" t="str">
        <x:v>Texto→número</x:v>
      </x:c>
      <x:c r="H926" s="80" t="str">
        <x:v>OK</x:v>
      </x:c>
      <x:c r="I926" s="69" t="str"/>
      <x:c r="J926" s="69"/>
      <x:c r="K926" s="82" t="n">
        <x:v>1</x:v>
      </x:c>
    </x:row>
    <x:row r="927">
      <x:c r="A927" s="76" t="n">
        <x:v>927</x:v>
      </x:c>
      <x:c r="B927" s="69" t="str">
        <x:v>6.6928333</x:v>
      </x:c>
      <x:c r="C927" s="69" t="str">
        <x:v>-75.6967222</x:v>
      </x:c>
      <x:c r="D927" s="78" t="n">
        <x:v>6.6928333</x:v>
      </x:c>
      <x:c r="E927" s="78" t="n">
        <x:v>-75.6967222</x:v>
      </x:c>
      <x:c r="F927" s="69" t="str">
        <x:v>Texto→número</x:v>
      </x:c>
      <x:c r="G927" s="69" t="str">
        <x:v>Texto→número</x:v>
      </x:c>
      <x:c r="H927" s="80" t="str">
        <x:v>OK</x:v>
      </x:c>
      <x:c r="I927" s="69" t="str"/>
      <x:c r="J927" s="69" t="str">
        <x:v>6.6928333|-75.6967222</x:v>
      </x:c>
      <x:c r="K927" s="82" t="n">
        <x:v>0</x:v>
      </x:c>
    </x:row>
    <x:row r="928">
      <x:c r="A928" s="76" t="n">
        <x:v>928</x:v>
      </x:c>
      <x:c r="B928" s="69" t="str">
        <x:v>6.77175</x:v>
      </x:c>
      <x:c r="C928" s="69" t="str">
        <x:v>-75.6946944</x:v>
      </x:c>
      <x:c r="D928" s="78" t="n">
        <x:v>6.77175</x:v>
      </x:c>
      <x:c r="E928" s="78" t="n">
        <x:v>-75.6946944</x:v>
      </x:c>
      <x:c r="F928" s="69" t="str">
        <x:v>Texto→número</x:v>
      </x:c>
      <x:c r="G928" s="69" t="str">
        <x:v>Texto→número</x:v>
      </x:c>
      <x:c r="H928" s="80" t="str">
        <x:v>OK</x:v>
      </x:c>
      <x:c r="I928" s="69" t="str"/>
      <x:c r="J928" s="69"/>
      <x:c r="K928" s="82" t="n">
        <x:v>1</x:v>
      </x:c>
    </x:row>
    <x:row r="929">
      <x:c r="A929" s="76" t="n">
        <x:v>929</x:v>
      </x:c>
      <x:c r="B929" s="69" t="str">
        <x:v>6.77175</x:v>
      </x:c>
      <x:c r="C929" s="69" t="str">
        <x:v>-75.6946944</x:v>
      </x:c>
      <x:c r="D929" s="78" t="n">
        <x:v>6.77175</x:v>
      </x:c>
      <x:c r="E929" s="78" t="n">
        <x:v>-75.6946944</x:v>
      </x:c>
      <x:c r="F929" s="69" t="str">
        <x:v>Texto→número</x:v>
      </x:c>
      <x:c r="G929" s="69" t="str">
        <x:v>Texto→número</x:v>
      </x:c>
      <x:c r="H929" s="80" t="str">
        <x:v>OK</x:v>
      </x:c>
      <x:c r="I929" s="69" t="str"/>
      <x:c r="J929" s="69"/>
      <x:c r="K929" s="82" t="n">
        <x:v>1</x:v>
      </x:c>
    </x:row>
    <x:row r="930">
      <x:c r="A930" s="76" t="n">
        <x:v>930</x:v>
      </x:c>
      <x:c r="B930" s="69" t="str">
        <x:v>6.6259722</x:v>
      </x:c>
      <x:c r="C930" s="69" t="str">
        <x:v>-75.6567222</x:v>
      </x:c>
      <x:c r="D930" s="78" t="n">
        <x:v>6.6259722</x:v>
      </x:c>
      <x:c r="E930" s="78" t="n">
        <x:v>-75.6567222</x:v>
      </x:c>
      <x:c r="F930" s="69" t="str">
        <x:v>Texto→número</x:v>
      </x:c>
      <x:c r="G930" s="69" t="str">
        <x:v>Texto→número</x:v>
      </x:c>
      <x:c r="H930" s="80" t="str">
        <x:v>OK</x:v>
      </x:c>
      <x:c r="I930" s="69" t="str"/>
      <x:c r="J930" s="69" t="str">
        <x:v>6.6259722|-75.6567222</x:v>
      </x:c>
      <x:c r="K930" s="82" t="n">
        <x:v>0</x:v>
      </x:c>
    </x:row>
    <x:row r="931">
      <x:c r="A931" s="76" t="n">
        <x:v>931</x:v>
      </x:c>
      <x:c r="B931" s="69" t="str">
        <x:v>6.6259722</x:v>
      </x:c>
      <x:c r="C931" s="69" t="str">
        <x:v>-75.6567222</x:v>
      </x:c>
      <x:c r="D931" s="78" t="n">
        <x:v>6.6259722</x:v>
      </x:c>
      <x:c r="E931" s="78" t="n">
        <x:v>-75.6567222</x:v>
      </x:c>
      <x:c r="F931" s="69" t="str">
        <x:v>Texto→número</x:v>
      </x:c>
      <x:c r="G931" s="69" t="str">
        <x:v>Texto→número</x:v>
      </x:c>
      <x:c r="H931" s="80" t="str">
        <x:v>OK</x:v>
      </x:c>
      <x:c r="I931" s="69" t="str"/>
      <x:c r="J931" s="69"/>
      <x:c r="K931" s="82" t="n">
        <x:v>1</x:v>
      </x:c>
    </x:row>
    <x:row r="932">
      <x:c r="A932" s="76" t="n">
        <x:v>932</x:v>
      </x:c>
      <x:c r="B932" s="69" t="str">
        <x:v>6.6259722</x:v>
      </x:c>
      <x:c r="C932" s="69" t="str">
        <x:v>-75.6567222</x:v>
      </x:c>
      <x:c r="D932" s="78" t="n">
        <x:v>6.6259722</x:v>
      </x:c>
      <x:c r="E932" s="78" t="n">
        <x:v>-75.6567222</x:v>
      </x:c>
      <x:c r="F932" s="69" t="str">
        <x:v>Texto→número</x:v>
      </x:c>
      <x:c r="G932" s="69" t="str">
        <x:v>Texto→número</x:v>
      </x:c>
      <x:c r="H932" s="80" t="str">
        <x:v>OK</x:v>
      </x:c>
      <x:c r="I932" s="69" t="str"/>
      <x:c r="J932" s="69"/>
      <x:c r="K932" s="82" t="n">
        <x:v>1</x:v>
      </x:c>
    </x:row>
    <x:row r="933">
      <x:c r="A933" s="76" t="n">
        <x:v>933</x:v>
      </x:c>
      <x:c r="B933" s="69" t="str">
        <x:v>6.8886111</x:v>
      </x:c>
      <x:c r="C933" s="69" t="str">
        <x:v>-75.3555556</x:v>
      </x:c>
      <x:c r="D933" s="78" t="n">
        <x:v>6.8886111</x:v>
      </x:c>
      <x:c r="E933" s="78" t="n">
        <x:v>-75.3555556</x:v>
      </x:c>
      <x:c r="F933" s="69" t="str">
        <x:v>Texto→número</x:v>
      </x:c>
      <x:c r="G933" s="69" t="str">
        <x:v>Texto→número</x:v>
      </x:c>
      <x:c r="H933" s="80" t="str">
        <x:v>OK</x:v>
      </x:c>
      <x:c r="I933" s="69" t="str"/>
      <x:c r="J933" s="69" t="str">
        <x:v>6.8886111|-75.3555556</x:v>
      </x:c>
      <x:c r="K933" s="82" t="n">
        <x:v>0</x:v>
      </x:c>
    </x:row>
    <x:row r="934">
      <x:c r="A934" s="76" t="n">
        <x:v>934</x:v>
      </x:c>
      <x:c r="B934" s="69" t="str">
        <x:v>6.2536111</x:v>
      </x:c>
      <x:c r="C934" s="69" t="str">
        <x:v>-75.6694444</x:v>
      </x:c>
      <x:c r="D934" s="78" t="n">
        <x:v>6.2536111</x:v>
      </x:c>
      <x:c r="E934" s="78" t="n">
        <x:v>-75.6694444</x:v>
      </x:c>
      <x:c r="F934" s="69" t="str">
        <x:v>Texto→número</x:v>
      </x:c>
      <x:c r="G934" s="69" t="str">
        <x:v>Texto→número</x:v>
      </x:c>
      <x:c r="H934" s="80" t="str">
        <x:v>OK</x:v>
      </x:c>
      <x:c r="I934" s="69" t="str"/>
      <x:c r="J934" s="69" t="str">
        <x:v>6.2536111|-75.6694444</x:v>
      </x:c>
      <x:c r="K934" s="82" t="n">
        <x:v>0</x:v>
      </x:c>
    </x:row>
    <x:row r="935">
      <x:c r="A935" s="76" t="n">
        <x:v>935</x:v>
      </x:c>
      <x:c r="B935" s="69" t="str">
        <x:v>6.621966667</x:v>
      </x:c>
      <x:c r="C935" s="69" t="str">
        <x:v>-75.64495</x:v>
      </x:c>
      <x:c r="D935" s="78" t="n">
        <x:v>6.621966667</x:v>
      </x:c>
      <x:c r="E935" s="78" t="n">
        <x:v>-75.64495</x:v>
      </x:c>
      <x:c r="F935" s="69" t="str">
        <x:v>Texto→número</x:v>
      </x:c>
      <x:c r="G935" s="69" t="str">
        <x:v>Texto→número</x:v>
      </x:c>
      <x:c r="H935" s="80" t="str">
        <x:v>OK</x:v>
      </x:c>
      <x:c r="I935" s="69" t="str"/>
      <x:c r="J935" s="69"/>
      <x:c r="K935" s="82" t="n">
        <x:v>1</x:v>
      </x:c>
    </x:row>
    <x:row r="936">
      <x:c r="A936" s="76" t="n">
        <x:v>936</x:v>
      </x:c>
      <x:c r="B936" s="69" t="str">
        <x:v>4.85489</x:v>
      </x:c>
      <x:c r="C936" s="69" t="str">
        <x:v>-73.30046</x:v>
      </x:c>
      <x:c r="D936" s="78" t="n">
        <x:v>4.85489</x:v>
      </x:c>
      <x:c r="E936" s="78" t="n">
        <x:v>-73.30046</x:v>
      </x:c>
      <x:c r="F936" s="69" t="str">
        <x:v>Texto→número</x:v>
      </x:c>
      <x:c r="G936" s="69" t="str">
        <x:v>Texto→número</x:v>
      </x:c>
      <x:c r="H936" s="80" t="str">
        <x:v>OK</x:v>
      </x:c>
      <x:c r="I936" s="69" t="str"/>
      <x:c r="J936" s="69" t="str">
        <x:v>4.85489|-73.30046</x:v>
      </x:c>
      <x:c r="K936" s="82" t="n">
        <x:v>0</x:v>
      </x:c>
    </x:row>
    <x:row r="937">
      <x:c r="A937" s="76" t="n">
        <x:v>937</x:v>
      </x:c>
      <x:c r="B937" s="69" t="str">
        <x:v>5.0671333</x:v>
      </x:c>
      <x:c r="C937" s="69" t="str">
        <x:v>-75.5182889</x:v>
      </x:c>
      <x:c r="D937" s="78" t="n">
        <x:v>5.0671333</x:v>
      </x:c>
      <x:c r="E937" s="78" t="n">
        <x:v>-75.5182889</x:v>
      </x:c>
      <x:c r="F937" s="69" t="str">
        <x:v>Texto→número</x:v>
      </x:c>
      <x:c r="G937" s="69" t="str">
        <x:v>Texto→número</x:v>
      </x:c>
      <x:c r="H937" s="80" t="str">
        <x:v>OK</x:v>
      </x:c>
      <x:c r="I937" s="69" t="str"/>
      <x:c r="J937" s="69"/>
      <x:c r="K937" s="82" t="n">
        <x:v>1</x:v>
      </x:c>
    </x:row>
    <x:row r="938">
      <x:c r="A938" s="76" t="n">
        <x:v>938</x:v>
      </x:c>
      <x:c r="B938" s="69" t="str">
        <x:v>5.38329</x:v>
      </x:c>
      <x:c r="C938" s="69" t="str">
        <x:v>-75.35331</x:v>
      </x:c>
      <x:c r="D938" s="78" t="n">
        <x:v>5.38329</x:v>
      </x:c>
      <x:c r="E938" s="78" t="n">
        <x:v>-75.35331</x:v>
      </x:c>
      <x:c r="F938" s="69" t="str">
        <x:v>Texto→número</x:v>
      </x:c>
      <x:c r="G938" s="69" t="str">
        <x:v>Texto→número</x:v>
      </x:c>
      <x:c r="H938" s="80" t="str">
        <x:v>OK</x:v>
      </x:c>
      <x:c r="I938" s="69" t="str"/>
      <x:c r="J938" s="69"/>
      <x:c r="K938" s="82" t="n">
        <x:v>1</x:v>
      </x:c>
    </x:row>
    <x:row r="939">
      <x:c r="A939" s="76" t="n">
        <x:v>939</x:v>
      </x:c>
      <x:c r="B939" s="69" t="str">
        <x:v>5.38329</x:v>
      </x:c>
      <x:c r="C939" s="69" t="str">
        <x:v>-75.35331</x:v>
      </x:c>
      <x:c r="D939" s="78" t="n">
        <x:v>5.38329</x:v>
      </x:c>
      <x:c r="E939" s="78" t="n">
        <x:v>-75.35331</x:v>
      </x:c>
      <x:c r="F939" s="69" t="str">
        <x:v>Texto→número</x:v>
      </x:c>
      <x:c r="G939" s="69" t="str">
        <x:v>Texto→número</x:v>
      </x:c>
      <x:c r="H939" s="80" t="str">
        <x:v>OK</x:v>
      </x:c>
      <x:c r="I939" s="69" t="str"/>
      <x:c r="J939" s="69"/>
      <x:c r="K939" s="82" t="n">
        <x:v>1</x:v>
      </x:c>
    </x:row>
    <x:row r="940">
      <x:c r="A940" s="76" t="n">
        <x:v>940</x:v>
      </x:c>
      <x:c r="B940" s="69" t="str">
        <x:v>5.38329</x:v>
      </x:c>
      <x:c r="C940" s="69" t="str">
        <x:v>-75.35331</x:v>
      </x:c>
      <x:c r="D940" s="78" t="n">
        <x:v>5.38329</x:v>
      </x:c>
      <x:c r="E940" s="78" t="n">
        <x:v>-75.35331</x:v>
      </x:c>
      <x:c r="F940" s="69" t="str">
        <x:v>Texto→número</x:v>
      </x:c>
      <x:c r="G940" s="69" t="str">
        <x:v>Texto→número</x:v>
      </x:c>
      <x:c r="H940" s="80" t="str">
        <x:v>OK</x:v>
      </x:c>
      <x:c r="I940" s="69" t="str"/>
      <x:c r="J940" s="69"/>
      <x:c r="K940" s="82" t="n">
        <x:v>1</x:v>
      </x:c>
    </x:row>
    <x:row r="941">
      <x:c r="A941" s="76" t="n">
        <x:v>941</x:v>
      </x:c>
      <x:c r="B941" s="69" t="str">
        <x:v>5.38329</x:v>
      </x:c>
      <x:c r="C941" s="69" t="str">
        <x:v>-75.35331</x:v>
      </x:c>
      <x:c r="D941" s="78" t="n">
        <x:v>5.38329</x:v>
      </x:c>
      <x:c r="E941" s="78" t="n">
        <x:v>-75.35331</x:v>
      </x:c>
      <x:c r="F941" s="69" t="str">
        <x:v>Texto→número</x:v>
      </x:c>
      <x:c r="G941" s="69" t="str">
        <x:v>Texto→número</x:v>
      </x:c>
      <x:c r="H941" s="80" t="str">
        <x:v>OK</x:v>
      </x:c>
      <x:c r="I941" s="69" t="str"/>
      <x:c r="J941" s="69"/>
      <x:c r="K941" s="82" t="n">
        <x:v>1</x:v>
      </x:c>
    </x:row>
    <x:row r="942">
      <x:c r="A942" s="76" t="n">
        <x:v>942</x:v>
      </x:c>
      <x:c r="B942" s="69" t="str">
        <x:v>5.38329</x:v>
      </x:c>
      <x:c r="C942" s="69" t="str">
        <x:v>-75.35331</x:v>
      </x:c>
      <x:c r="D942" s="78" t="n">
        <x:v>5.38329</x:v>
      </x:c>
      <x:c r="E942" s="78" t="n">
        <x:v>-75.35331</x:v>
      </x:c>
      <x:c r="F942" s="69" t="str">
        <x:v>Texto→número</x:v>
      </x:c>
      <x:c r="G942" s="69" t="str">
        <x:v>Texto→número</x:v>
      </x:c>
      <x:c r="H942" s="80" t="str">
        <x:v>OK</x:v>
      </x:c>
      <x:c r="I942" s="69" t="str"/>
      <x:c r="J942" s="69"/>
      <x:c r="K942" s="82" t="n">
        <x:v>1</x:v>
      </x:c>
    </x:row>
    <x:row r="943">
      <x:c r="A943" s="76" t="n">
        <x:v>943</x:v>
      </x:c>
      <x:c r="B943" s="69" t="str">
        <x:v>5.37045</x:v>
      </x:c>
      <x:c r="C943" s="69" t="str">
        <x:v>-75.38595</x:v>
      </x:c>
      <x:c r="D943" s="78" t="n">
        <x:v>5.37045</x:v>
      </x:c>
      <x:c r="E943" s="78" t="n">
        <x:v>-75.38595</x:v>
      </x:c>
      <x:c r="F943" s="69" t="str">
        <x:v>Texto→número</x:v>
      </x:c>
      <x:c r="G943" s="69" t="str">
        <x:v>Texto→número</x:v>
      </x:c>
      <x:c r="H943" s="80" t="str">
        <x:v>OK</x:v>
      </x:c>
      <x:c r="I943" s="69" t="str"/>
      <x:c r="J943" s="69"/>
      <x:c r="K943" s="82" t="n">
        <x:v>1</x:v>
      </x:c>
    </x:row>
    <x:row r="944">
      <x:c r="A944" s="76" t="n">
        <x:v>944</x:v>
      </x:c>
      <x:c r="B944" s="69" t="str">
        <x:v>2.2902722</x:v>
      </x:c>
      <x:c r="C944" s="69" t="str">
        <x:v>-76.3813278</x:v>
      </x:c>
      <x:c r="D944" s="78" t="n">
        <x:v>2.2902722</x:v>
      </x:c>
      <x:c r="E944" s="78" t="n">
        <x:v>-76.3813278</x:v>
      </x:c>
      <x:c r="F944" s="69" t="str">
        <x:v>Texto→número</x:v>
      </x:c>
      <x:c r="G944" s="69" t="str">
        <x:v>Texto→número</x:v>
      </x:c>
      <x:c r="H944" s="80" t="str">
        <x:v>OK</x:v>
      </x:c>
      <x:c r="I944" s="69" t="str"/>
      <x:c r="J944" s="69" t="str">
        <x:v>2.2902722|-76.3813278</x:v>
      </x:c>
      <x:c r="K944" s="82" t="n">
        <x:v>0</x:v>
      </x:c>
    </x:row>
    <x:row r="945">
      <x:c r="A945" s="76" t="n">
        <x:v>945</x:v>
      </x:c>
      <x:c r="B945" s="69" t="str">
        <x:v>2.7827111</x:v>
      </x:c>
      <x:c r="C945" s="69" t="str">
        <x:v>-76.2504556</x:v>
      </x:c>
      <x:c r="D945" s="78" t="n">
        <x:v>2.7827111</x:v>
      </x:c>
      <x:c r="E945" s="78" t="n">
        <x:v>-76.2504556</x:v>
      </x:c>
      <x:c r="F945" s="69" t="str">
        <x:v>Texto→número</x:v>
      </x:c>
      <x:c r="G945" s="69" t="str">
        <x:v>Texto→número</x:v>
      </x:c>
      <x:c r="H945" s="80" t="str">
        <x:v>OK</x:v>
      </x:c>
      <x:c r="I945" s="69" t="str"/>
      <x:c r="J945" s="69" t="str">
        <x:v>2.7827111|-76.2504556</x:v>
      </x:c>
      <x:c r="K945" s="82" t="n">
        <x:v>0</x:v>
      </x:c>
    </x:row>
    <x:row r="946">
      <x:c r="A946" s="76" t="n">
        <x:v>946</x:v>
      </x:c>
      <x:c r="B946" s="69" t="str">
        <x:v>2.5931444</x:v>
      </x:c>
      <x:c r="C946" s="69" t="str">
        <x:v>-76.3293222</x:v>
      </x:c>
      <x:c r="D946" s="78" t="n">
        <x:v>2.5931444</x:v>
      </x:c>
      <x:c r="E946" s="78" t="n">
        <x:v>-76.3293222</x:v>
      </x:c>
      <x:c r="F946" s="69" t="str">
        <x:v>Texto→número</x:v>
      </x:c>
      <x:c r="G946" s="69" t="str">
        <x:v>Texto→número</x:v>
      </x:c>
      <x:c r="H946" s="80" t="str">
        <x:v>OK</x:v>
      </x:c>
      <x:c r="I946" s="69" t="str"/>
      <x:c r="J946" s="69" t="str">
        <x:v>2.5931444|-76.3293222</x:v>
      </x:c>
      <x:c r="K946" s="82" t="n">
        <x:v>0</x:v>
      </x:c>
    </x:row>
    <x:row r="947">
      <x:c r="A947" s="76" t="n">
        <x:v>947</x:v>
      </x:c>
      <x:c r="B947" s="69" t="str">
        <x:v>1.8183333</x:v>
      </x:c>
      <x:c r="C947" s="69" t="str">
        <x:v>-76.8894444</x:v>
      </x:c>
      <x:c r="D947" s="78" t="n">
        <x:v>1.8183333</x:v>
      </x:c>
      <x:c r="E947" s="78" t="n">
        <x:v>-76.8894444</x:v>
      </x:c>
      <x:c r="F947" s="69" t="str">
        <x:v>Texto→número</x:v>
      </x:c>
      <x:c r="G947" s="69" t="str">
        <x:v>Texto→número</x:v>
      </x:c>
      <x:c r="H947" s="80" t="str">
        <x:v>OK</x:v>
      </x:c>
      <x:c r="I947" s="69" t="str"/>
      <x:c r="J947" s="69" t="str">
        <x:v>1.8183333|-76.8894444</x:v>
      </x:c>
      <x:c r="K947" s="82" t="n">
        <x:v>0</x:v>
      </x:c>
    </x:row>
    <x:row r="948">
      <x:c r="A948" s="76" t="n">
        <x:v>948</x:v>
      </x:c>
      <x:c r="B948" s="69" t="str">
        <x:v>2.380766666666667</x:v>
      </x:c>
      <x:c r="C948" s="69" t="str">
        <x:v>-76.44408333333334</x:v>
      </x:c>
      <x:c r="D948" s="78" t="n">
        <x:v>2.380766666666667</x:v>
      </x:c>
      <x:c r="E948" s="78" t="n">
        <x:v>-76.44408333333334</x:v>
      </x:c>
      <x:c r="F948" s="69" t="str">
        <x:v>Ya numérico</x:v>
      </x:c>
      <x:c r="G948" s="69" t="str">
        <x:v>Ya numérico</x:v>
      </x:c>
      <x:c r="H948" s="80" t="str">
        <x:v>OK</x:v>
      </x:c>
      <x:c r="I948" s="69" t="str"/>
      <x:c r="J948" s="69" t="str">
        <x:v>2.380766666666667|-76.44408333333334</x:v>
      </x:c>
      <x:c r="K948" s="82" t="n">
        <x:v>0</x:v>
      </x:c>
    </x:row>
    <x:row r="949">
      <x:c r="A949" s="76" t="n">
        <x:v>949</x:v>
      </x:c>
      <x:c r="B949" s="69" t="str">
        <x:v>2.2902722</x:v>
      </x:c>
      <x:c r="C949" s="69" t="str">
        <x:v>-76.3813278</x:v>
      </x:c>
      <x:c r="D949" s="78" t="n">
        <x:v>2.2902722</x:v>
      </x:c>
      <x:c r="E949" s="78" t="n">
        <x:v>-76.3813278</x:v>
      </x:c>
      <x:c r="F949" s="69" t="str">
        <x:v>Texto→número</x:v>
      </x:c>
      <x:c r="G949" s="69" t="str">
        <x:v>Texto→número</x:v>
      </x:c>
      <x:c r="H949" s="80" t="str">
        <x:v>OK</x:v>
      </x:c>
      <x:c r="I949" s="69" t="str"/>
      <x:c r="J949" s="69"/>
      <x:c r="K949" s="82" t="n">
        <x:v>1</x:v>
      </x:c>
    </x:row>
    <x:row r="950">
      <x:c r="A950" s="76" t="n">
        <x:v>950</x:v>
      </x:c>
      <x:c r="B950" s="69" t="str">
        <x:v>4.56936</x:v>
      </x:c>
      <x:c r="C950" s="69" t="str">
        <x:v>-73.82628</x:v>
      </x:c>
      <x:c r="D950" s="78" t="n">
        <x:v>4.56936</x:v>
      </x:c>
      <x:c r="E950" s="78" t="n">
        <x:v>-73.82628</x:v>
      </x:c>
      <x:c r="F950" s="69" t="str">
        <x:v>Texto→número</x:v>
      </x:c>
      <x:c r="G950" s="69" t="str">
        <x:v>Texto→número</x:v>
      </x:c>
      <x:c r="H950" s="80" t="str">
        <x:v>OK</x:v>
      </x:c>
      <x:c r="I950" s="69" t="str"/>
      <x:c r="J950" s="69" t="str">
        <x:v>4.56936|-73.82628</x:v>
      </x:c>
      <x:c r="K950" s="82" t="n">
        <x:v>0</x:v>
      </x:c>
    </x:row>
    <x:row r="951">
      <x:c r="A951" s="76" t="n">
        <x:v>951</x:v>
      </x:c>
      <x:c r="B951" s="69" t="str">
        <x:v>2.395325</x:v>
      </x:c>
      <x:c r="C951" s="69" t="str">
        <x:v>-75.8912028</x:v>
      </x:c>
      <x:c r="D951" s="78" t="n">
        <x:v>2.395325</x:v>
      </x:c>
      <x:c r="E951" s="78" t="n">
        <x:v>-75.8912028</x:v>
      </x:c>
      <x:c r="F951" s="69" t="str">
        <x:v>Texto→número</x:v>
      </x:c>
      <x:c r="G951" s="69" t="str">
        <x:v>Texto→número</x:v>
      </x:c>
      <x:c r="H951" s="80" t="str">
        <x:v>OK</x:v>
      </x:c>
      <x:c r="I951" s="69" t="str"/>
      <x:c r="J951" s="69" t="str">
        <x:v>2.395325|-75.8912028</x:v>
      </x:c>
      <x:c r="K951" s="82" t="n">
        <x:v>0</x:v>
      </x:c>
    </x:row>
    <x:row r="952">
      <x:c r="A952" s="76" t="n">
        <x:v>952</x:v>
      </x:c>
      <x:c r="B952" s="69" t="str">
        <x:v>1.8527417</x:v>
      </x:c>
      <x:c r="C952" s="69" t="str">
        <x:v>-76.0355833</x:v>
      </x:c>
      <x:c r="D952" s="78" t="n">
        <x:v>1.8527417</x:v>
      </x:c>
      <x:c r="E952" s="78" t="n">
        <x:v>-76.0355833</x:v>
      </x:c>
      <x:c r="F952" s="69" t="str">
        <x:v>Texto→número</x:v>
      </x:c>
      <x:c r="G952" s="69" t="str">
        <x:v>Texto→número</x:v>
      </x:c>
      <x:c r="H952" s="80" t="str">
        <x:v>OK</x:v>
      </x:c>
      <x:c r="I952" s="69" t="str"/>
      <x:c r="J952" s="69" t="str">
        <x:v>1.8527417|-76.0355833</x:v>
      </x:c>
      <x:c r="K952" s="82" t="n">
        <x:v>0</x:v>
      </x:c>
    </x:row>
    <x:row r="953">
      <x:c r="A953" s="76" t="n">
        <x:v>953</x:v>
      </x:c>
      <x:c r="B953" s="69" t="str">
        <x:v>1.8527417</x:v>
      </x:c>
      <x:c r="C953" s="69" t="str">
        <x:v>-76.0355833</x:v>
      </x:c>
      <x:c r="D953" s="78" t="n">
        <x:v>1.8527417</x:v>
      </x:c>
      <x:c r="E953" s="78" t="n">
        <x:v>-76.0355833</x:v>
      </x:c>
      <x:c r="F953" s="69" t="str">
        <x:v>Texto→número</x:v>
      </x:c>
      <x:c r="G953" s="69" t="str">
        <x:v>Texto→número</x:v>
      </x:c>
      <x:c r="H953" s="80" t="str">
        <x:v>OK</x:v>
      </x:c>
      <x:c r="I953" s="69" t="str"/>
      <x:c r="J953" s="69"/>
      <x:c r="K953" s="82" t="n">
        <x:v>1</x:v>
      </x:c>
    </x:row>
    <x:row r="954">
      <x:c r="A954" s="76" t="n">
        <x:v>954</x:v>
      </x:c>
      <x:c r="B954" s="69" t="str">
        <x:v>2.21863</x:v>
      </x:c>
      <x:c r="C954" s="69" t="str">
        <x:v>-75.93424</x:v>
      </x:c>
      <x:c r="D954" s="78" t="n">
        <x:v>2.21863</x:v>
      </x:c>
      <x:c r="E954" s="78" t="n">
        <x:v>-75.93424</x:v>
      </x:c>
      <x:c r="F954" s="69" t="str">
        <x:v>Texto→número</x:v>
      </x:c>
      <x:c r="G954" s="69" t="str">
        <x:v>Texto→número</x:v>
      </x:c>
      <x:c r="H954" s="80" t="str">
        <x:v>OK</x:v>
      </x:c>
      <x:c r="I954" s="69" t="str"/>
      <x:c r="J954" s="69"/>
      <x:c r="K954" s="82" t="n">
        <x:v>1</x:v>
      </x:c>
    </x:row>
    <x:row r="955">
      <x:c r="A955" s="76" t="n">
        <x:v>955</x:v>
      </x:c>
      <x:c r="B955" s="69" t="str">
        <x:v>2.1968194</x:v>
      </x:c>
      <x:c r="C955" s="69" t="str">
        <x:v>-75.9769194</x:v>
      </x:c>
      <x:c r="D955" s="78" t="n">
        <x:v>2.1968194</x:v>
      </x:c>
      <x:c r="E955" s="78" t="n">
        <x:v>-75.9769194</x:v>
      </x:c>
      <x:c r="F955" s="69" t="str">
        <x:v>Texto→número</x:v>
      </x:c>
      <x:c r="G955" s="69" t="str">
        <x:v>Texto→número</x:v>
      </x:c>
      <x:c r="H955" s="80" t="str">
        <x:v>OK</x:v>
      </x:c>
      <x:c r="I955" s="69" t="str"/>
      <x:c r="J955" s="69" t="str">
        <x:v>2.1968194|-75.9769194</x:v>
      </x:c>
      <x:c r="K955" s="82" t="n">
        <x:v>0</x:v>
      </x:c>
    </x:row>
    <x:row r="956">
      <x:c r="A956" s="76" t="n">
        <x:v>956</x:v>
      </x:c>
      <x:c r="B956" s="69" t="str">
        <x:v>2.9216333</x:v>
      </x:c>
      <x:c r="C956" s="69" t="str">
        <x:v>-75.2765278</x:v>
      </x:c>
      <x:c r="D956" s="78" t="n">
        <x:v>2.9216333</x:v>
      </x:c>
      <x:c r="E956" s="78" t="n">
        <x:v>-75.2765278</x:v>
      </x:c>
      <x:c r="F956" s="69" t="str">
        <x:v>Texto→número</x:v>
      </x:c>
      <x:c r="G956" s="69" t="str">
        <x:v>Texto→número</x:v>
      </x:c>
      <x:c r="H956" s="80" t="str">
        <x:v>OK</x:v>
      </x:c>
      <x:c r="I956" s="69" t="str"/>
      <x:c r="J956" s="69" t="str">
        <x:v>2.9216333|-75.2765278</x:v>
      </x:c>
      <x:c r="K956" s="82" t="n">
        <x:v>0</x:v>
      </x:c>
    </x:row>
    <x:row r="957">
      <x:c r="A957" s="76" t="n">
        <x:v>957</x:v>
      </x:c>
      <x:c r="B957" s="69" t="str">
        <x:v>1.7689806</x:v>
      </x:c>
      <x:c r="C957" s="69" t="str">
        <x:v>-76.0187333</x:v>
      </x:c>
      <x:c r="D957" s="78" t="n">
        <x:v>1.7689806</x:v>
      </x:c>
      <x:c r="E957" s="78" t="n">
        <x:v>-76.0187333</x:v>
      </x:c>
      <x:c r="F957" s="69" t="str">
        <x:v>Texto→número</x:v>
      </x:c>
      <x:c r="G957" s="69" t="str">
        <x:v>Texto→número</x:v>
      </x:c>
      <x:c r="H957" s="80" t="str">
        <x:v>OK</x:v>
      </x:c>
      <x:c r="I957" s="69" t="str"/>
      <x:c r="J957" s="69"/>
      <x:c r="K957" s="82" t="n">
        <x:v>1</x:v>
      </x:c>
    </x:row>
    <x:row r="958">
      <x:c r="A958" s="76" t="n">
        <x:v>958</x:v>
      </x:c>
      <x:c r="B958" s="69" t="str">
        <x:v>1.7689806</x:v>
      </x:c>
      <x:c r="C958" s="69" t="str">
        <x:v>-76.0187333</x:v>
      </x:c>
      <x:c r="D958" s="78" t="n">
        <x:v>1.7689806</x:v>
      </x:c>
      <x:c r="E958" s="78" t="n">
        <x:v>-76.0187333</x:v>
      </x:c>
      <x:c r="F958" s="69" t="str">
        <x:v>Texto→número</x:v>
      </x:c>
      <x:c r="G958" s="69" t="str">
        <x:v>Texto→número</x:v>
      </x:c>
      <x:c r="H958" s="80" t="str">
        <x:v>OK</x:v>
      </x:c>
      <x:c r="I958" s="69" t="str"/>
      <x:c r="J958" s="69"/>
      <x:c r="K958" s="82" t="n">
        <x:v>1</x:v>
      </x:c>
    </x:row>
    <x:row r="959">
      <x:c r="A959" s="76" t="n">
        <x:v>959</x:v>
      </x:c>
      <x:c r="B959" s="69" t="str">
        <x:v>1.7689806</x:v>
      </x:c>
      <x:c r="C959" s="69" t="str">
        <x:v>-76.0187333</x:v>
      </x:c>
      <x:c r="D959" s="78" t="n">
        <x:v>1.7689806</x:v>
      </x:c>
      <x:c r="E959" s="78" t="n">
        <x:v>-76.0187333</x:v>
      </x:c>
      <x:c r="F959" s="69" t="str">
        <x:v>Texto→número</x:v>
      </x:c>
      <x:c r="G959" s="69" t="str">
        <x:v>Texto→número</x:v>
      </x:c>
      <x:c r="H959" s="80" t="str">
        <x:v>OK</x:v>
      </x:c>
      <x:c r="I959" s="69" t="str"/>
      <x:c r="J959" s="69"/>
      <x:c r="K959" s="82" t="n">
        <x:v>1</x:v>
      </x:c>
    </x:row>
    <x:row r="960">
      <x:c r="A960" s="76" t="n">
        <x:v>960</x:v>
      </x:c>
      <x:c r="B960" s="69" t="str">
        <x:v>1.2136917</x:v>
      </x:c>
      <x:c r="C960" s="69" t="str">
        <x:v>-77.2726361</x:v>
      </x:c>
      <x:c r="D960" s="78" t="n">
        <x:v>1.2136917</x:v>
      </x:c>
      <x:c r="E960" s="78" t="n">
        <x:v>-77.2726361</x:v>
      </x:c>
      <x:c r="F960" s="69" t="str">
        <x:v>Texto→número</x:v>
      </x:c>
      <x:c r="G960" s="69" t="str">
        <x:v>Texto→número</x:v>
      </x:c>
      <x:c r="H960" s="80" t="str">
        <x:v>OK</x:v>
      </x:c>
      <x:c r="I960" s="69" t="str"/>
      <x:c r="J960" s="69"/>
      <x:c r="K960" s="82" t="n">
        <x:v>1</x:v>
      </x:c>
    </x:row>
    <x:row r="961">
      <x:c r="A961" s="76" t="n">
        <x:v>961</x:v>
      </x:c>
      <x:c r="B961" s="69" t="str">
        <x:v>1.12957</x:v>
      </x:c>
      <x:c r="C961" s="69" t="str">
        <x:v>-77.14944</x:v>
      </x:c>
      <x:c r="D961" s="78" t="n">
        <x:v>1.12957</x:v>
      </x:c>
      <x:c r="E961" s="78" t="n">
        <x:v>-77.14944</x:v>
      </x:c>
      <x:c r="F961" s="69" t="str">
        <x:v>Texto→número</x:v>
      </x:c>
      <x:c r="G961" s="69" t="str">
        <x:v>Texto→número</x:v>
      </x:c>
      <x:c r="H961" s="80" t="str">
        <x:v>OK</x:v>
      </x:c>
      <x:c r="I961" s="69" t="str"/>
      <x:c r="J961" s="69"/>
      <x:c r="K961" s="82" t="n">
        <x:v>1</x:v>
      </x:c>
    </x:row>
    <x:row r="962">
      <x:c r="A962" s="76" t="n">
        <x:v>962</x:v>
      </x:c>
      <x:c r="B962" s="69" t="str">
        <x:v>1.12957</x:v>
      </x:c>
      <x:c r="C962" s="69" t="str">
        <x:v>-77.14944</x:v>
      </x:c>
      <x:c r="D962" s="78" t="n">
        <x:v>1.12957</x:v>
      </x:c>
      <x:c r="E962" s="78" t="n">
        <x:v>-77.14944</x:v>
      </x:c>
      <x:c r="F962" s="69" t="str">
        <x:v>Texto→número</x:v>
      </x:c>
      <x:c r="G962" s="69" t="str">
        <x:v>Texto→número</x:v>
      </x:c>
      <x:c r="H962" s="80" t="str">
        <x:v>OK</x:v>
      </x:c>
      <x:c r="I962" s="69" t="str"/>
      <x:c r="J962" s="69"/>
      <x:c r="K962" s="82" t="n">
        <x:v>1</x:v>
      </x:c>
    </x:row>
    <x:row r="963">
      <x:c r="A963" s="76" t="n">
        <x:v>963</x:v>
      </x:c>
      <x:c r="B963" s="69" t="str">
        <x:v>1.2136917</x:v>
      </x:c>
      <x:c r="C963" s="69" t="str">
        <x:v>-77.2726361</x:v>
      </x:c>
      <x:c r="D963" s="78" t="n">
        <x:v>1.2136917</x:v>
      </x:c>
      <x:c r="E963" s="78" t="n">
        <x:v>-77.2726361</x:v>
      </x:c>
      <x:c r="F963" s="69" t="str">
        <x:v>Texto→número</x:v>
      </x:c>
      <x:c r="G963" s="69" t="str">
        <x:v>Texto→número</x:v>
      </x:c>
      <x:c r="H963" s="80" t="str">
        <x:v>OK</x:v>
      </x:c>
      <x:c r="I963" s="69" t="str"/>
      <x:c r="J963" s="69"/>
      <x:c r="K963" s="82" t="n">
        <x:v>1</x:v>
      </x:c>
    </x:row>
    <x:row r="964">
      <x:c r="A964" s="76" t="n">
        <x:v>964</x:v>
      </x:c>
      <x:c r="B964" s="69" t="str">
        <x:v>1.2136917</x:v>
      </x:c>
      <x:c r="C964" s="69" t="str">
        <x:v>-77.2726361</x:v>
      </x:c>
      <x:c r="D964" s="78" t="n">
        <x:v>1.2136917</x:v>
      </x:c>
      <x:c r="E964" s="78" t="n">
        <x:v>-77.2726361</x:v>
      </x:c>
      <x:c r="F964" s="69" t="str">
        <x:v>Texto→número</x:v>
      </x:c>
      <x:c r="G964" s="69" t="str">
        <x:v>Texto→número</x:v>
      </x:c>
      <x:c r="H964" s="80" t="str">
        <x:v>OK</x:v>
      </x:c>
      <x:c r="I964" s="69" t="str"/>
      <x:c r="J964" s="69"/>
      <x:c r="K964" s="82" t="n">
        <x:v>1</x:v>
      </x:c>
    </x:row>
    <x:row r="965">
      <x:c r="A965" s="76" t="n">
        <x:v>965</x:v>
      </x:c>
      <x:c r="B965" s="69" t="str">
        <x:v>1.2833333</x:v>
      </x:c>
      <x:c r="C965" s="69" t="str">
        <x:v>-78.2333333</x:v>
      </x:c>
      <x:c r="D965" s="78" t="n">
        <x:v>1.2833333</x:v>
      </x:c>
      <x:c r="E965" s="78" t="n">
        <x:v>-78.2333333</x:v>
      </x:c>
      <x:c r="F965" s="69" t="str">
        <x:v>Texto→número</x:v>
      </x:c>
      <x:c r="G965" s="69" t="str">
        <x:v>Texto→número</x:v>
      </x:c>
      <x:c r="H965" s="80" t="str">
        <x:v>OK</x:v>
      </x:c>
      <x:c r="I965" s="69" t="str"/>
      <x:c r="J965" s="69" t="str">
        <x:v>1.2833333|-78.2333333</x:v>
      </x:c>
      <x:c r="K965" s="82" t="n">
        <x:v>0</x:v>
      </x:c>
    </x:row>
    <x:row r="966">
      <x:c r="A966" s="76" t="n">
        <x:v>966</x:v>
      </x:c>
      <x:c r="B966" s="69" t="str">
        <x:v>4.6666667</x:v>
      </x:c>
      <x:c r="C966" s="69" t="str">
        <x:v>-75.5</x:v>
      </x:c>
      <x:c r="D966" s="78" t="n">
        <x:v>4.6666667</x:v>
      </x:c>
      <x:c r="E966" s="78" t="n">
        <x:v>-75.5</x:v>
      </x:c>
      <x:c r="F966" s="69" t="str">
        <x:v>Texto→número</x:v>
      </x:c>
      <x:c r="G966" s="69" t="str">
        <x:v>Texto→número</x:v>
      </x:c>
      <x:c r="H966" s="80" t="str">
        <x:v>OK</x:v>
      </x:c>
      <x:c r="I966" s="69" t="str"/>
      <x:c r="J966" s="69"/>
      <x:c r="K966" s="82" t="n">
        <x:v>1</x:v>
      </x:c>
    </x:row>
    <x:row r="967">
      <x:c r="A967" s="76" t="n">
        <x:v>967</x:v>
      </x:c>
      <x:c r="B967" s="69" t="str">
        <x:v>4.6666667</x:v>
      </x:c>
      <x:c r="C967" s="69" t="str">
        <x:v>-75.5</x:v>
      </x:c>
      <x:c r="D967" s="78" t="n">
        <x:v>4.6666667</x:v>
      </x:c>
      <x:c r="E967" s="78" t="n">
        <x:v>-75.5</x:v>
      </x:c>
      <x:c r="F967" s="69" t="str">
        <x:v>Texto→número</x:v>
      </x:c>
      <x:c r="G967" s="69" t="str">
        <x:v>Texto→número</x:v>
      </x:c>
      <x:c r="H967" s="80" t="str">
        <x:v>OK</x:v>
      </x:c>
      <x:c r="I967" s="69" t="str"/>
      <x:c r="J967" s="69"/>
      <x:c r="K967" s="82" t="n">
        <x:v>1</x:v>
      </x:c>
    </x:row>
    <x:row r="968">
      <x:c r="A968" s="76" t="n">
        <x:v>968</x:v>
      </x:c>
      <x:c r="B968" s="69" t="str">
        <x:v>4.6666667</x:v>
      </x:c>
      <x:c r="C968" s="69" t="str">
        <x:v>-75.5</x:v>
      </x:c>
      <x:c r="D968" s="78" t="n">
        <x:v>4.6666667</x:v>
      </x:c>
      <x:c r="E968" s="78" t="n">
        <x:v>-75.5</x:v>
      </x:c>
      <x:c r="F968" s="69" t="str">
        <x:v>Texto→número</x:v>
      </x:c>
      <x:c r="G968" s="69" t="str">
        <x:v>Texto→número</x:v>
      </x:c>
      <x:c r="H968" s="80" t="str">
        <x:v>OK</x:v>
      </x:c>
      <x:c r="I968" s="69" t="str"/>
      <x:c r="J968" s="69"/>
      <x:c r="K968" s="82" t="n">
        <x:v>1</x:v>
      </x:c>
    </x:row>
    <x:row r="969">
      <x:c r="A969" s="76" t="n">
        <x:v>969</x:v>
      </x:c>
      <x:c r="B969" s="69" t="str">
        <x:v>4.68573</x:v>
      </x:c>
      <x:c r="C969" s="69" t="str">
        <x:v>-75.57803</x:v>
      </x:c>
      <x:c r="D969" s="78" t="n">
        <x:v>4.68573</x:v>
      </x:c>
      <x:c r="E969" s="78" t="n">
        <x:v>-75.57803</x:v>
      </x:c>
      <x:c r="F969" s="69" t="str">
        <x:v>Texto→número</x:v>
      </x:c>
      <x:c r="G969" s="69" t="str">
        <x:v>Texto→número</x:v>
      </x:c>
      <x:c r="H969" s="80" t="str">
        <x:v>OK</x:v>
      </x:c>
      <x:c r="I969" s="69" t="str"/>
      <x:c r="J969" s="69"/>
      <x:c r="K969" s="82" t="n">
        <x:v>1</x:v>
      </x:c>
    </x:row>
    <x:row r="970">
      <x:c r="A970" s="76" t="n">
        <x:v>970</x:v>
      </x:c>
      <x:c r="B970" s="69" t="str">
        <x:v>4.68573</x:v>
      </x:c>
      <x:c r="C970" s="69" t="str">
        <x:v>-75.57803</x:v>
      </x:c>
      <x:c r="D970" s="78" t="n">
        <x:v>4.68573</x:v>
      </x:c>
      <x:c r="E970" s="78" t="n">
        <x:v>-75.57803</x:v>
      </x:c>
      <x:c r="F970" s="69" t="str">
        <x:v>Texto→número</x:v>
      </x:c>
      <x:c r="G970" s="69" t="str">
        <x:v>Texto→número</x:v>
      </x:c>
      <x:c r="H970" s="80" t="str">
        <x:v>OK</x:v>
      </x:c>
      <x:c r="I970" s="69" t="str"/>
      <x:c r="J970" s="69"/>
      <x:c r="K970" s="82" t="n">
        <x:v>1</x:v>
      </x:c>
    </x:row>
    <x:row r="971">
      <x:c r="A971" s="76" t="n">
        <x:v>971</x:v>
      </x:c>
      <x:c r="B971" s="69" t="str">
        <x:v>4.68573</x:v>
      </x:c>
      <x:c r="C971" s="69" t="str">
        <x:v>-75.57803</x:v>
      </x:c>
      <x:c r="D971" s="78" t="n">
        <x:v>4.68573</x:v>
      </x:c>
      <x:c r="E971" s="78" t="n">
        <x:v>-75.57803</x:v>
      </x:c>
      <x:c r="F971" s="69" t="str">
        <x:v>Texto→número</x:v>
      </x:c>
      <x:c r="G971" s="69" t="str">
        <x:v>Texto→número</x:v>
      </x:c>
      <x:c r="H971" s="80" t="str">
        <x:v>OK</x:v>
      </x:c>
      <x:c r="I971" s="69" t="str"/>
      <x:c r="J971" s="69"/>
      <x:c r="K971" s="82" t="n">
        <x:v>1</x:v>
      </x:c>
    </x:row>
    <x:row r="972">
      <x:c r="A972" s="76" t="n">
        <x:v>972</x:v>
      </x:c>
      <x:c r="B972" s="69" t="str">
        <x:v>4.68573</x:v>
      </x:c>
      <x:c r="C972" s="69" t="str">
        <x:v>-75.57803</x:v>
      </x:c>
      <x:c r="D972" s="78" t="n">
        <x:v>4.68573</x:v>
      </x:c>
      <x:c r="E972" s="78" t="n">
        <x:v>-75.57803</x:v>
      </x:c>
      <x:c r="F972" s="69" t="str">
        <x:v>Texto→número</x:v>
      </x:c>
      <x:c r="G972" s="69" t="str">
        <x:v>Texto→número</x:v>
      </x:c>
      <x:c r="H972" s="80" t="str">
        <x:v>OK</x:v>
      </x:c>
      <x:c r="I972" s="69" t="str"/>
      <x:c r="J972" s="69"/>
      <x:c r="K972" s="82" t="n">
        <x:v>1</x:v>
      </x:c>
    </x:row>
    <x:row r="973">
      <x:c r="A973" s="76" t="n">
        <x:v>973</x:v>
      </x:c>
      <x:c r="B973" s="69" t="str">
        <x:v>4.68573</x:v>
      </x:c>
      <x:c r="C973" s="69" t="str">
        <x:v>-75.57803</x:v>
      </x:c>
      <x:c r="D973" s="78" t="n">
        <x:v>4.68573</x:v>
      </x:c>
      <x:c r="E973" s="78" t="n">
        <x:v>-75.57803</x:v>
      </x:c>
      <x:c r="F973" s="69" t="str">
        <x:v>Texto→número</x:v>
      </x:c>
      <x:c r="G973" s="69" t="str">
        <x:v>Texto→número</x:v>
      </x:c>
      <x:c r="H973" s="80" t="str">
        <x:v>OK</x:v>
      </x:c>
      <x:c r="I973" s="69" t="str"/>
      <x:c r="J973" s="69"/>
      <x:c r="K973" s="82" t="n">
        <x:v>1</x:v>
      </x:c>
    </x:row>
    <x:row r="974">
      <x:c r="A974" s="76" t="n">
        <x:v>974</x:v>
      </x:c>
      <x:c r="B974" s="69" t="str">
        <x:v>4.6415</x:v>
      </x:c>
      <x:c r="C974" s="69" t="str">
        <x:v>-75.4867778</x:v>
      </x:c>
      <x:c r="D974" s="78" t="n">
        <x:v>4.6415</x:v>
      </x:c>
      <x:c r="E974" s="78" t="n">
        <x:v>-75.4867778</x:v>
      </x:c>
      <x:c r="F974" s="69" t="str">
        <x:v>Texto→número</x:v>
      </x:c>
      <x:c r="G974" s="69" t="str">
        <x:v>Texto→número</x:v>
      </x:c>
      <x:c r="H974" s="80" t="str">
        <x:v>OK</x:v>
      </x:c>
      <x:c r="I974" s="69" t="str"/>
      <x:c r="J974" s="69"/>
      <x:c r="K974" s="82" t="n">
        <x:v>1</x:v>
      </x:c>
    </x:row>
    <x:row r="975">
      <x:c r="A975" s="76" t="n">
        <x:v>975</x:v>
      </x:c>
      <x:c r="B975" s="69" t="str">
        <x:v>5.11358</x:v>
      </x:c>
      <x:c r="C975" s="69" t="str">
        <x:v>-76.05836</x:v>
      </x:c>
      <x:c r="D975" s="78" t="n">
        <x:v>5.11358</x:v>
      </x:c>
      <x:c r="E975" s="78" t="n">
        <x:v>-76.05836</x:v>
      </x:c>
      <x:c r="F975" s="69" t="str">
        <x:v>Texto→número</x:v>
      </x:c>
      <x:c r="G975" s="69" t="str">
        <x:v>Texto→número</x:v>
      </x:c>
      <x:c r="H975" s="80" t="str">
        <x:v>OK</x:v>
      </x:c>
      <x:c r="I975" s="69" t="str"/>
      <x:c r="J975" s="69"/>
      <x:c r="K975" s="82" t="n">
        <x:v>1</x:v>
      </x:c>
    </x:row>
    <x:row r="976">
      <x:c r="A976" s="76" t="n">
        <x:v>976</x:v>
      </x:c>
      <x:c r="B976" s="69" t="str">
        <x:v>4.72879</x:v>
      </x:c>
      <x:c r="C976" s="69" t="str">
        <x:v>-75.5779</x:v>
      </x:c>
      <x:c r="D976" s="78" t="n">
        <x:v>4.72879</x:v>
      </x:c>
      <x:c r="E976" s="78" t="n">
        <x:v>-75.5779</x:v>
      </x:c>
      <x:c r="F976" s="69" t="str">
        <x:v>Texto→número</x:v>
      </x:c>
      <x:c r="G976" s="69" t="str">
        <x:v>Texto→número</x:v>
      </x:c>
      <x:c r="H976" s="80" t="str">
        <x:v>OK</x:v>
      </x:c>
      <x:c r="I976" s="69" t="str"/>
      <x:c r="J976" s="69"/>
      <x:c r="K976" s="82" t="n">
        <x:v>1</x:v>
      </x:c>
    </x:row>
    <x:row r="977">
      <x:c r="A977" s="76" t="n">
        <x:v>977</x:v>
      </x:c>
      <x:c r="B977" s="69" t="str">
        <x:v>4.72879</x:v>
      </x:c>
      <x:c r="C977" s="69" t="str">
        <x:v>-75.5779</x:v>
      </x:c>
      <x:c r="D977" s="78" t="n">
        <x:v>4.72879</x:v>
      </x:c>
      <x:c r="E977" s="78" t="n">
        <x:v>-75.5779</x:v>
      </x:c>
      <x:c r="F977" s="69" t="str">
        <x:v>Texto→número</x:v>
      </x:c>
      <x:c r="G977" s="69" t="str">
        <x:v>Texto→número</x:v>
      </x:c>
      <x:c r="H977" s="80" t="str">
        <x:v>OK</x:v>
      </x:c>
      <x:c r="I977" s="69" t="str"/>
      <x:c r="J977" s="69"/>
      <x:c r="K977" s="82" t="n">
        <x:v>1</x:v>
      </x:c>
    </x:row>
    <x:row r="978">
      <x:c r="A978" s="76" t="n">
        <x:v>978</x:v>
      </x:c>
      <x:c r="B978" s="69" t="str">
        <x:v>5.1244244</x:v>
      </x:c>
      <x:c r="C978" s="69" t="str">
        <x:v>-76.0416654</x:v>
      </x:c>
      <x:c r="D978" s="78" t="n">
        <x:v>5.1244244</x:v>
      </x:c>
      <x:c r="E978" s="78" t="n">
        <x:v>-76.0416654</x:v>
      </x:c>
      <x:c r="F978" s="69" t="str">
        <x:v>Texto→número</x:v>
      </x:c>
      <x:c r="G978" s="69" t="str">
        <x:v>Texto→número</x:v>
      </x:c>
      <x:c r="H978" s="80" t="str">
        <x:v>OK</x:v>
      </x:c>
      <x:c r="I978" s="69" t="str"/>
      <x:c r="J978" s="69"/>
      <x:c r="K978" s="82" t="n">
        <x:v>1</x:v>
      </x:c>
    </x:row>
    <x:row r="979">
      <x:c r="A979" s="76" t="n">
        <x:v>979</x:v>
      </x:c>
      <x:c r="B979" s="69" t="str">
        <x:v>4.72879</x:v>
      </x:c>
      <x:c r="C979" s="69" t="str">
        <x:v>-75.5779</x:v>
      </x:c>
      <x:c r="D979" s="78" t="n">
        <x:v>4.72879</x:v>
      </x:c>
      <x:c r="E979" s="78" t="n">
        <x:v>-75.5779</x:v>
      </x:c>
      <x:c r="F979" s="69" t="str">
        <x:v>Texto→número</x:v>
      </x:c>
      <x:c r="G979" s="69" t="str">
        <x:v>Texto→número</x:v>
      </x:c>
      <x:c r="H979" s="80" t="str">
        <x:v>OK</x:v>
      </x:c>
      <x:c r="I979" s="69" t="str"/>
      <x:c r="J979" s="69"/>
      <x:c r="K979" s="82" t="n">
        <x:v>1</x:v>
      </x:c>
    </x:row>
    <x:row r="980">
      <x:c r="A980" s="76" t="n">
        <x:v>980</x:v>
      </x:c>
      <x:c r="B980" s="69" t="str">
        <x:v>6.19988</x:v>
      </x:c>
      <x:c r="C980" s="69" t="str">
        <x:v>-72.8334</x:v>
      </x:c>
      <x:c r="D980" s="78" t="n">
        <x:v>6.19988</x:v>
      </x:c>
      <x:c r="E980" s="78" t="n">
        <x:v>-72.8334</x:v>
      </x:c>
      <x:c r="F980" s="69" t="str">
        <x:v>Texto→número</x:v>
      </x:c>
      <x:c r="G980" s="69" t="str">
        <x:v>Texto→número</x:v>
      </x:c>
      <x:c r="H980" s="80" t="str">
        <x:v>OK</x:v>
      </x:c>
      <x:c r="I980" s="69" t="str"/>
      <x:c r="J980" s="69"/>
      <x:c r="K980" s="82" t="n">
        <x:v>1</x:v>
      </x:c>
    </x:row>
    <x:row r="981">
      <x:c r="A981" s="76" t="n">
        <x:v>981</x:v>
      </x:c>
      <x:c r="B981" s="69" t="str">
        <x:v>7.08233</x:v>
      </x:c>
      <x:c r="C981" s="69" t="str">
        <x:v>-72.99467</x:v>
      </x:c>
      <x:c r="D981" s="78" t="n">
        <x:v>7.08233</x:v>
      </x:c>
      <x:c r="E981" s="78" t="n">
        <x:v>-72.99467</x:v>
      </x:c>
      <x:c r="F981" s="69" t="str">
        <x:v>Texto→número</x:v>
      </x:c>
      <x:c r="G981" s="69" t="str">
        <x:v>Texto→número</x:v>
      </x:c>
      <x:c r="H981" s="80" t="str">
        <x:v>OK</x:v>
      </x:c>
      <x:c r="I981" s="69" t="str"/>
      <x:c r="J981" s="69" t="str">
        <x:v>7.08233|-72.99467</x:v>
      </x:c>
      <x:c r="K981" s="82" t="n">
        <x:v>0</x:v>
      </x:c>
    </x:row>
    <x:row r="982">
      <x:c r="A982" s="76" t="n">
        <x:v>982</x:v>
      </x:c>
      <x:c r="B982" s="69" t="str">
        <x:v>4.58039</x:v>
      </x:c>
      <x:c r="C982" s="69" t="str">
        <x:v>-75.3754</x:v>
      </x:c>
      <x:c r="D982" s="78" t="n">
        <x:v>4.58039</x:v>
      </x:c>
      <x:c r="E982" s="78" t="n">
        <x:v>-75.3754</x:v>
      </x:c>
      <x:c r="F982" s="69" t="str">
        <x:v>Texto→número</x:v>
      </x:c>
      <x:c r="G982" s="69" t="str">
        <x:v>Texto→número</x:v>
      </x:c>
      <x:c r="H982" s="80" t="str">
        <x:v>OK</x:v>
      </x:c>
      <x:c r="I982" s="69" t="str"/>
      <x:c r="J982" s="69"/>
      <x:c r="K982" s="82" t="n">
        <x:v>1</x:v>
      </x:c>
    </x:row>
    <x:row r="983">
      <x:c r="A983" s="76" t="n">
        <x:v>983</x:v>
      </x:c>
      <x:c r="B983" s="69" t="str">
        <x:v>4.58039</x:v>
      </x:c>
      <x:c r="C983" s="69" t="str">
        <x:v>-75.3754</x:v>
      </x:c>
      <x:c r="D983" s="78" t="n">
        <x:v>4.58039</x:v>
      </x:c>
      <x:c r="E983" s="78" t="n">
        <x:v>-75.3754</x:v>
      </x:c>
      <x:c r="F983" s="69" t="str">
        <x:v>Texto→número</x:v>
      </x:c>
      <x:c r="G983" s="69" t="str">
        <x:v>Texto→número</x:v>
      </x:c>
      <x:c r="H983" s="80" t="str">
        <x:v>OK</x:v>
      </x:c>
      <x:c r="I983" s="69" t="str"/>
      <x:c r="J983" s="69"/>
      <x:c r="K983" s="82" t="n">
        <x:v>1</x:v>
      </x:c>
    </x:row>
    <x:row r="984">
      <x:c r="A984" s="76" t="n">
        <x:v>984</x:v>
      </x:c>
      <x:c r="B984" s="69" t="str">
        <x:v>4.55835</x:v>
      </x:c>
      <x:c r="C984" s="69" t="str">
        <x:v>-75.32021</x:v>
      </x:c>
      <x:c r="D984" s="78" t="n">
        <x:v>4.55835</x:v>
      </x:c>
      <x:c r="E984" s="78" t="n">
        <x:v>-75.32021</x:v>
      </x:c>
      <x:c r="F984" s="69" t="str">
        <x:v>Texto→número</x:v>
      </x:c>
      <x:c r="G984" s="69" t="str">
        <x:v>Texto→número</x:v>
      </x:c>
      <x:c r="H984" s="80" t="str">
        <x:v>OK</x:v>
      </x:c>
      <x:c r="I984" s="69" t="str"/>
      <x:c r="J984" s="69"/>
      <x:c r="K984" s="82" t="n">
        <x:v>1</x:v>
      </x:c>
    </x:row>
    <x:row r="985">
      <x:c r="A985" s="76" t="n">
        <x:v>985</x:v>
      </x:c>
      <x:c r="B985" s="69" t="str">
        <x:v>3.34415</x:v>
      </x:c>
      <x:c r="C985" s="69" t="str">
        <x:v>-76.69581</x:v>
      </x:c>
      <x:c r="D985" s="78" t="n">
        <x:v>3.34415</x:v>
      </x:c>
      <x:c r="E985" s="78" t="n">
        <x:v>-76.69581</x:v>
      </x:c>
      <x:c r="F985" s="69" t="str">
        <x:v>Texto→número</x:v>
      </x:c>
      <x:c r="G985" s="69" t="str">
        <x:v>Texto→número</x:v>
      </x:c>
      <x:c r="H985" s="80" t="str">
        <x:v>OK</x:v>
      </x:c>
      <x:c r="I985" s="69" t="str"/>
      <x:c r="J985" s="69"/>
      <x:c r="K985" s="82" t="n">
        <x:v>1</x:v>
      </x:c>
    </x:row>
    <x:row r="986">
      <x:c r="A986" s="76" t="n">
        <x:v>986</x:v>
      </x:c>
      <x:c r="B986" s="69" t="str">
        <x:v>3.8401944</x:v>
      </x:c>
      <x:c r="C986" s="69" t="str">
        <x:v>-77.1947222</x:v>
      </x:c>
      <x:c r="D986" s="78" t="n">
        <x:v>3.8401944</x:v>
      </x:c>
      <x:c r="E986" s="78" t="n">
        <x:v>-77.1947222</x:v>
      </x:c>
      <x:c r="F986" s="69" t="str">
        <x:v>Texto→número</x:v>
      </x:c>
      <x:c r="G986" s="69" t="str">
        <x:v>Texto→número</x:v>
      </x:c>
      <x:c r="H986" s="80" t="str">
        <x:v>OK</x:v>
      </x:c>
      <x:c r="I986" s="69" t="str"/>
      <x:c r="J986" s="69" t="str">
        <x:v>3.8401944|-77.1947222</x:v>
      </x:c>
      <x:c r="K986" s="82" t="n">
        <x:v>0</x:v>
      </x:c>
    </x:row>
    <x:row r="987">
      <x:c r="A987" s="76" t="n">
        <x:v>987</x:v>
      </x:c>
      <x:c r="B987" s="69" t="str">
        <x:v>6.43758</x:v>
      </x:c>
      <x:c r="C987" s="69" t="str">
        <x:v>-76.1159</x:v>
      </x:c>
      <x:c r="D987" s="78" t="n">
        <x:v>6.43758</x:v>
      </x:c>
      <x:c r="E987" s="78" t="n">
        <x:v>-76.1159</x:v>
      </x:c>
      <x:c r="F987" s="69" t="str">
        <x:v>Texto→número</x:v>
      </x:c>
      <x:c r="G987" s="69" t="str">
        <x:v>Texto→número</x:v>
      </x:c>
      <x:c r="H987" s="80" t="str">
        <x:v>OK</x:v>
      </x:c>
      <x:c r="I987" s="69" t="str"/>
      <x:c r="J987" s="69"/>
      <x:c r="K987" s="82" t="n">
        <x:v>1</x:v>
      </x:c>
    </x:row>
    <x:row r="988">
      <x:c r="A988" s="76" t="n">
        <x:v>988</x:v>
      </x:c>
      <x:c r="B988" s="69" t="str">
        <x:v>6.43758</x:v>
      </x:c>
      <x:c r="C988" s="69" t="str">
        <x:v>-76.1159</x:v>
      </x:c>
      <x:c r="D988" s="78" t="n">
        <x:v>6.43758</x:v>
      </x:c>
      <x:c r="E988" s="78" t="n">
        <x:v>-76.1159</x:v>
      </x:c>
      <x:c r="F988" s="69" t="str">
        <x:v>Texto→número</x:v>
      </x:c>
      <x:c r="G988" s="69" t="str">
        <x:v>Texto→número</x:v>
      </x:c>
      <x:c r="H988" s="80" t="str">
        <x:v>OK</x:v>
      </x:c>
      <x:c r="I988" s="69" t="str"/>
      <x:c r="J988" s="69"/>
      <x:c r="K988" s="82" t="n">
        <x:v>1</x:v>
      </x:c>
    </x:row>
    <x:row r="989">
      <x:c r="A989" s="76" t="n">
        <x:v>989</x:v>
      </x:c>
      <x:c r="B989" s="69" t="str">
        <x:v>6.49881</x:v>
      </x:c>
      <x:c r="C989" s="69" t="str">
        <x:v>-75.63637</x:v>
      </x:c>
      <x:c r="D989" s="78" t="n">
        <x:v>6.49881</x:v>
      </x:c>
      <x:c r="E989" s="78" t="n">
        <x:v>-75.63637</x:v>
      </x:c>
      <x:c r="F989" s="69" t="str">
        <x:v>Texto→número</x:v>
      </x:c>
      <x:c r="G989" s="69" t="str">
        <x:v>Texto→número</x:v>
      </x:c>
      <x:c r="H989" s="80" t="str">
        <x:v>OK</x:v>
      </x:c>
      <x:c r="I989" s="69" t="str"/>
      <x:c r="J989" s="69"/>
      <x:c r="K989" s="82" t="n">
        <x:v>1</x:v>
      </x:c>
    </x:row>
    <x:row r="990">
      <x:c r="A990" s="76" t="n">
        <x:v>990</x:v>
      </x:c>
      <x:c r="B990" s="69" t="str">
        <x:v>6.49881</x:v>
      </x:c>
      <x:c r="C990" s="69" t="str">
        <x:v>-75.63637</x:v>
      </x:c>
      <x:c r="D990" s="78" t="n">
        <x:v>6.49881</x:v>
      </x:c>
      <x:c r="E990" s="78" t="n">
        <x:v>-75.63637</x:v>
      </x:c>
      <x:c r="F990" s="69" t="str">
        <x:v>Texto→número</x:v>
      </x:c>
      <x:c r="G990" s="69" t="str">
        <x:v>Texto→número</x:v>
      </x:c>
      <x:c r="H990" s="80" t="str">
        <x:v>OK</x:v>
      </x:c>
      <x:c r="I990" s="69" t="str"/>
      <x:c r="J990" s="69"/>
      <x:c r="K990" s="82" t="n">
        <x:v>1</x:v>
      </x:c>
    </x:row>
    <x:row r="991">
      <x:c r="A991" s="76" t="n">
        <x:v>991</x:v>
      </x:c>
      <x:c r="B991" s="69" t="str">
        <x:v>6.49881</x:v>
      </x:c>
      <x:c r="C991" s="69" t="str">
        <x:v>-75.63637</x:v>
      </x:c>
      <x:c r="D991" s="78" t="n">
        <x:v>6.49881</x:v>
      </x:c>
      <x:c r="E991" s="78" t="n">
        <x:v>-75.63637</x:v>
      </x:c>
      <x:c r="F991" s="69" t="str">
        <x:v>Texto→número</x:v>
      </x:c>
      <x:c r="G991" s="69" t="str">
        <x:v>Texto→número</x:v>
      </x:c>
      <x:c r="H991" s="80" t="str">
        <x:v>OK</x:v>
      </x:c>
      <x:c r="I991" s="69" t="str"/>
      <x:c r="J991" s="69"/>
      <x:c r="K991" s="82" t="n">
        <x:v>1</x:v>
      </x:c>
    </x:row>
    <x:row r="992">
      <x:c r="A992" s="76" t="n">
        <x:v>992</x:v>
      </x:c>
      <x:c r="B992" s="69" t="str">
        <x:v>6.49881</x:v>
      </x:c>
      <x:c r="C992" s="69" t="str">
        <x:v>-75.63637</x:v>
      </x:c>
      <x:c r="D992" s="78" t="n">
        <x:v>6.49881</x:v>
      </x:c>
      <x:c r="E992" s="78" t="n">
        <x:v>-75.63637</x:v>
      </x:c>
      <x:c r="F992" s="69" t="str">
        <x:v>Texto→número</x:v>
      </x:c>
      <x:c r="G992" s="69" t="str">
        <x:v>Texto→número</x:v>
      </x:c>
      <x:c r="H992" s="80" t="str">
        <x:v>OK</x:v>
      </x:c>
      <x:c r="I992" s="69" t="str"/>
      <x:c r="J992" s="69"/>
      <x:c r="K992" s="82" t="n">
        <x:v>1</x:v>
      </x:c>
    </x:row>
    <x:row r="993">
      <x:c r="A993" s="76" t="n">
        <x:v>993</x:v>
      </x:c>
      <x:c r="B993" s="69" t="str">
        <x:v>6.621966667</x:v>
      </x:c>
      <x:c r="C993" s="69" t="str">
        <x:v>-75.64495</x:v>
      </x:c>
      <x:c r="D993" s="78" t="n">
        <x:v>6.621966667</x:v>
      </x:c>
      <x:c r="E993" s="78" t="n">
        <x:v>-75.64495</x:v>
      </x:c>
      <x:c r="F993" s="69" t="str">
        <x:v>Texto→número</x:v>
      </x:c>
      <x:c r="G993" s="69" t="str">
        <x:v>Texto→número</x:v>
      </x:c>
      <x:c r="H993" s="80" t="str">
        <x:v>OK</x:v>
      </x:c>
      <x:c r="I993" s="69" t="str"/>
      <x:c r="J993" s="69"/>
      <x:c r="K993" s="82" t="n">
        <x:v>1</x:v>
      </x:c>
    </x:row>
    <x:row r="994">
      <x:c r="A994" s="76" t="n">
        <x:v>994</x:v>
      </x:c>
      <x:c r="B994" s="69" t="str">
        <x:v>5.66577</x:v>
      </x:c>
      <x:c r="C994" s="69" t="str">
        <x:v>-73.36538</x:v>
      </x:c>
      <x:c r="D994" s="78" t="n">
        <x:v>5.66577</x:v>
      </x:c>
      <x:c r="E994" s="78" t="n">
        <x:v>-73.36538</x:v>
      </x:c>
      <x:c r="F994" s="69" t="str">
        <x:v>Texto→número</x:v>
      </x:c>
      <x:c r="G994" s="69" t="str">
        <x:v>Texto→número</x:v>
      </x:c>
      <x:c r="H994" s="80" t="str">
        <x:v>OK</x:v>
      </x:c>
      <x:c r="I994" s="69" t="str"/>
      <x:c r="J994" s="69" t="str">
        <x:v>5.66577|-73.36538</x:v>
      </x:c>
      <x:c r="K994" s="82" t="n">
        <x:v>0</x:v>
      </x:c>
    </x:row>
    <x:row r="995">
      <x:c r="A995" s="76" t="n">
        <x:v>995</x:v>
      </x:c>
      <x:c r="B995" s="69" t="str">
        <x:v>5.66577</x:v>
      </x:c>
      <x:c r="C995" s="69" t="str">
        <x:v>-73.36538</x:v>
      </x:c>
      <x:c r="D995" s="78" t="n">
        <x:v>5.66577</x:v>
      </x:c>
      <x:c r="E995" s="78" t="n">
        <x:v>-73.36538</x:v>
      </x:c>
      <x:c r="F995" s="69" t="str">
        <x:v>Texto→número</x:v>
      </x:c>
      <x:c r="G995" s="69" t="str">
        <x:v>Texto→número</x:v>
      </x:c>
      <x:c r="H995" s="80" t="str">
        <x:v>OK</x:v>
      </x:c>
      <x:c r="I995" s="69" t="str"/>
      <x:c r="J995" s="69"/>
      <x:c r="K995" s="82" t="n">
        <x:v>1</x:v>
      </x:c>
    </x:row>
    <x:row r="996">
      <x:c r="A996" s="76" t="n">
        <x:v>996</x:v>
      </x:c>
      <x:c r="B996" s="69" t="str">
        <x:v>5.42103</x:v>
      </x:c>
      <x:c r="C996" s="69" t="str">
        <x:v>-73.54418</x:v>
      </x:c>
      <x:c r="D996" s="78" t="n">
        <x:v>5.42103</x:v>
      </x:c>
      <x:c r="E996" s="78" t="n">
        <x:v>-73.54418</x:v>
      </x:c>
      <x:c r="F996" s="69" t="str">
        <x:v>Texto→número</x:v>
      </x:c>
      <x:c r="G996" s="69" t="str">
        <x:v>Texto→número</x:v>
      </x:c>
      <x:c r="H996" s="80" t="str">
        <x:v>OK</x:v>
      </x:c>
      <x:c r="I996" s="69" t="str"/>
      <x:c r="J996" s="69"/>
      <x:c r="K996" s="82" t="n">
        <x:v>1</x:v>
      </x:c>
    </x:row>
    <x:row r="997">
      <x:c r="A997" s="76" t="n">
        <x:v>997</x:v>
      </x:c>
      <x:c r="B997" s="69" t="str">
        <x:v>5.95105</x:v>
      </x:c>
      <x:c r="C997" s="69" t="str">
        <x:v>-73.11839</x:v>
      </x:c>
      <x:c r="D997" s="78" t="n">
        <x:v>5.95105</x:v>
      </x:c>
      <x:c r="E997" s="78" t="n">
        <x:v>-73.11839</x:v>
      </x:c>
      <x:c r="F997" s="69" t="str">
        <x:v>Texto→número</x:v>
      </x:c>
      <x:c r="G997" s="69" t="str">
        <x:v>Texto→número</x:v>
      </x:c>
      <x:c r="H997" s="80" t="str">
        <x:v>OK</x:v>
      </x:c>
      <x:c r="I997" s="69" t="str"/>
      <x:c r="J997" s="69" t="str">
        <x:v>5.95105|-73.11839</x:v>
      </x:c>
      <x:c r="K997" s="82" t="n">
        <x:v>0</x:v>
      </x:c>
    </x:row>
    <x:row r="998">
      <x:c r="A998" s="76" t="n">
        <x:v>998</x:v>
      </x:c>
      <x:c r="B998" s="69" t="str">
        <x:v>5.71778</x:v>
      </x:c>
      <x:c r="C998" s="69" t="str">
        <x:v>-73.45842</x:v>
      </x:c>
      <x:c r="D998" s="78" t="n">
        <x:v>5.71778</x:v>
      </x:c>
      <x:c r="E998" s="78" t="n">
        <x:v>-73.45842</x:v>
      </x:c>
      <x:c r="F998" s="69" t="str">
        <x:v>Texto→número</x:v>
      </x:c>
      <x:c r="G998" s="69" t="str">
        <x:v>Texto→número</x:v>
      </x:c>
      <x:c r="H998" s="80" t="str">
        <x:v>OK</x:v>
      </x:c>
      <x:c r="I998" s="69" t="str"/>
      <x:c r="J998" s="69" t="str">
        <x:v>5.71778|-73.45842</x:v>
      </x:c>
      <x:c r="K998" s="82" t="n">
        <x:v>0</x:v>
      </x:c>
    </x:row>
    <x:row r="999">
      <x:c r="A999" s="76" t="n">
        <x:v>999</x:v>
      </x:c>
      <x:c r="B999" s="69" t="str">
        <x:v>4.9268944</x:v>
      </x:c>
      <x:c r="C999" s="69" t="str">
        <x:v>-75.4162056</x:v>
      </x:c>
      <x:c r="D999" s="78" t="n">
        <x:v>4.9268944</x:v>
      </x:c>
      <x:c r="E999" s="78" t="n">
        <x:v>-75.4162056</x:v>
      </x:c>
      <x:c r="F999" s="69" t="str">
        <x:v>Texto→número</x:v>
      </x:c>
      <x:c r="G999" s="69" t="str">
        <x:v>Texto→número</x:v>
      </x:c>
      <x:c r="H999" s="80" t="str">
        <x:v>OK</x:v>
      </x:c>
      <x:c r="I999" s="69" t="str"/>
      <x:c r="J999" s="69" t="str">
        <x:v>4.9268944|-75.4162056</x:v>
      </x:c>
      <x:c r="K999" s="82" t="n">
        <x:v>0</x:v>
      </x:c>
    </x:row>
    <x:row r="1000">
      <x:c r="A1000" s="76" t="n">
        <x:v>1000</x:v>
      </x:c>
      <x:c r="B1000" s="69" t="str">
        <x:v>4.9722</x:v>
      </x:c>
      <x:c r="C1000" s="69" t="str">
        <x:v>-75.38059</x:v>
      </x:c>
      <x:c r="D1000" s="78" t="n">
        <x:v>4.9722</x:v>
      </x:c>
      <x:c r="E1000" s="78" t="n">
        <x:v>-75.38059</x:v>
      </x:c>
      <x:c r="F1000" s="69" t="str">
        <x:v>Texto→número</x:v>
      </x:c>
      <x:c r="G1000" s="69" t="str">
        <x:v>Texto→número</x:v>
      </x:c>
      <x:c r="H1000" s="80" t="str">
        <x:v>OK</x:v>
      </x:c>
      <x:c r="I1000" s="69" t="str"/>
      <x:c r="J1000" s="69"/>
      <x:c r="K1000" s="82" t="n">
        <x:v>1</x:v>
      </x:c>
    </x:row>
    <x:row r="1001">
      <x:c r="A1001" s="76" t="n">
        <x:v>1001</x:v>
      </x:c>
      <x:c r="B1001" s="69" t="str">
        <x:v>4.9722</x:v>
      </x:c>
      <x:c r="C1001" s="69" t="str">
        <x:v>-75.38059</x:v>
      </x:c>
      <x:c r="D1001" s="78" t="n">
        <x:v>4.9722</x:v>
      </x:c>
      <x:c r="E1001" s="78" t="n">
        <x:v>-75.38059</x:v>
      </x:c>
      <x:c r="F1001" s="69" t="str">
        <x:v>Texto→número</x:v>
      </x:c>
      <x:c r="G1001" s="69" t="str">
        <x:v>Texto→número</x:v>
      </x:c>
      <x:c r="H1001" s="80" t="str">
        <x:v>OK</x:v>
      </x:c>
      <x:c r="I1001" s="69" t="str"/>
      <x:c r="J1001" s="69"/>
      <x:c r="K1001" s="82" t="n">
        <x:v>1</x:v>
      </x:c>
    </x:row>
    <x:row r="1002">
      <x:c r="A1002" s="76" t="n">
        <x:v>1002</x:v>
      </x:c>
      <x:c r="B1002" s="69" t="str">
        <x:v>5.38329</x:v>
      </x:c>
      <x:c r="C1002" s="69" t="str">
        <x:v>-75.35331</x:v>
      </x:c>
      <x:c r="D1002" s="78" t="n">
        <x:v>5.38329</x:v>
      </x:c>
      <x:c r="E1002" s="78" t="n">
        <x:v>-75.35331</x:v>
      </x:c>
      <x:c r="F1002" s="69" t="str">
        <x:v>Texto→número</x:v>
      </x:c>
      <x:c r="G1002" s="69" t="str">
        <x:v>Texto→número</x:v>
      </x:c>
      <x:c r="H1002" s="80" t="str">
        <x:v>OK</x:v>
      </x:c>
      <x:c r="I1002" s="69" t="str"/>
      <x:c r="J1002" s="69"/>
      <x:c r="K1002" s="82" t="n">
        <x:v>1</x:v>
      </x:c>
    </x:row>
    <x:row r="1003">
      <x:c r="A1003" s="76" t="n">
        <x:v>1003</x:v>
      </x:c>
      <x:c r="B1003" s="69" t="str">
        <x:v>5.06275</x:v>
      </x:c>
      <x:c r="C1003" s="69" t="str">
        <x:v>-75.3823889</x:v>
      </x:c>
      <x:c r="D1003" s="78" t="n">
        <x:v>5.06275</x:v>
      </x:c>
      <x:c r="E1003" s="78" t="n">
        <x:v>-75.3823889</x:v>
      </x:c>
      <x:c r="F1003" s="69" t="str">
        <x:v>Texto→número</x:v>
      </x:c>
      <x:c r="G1003" s="69" t="str">
        <x:v>Texto→número</x:v>
      </x:c>
      <x:c r="H1003" s="80" t="str">
        <x:v>OK</x:v>
      </x:c>
      <x:c r="I1003" s="69" t="str"/>
      <x:c r="J1003" s="69"/>
      <x:c r="K1003" s="82" t="n">
        <x:v>1</x:v>
      </x:c>
    </x:row>
    <x:row r="1004">
      <x:c r="A1004" s="76" t="n">
        <x:v>1004</x:v>
      </x:c>
      <x:c r="B1004" s="69" t="str">
        <x:v>5.37045</x:v>
      </x:c>
      <x:c r="C1004" s="69" t="str">
        <x:v>-75.38595</x:v>
      </x:c>
      <x:c r="D1004" s="78" t="n">
        <x:v>5.37045</x:v>
      </x:c>
      <x:c r="E1004" s="78" t="n">
        <x:v>-75.38595</x:v>
      </x:c>
      <x:c r="F1004" s="69" t="str">
        <x:v>Texto→número</x:v>
      </x:c>
      <x:c r="G1004" s="69" t="str">
        <x:v>Texto→número</x:v>
      </x:c>
      <x:c r="H1004" s="80" t="str">
        <x:v>OK</x:v>
      </x:c>
      <x:c r="I1004" s="69" t="str"/>
      <x:c r="J1004" s="69"/>
      <x:c r="K1004" s="82" t="n">
        <x:v>1</x:v>
      </x:c>
    </x:row>
    <x:row r="1005">
      <x:c r="A1005" s="76" t="n">
        <x:v>1005</x:v>
      </x:c>
      <x:c r="B1005" s="69" t="str">
        <x:v>2.3112194</x:v>
      </x:c>
      <x:c r="C1005" s="69" t="str">
        <x:v>-76.3922889</x:v>
      </x:c>
      <x:c r="D1005" s="78" t="n">
        <x:v>2.3112194</x:v>
      </x:c>
      <x:c r="E1005" s="78" t="n">
        <x:v>-76.3922889</x:v>
      </x:c>
      <x:c r="F1005" s="69" t="str">
        <x:v>Texto→número</x:v>
      </x:c>
      <x:c r="G1005" s="69" t="str">
        <x:v>Texto→número</x:v>
      </x:c>
      <x:c r="H1005" s="80" t="str">
        <x:v>OK</x:v>
      </x:c>
      <x:c r="I1005" s="69" t="str"/>
      <x:c r="J1005" s="69" t="str">
        <x:v>2.3112194|-76.3922889</x:v>
      </x:c>
      <x:c r="K1005" s="82" t="n">
        <x:v>0</x:v>
      </x:c>
    </x:row>
    <x:row r="1006">
      <x:c r="A1006" s="76" t="n">
        <x:v>1006</x:v>
      </x:c>
      <x:c r="B1006" s="69" t="str">
        <x:v>2.45</x:v>
      </x:c>
      <x:c r="C1006" s="69" t="str">
        <x:v>-76.6166667</x:v>
      </x:c>
      <x:c r="D1006" s="78" t="n">
        <x:v>2.45</x:v>
      </x:c>
      <x:c r="E1006" s="78" t="n">
        <x:v>-76.6166667</x:v>
      </x:c>
      <x:c r="F1006" s="69" t="str">
        <x:v>Texto→número</x:v>
      </x:c>
      <x:c r="G1006" s="69" t="str">
        <x:v>Texto→número</x:v>
      </x:c>
      <x:c r="H1006" s="80" t="str">
        <x:v>OK</x:v>
      </x:c>
      <x:c r="I1006" s="69" t="str"/>
      <x:c r="J1006" s="69"/>
      <x:c r="K1006" s="82" t="n">
        <x:v>1</x:v>
      </x:c>
    </x:row>
    <x:row r="1007">
      <x:c r="A1007" s="76" t="n">
        <x:v>1007</x:v>
      </x:c>
      <x:c r="B1007" s="69" t="str">
        <x:v>1.7598611</x:v>
      </x:c>
      <x:c r="C1007" s="69" t="str">
        <x:v>-76.9058333</x:v>
      </x:c>
      <x:c r="D1007" s="78" t="n">
        <x:v>1.7598611</x:v>
      </x:c>
      <x:c r="E1007" s="78" t="n">
        <x:v>-76.9058333</x:v>
      </x:c>
      <x:c r="F1007" s="69" t="str">
        <x:v>Texto→número</x:v>
      </x:c>
      <x:c r="G1007" s="69" t="str">
        <x:v>Texto→número</x:v>
      </x:c>
      <x:c r="H1007" s="80" t="str">
        <x:v>OK</x:v>
      </x:c>
      <x:c r="I1007" s="69" t="str"/>
      <x:c r="J1007" s="69"/>
      <x:c r="K1007" s="82" t="n">
        <x:v>1</x:v>
      </x:c>
    </x:row>
    <x:row r="1008">
      <x:c r="A1008" s="76" t="n">
        <x:v>1008</x:v>
      </x:c>
      <x:c r="B1008" s="69" t="str">
        <x:v>2.45</x:v>
      </x:c>
      <x:c r="C1008" s="69" t="str">
        <x:v>-76.6166667</x:v>
      </x:c>
      <x:c r="D1008" s="78" t="n">
        <x:v>2.45</x:v>
      </x:c>
      <x:c r="E1008" s="78" t="n">
        <x:v>-76.6166667</x:v>
      </x:c>
      <x:c r="F1008" s="69" t="str">
        <x:v>Texto→número</x:v>
      </x:c>
      <x:c r="G1008" s="69" t="str">
        <x:v>Texto→número</x:v>
      </x:c>
      <x:c r="H1008" s="80" t="str">
        <x:v>OK</x:v>
      </x:c>
      <x:c r="I1008" s="69" t="str"/>
      <x:c r="J1008" s="69"/>
      <x:c r="K1008" s="82" t="n">
        <x:v>1</x:v>
      </x:c>
    </x:row>
    <x:row r="1009">
      <x:c r="A1009" s="76" t="n">
        <x:v>1009</x:v>
      </x:c>
      <x:c r="B1009" s="69" t="str">
        <x:v>2.45</x:v>
      </x:c>
      <x:c r="C1009" s="69" t="str">
        <x:v>-76.6166667</x:v>
      </x:c>
      <x:c r="D1009" s="78" t="n">
        <x:v>2.45</x:v>
      </x:c>
      <x:c r="E1009" s="78" t="n">
        <x:v>-76.6166667</x:v>
      </x:c>
      <x:c r="F1009" s="69" t="str">
        <x:v>Texto→número</x:v>
      </x:c>
      <x:c r="G1009" s="69" t="str">
        <x:v>Texto→número</x:v>
      </x:c>
      <x:c r="H1009" s="80" t="str">
        <x:v>OK</x:v>
      </x:c>
      <x:c r="I1009" s="69" t="str"/>
      <x:c r="J1009" s="69"/>
      <x:c r="K1009" s="82" t="n">
        <x:v>1</x:v>
      </x:c>
    </x:row>
    <x:row r="1010">
      <x:c r="A1010" s="76" t="n">
        <x:v>1010</x:v>
      </x:c>
      <x:c r="B1010" s="69" t="str">
        <x:v>1.7598611</x:v>
      </x:c>
      <x:c r="C1010" s="69" t="str">
        <x:v>-76.9058333</x:v>
      </x:c>
      <x:c r="D1010" s="78" t="n">
        <x:v>1.7598611</x:v>
      </x:c>
      <x:c r="E1010" s="78" t="n">
        <x:v>-76.9058333</x:v>
      </x:c>
      <x:c r="F1010" s="69" t="str">
        <x:v>Texto→número</x:v>
      </x:c>
      <x:c r="G1010" s="69" t="str">
        <x:v>Texto→número</x:v>
      </x:c>
      <x:c r="H1010" s="80" t="str">
        <x:v>OK</x:v>
      </x:c>
      <x:c r="I1010" s="69" t="str"/>
      <x:c r="J1010" s="69"/>
      <x:c r="K1010" s="82" t="n">
        <x:v>1</x:v>
      </x:c>
    </x:row>
    <x:row r="1011">
      <x:c r="A1011" s="76" t="n">
        <x:v>1011</x:v>
      </x:c>
      <x:c r="B1011" s="69" t="str">
        <x:v>2.5500028</x:v>
      </x:c>
      <x:c r="C1011" s="69" t="str">
        <x:v>-76.0666667</x:v>
      </x:c>
      <x:c r="D1011" s="78" t="n">
        <x:v>2.5500028</x:v>
      </x:c>
      <x:c r="E1011" s="78" t="n">
        <x:v>-76.0666667</x:v>
      </x:c>
      <x:c r="F1011" s="69" t="str">
        <x:v>Texto→número</x:v>
      </x:c>
      <x:c r="G1011" s="69" t="str">
        <x:v>Texto→número</x:v>
      </x:c>
      <x:c r="H1011" s="80" t="str">
        <x:v>OK</x:v>
      </x:c>
      <x:c r="I1011" s="69" t="str"/>
      <x:c r="J1011" s="69" t="str">
        <x:v>2.5500028|-76.0666667</x:v>
      </x:c>
      <x:c r="K1011" s="82" t="n">
        <x:v>0</x:v>
      </x:c>
    </x:row>
    <x:row r="1012">
      <x:c r="A1012" s="76" t="n">
        <x:v>1012</x:v>
      </x:c>
      <x:c r="B1012" s="69" t="str">
        <x:v>2.58621</x:v>
      </x:c>
      <x:c r="C1012" s="69" t="str">
        <x:v>-76.31979</x:v>
      </x:c>
      <x:c r="D1012" s="78" t="n">
        <x:v>2.58621</x:v>
      </x:c>
      <x:c r="E1012" s="78" t="n">
        <x:v>-76.31979</x:v>
      </x:c>
      <x:c r="F1012" s="69" t="str">
        <x:v>Texto→número</x:v>
      </x:c>
      <x:c r="G1012" s="69" t="str">
        <x:v>Texto→número</x:v>
      </x:c>
      <x:c r="H1012" s="80" t="str">
        <x:v>OK</x:v>
      </x:c>
      <x:c r="I1012" s="69" t="str"/>
      <x:c r="J1012" s="69" t="str">
        <x:v>2.58621|-76.31979</x:v>
      </x:c>
      <x:c r="K1012" s="82" t="n">
        <x:v>0</x:v>
      </x:c>
    </x:row>
    <x:row r="1013">
      <x:c r="A1013" s="76" t="n">
        <x:v>1013</x:v>
      </x:c>
      <x:c r="B1013" s="69" t="str">
        <x:v>2.3510278</x:v>
      </x:c>
      <x:c r="C1013" s="69" t="str">
        <x:v>-76.6816972</x:v>
      </x:c>
      <x:c r="D1013" s="78" t="n">
        <x:v>2.3510278</x:v>
      </x:c>
      <x:c r="E1013" s="78" t="n">
        <x:v>-76.6816972</x:v>
      </x:c>
      <x:c r="F1013" s="69" t="str">
        <x:v>Texto→número</x:v>
      </x:c>
      <x:c r="G1013" s="69" t="str">
        <x:v>Texto→número</x:v>
      </x:c>
      <x:c r="H1013" s="80" t="str">
        <x:v>OK</x:v>
      </x:c>
      <x:c r="I1013" s="69" t="str"/>
      <x:c r="J1013" s="69" t="str">
        <x:v>2.3510278|-76.6816972</x:v>
      </x:c>
      <x:c r="K1013" s="82" t="n">
        <x:v>0</x:v>
      </x:c>
    </x:row>
    <x:row r="1014">
      <x:c r="A1014" s="76" t="n">
        <x:v>1014</x:v>
      </x:c>
      <x:c r="B1014" s="69" t="str">
        <x:v>2.5039278</x:v>
      </x:c>
      <x:c r="C1014" s="69" t="str">
        <x:v>-76.3912278</x:v>
      </x:c>
      <x:c r="D1014" s="78" t="n">
        <x:v>2.5039278</x:v>
      </x:c>
      <x:c r="E1014" s="78" t="n">
        <x:v>-76.3912278</x:v>
      </x:c>
      <x:c r="F1014" s="69" t="str">
        <x:v>Texto→número</x:v>
      </x:c>
      <x:c r="G1014" s="69" t="str">
        <x:v>Texto→número</x:v>
      </x:c>
      <x:c r="H1014" s="80" t="str">
        <x:v>OK</x:v>
      </x:c>
      <x:c r="I1014" s="69" t="str"/>
      <x:c r="J1014" s="69"/>
      <x:c r="K1014" s="82" t="n">
        <x:v>1</x:v>
      </x:c>
    </x:row>
    <x:row r="1015">
      <x:c r="A1015" s="76" t="n">
        <x:v>1015</x:v>
      </x:c>
      <x:c r="B1015" s="69" t="str">
        <x:v>2.3112194</x:v>
      </x:c>
      <x:c r="C1015" s="69" t="str">
        <x:v>-76.3922889</x:v>
      </x:c>
      <x:c r="D1015" s="78" t="n">
        <x:v>2.3112194</x:v>
      </x:c>
      <x:c r="E1015" s="78" t="n">
        <x:v>-76.3922889</x:v>
      </x:c>
      <x:c r="F1015" s="69" t="str">
        <x:v>Texto→número</x:v>
      </x:c>
      <x:c r="G1015" s="69" t="str">
        <x:v>Texto→número</x:v>
      </x:c>
      <x:c r="H1015" s="80" t="str">
        <x:v>OK</x:v>
      </x:c>
      <x:c r="I1015" s="69" t="str"/>
      <x:c r="J1015" s="69"/>
      <x:c r="K1015" s="82" t="n">
        <x:v>1</x:v>
      </x:c>
    </x:row>
    <x:row r="1016">
      <x:c r="A1016" s="76" t="n">
        <x:v>1016</x:v>
      </x:c>
      <x:c r="B1016" s="69" t="str">
        <x:v>10.00286</x:v>
      </x:c>
      <x:c r="C1016" s="69" t="str">
        <x:v>-73.01576</x:v>
      </x:c>
      <x:c r="D1016" s="78" t="n">
        <x:v>10.00286</x:v>
      </x:c>
      <x:c r="E1016" s="78" t="n">
        <x:v>-73.01576</x:v>
      </x:c>
      <x:c r="F1016" s="69" t="str">
        <x:v>Texto→número</x:v>
      </x:c>
      <x:c r="G1016" s="69" t="str">
        <x:v>Texto→número</x:v>
      </x:c>
      <x:c r="H1016" s="80" t="str">
        <x:v>OK</x:v>
      </x:c>
      <x:c r="I1016" s="69" t="str"/>
      <x:c r="J1016" s="69"/>
      <x:c r="K1016" s="82" t="n">
        <x:v>1</x:v>
      </x:c>
    </x:row>
    <x:row r="1017">
      <x:c r="A1017" s="76" t="n">
        <x:v>1017</x:v>
      </x:c>
      <x:c r="B1017" s="69" t="str">
        <x:v>4.44359</x:v>
      </x:c>
      <x:c r="C1017" s="69" t="str">
        <x:v>-74.12862</x:v>
      </x:c>
      <x:c r="D1017" s="78" t="n">
        <x:v>4.44359</x:v>
      </x:c>
      <x:c r="E1017" s="78" t="n">
        <x:v>-74.12862</x:v>
      </x:c>
      <x:c r="F1017" s="69" t="str">
        <x:v>Texto→número</x:v>
      </x:c>
      <x:c r="G1017" s="69" t="str">
        <x:v>Texto→número</x:v>
      </x:c>
      <x:c r="H1017" s="80" t="str">
        <x:v>OK</x:v>
      </x:c>
      <x:c r="I1017" s="69" t="str"/>
      <x:c r="J1017" s="69" t="str">
        <x:v>4.44359|-74.12862</x:v>
      </x:c>
      <x:c r="K1017" s="82" t="n">
        <x:v>0</x:v>
      </x:c>
    </x:row>
    <x:row r="1018">
      <x:c r="A1018" s="76" t="n">
        <x:v>1018</x:v>
      </x:c>
      <x:c r="B1018" s="69" t="str">
        <x:v>4.44382</x:v>
      </x:c>
      <x:c r="C1018" s="69" t="str">
        <x:v>-74.30207</x:v>
      </x:c>
      <x:c r="D1018" s="78" t="n">
        <x:v>4.44382</x:v>
      </x:c>
      <x:c r="E1018" s="78" t="n">
        <x:v>-74.30207</x:v>
      </x:c>
      <x:c r="F1018" s="69" t="str">
        <x:v>Texto→número</x:v>
      </x:c>
      <x:c r="G1018" s="69" t="str">
        <x:v>Texto→número</x:v>
      </x:c>
      <x:c r="H1018" s="80" t="str">
        <x:v>OK</x:v>
      </x:c>
      <x:c r="I1018" s="69" t="str"/>
      <x:c r="J1018" s="69"/>
      <x:c r="K1018" s="82" t="n">
        <x:v>1</x:v>
      </x:c>
    </x:row>
    <x:row r="1019">
      <x:c r="A1019" s="76" t="n">
        <x:v>1019</x:v>
      </x:c>
      <x:c r="B1019" s="69" t="str">
        <x:v>4.66135</x:v>
      </x:c>
      <x:c r="C1019" s="69" t="str">
        <x:v>-74.02105</x:v>
      </x:c>
      <x:c r="D1019" s="78" t="n">
        <x:v>4.66135</x:v>
      </x:c>
      <x:c r="E1019" s="78" t="n">
        <x:v>-74.02105</x:v>
      </x:c>
      <x:c r="F1019" s="69" t="str">
        <x:v>Texto→número</x:v>
      </x:c>
      <x:c r="G1019" s="69" t="str">
        <x:v>Texto→número</x:v>
      </x:c>
      <x:c r="H1019" s="80" t="str">
        <x:v>OK</x:v>
      </x:c>
      <x:c r="I1019" s="69" t="str"/>
      <x:c r="J1019" s="69" t="str">
        <x:v>4.66135|-74.02105</x:v>
      </x:c>
      <x:c r="K1019" s="82" t="n">
        <x:v>0</x:v>
      </x:c>
    </x:row>
    <x:row r="1020">
      <x:c r="A1020" s="76" t="n">
        <x:v>1020</x:v>
      </x:c>
      <x:c r="B1020" s="69" t="str">
        <x:v>4.63205</x:v>
      </x:c>
      <x:c r="C1020" s="69" t="str">
        <x:v>-74.03504</x:v>
      </x:c>
      <x:c r="D1020" s="78" t="n">
        <x:v>4.63205</x:v>
      </x:c>
      <x:c r="E1020" s="78" t="n">
        <x:v>-74.03504</x:v>
      </x:c>
      <x:c r="F1020" s="69" t="str">
        <x:v>Texto→número</x:v>
      </x:c>
      <x:c r="G1020" s="69" t="str">
        <x:v>Texto→número</x:v>
      </x:c>
      <x:c r="H1020" s="80" t="str">
        <x:v>OK</x:v>
      </x:c>
      <x:c r="I1020" s="69" t="str"/>
      <x:c r="J1020" s="69"/>
      <x:c r="K1020" s="82" t="n">
        <x:v>1</x:v>
      </x:c>
    </x:row>
    <x:row r="1021">
      <x:c r="A1021" s="76" t="n">
        <x:v>1021</x:v>
      </x:c>
      <x:c r="B1021" s="69" t="str">
        <x:v>4.63205</x:v>
      </x:c>
      <x:c r="C1021" s="69" t="str">
        <x:v>-74.03504</x:v>
      </x:c>
      <x:c r="D1021" s="78" t="n">
        <x:v>4.63205</x:v>
      </x:c>
      <x:c r="E1021" s="78" t="n">
        <x:v>-74.03504</x:v>
      </x:c>
      <x:c r="F1021" s="69" t="str">
        <x:v>Texto→número</x:v>
      </x:c>
      <x:c r="G1021" s="69" t="str">
        <x:v>Texto→número</x:v>
      </x:c>
      <x:c r="H1021" s="80" t="str">
        <x:v>OK</x:v>
      </x:c>
      <x:c r="I1021" s="69" t="str"/>
      <x:c r="J1021" s="69"/>
      <x:c r="K1021" s="82" t="n">
        <x:v>1</x:v>
      </x:c>
    </x:row>
    <x:row r="1022">
      <x:c r="A1022" s="76" t="n">
        <x:v>1022</x:v>
      </x:c>
      <x:c r="B1022" s="69" t="str">
        <x:v>4.63205</x:v>
      </x:c>
      <x:c r="C1022" s="69" t="str">
        <x:v>-74.03504</x:v>
      </x:c>
      <x:c r="D1022" s="78" t="n">
        <x:v>4.63205</x:v>
      </x:c>
      <x:c r="E1022" s="78" t="n">
        <x:v>-74.03504</x:v>
      </x:c>
      <x:c r="F1022" s="69" t="str">
        <x:v>Texto→número</x:v>
      </x:c>
      <x:c r="G1022" s="69" t="str">
        <x:v>Texto→número</x:v>
      </x:c>
      <x:c r="H1022" s="80" t="str">
        <x:v>OK</x:v>
      </x:c>
      <x:c r="I1022" s="69" t="str"/>
      <x:c r="J1022" s="69"/>
      <x:c r="K1022" s="82" t="n">
        <x:v>1</x:v>
      </x:c>
    </x:row>
    <x:row r="1023">
      <x:c r="A1023" s="76" t="n">
        <x:v>1023</x:v>
      </x:c>
      <x:c r="B1023" s="69" t="str">
        <x:v>4.63205</x:v>
      </x:c>
      <x:c r="C1023" s="69" t="str">
        <x:v>-74.03504</x:v>
      </x:c>
      <x:c r="D1023" s="78" t="n">
        <x:v>4.63205</x:v>
      </x:c>
      <x:c r="E1023" s="78" t="n">
        <x:v>-74.03504</x:v>
      </x:c>
      <x:c r="F1023" s="69" t="str">
        <x:v>Texto→número</x:v>
      </x:c>
      <x:c r="G1023" s="69" t="str">
        <x:v>Texto→número</x:v>
      </x:c>
      <x:c r="H1023" s="80" t="str">
        <x:v>OK</x:v>
      </x:c>
      <x:c r="I1023" s="69" t="str"/>
      <x:c r="J1023" s="69"/>
      <x:c r="K1023" s="82" t="n">
        <x:v>1</x:v>
      </x:c>
    </x:row>
    <x:row r="1024">
      <x:c r="A1024" s="76" t="n">
        <x:v>1024</x:v>
      </x:c>
      <x:c r="B1024" s="69" t="str">
        <x:v>5.1134</x:v>
      </x:c>
      <x:c r="C1024" s="69" t="str">
        <x:v>-73.84359</x:v>
      </x:c>
      <x:c r="D1024" s="78" t="n">
        <x:v>5.1134</x:v>
      </x:c>
      <x:c r="E1024" s="78" t="n">
        <x:v>-73.84359</x:v>
      </x:c>
      <x:c r="F1024" s="69" t="str">
        <x:v>Texto→número</x:v>
      </x:c>
      <x:c r="G1024" s="69" t="str">
        <x:v>Texto→número</x:v>
      </x:c>
      <x:c r="H1024" s="80" t="str">
        <x:v>OK</x:v>
      </x:c>
      <x:c r="I1024" s="69" t="str"/>
      <x:c r="J1024" s="69" t="str">
        <x:v>5.1134|-73.84359</x:v>
      </x:c>
      <x:c r="K1024" s="82" t="n">
        <x:v>0</x:v>
      </x:c>
    </x:row>
    <x:row r="1025">
      <x:c r="A1025" s="76" t="n">
        <x:v>1025</x:v>
      </x:c>
      <x:c r="B1025" s="69" t="str">
        <x:v>4.99789</x:v>
      </x:c>
      <x:c r="C1025" s="69" t="str">
        <x:v>-74.14903</x:v>
      </x:c>
      <x:c r="D1025" s="78" t="n">
        <x:v>4.99789</x:v>
      </x:c>
      <x:c r="E1025" s="78" t="n">
        <x:v>-74.14903</x:v>
      </x:c>
      <x:c r="F1025" s="69" t="str">
        <x:v>Texto→número</x:v>
      </x:c>
      <x:c r="G1025" s="69" t="str">
        <x:v>Texto→número</x:v>
      </x:c>
      <x:c r="H1025" s="80" t="str">
        <x:v>OK</x:v>
      </x:c>
      <x:c r="I1025" s="69" t="str"/>
      <x:c r="J1025" s="69"/>
      <x:c r="K1025" s="82" t="n">
        <x:v>1</x:v>
      </x:c>
    </x:row>
    <x:row r="1026">
      <x:c r="A1026" s="76" t="n">
        <x:v>1026</x:v>
      </x:c>
      <x:c r="B1026" s="69" t="str">
        <x:v>10.9166</x:v>
      </x:c>
      <x:c r="C1026" s="69" t="str">
        <x:v>-73.83329</x:v>
      </x:c>
      <x:c r="D1026" s="78" t="n">
        <x:v>10.9166</x:v>
      </x:c>
      <x:c r="E1026" s="78" t="n">
        <x:v>-73.83329</x:v>
      </x:c>
      <x:c r="F1026" s="69" t="str">
        <x:v>Texto→número</x:v>
      </x:c>
      <x:c r="G1026" s="69" t="str">
        <x:v>Texto→número</x:v>
      </x:c>
      <x:c r="H1026" s="80" t="str">
        <x:v>OK</x:v>
      </x:c>
      <x:c r="I1026" s="69" t="str"/>
      <x:c r="J1026" s="69"/>
      <x:c r="K1026" s="82" t="n">
        <x:v>1</x:v>
      </x:c>
    </x:row>
    <x:row r="1027">
      <x:c r="A1027" s="76" t="n">
        <x:v>1027</x:v>
      </x:c>
      <x:c r="B1027" s="69" t="str">
        <x:v>1.14549</x:v>
      </x:c>
      <x:c r="C1027" s="69" t="str">
        <x:v>-77.19798</x:v>
      </x:c>
      <x:c r="D1027" s="78" t="n">
        <x:v>1.14549</x:v>
      </x:c>
      <x:c r="E1027" s="78" t="n">
        <x:v>-77.19798</x:v>
      </x:c>
      <x:c r="F1027" s="69" t="str">
        <x:v>Texto→número</x:v>
      </x:c>
      <x:c r="G1027" s="69" t="str">
        <x:v>Texto→número</x:v>
      </x:c>
      <x:c r="H1027" s="80" t="str">
        <x:v>OK</x:v>
      </x:c>
      <x:c r="I1027" s="69" t="str"/>
      <x:c r="J1027" s="69" t="str">
        <x:v>1.14549|-77.19798</x:v>
      </x:c>
      <x:c r="K1027" s="82" t="n">
        <x:v>0</x:v>
      </x:c>
    </x:row>
    <x:row r="1028">
      <x:c r="A1028" s="76" t="n">
        <x:v>1028</x:v>
      </x:c>
      <x:c r="B1028" s="69" t="str">
        <x:v>1.2136917</x:v>
      </x:c>
      <x:c r="C1028" s="69" t="str">
        <x:v>-77.2726361</x:v>
      </x:c>
      <x:c r="D1028" s="78" t="n">
        <x:v>1.2136917</x:v>
      </x:c>
      <x:c r="E1028" s="78" t="n">
        <x:v>-77.2726361</x:v>
      </x:c>
      <x:c r="F1028" s="69" t="str">
        <x:v>Texto→número</x:v>
      </x:c>
      <x:c r="G1028" s="69" t="str">
        <x:v>Texto→número</x:v>
      </x:c>
      <x:c r="H1028" s="80" t="str">
        <x:v>OK</x:v>
      </x:c>
      <x:c r="I1028" s="69" t="str"/>
      <x:c r="J1028" s="69"/>
      <x:c r="K1028" s="82" t="n">
        <x:v>1</x:v>
      </x:c>
    </x:row>
    <x:row r="1029">
      <x:c r="A1029" s="76" t="n">
        <x:v>1029</x:v>
      </x:c>
      <x:c r="B1029" s="69" t="str">
        <x:v>1.1213</x:v>
      </x:c>
      <x:c r="C1029" s="69" t="str">
        <x:v>-77.18953</x:v>
      </x:c>
      <x:c r="D1029" s="78" t="n">
        <x:v>1.1213</x:v>
      </x:c>
      <x:c r="E1029" s="78" t="n">
        <x:v>-77.18953</x:v>
      </x:c>
      <x:c r="F1029" s="69" t="str">
        <x:v>Texto→número</x:v>
      </x:c>
      <x:c r="G1029" s="69" t="str">
        <x:v>Texto→número</x:v>
      </x:c>
      <x:c r="H1029" s="80" t="str">
        <x:v>OK</x:v>
      </x:c>
      <x:c r="I1029" s="69" t="str"/>
      <x:c r="J1029" s="69"/>
      <x:c r="K1029" s="82" t="n">
        <x:v>1</x:v>
      </x:c>
    </x:row>
    <x:row r="1030">
      <x:c r="A1030" s="76" t="n">
        <x:v>1030</x:v>
      </x:c>
      <x:c r="B1030" s="69" t="str">
        <x:v>1.2</x:v>
      </x:c>
      <x:c r="C1030" s="69" t="str">
        <x:v>-77.2</x:v>
      </x:c>
      <x:c r="D1030" s="78" t="n">
        <x:v>1.2</x:v>
      </x:c>
      <x:c r="E1030" s="78" t="n">
        <x:v>-77.2</x:v>
      </x:c>
      <x:c r="F1030" s="69" t="str">
        <x:v>Texto→número</x:v>
      </x:c>
      <x:c r="G1030" s="69" t="str">
        <x:v>Texto→número</x:v>
      </x:c>
      <x:c r="H1030" s="80" t="str">
        <x:v>OK</x:v>
      </x:c>
      <x:c r="I1030" s="69" t="str"/>
      <x:c r="J1030" s="69" t="str">
        <x:v>1.2|-77.2</x:v>
      </x:c>
      <x:c r="K1030" s="82" t="n">
        <x:v>0</x:v>
      </x:c>
    </x:row>
    <x:row r="1031">
      <x:c r="A1031" s="76" t="n">
        <x:v>1031</x:v>
      </x:c>
      <x:c r="B1031" s="69" t="str">
        <x:v>1.2136917</x:v>
      </x:c>
      <x:c r="C1031" s="69" t="str">
        <x:v>-77.2726361</x:v>
      </x:c>
      <x:c r="D1031" s="78" t="n">
        <x:v>1.2136917</x:v>
      </x:c>
      <x:c r="E1031" s="78" t="n">
        <x:v>-77.2726361</x:v>
      </x:c>
      <x:c r="F1031" s="69" t="str">
        <x:v>Texto→número</x:v>
      </x:c>
      <x:c r="G1031" s="69" t="str">
        <x:v>Texto→número</x:v>
      </x:c>
      <x:c r="H1031" s="80" t="str">
        <x:v>OK</x:v>
      </x:c>
      <x:c r="I1031" s="69" t="str"/>
      <x:c r="J1031" s="69"/>
      <x:c r="K1031" s="82" t="n">
        <x:v>1</x:v>
      </x:c>
    </x:row>
    <x:row r="1032">
      <x:c r="A1032" s="76" t="n">
        <x:v>1032</x:v>
      </x:c>
      <x:c r="B1032" s="69" t="str">
        <x:v>1.2136917</x:v>
      </x:c>
      <x:c r="C1032" s="69" t="str">
        <x:v>-77.2726361</x:v>
      </x:c>
      <x:c r="D1032" s="78" t="n">
        <x:v>1.2136917</x:v>
      </x:c>
      <x:c r="E1032" s="78" t="n">
        <x:v>-77.2726361</x:v>
      </x:c>
      <x:c r="F1032" s="69" t="str">
        <x:v>Texto→número</x:v>
      </x:c>
      <x:c r="G1032" s="69" t="str">
        <x:v>Texto→número</x:v>
      </x:c>
      <x:c r="H1032" s="80" t="str">
        <x:v>OK</x:v>
      </x:c>
      <x:c r="I1032" s="69" t="str"/>
      <x:c r="J1032" s="69"/>
      <x:c r="K1032" s="82" t="n">
        <x:v>1</x:v>
      </x:c>
    </x:row>
    <x:row r="1033">
      <x:c r="A1033" s="76" t="n">
        <x:v>1033</x:v>
      </x:c>
      <x:c r="B1033" s="69" t="str">
        <x:v>1.1626667</x:v>
      </x:c>
      <x:c r="C1033" s="69" t="str">
        <x:v>-77.1527472</x:v>
      </x:c>
      <x:c r="D1033" s="78" t="n">
        <x:v>1.1626667</x:v>
      </x:c>
      <x:c r="E1033" s="78" t="n">
        <x:v>-77.1527472</x:v>
      </x:c>
      <x:c r="F1033" s="69" t="str">
        <x:v>Texto→número</x:v>
      </x:c>
      <x:c r="G1033" s="69" t="str">
        <x:v>Texto→número</x:v>
      </x:c>
      <x:c r="H1033" s="80" t="str">
        <x:v>OK</x:v>
      </x:c>
      <x:c r="I1033" s="69" t="str"/>
      <x:c r="J1033" s="69" t="str">
        <x:v>1.1626667|-77.1527472</x:v>
      </x:c>
      <x:c r="K1033" s="82" t="n">
        <x:v>0</x:v>
      </x:c>
    </x:row>
    <x:row r="1034">
      <x:c r="A1034" s="76" t="n">
        <x:v>1034</x:v>
      </x:c>
      <x:c r="B1034" s="69" t="str">
        <x:v>7.43993</x:v>
      </x:c>
      <x:c r="C1034" s="69" t="str">
        <x:v>-72.45095</x:v>
      </x:c>
      <x:c r="D1034" s="78" t="n">
        <x:v>7.43993</x:v>
      </x:c>
      <x:c r="E1034" s="78" t="n">
        <x:v>-72.45095</x:v>
      </x:c>
      <x:c r="F1034" s="69" t="str">
        <x:v>Texto→número</x:v>
      </x:c>
      <x:c r="G1034" s="69" t="str">
        <x:v>Texto→número</x:v>
      </x:c>
      <x:c r="H1034" s="80" t="str">
        <x:v>OK</x:v>
      </x:c>
      <x:c r="I1034" s="69" t="str"/>
      <x:c r="J1034" s="69"/>
      <x:c r="K1034" s="82" t="n">
        <x:v>1</x:v>
      </x:c>
    </x:row>
    <x:row r="1035">
      <x:c r="A1035" s="76" t="n">
        <x:v>1035</x:v>
      </x:c>
      <x:c r="B1035" s="69" t="str">
        <x:v>4.6666667</x:v>
      </x:c>
      <x:c r="C1035" s="69" t="str">
        <x:v>-75.5</x:v>
      </x:c>
      <x:c r="D1035" s="78" t="n">
        <x:v>4.6666667</x:v>
      </x:c>
      <x:c r="E1035" s="78" t="n">
        <x:v>-75.5</x:v>
      </x:c>
      <x:c r="F1035" s="69" t="str">
        <x:v>Texto→número</x:v>
      </x:c>
      <x:c r="G1035" s="69" t="str">
        <x:v>Texto→número</x:v>
      </x:c>
      <x:c r="H1035" s="80" t="str">
        <x:v>OK</x:v>
      </x:c>
      <x:c r="I1035" s="69" t="str"/>
      <x:c r="J1035" s="69"/>
      <x:c r="K1035" s="82" t="n">
        <x:v>1</x:v>
      </x:c>
    </x:row>
    <x:row r="1036">
      <x:c r="A1036" s="76" t="n">
        <x:v>1036</x:v>
      </x:c>
      <x:c r="B1036" s="69" t="str">
        <x:v>4.6666667</x:v>
      </x:c>
      <x:c r="C1036" s="69" t="str">
        <x:v>-75.5</x:v>
      </x:c>
      <x:c r="D1036" s="78" t="n">
        <x:v>4.6666667</x:v>
      </x:c>
      <x:c r="E1036" s="78" t="n">
        <x:v>-75.5</x:v>
      </x:c>
      <x:c r="F1036" s="69" t="str">
        <x:v>Texto→número</x:v>
      </x:c>
      <x:c r="G1036" s="69" t="str">
        <x:v>Texto→número</x:v>
      </x:c>
      <x:c r="H1036" s="80" t="str">
        <x:v>OK</x:v>
      </x:c>
      <x:c r="I1036" s="69" t="str"/>
      <x:c r="J1036" s="69"/>
      <x:c r="K1036" s="82" t="n">
        <x:v>1</x:v>
      </x:c>
    </x:row>
    <x:row r="1037">
      <x:c r="A1037" s="76" t="n">
        <x:v>1037</x:v>
      </x:c>
      <x:c r="B1037" s="69" t="str">
        <x:v>4.6666667</x:v>
      </x:c>
      <x:c r="C1037" s="69" t="str">
        <x:v>-75.5</x:v>
      </x:c>
      <x:c r="D1037" s="78" t="n">
        <x:v>4.6666667</x:v>
      </x:c>
      <x:c r="E1037" s="78" t="n">
        <x:v>-75.5</x:v>
      </x:c>
      <x:c r="F1037" s="69" t="str">
        <x:v>Texto→número</x:v>
      </x:c>
      <x:c r="G1037" s="69" t="str">
        <x:v>Texto→número</x:v>
      </x:c>
      <x:c r="H1037" s="80" t="str">
        <x:v>OK</x:v>
      </x:c>
      <x:c r="I1037" s="69" t="str"/>
      <x:c r="J1037" s="69"/>
      <x:c r="K1037" s="82" t="n">
        <x:v>1</x:v>
      </x:c>
    </x:row>
    <x:row r="1038">
      <x:c r="A1038" s="76" t="n">
        <x:v>1038</x:v>
      </x:c>
      <x:c r="B1038" s="69" t="str">
        <x:v>4.63795</x:v>
      </x:c>
      <x:c r="C1038" s="69" t="str">
        <x:v>-75.48913</x:v>
      </x:c>
      <x:c r="D1038" s="78" t="n">
        <x:v>4.63795</x:v>
      </x:c>
      <x:c r="E1038" s="78" t="n">
        <x:v>-75.48913</x:v>
      </x:c>
      <x:c r="F1038" s="69" t="str">
        <x:v>Texto→número</x:v>
      </x:c>
      <x:c r="G1038" s="69" t="str">
        <x:v>Texto→número</x:v>
      </x:c>
      <x:c r="H1038" s="80" t="str">
        <x:v>OK</x:v>
      </x:c>
      <x:c r="I1038" s="69" t="str"/>
      <x:c r="J1038" s="69" t="str">
        <x:v>4.63795|-75.48913</x:v>
      </x:c>
      <x:c r="K1038" s="82" t="n">
        <x:v>0</x:v>
      </x:c>
    </x:row>
    <x:row r="1039">
      <x:c r="A1039" s="76" t="n">
        <x:v>1039</x:v>
      </x:c>
      <x:c r="B1039" s="69" t="str">
        <x:v>5.1244244</x:v>
      </x:c>
      <x:c r="C1039" s="69" t="str">
        <x:v>-76.0416654</x:v>
      </x:c>
      <x:c r="D1039" s="78" t="n">
        <x:v>5.1244244</x:v>
      </x:c>
      <x:c r="E1039" s="78" t="n">
        <x:v>-76.0416654</x:v>
      </x:c>
      <x:c r="F1039" s="69" t="str">
        <x:v>Texto→número</x:v>
      </x:c>
      <x:c r="G1039" s="69" t="str">
        <x:v>Texto→número</x:v>
      </x:c>
      <x:c r="H1039" s="80" t="str">
        <x:v>OK</x:v>
      </x:c>
      <x:c r="I1039" s="69" t="str"/>
      <x:c r="J1039" s="69"/>
      <x:c r="K1039" s="82" t="n">
        <x:v>1</x:v>
      </x:c>
    </x:row>
    <x:row r="1040">
      <x:c r="A1040" s="76" t="n">
        <x:v>1040</x:v>
      </x:c>
      <x:c r="B1040" s="69" t="str">
        <x:v>4.4400361</x:v>
      </x:c>
      <x:c r="C1040" s="69" t="str">
        <x:v>-75.4301139</x:v>
      </x:c>
      <x:c r="D1040" s="78" t="n">
        <x:v>4.4400361</x:v>
      </x:c>
      <x:c r="E1040" s="78" t="n">
        <x:v>-75.4301139</x:v>
      </x:c>
      <x:c r="F1040" s="69" t="str">
        <x:v>Texto→número</x:v>
      </x:c>
      <x:c r="G1040" s="69" t="str">
        <x:v>Texto→número</x:v>
      </x:c>
      <x:c r="H1040" s="80" t="str">
        <x:v>OK</x:v>
      </x:c>
      <x:c r="I1040" s="69" t="str"/>
      <x:c r="J1040" s="69" t="str">
        <x:v>4.4400361|-75.4301139</x:v>
      </x:c>
      <x:c r="K1040" s="82" t="n">
        <x:v>0</x:v>
      </x:c>
    </x:row>
    <x:row r="1041">
      <x:c r="A1041" s="76" t="n">
        <x:v>1041</x:v>
      </x:c>
      <x:c r="B1041" s="69" t="str">
        <x:v>4.58039</x:v>
      </x:c>
      <x:c r="C1041" s="69" t="str">
        <x:v>-75.3754</x:v>
      </x:c>
      <x:c r="D1041" s="78" t="n">
        <x:v>4.58039</x:v>
      </x:c>
      <x:c r="E1041" s="78" t="n">
        <x:v>-75.3754</x:v>
      </x:c>
      <x:c r="F1041" s="69" t="str">
        <x:v>Texto→número</x:v>
      </x:c>
      <x:c r="G1041" s="69" t="str">
        <x:v>Texto→número</x:v>
      </x:c>
      <x:c r="H1041" s="80" t="str">
        <x:v>OK</x:v>
      </x:c>
      <x:c r="I1041" s="69" t="str"/>
      <x:c r="J1041" s="69"/>
      <x:c r="K1041" s="82" t="n">
        <x:v>1</x:v>
      </x:c>
    </x:row>
    <x:row r="1042">
      <x:c r="A1042" s="76" t="n">
        <x:v>1042</x:v>
      </x:c>
      <x:c r="B1042" s="69" t="str">
        <x:v>11.15513</x:v>
      </x:c>
      <x:c r="C1042" s="69" t="str">
        <x:v>-74.06847</x:v>
      </x:c>
      <x:c r="D1042" s="78" t="n">
        <x:v>11.15513</x:v>
      </x:c>
      <x:c r="E1042" s="78" t="n">
        <x:v>-74.06847</x:v>
      </x:c>
      <x:c r="F1042" s="69" t="str">
        <x:v>Texto→número</x:v>
      </x:c>
      <x:c r="G1042" s="69" t="str">
        <x:v>Texto→número</x:v>
      </x:c>
      <x:c r="H1042" s="80" t="str">
        <x:v>OK</x:v>
      </x:c>
      <x:c r="I1042" s="69" t="str"/>
      <x:c r="J1042" s="69" t="str">
        <x:v>11.15513|-74.06847</x:v>
      </x:c>
      <x:c r="K1042" s="82" t="n">
        <x:v>0</x:v>
      </x:c>
    </x:row>
    <x:row r="1043">
      <x:c r="A1043" s="76" t="n">
        <x:v>1043</x:v>
      </x:c>
      <x:c r="B1043" s="69" t="str">
        <x:v>11.0961944</x:v>
      </x:c>
      <x:c r="C1043" s="69" t="str">
        <x:v>-74.0754167</x:v>
      </x:c>
      <x:c r="D1043" s="78" t="n">
        <x:v>11.0961944</x:v>
      </x:c>
      <x:c r="E1043" s="78" t="n">
        <x:v>-74.0754167</x:v>
      </x:c>
      <x:c r="F1043" s="69" t="str">
        <x:v>Texto→número</x:v>
      </x:c>
      <x:c r="G1043" s="69" t="str">
        <x:v>Texto→número</x:v>
      </x:c>
      <x:c r="H1043" s="80" t="str">
        <x:v>OK</x:v>
      </x:c>
      <x:c r="I1043" s="69" t="str"/>
      <x:c r="J1043" s="69" t="str">
        <x:v>11.0961944|-74.0754167</x:v>
      </x:c>
      <x:c r="K1043" s="82" t="n">
        <x:v>0</x:v>
      </x:c>
    </x:row>
    <x:row r="1044">
      <x:c r="A1044" s="76" t="n">
        <x:v>1044</x:v>
      </x:c>
      <x:c r="B1044" s="69" t="str">
        <x:v>11.0961944</x:v>
      </x:c>
      <x:c r="C1044" s="69" t="str">
        <x:v>-74.0754167</x:v>
      </x:c>
      <x:c r="D1044" s="78" t="n">
        <x:v>11.0961944</x:v>
      </x:c>
      <x:c r="E1044" s="78" t="n">
        <x:v>-74.0754167</x:v>
      </x:c>
      <x:c r="F1044" s="69" t="str">
        <x:v>Texto→número</x:v>
      </x:c>
      <x:c r="G1044" s="69" t="str">
        <x:v>Texto→número</x:v>
      </x:c>
      <x:c r="H1044" s="80" t="str">
        <x:v>OK</x:v>
      </x:c>
      <x:c r="I1044" s="69" t="str"/>
      <x:c r="J1044" s="69"/>
      <x:c r="K1044" s="82" t="n">
        <x:v>1</x:v>
      </x:c>
    </x:row>
    <x:row r="1045">
      <x:c r="A1045" s="76" t="n">
        <x:v>1045</x:v>
      </x:c>
      <x:c r="B1045" s="69" t="str">
        <x:v>-0.63239</x:v>
      </x:c>
      <x:c r="C1045" s="69" t="str">
        <x:v>-72.33849</x:v>
      </x:c>
      <x:c r="D1045" s="78" t="n">
        <x:v>-0.63239</x:v>
      </x:c>
      <x:c r="E1045" s="78" t="n">
        <x:v>-72.33849</x:v>
      </x:c>
      <x:c r="F1045" s="69" t="str">
        <x:v>Texto→número</x:v>
      </x:c>
      <x:c r="G1045" s="69" t="str">
        <x:v>Texto→número</x:v>
      </x:c>
      <x:c r="H1045" s="80" t="str">
        <x:v>OK</x:v>
      </x:c>
      <x:c r="I1045" s="69" t="str"/>
      <x:c r="J1045" s="69" t="str">
        <x:v>-0.63239|-72.33849</x:v>
      </x:c>
      <x:c r="K1045" s="82" t="n">
        <x:v>0</x:v>
      </x:c>
    </x:row>
    <x:row r="1046">
      <x:c r="A1046" s="76" t="n">
        <x:v>1046</x:v>
      </x:c>
      <x:c r="B1046" s="69" t="str">
        <x:v>-3.7872</x:v>
      </x:c>
      <x:c r="C1046" s="69" t="str">
        <x:v>-70.29703</x:v>
      </x:c>
      <x:c r="D1046" s="78" t="n">
        <x:v>-3.7872</x:v>
      </x:c>
      <x:c r="E1046" s="78" t="n">
        <x:v>-70.29703</x:v>
      </x:c>
      <x:c r="F1046" s="69" t="str">
        <x:v>Texto→número</x:v>
      </x:c>
      <x:c r="G1046" s="69" t="str">
        <x:v>Texto→número</x:v>
      </x:c>
      <x:c r="H1046" s="80" t="str">
        <x:v>OK</x:v>
      </x:c>
      <x:c r="I1046" s="69" t="str"/>
      <x:c r="J1046" s="69" t="str">
        <x:v>-3.7872|-70.29703</x:v>
      </x:c>
      <x:c r="K1046" s="82" t="n">
        <x:v>0</x:v>
      </x:c>
    </x:row>
    <x:row r="1047">
      <x:c r="A1047" s="76" t="n">
        <x:v>1047</x:v>
      </x:c>
      <x:c r="B1047" s="69" t="str">
        <x:v>-3.77961</x:v>
      </x:c>
      <x:c r="C1047" s="69" t="str">
        <x:v>-70.20618</x:v>
      </x:c>
      <x:c r="D1047" s="78" t="n">
        <x:v>-3.77961</x:v>
      </x:c>
      <x:c r="E1047" s="78" t="n">
        <x:v>-70.20618</x:v>
      </x:c>
      <x:c r="F1047" s="69" t="str">
        <x:v>Texto→número</x:v>
      </x:c>
      <x:c r="G1047" s="69" t="str">
        <x:v>Texto→número</x:v>
      </x:c>
      <x:c r="H1047" s="80" t="str">
        <x:v>OK</x:v>
      </x:c>
      <x:c r="I1047" s="69" t="str"/>
      <x:c r="J1047" s="69" t="str">
        <x:v>-3.77961|-70.20618</x:v>
      </x:c>
      <x:c r="K1047" s="82" t="n">
        <x:v>0</x:v>
      </x:c>
    </x:row>
    <x:row r="1048">
      <x:c r="A1048" s="76" t="n">
        <x:v>1048</x:v>
      </x:c>
      <x:c r="B1048" s="69" t="str">
        <x:v>5.96664</x:v>
      </x:c>
      <x:c r="C1048" s="69" t="str">
        <x:v>-74.92114</x:v>
      </x:c>
      <x:c r="D1048" s="78" t="n">
        <x:v>5.96664</x:v>
      </x:c>
      <x:c r="E1048" s="78" t="n">
        <x:v>-74.92114</x:v>
      </x:c>
      <x:c r="F1048" s="69" t="str">
        <x:v>Texto→número</x:v>
      </x:c>
      <x:c r="G1048" s="69" t="str">
        <x:v>Texto→número</x:v>
      </x:c>
      <x:c r="H1048" s="80" t="str">
        <x:v>OK</x:v>
      </x:c>
      <x:c r="I1048" s="69" t="str"/>
      <x:c r="J1048" s="69" t="str">
        <x:v>5.96664|-74.92114</x:v>
      </x:c>
      <x:c r="K1048" s="82" t="n">
        <x:v>0</x:v>
      </x:c>
    </x:row>
    <x:row r="1049">
      <x:c r="A1049" s="76" t="n">
        <x:v>1049</x:v>
      </x:c>
      <x:c r="B1049" s="69" t="str">
        <x:v>6.2264</x:v>
      </x:c>
      <x:c r="C1049" s="69" t="str">
        <x:v>-75.5666</x:v>
      </x:c>
      <x:c r="D1049" s="78" t="n">
        <x:v>6.2264</x:v>
      </x:c>
      <x:c r="E1049" s="78" t="n">
        <x:v>-75.5666</x:v>
      </x:c>
      <x:c r="F1049" s="69" t="str">
        <x:v>Texto→número</x:v>
      </x:c>
      <x:c r="G1049" s="69" t="str">
        <x:v>Texto→número</x:v>
      </x:c>
      <x:c r="H1049" s="80" t="str">
        <x:v>OK</x:v>
      </x:c>
      <x:c r="I1049" s="69" t="str"/>
      <x:c r="J1049" s="69" t="str">
        <x:v>6.2264|-75.5666</x:v>
      </x:c>
      <x:c r="K1049" s="82" t="n">
        <x:v>0</x:v>
      </x:c>
    </x:row>
    <x:row r="1050">
      <x:c r="A1050" s="76" t="n">
        <x:v>1050</x:v>
      </x:c>
      <x:c r="B1050" s="69" t="str">
        <x:v>6.2264</x:v>
      </x:c>
      <x:c r="C1050" s="69" t="str">
        <x:v>-75.5666</x:v>
      </x:c>
      <x:c r="D1050" s="78" t="n">
        <x:v>6.2264</x:v>
      </x:c>
      <x:c r="E1050" s="78" t="n">
        <x:v>-75.5666</x:v>
      </x:c>
      <x:c r="F1050" s="69" t="str">
        <x:v>Texto→número</x:v>
      </x:c>
      <x:c r="G1050" s="69" t="str">
        <x:v>Texto→número</x:v>
      </x:c>
      <x:c r="H1050" s="80" t="str">
        <x:v>OK</x:v>
      </x:c>
      <x:c r="I1050" s="69" t="str"/>
      <x:c r="J1050" s="69"/>
      <x:c r="K1050" s="82" t="n">
        <x:v>1</x:v>
      </x:c>
    </x:row>
    <x:row r="1051">
      <x:c r="A1051" s="76" t="n">
        <x:v>1051</x:v>
      </x:c>
      <x:c r="B1051" s="69" t="str">
        <x:v>6.23099</x:v>
      </x:c>
      <x:c r="C1051" s="69" t="str">
        <x:v>-75.6573</x:v>
      </x:c>
      <x:c r="D1051" s="78" t="n">
        <x:v>6.23099</x:v>
      </x:c>
      <x:c r="E1051" s="78" t="n">
        <x:v>-75.6573</x:v>
      </x:c>
      <x:c r="F1051" s="69" t="str">
        <x:v>Texto→número</x:v>
      </x:c>
      <x:c r="G1051" s="69" t="str">
        <x:v>Texto→número</x:v>
      </x:c>
      <x:c r="H1051" s="80" t="str">
        <x:v>OK</x:v>
      </x:c>
      <x:c r="I1051" s="69" t="str"/>
      <x:c r="J1051" s="69" t="str">
        <x:v>6.23099|-75.6573</x:v>
      </x:c>
      <x:c r="K1051" s="82" t="n">
        <x:v>0</x:v>
      </x:c>
    </x:row>
    <x:row r="1052">
      <x:c r="A1052" s="76" t="n">
        <x:v>1052</x:v>
      </x:c>
      <x:c r="B1052" s="69" t="str">
        <x:v>7.0764389</x:v>
      </x:c>
      <x:c r="C1052" s="69" t="str">
        <x:v>-75.1565389</x:v>
      </x:c>
      <x:c r="D1052" s="78" t="n">
        <x:v>7.0764389</x:v>
      </x:c>
      <x:c r="E1052" s="78" t="n">
        <x:v>-75.1565389</x:v>
      </x:c>
      <x:c r="F1052" s="69" t="str">
        <x:v>Texto→número</x:v>
      </x:c>
      <x:c r="G1052" s="69" t="str">
        <x:v>Texto→número</x:v>
      </x:c>
      <x:c r="H1052" s="80" t="str">
        <x:v>OK</x:v>
      </x:c>
      <x:c r="I1052" s="69" t="str"/>
      <x:c r="J1052" s="69"/>
      <x:c r="K1052" s="82" t="n">
        <x:v>1</x:v>
      </x:c>
    </x:row>
    <x:row r="1053">
      <x:c r="A1053" s="76" t="n">
        <x:v>1053</x:v>
      </x:c>
      <x:c r="B1053" s="69" t="str">
        <x:v>7.31676</x:v>
      </x:c>
      <x:c r="C1053" s="69" t="str">
        <x:v>-75.05643</x:v>
      </x:c>
      <x:c r="D1053" s="78" t="n">
        <x:v>7.31676</x:v>
      </x:c>
      <x:c r="E1053" s="78" t="n">
        <x:v>-75.05643</x:v>
      </x:c>
      <x:c r="F1053" s="69" t="str">
        <x:v>Texto→número</x:v>
      </x:c>
      <x:c r="G1053" s="69" t="str">
        <x:v>Texto→número</x:v>
      </x:c>
      <x:c r="H1053" s="80" t="str">
        <x:v>OK</x:v>
      </x:c>
      <x:c r="I1053" s="69" t="str"/>
      <x:c r="J1053" s="69"/>
      <x:c r="K1053" s="82" t="n">
        <x:v>1</x:v>
      </x:c>
    </x:row>
    <x:row r="1054">
      <x:c r="A1054" s="76" t="n">
        <x:v>1054</x:v>
      </x:c>
      <x:c r="B1054" s="69" t="str">
        <x:v>7.31676</x:v>
      </x:c>
      <x:c r="C1054" s="69" t="str">
        <x:v>-75.05643</x:v>
      </x:c>
      <x:c r="D1054" s="78" t="n">
        <x:v>7.31676</x:v>
      </x:c>
      <x:c r="E1054" s="78" t="n">
        <x:v>-75.05643</x:v>
      </x:c>
      <x:c r="F1054" s="69" t="str">
        <x:v>Texto→número</x:v>
      </x:c>
      <x:c r="G1054" s="69" t="str">
        <x:v>Texto→número</x:v>
      </x:c>
      <x:c r="H1054" s="80" t="str">
        <x:v>OK</x:v>
      </x:c>
      <x:c r="I1054" s="69" t="str"/>
      <x:c r="J1054" s="69"/>
      <x:c r="K1054" s="82" t="n">
        <x:v>1</x:v>
      </x:c>
    </x:row>
    <x:row r="1055">
      <x:c r="A1055" s="76" t="n">
        <x:v>1055</x:v>
      </x:c>
      <x:c r="B1055" s="69" t="str">
        <x:v>6.439</x:v>
      </x:c>
      <x:c r="C1055" s="69" t="str">
        <x:v>-75.333</x:v>
      </x:c>
      <x:c r="D1055" s="78" t="n">
        <x:v>6.439</x:v>
      </x:c>
      <x:c r="E1055" s="78" t="n">
        <x:v>-75.333</x:v>
      </x:c>
      <x:c r="F1055" s="69" t="str">
        <x:v>Texto→número</x:v>
      </x:c>
      <x:c r="G1055" s="69" t="str">
        <x:v>Texto→número</x:v>
      </x:c>
      <x:c r="H1055" s="80" t="str">
        <x:v>OK</x:v>
      </x:c>
      <x:c r="I1055" s="69" t="str"/>
      <x:c r="J1055" s="69" t="str">
        <x:v>6.439|-75.333</x:v>
      </x:c>
      <x:c r="K1055" s="82" t="n">
        <x:v>0</x:v>
      </x:c>
    </x:row>
    <x:row r="1056">
      <x:c r="A1056" s="76" t="n">
        <x:v>1056</x:v>
      </x:c>
      <x:c r="B1056" s="69" t="str">
        <x:v>6.439</x:v>
      </x:c>
      <x:c r="C1056" s="69" t="str">
        <x:v>-75.333</x:v>
      </x:c>
      <x:c r="D1056" s="78" t="n">
        <x:v>6.439</x:v>
      </x:c>
      <x:c r="E1056" s="78" t="n">
        <x:v>-75.333</x:v>
      </x:c>
      <x:c r="F1056" s="69" t="str">
        <x:v>Texto→número</x:v>
      </x:c>
      <x:c r="G1056" s="69" t="str">
        <x:v>Texto→número</x:v>
      </x:c>
      <x:c r="H1056" s="80" t="str">
        <x:v>OK</x:v>
      </x:c>
      <x:c r="I1056" s="69" t="str"/>
      <x:c r="J1056" s="69"/>
      <x:c r="K1056" s="82" t="n">
        <x:v>1</x:v>
      </x:c>
    </x:row>
    <x:row r="1057">
      <x:c r="A1057" s="76" t="n">
        <x:v>1057</x:v>
      </x:c>
      <x:c r="B1057" s="69" t="str">
        <x:v>6.439</x:v>
      </x:c>
      <x:c r="C1057" s="69" t="str">
        <x:v>-75.333</x:v>
      </x:c>
      <x:c r="D1057" s="78" t="n">
        <x:v>6.439</x:v>
      </x:c>
      <x:c r="E1057" s="78" t="n">
        <x:v>-75.333</x:v>
      </x:c>
      <x:c r="F1057" s="69" t="str">
        <x:v>Texto→número</x:v>
      </x:c>
      <x:c r="G1057" s="69" t="str">
        <x:v>Texto→número</x:v>
      </x:c>
      <x:c r="H1057" s="80" t="str">
        <x:v>OK</x:v>
      </x:c>
      <x:c r="I1057" s="69" t="str"/>
      <x:c r="J1057" s="69"/>
      <x:c r="K1057" s="82" t="n">
        <x:v>1</x:v>
      </x:c>
    </x:row>
    <x:row r="1058">
      <x:c r="A1058" s="76" t="n">
        <x:v>1058</x:v>
      </x:c>
      <x:c r="B1058" s="69" t="str">
        <x:v>6.09</x:v>
      </x:c>
      <x:c r="C1058" s="69" t="str">
        <x:v>-75.638</x:v>
      </x:c>
      <x:c r="D1058" s="78" t="n">
        <x:v>6.09</x:v>
      </x:c>
      <x:c r="E1058" s="78" t="n">
        <x:v>-75.638</x:v>
      </x:c>
      <x:c r="F1058" s="69" t="str">
        <x:v>Texto→número</x:v>
      </x:c>
      <x:c r="G1058" s="69" t="str">
        <x:v>Texto→número</x:v>
      </x:c>
      <x:c r="H1058" s="80" t="str">
        <x:v>OK</x:v>
      </x:c>
      <x:c r="I1058" s="69" t="str"/>
      <x:c r="J1058" s="69"/>
      <x:c r="K1058" s="82" t="n">
        <x:v>1</x:v>
      </x:c>
    </x:row>
    <x:row r="1059">
      <x:c r="A1059" s="76" t="n">
        <x:v>1059</x:v>
      </x:c>
      <x:c r="B1059" s="69" t="str">
        <x:v>6.05</x:v>
      </x:c>
      <x:c r="C1059" s="69" t="str">
        <x:v>-75</x:v>
      </x:c>
      <x:c r="D1059" s="78" t="n">
        <x:v>6.05</x:v>
      </x:c>
      <x:c r="E1059" s="78" t="n">
        <x:v>-75</x:v>
      </x:c>
      <x:c r="F1059" s="69" t="str">
        <x:v>Texto→número</x:v>
      </x:c>
      <x:c r="G1059" s="69" t="str">
        <x:v>Texto→número</x:v>
      </x:c>
      <x:c r="H1059" s="80" t="str">
        <x:v>OK</x:v>
      </x:c>
      <x:c r="I1059" s="69" t="str"/>
      <x:c r="J1059" s="69"/>
      <x:c r="K1059" s="82" t="n">
        <x:v>1</x:v>
      </x:c>
    </x:row>
    <x:row r="1060">
      <x:c r="A1060" s="76" t="n">
        <x:v>1060</x:v>
      </x:c>
      <x:c r="B1060" s="69" t="str">
        <x:v>6.05</x:v>
      </x:c>
      <x:c r="C1060" s="69" t="str">
        <x:v>-75</x:v>
      </x:c>
      <x:c r="D1060" s="78" t="n">
        <x:v>6.05</x:v>
      </x:c>
      <x:c r="E1060" s="78" t="n">
        <x:v>-75</x:v>
      </x:c>
      <x:c r="F1060" s="69" t="str">
        <x:v>Texto→número</x:v>
      </x:c>
      <x:c r="G1060" s="69" t="str">
        <x:v>Texto→número</x:v>
      </x:c>
      <x:c r="H1060" s="80" t="str">
        <x:v>OK</x:v>
      </x:c>
      <x:c r="I1060" s="69" t="str"/>
      <x:c r="J1060" s="69"/>
      <x:c r="K1060" s="82" t="n">
        <x:v>1</x:v>
      </x:c>
    </x:row>
    <x:row r="1061">
      <x:c r="A1061" s="76" t="n">
        <x:v>1061</x:v>
      </x:c>
      <x:c r="B1061" s="69" t="str">
        <x:v>6</x:v>
      </x:c>
      <x:c r="C1061" s="69" t="str">
        <x:v>-74.8333333</x:v>
      </x:c>
      <x:c r="D1061" s="78" t="n">
        <x:v>6</x:v>
      </x:c>
      <x:c r="E1061" s="78" t="n">
        <x:v>-74.8333333</x:v>
      </x:c>
      <x:c r="F1061" s="69" t="str">
        <x:v>Texto→número</x:v>
      </x:c>
      <x:c r="G1061" s="69" t="str">
        <x:v>Texto→número</x:v>
      </x:c>
      <x:c r="H1061" s="80" t="str">
        <x:v>OK</x:v>
      </x:c>
      <x:c r="I1061" s="69" t="str"/>
      <x:c r="J1061" s="69" t="str">
        <x:v>6|-74.8333333</x:v>
      </x:c>
      <x:c r="K1061" s="82" t="n">
        <x:v>0</x:v>
      </x:c>
    </x:row>
    <x:row r="1062">
      <x:c r="A1062" s="76" t="n">
        <x:v>1062</x:v>
      </x:c>
      <x:c r="B1062" s="69" t="str">
        <x:v>5.64993</x:v>
      </x:c>
      <x:c r="C1062" s="69" t="str">
        <x:v>-75.90005</x:v>
      </x:c>
      <x:c r="D1062" s="78" t="n">
        <x:v>5.64993</x:v>
      </x:c>
      <x:c r="E1062" s="78" t="n">
        <x:v>-75.90005</x:v>
      </x:c>
      <x:c r="F1062" s="69" t="str">
        <x:v>Texto→número</x:v>
      </x:c>
      <x:c r="G1062" s="69" t="str">
        <x:v>Texto→número</x:v>
      </x:c>
      <x:c r="H1062" s="80" t="str">
        <x:v>OK</x:v>
      </x:c>
      <x:c r="I1062" s="69" t="str"/>
      <x:c r="J1062" s="69" t="str">
        <x:v>5.64993|-75.90005</x:v>
      </x:c>
      <x:c r="K1062" s="82" t="n">
        <x:v>0</x:v>
      </x:c>
    </x:row>
    <x:row r="1063">
      <x:c r="A1063" s="76" t="n">
        <x:v>1063</x:v>
      </x:c>
      <x:c r="B1063" s="69" t="str">
        <x:v>6.0333333</x:v>
      </x:c>
      <x:c r="C1063" s="69" t="str">
        <x:v>-75.1333333</x:v>
      </x:c>
      <x:c r="D1063" s="78" t="n">
        <x:v>6.0333333</x:v>
      </x:c>
      <x:c r="E1063" s="78" t="n">
        <x:v>-75.1333333</x:v>
      </x:c>
      <x:c r="F1063" s="69" t="str">
        <x:v>Texto→número</x:v>
      </x:c>
      <x:c r="G1063" s="69" t="str">
        <x:v>Texto→número</x:v>
      </x:c>
      <x:c r="H1063" s="80" t="str">
        <x:v>OK</x:v>
      </x:c>
      <x:c r="I1063" s="69" t="str"/>
      <x:c r="J1063" s="69"/>
      <x:c r="K1063" s="82" t="n">
        <x:v>1</x:v>
      </x:c>
    </x:row>
    <x:row r="1064">
      <x:c r="A1064" s="76" t="n">
        <x:v>1064</x:v>
      </x:c>
      <x:c r="B1064" s="69" t="str">
        <x:v>6.0333333</x:v>
      </x:c>
      <x:c r="C1064" s="69" t="str">
        <x:v>-75.1333333</x:v>
      </x:c>
      <x:c r="D1064" s="78" t="n">
        <x:v>6.0333333</x:v>
      </x:c>
      <x:c r="E1064" s="78" t="n">
        <x:v>-75.1333333</x:v>
      </x:c>
      <x:c r="F1064" s="69" t="str">
        <x:v>Texto→número</x:v>
      </x:c>
      <x:c r="G1064" s="69" t="str">
        <x:v>Texto→número</x:v>
      </x:c>
      <x:c r="H1064" s="80" t="str">
        <x:v>OK</x:v>
      </x:c>
      <x:c r="I1064" s="69" t="str"/>
      <x:c r="J1064" s="69"/>
      <x:c r="K1064" s="82" t="n">
        <x:v>1</x:v>
      </x:c>
    </x:row>
    <x:row r="1065">
      <x:c r="A1065" s="76" t="n">
        <x:v>1065</x:v>
      </x:c>
      <x:c r="B1065" s="69" t="str">
        <x:v>7.133</x:v>
      </x:c>
      <x:c r="C1065" s="69" t="str">
        <x:v>-75.1596944</x:v>
      </x:c>
      <x:c r="D1065" s="78" t="n">
        <x:v>7.133</x:v>
      </x:c>
      <x:c r="E1065" s="78" t="n">
        <x:v>-75.1596944</x:v>
      </x:c>
      <x:c r="F1065" s="69" t="str">
        <x:v>Texto→número</x:v>
      </x:c>
      <x:c r="G1065" s="69" t="str">
        <x:v>Texto→número</x:v>
      </x:c>
      <x:c r="H1065" s="80" t="str">
        <x:v>OK</x:v>
      </x:c>
      <x:c r="I1065" s="69" t="str"/>
      <x:c r="J1065" s="69"/>
      <x:c r="K1065" s="82" t="n">
        <x:v>1</x:v>
      </x:c>
    </x:row>
    <x:row r="1066">
      <x:c r="A1066" s="76" t="n">
        <x:v>1066</x:v>
      </x:c>
      <x:c r="B1066" s="69" t="str">
        <x:v>5.62831</x:v>
      </x:c>
      <x:c r="C1066" s="69" t="str">
        <x:v>-73.90248</x:v>
      </x:c>
      <x:c r="D1066" s="78" t="n">
        <x:v>5.62831</x:v>
      </x:c>
      <x:c r="E1066" s="78" t="n">
        <x:v>-73.90248</x:v>
      </x:c>
      <x:c r="F1066" s="69" t="str">
        <x:v>Texto→número</x:v>
      </x:c>
      <x:c r="G1066" s="69" t="str">
        <x:v>Texto→número</x:v>
      </x:c>
      <x:c r="H1066" s="80" t="str">
        <x:v>OK</x:v>
      </x:c>
      <x:c r="I1066" s="69" t="str"/>
      <x:c r="J1066" s="69"/>
      <x:c r="K1066" s="82" t="n">
        <x:v>1</x:v>
      </x:c>
    </x:row>
    <x:row r="1067">
      <x:c r="A1067" s="76" t="n">
        <x:v>1067</x:v>
      </x:c>
      <x:c r="B1067" s="69" t="str">
        <x:v>5.62418</x:v>
      </x:c>
      <x:c r="C1067" s="69" t="str">
        <x:v>-73.57811</x:v>
      </x:c>
      <x:c r="D1067" s="78" t="n">
        <x:v>5.62418</x:v>
      </x:c>
      <x:c r="E1067" s="78" t="n">
        <x:v>-73.57811</x:v>
      </x:c>
      <x:c r="F1067" s="69" t="str">
        <x:v>Texto→número</x:v>
      </x:c>
      <x:c r="G1067" s="69" t="str">
        <x:v>Texto→número</x:v>
      </x:c>
      <x:c r="H1067" s="80" t="str">
        <x:v>OK</x:v>
      </x:c>
      <x:c r="I1067" s="69" t="str"/>
      <x:c r="J1067" s="69" t="str">
        <x:v>5.62418|-73.57811</x:v>
      </x:c>
      <x:c r="K1067" s="82" t="n">
        <x:v>0</x:v>
      </x:c>
    </x:row>
    <x:row r="1068">
      <x:c r="A1068" s="76" t="n">
        <x:v>1068</x:v>
      </x:c>
      <x:c r="B1068" s="69" t="str">
        <x:v>5.62517</x:v>
      </x:c>
      <x:c r="C1068" s="69" t="str">
        <x:v>-73.51368</x:v>
      </x:c>
      <x:c r="D1068" s="78" t="n">
        <x:v>5.62517</x:v>
      </x:c>
      <x:c r="E1068" s="78" t="n">
        <x:v>-73.51368</x:v>
      </x:c>
      <x:c r="F1068" s="69" t="str">
        <x:v>Texto→número</x:v>
      </x:c>
      <x:c r="G1068" s="69" t="str">
        <x:v>Texto→número</x:v>
      </x:c>
      <x:c r="H1068" s="80" t="str">
        <x:v>OK</x:v>
      </x:c>
      <x:c r="I1068" s="69" t="str"/>
      <x:c r="J1068" s="69" t="str">
        <x:v>5.62517|-73.51368</x:v>
      </x:c>
      <x:c r="K1068" s="82" t="n">
        <x:v>0</x:v>
      </x:c>
    </x:row>
    <x:row r="1069">
      <x:c r="A1069" s="76" t="n">
        <x:v>1069</x:v>
      </x:c>
      <x:c r="B1069" s="69" t="str">
        <x:v>5.4286111</x:v>
      </x:c>
      <x:c r="C1069" s="69" t="str">
        <x:v>-75.69935</x:v>
      </x:c>
      <x:c r="D1069" s="78" t="n">
        <x:v>5.4286111</x:v>
      </x:c>
      <x:c r="E1069" s="78" t="n">
        <x:v>-75.69935</x:v>
      </x:c>
      <x:c r="F1069" s="69" t="str">
        <x:v>Texto→número</x:v>
      </x:c>
      <x:c r="G1069" s="69" t="str">
        <x:v>Texto→número</x:v>
      </x:c>
      <x:c r="H1069" s="80" t="str">
        <x:v>OK</x:v>
      </x:c>
      <x:c r="I1069" s="69" t="str"/>
      <x:c r="J1069" s="69" t="str">
        <x:v>5.4286111|-75.69935</x:v>
      </x:c>
      <x:c r="K1069" s="82" t="n">
        <x:v>0</x:v>
      </x:c>
    </x:row>
    <x:row r="1070">
      <x:c r="A1070" s="76" t="n">
        <x:v>1070</x:v>
      </x:c>
      <x:c r="B1070" s="69" t="str">
        <x:v>5.0671333</x:v>
      </x:c>
      <x:c r="C1070" s="69" t="str">
        <x:v>-75.5182889</x:v>
      </x:c>
      <x:c r="D1070" s="78" t="n">
        <x:v>5.0671333</x:v>
      </x:c>
      <x:c r="E1070" s="78" t="n">
        <x:v>-75.5182889</x:v>
      </x:c>
      <x:c r="F1070" s="69" t="str">
        <x:v>Texto→número</x:v>
      </x:c>
      <x:c r="G1070" s="69" t="str">
        <x:v>Texto→número</x:v>
      </x:c>
      <x:c r="H1070" s="80" t="str">
        <x:v>OK</x:v>
      </x:c>
      <x:c r="I1070" s="69" t="str"/>
      <x:c r="J1070" s="69"/>
      <x:c r="K1070" s="82" t="n">
        <x:v>1</x:v>
      </x:c>
    </x:row>
    <x:row r="1071">
      <x:c r="A1071" s="76" t="n">
        <x:v>1071</x:v>
      </x:c>
      <x:c r="B1071" s="69" t="str">
        <x:v>5.0671333</x:v>
      </x:c>
      <x:c r="C1071" s="69" t="str">
        <x:v>-75.5182889</x:v>
      </x:c>
      <x:c r="D1071" s="78" t="n">
        <x:v>5.0671333</x:v>
      </x:c>
      <x:c r="E1071" s="78" t="n">
        <x:v>-75.5182889</x:v>
      </x:c>
      <x:c r="F1071" s="69" t="str">
        <x:v>Texto→número</x:v>
      </x:c>
      <x:c r="G1071" s="69" t="str">
        <x:v>Texto→número</x:v>
      </x:c>
      <x:c r="H1071" s="80" t="str">
        <x:v>OK</x:v>
      </x:c>
      <x:c r="I1071" s="69" t="str"/>
      <x:c r="J1071" s="69"/>
      <x:c r="K1071" s="82" t="n">
        <x:v>1</x:v>
      </x:c>
    </x:row>
    <x:row r="1072">
      <x:c r="A1072" s="76" t="n">
        <x:v>1072</x:v>
      </x:c>
      <x:c r="B1072" s="69" t="str">
        <x:v>5.0886389</x:v>
      </x:c>
      <x:c r="C1072" s="69" t="str">
        <x:v>-75.6193056</x:v>
      </x:c>
      <x:c r="D1072" s="78" t="n">
        <x:v>5.0886389</x:v>
      </x:c>
      <x:c r="E1072" s="78" t="n">
        <x:v>-75.6193056</x:v>
      </x:c>
      <x:c r="F1072" s="69" t="str">
        <x:v>Texto→número</x:v>
      </x:c>
      <x:c r="G1072" s="69" t="str">
        <x:v>Texto→número</x:v>
      </x:c>
      <x:c r="H1072" s="80" t="str">
        <x:v>OK</x:v>
      </x:c>
      <x:c r="I1072" s="69" t="str"/>
      <x:c r="J1072" s="69" t="str">
        <x:v>5.0886389|-75.6193056</x:v>
      </x:c>
      <x:c r="K1072" s="82" t="n">
        <x:v>0</x:v>
      </x:c>
    </x:row>
    <x:row r="1073">
      <x:c r="A1073" s="76" t="n">
        <x:v>1073</x:v>
      </x:c>
      <x:c r="B1073" s="69" t="str">
        <x:v>4.9429167</x:v>
      </x:c>
      <x:c r="C1073" s="69" t="str">
        <x:v>-75.6961111</x:v>
      </x:c>
      <x:c r="D1073" s="78" t="n">
        <x:v>4.9429167</x:v>
      </x:c>
      <x:c r="E1073" s="78" t="n">
        <x:v>-75.6961111</x:v>
      </x:c>
      <x:c r="F1073" s="69" t="str">
        <x:v>Texto→número</x:v>
      </x:c>
      <x:c r="G1073" s="69" t="str">
        <x:v>Texto→número</x:v>
      </x:c>
      <x:c r="H1073" s="80" t="str">
        <x:v>OK</x:v>
      </x:c>
      <x:c r="I1073" s="69" t="str"/>
      <x:c r="J1073" s="69" t="str">
        <x:v>4.9429167|-75.6961111</x:v>
      </x:c>
      <x:c r="K1073" s="82" t="n">
        <x:v>0</x:v>
      </x:c>
    </x:row>
    <x:row r="1074">
      <x:c r="A1074" s="76" t="n">
        <x:v>1074</x:v>
      </x:c>
      <x:c r="B1074" s="69" t="str">
        <x:v>5.2025</x:v>
      </x:c>
      <x:c r="C1074" s="69" t="str">
        <x:v>-75.5905667</x:v>
      </x:c>
      <x:c r="D1074" s="78" t="n">
        <x:v>5.2025</x:v>
      </x:c>
      <x:c r="E1074" s="78" t="n">
        <x:v>-75.5905667</x:v>
      </x:c>
      <x:c r="F1074" s="69" t="str">
        <x:v>Texto→número</x:v>
      </x:c>
      <x:c r="G1074" s="69" t="str">
        <x:v>Texto→número</x:v>
      </x:c>
      <x:c r="H1074" s="80" t="str">
        <x:v>OK</x:v>
      </x:c>
      <x:c r="I1074" s="69" t="str"/>
      <x:c r="J1074" s="69" t="str">
        <x:v>5.2025|-75.5905667</x:v>
      </x:c>
      <x:c r="K1074" s="82" t="n">
        <x:v>0</x:v>
      </x:c>
    </x:row>
    <x:row r="1075">
      <x:c r="A1075" s="76" t="n">
        <x:v>1075</x:v>
      </x:c>
      <x:c r="B1075" s="69" t="str">
        <x:v>4.9833333</x:v>
      </x:c>
      <x:c r="C1075" s="69" t="str">
        <x:v>-75.5833333</x:v>
      </x:c>
      <x:c r="D1075" s="78" t="n">
        <x:v>4.9833333</x:v>
      </x:c>
      <x:c r="E1075" s="78" t="n">
        <x:v>-75.5833333</x:v>
      </x:c>
      <x:c r="F1075" s="69" t="str">
        <x:v>Texto→número</x:v>
      </x:c>
      <x:c r="G1075" s="69" t="str">
        <x:v>Texto→número</x:v>
      </x:c>
      <x:c r="H1075" s="80" t="str">
        <x:v>OK</x:v>
      </x:c>
      <x:c r="I1075" s="69" t="str"/>
      <x:c r="J1075" s="69" t="str">
        <x:v>4.9833333|-75.5833333</x:v>
      </x:c>
      <x:c r="K1075" s="82" t="n">
        <x:v>0</x:v>
      </x:c>
    </x:row>
    <x:row r="1076">
      <x:c r="A1076" s="76" t="n">
        <x:v>1076</x:v>
      </x:c>
      <x:c r="B1076" s="69" t="str">
        <x:v>5.06099</x:v>
      </x:c>
      <x:c r="C1076" s="69" t="str">
        <x:v>-75.60898</x:v>
      </x:c>
      <x:c r="D1076" s="78" t="n">
        <x:v>5.06099</x:v>
      </x:c>
      <x:c r="E1076" s="78" t="n">
        <x:v>-75.60898</x:v>
      </x:c>
      <x:c r="F1076" s="69" t="str">
        <x:v>Texto→número</x:v>
      </x:c>
      <x:c r="G1076" s="69" t="str">
        <x:v>Texto→número</x:v>
      </x:c>
      <x:c r="H1076" s="80" t="str">
        <x:v>OK</x:v>
      </x:c>
      <x:c r="I1076" s="69" t="str"/>
      <x:c r="J1076" s="69" t="str">
        <x:v>5.06099|-75.60898</x:v>
      </x:c>
      <x:c r="K1076" s="82" t="n">
        <x:v>0</x:v>
      </x:c>
    </x:row>
    <x:row r="1077">
      <x:c r="A1077" s="76" t="n">
        <x:v>1077</x:v>
      </x:c>
      <x:c r="B1077" s="69" t="str">
        <x:v>4.925222222</x:v>
      </x:c>
      <x:c r="C1077" s="69" t="str">
        <x:v>-75.45308333</x:v>
      </x:c>
      <x:c r="D1077" s="78" t="n">
        <x:v>4.925222222</x:v>
      </x:c>
      <x:c r="E1077" s="78" t="n">
        <x:v>-75.45308333</x:v>
      </x:c>
      <x:c r="F1077" s="69" t="str">
        <x:v>Texto→número</x:v>
      </x:c>
      <x:c r="G1077" s="69" t="str">
        <x:v>Texto→número</x:v>
      </x:c>
      <x:c r="H1077" s="80" t="str">
        <x:v>OK</x:v>
      </x:c>
      <x:c r="I1077" s="69" t="str"/>
      <x:c r="J1077" s="69" t="str">
        <x:v>4.925222222|-75.45308333</x:v>
      </x:c>
      <x:c r="K1077" s="82" t="n">
        <x:v>0</x:v>
      </x:c>
    </x:row>
    <x:row r="1078">
      <x:c r="A1078" s="76" t="n">
        <x:v>1078</x:v>
      </x:c>
      <x:c r="B1078" s="69" t="str">
        <x:v>5.0588889</x:v>
      </x:c>
      <x:c r="C1078" s="69" t="str">
        <x:v>-75.7354444</x:v>
      </x:c>
      <x:c r="D1078" s="78" t="n">
        <x:v>5.0588889</x:v>
      </x:c>
      <x:c r="E1078" s="78" t="n">
        <x:v>-75.7354444</x:v>
      </x:c>
      <x:c r="F1078" s="69" t="str">
        <x:v>Texto→número</x:v>
      </x:c>
      <x:c r="G1078" s="69" t="str">
        <x:v>Texto→número</x:v>
      </x:c>
      <x:c r="H1078" s="80" t="str">
        <x:v>OK</x:v>
      </x:c>
      <x:c r="I1078" s="69" t="str"/>
      <x:c r="J1078" s="69"/>
      <x:c r="K1078" s="82" t="n">
        <x:v>1</x:v>
      </x:c>
    </x:row>
    <x:row r="1079">
      <x:c r="A1079" s="76" t="n">
        <x:v>1079</x:v>
      </x:c>
      <x:c r="B1079" s="69" t="str">
        <x:v>1.41731</x:v>
      </x:c>
      <x:c r="C1079" s="69" t="str">
        <x:v>-75.87974</x:v>
      </x:c>
      <x:c r="D1079" s="78" t="n">
        <x:v>1.41731</x:v>
      </x:c>
      <x:c r="E1079" s="78" t="n">
        <x:v>-75.87974</x:v>
      </x:c>
      <x:c r="F1079" s="69" t="str">
        <x:v>Texto→número</x:v>
      </x:c>
      <x:c r="G1079" s="69" t="str">
        <x:v>Texto→número</x:v>
      </x:c>
      <x:c r="H1079" s="80" t="str">
        <x:v>OK</x:v>
      </x:c>
      <x:c r="I1079" s="69" t="str"/>
      <x:c r="J1079" s="69" t="str">
        <x:v>1.41731|-75.87974</x:v>
      </x:c>
      <x:c r="K1079" s="82" t="n">
        <x:v>0</x:v>
      </x:c>
    </x:row>
    <x:row r="1080">
      <x:c r="A1080" s="76" t="n">
        <x:v>1080</x:v>
      </x:c>
      <x:c r="B1080" s="69" t="str">
        <x:v>1.41731</x:v>
      </x:c>
      <x:c r="C1080" s="69" t="str">
        <x:v>-75.87974</x:v>
      </x:c>
      <x:c r="D1080" s="78" t="n">
        <x:v>1.41731</x:v>
      </x:c>
      <x:c r="E1080" s="78" t="n">
        <x:v>-75.87974</x:v>
      </x:c>
      <x:c r="F1080" s="69" t="str">
        <x:v>Texto→número</x:v>
      </x:c>
      <x:c r="G1080" s="69" t="str">
        <x:v>Texto→número</x:v>
      </x:c>
      <x:c r="H1080" s="80" t="str">
        <x:v>OK</x:v>
      </x:c>
      <x:c r="I1080" s="69" t="str"/>
      <x:c r="J1080" s="69"/>
      <x:c r="K1080" s="82" t="n">
        <x:v>1</x:v>
      </x:c>
    </x:row>
    <x:row r="1081">
      <x:c r="A1081" s="76" t="n">
        <x:v>1081</x:v>
      </x:c>
      <x:c r="B1081" s="69" t="str">
        <x:v>0.9166667</x:v>
      </x:c>
      <x:c r="C1081" s="69" t="str">
        <x:v>-72.75</x:v>
      </x:c>
      <x:c r="D1081" s="78" t="n">
        <x:v>0.9166667</x:v>
      </x:c>
      <x:c r="E1081" s="78" t="n">
        <x:v>-72.75</x:v>
      </x:c>
      <x:c r="F1081" s="69" t="str">
        <x:v>Texto→número</x:v>
      </x:c>
      <x:c r="G1081" s="69" t="str">
        <x:v>Texto→número</x:v>
      </x:c>
      <x:c r="H1081" s="80" t="str">
        <x:v>OK</x:v>
      </x:c>
      <x:c r="I1081" s="69" t="str"/>
      <x:c r="J1081" s="69" t="str">
        <x:v>0.9166667|-72.75</x:v>
      </x:c>
      <x:c r="K1081" s="82" t="n">
        <x:v>0</x:v>
      </x:c>
    </x:row>
    <x:row r="1082">
      <x:c r="A1082" s="76" t="n">
        <x:v>1082</x:v>
      </x:c>
      <x:c r="B1082" s="69" t="str">
        <x:v>1.0833333</x:v>
      </x:c>
      <x:c r="C1082" s="69" t="str">
        <x:v>-72.6666667</x:v>
      </x:c>
      <x:c r="D1082" s="78" t="n">
        <x:v>1.0833333</x:v>
      </x:c>
      <x:c r="E1082" s="78" t="n">
        <x:v>-72.6666667</x:v>
      </x:c>
      <x:c r="F1082" s="69" t="str">
        <x:v>Texto→número</x:v>
      </x:c>
      <x:c r="G1082" s="69" t="str">
        <x:v>Texto→número</x:v>
      </x:c>
      <x:c r="H1082" s="80" t="str">
        <x:v>OK</x:v>
      </x:c>
      <x:c r="I1082" s="69" t="str"/>
      <x:c r="J1082" s="69" t="str">
        <x:v>1.0833333|-72.6666667</x:v>
      </x:c>
      <x:c r="K1082" s="82" t="n">
        <x:v>0</x:v>
      </x:c>
    </x:row>
    <x:row r="1083">
      <x:c r="A1083" s="76" t="n">
        <x:v>1083</x:v>
      </x:c>
      <x:c r="B1083" s="69" t="str">
        <x:v>1.0833333</x:v>
      </x:c>
      <x:c r="C1083" s="69" t="str">
        <x:v>-72.6666667</x:v>
      </x:c>
      <x:c r="D1083" s="78" t="n">
        <x:v>1.0833333</x:v>
      </x:c>
      <x:c r="E1083" s="78" t="n">
        <x:v>-72.6666667</x:v>
      </x:c>
      <x:c r="F1083" s="69" t="str">
        <x:v>Texto→número</x:v>
      </x:c>
      <x:c r="G1083" s="69" t="str">
        <x:v>Texto→número</x:v>
      </x:c>
      <x:c r="H1083" s="80" t="str">
        <x:v>OK</x:v>
      </x:c>
      <x:c r="I1083" s="69" t="str"/>
      <x:c r="J1083" s="69"/>
      <x:c r="K1083" s="82" t="n">
        <x:v>1</x:v>
      </x:c>
    </x:row>
    <x:row r="1084">
      <x:c r="A1084" s="76" t="n">
        <x:v>1084</x:v>
      </x:c>
      <x:c r="B1084" s="69" t="str">
        <x:v>0.089</x:v>
      </x:c>
      <x:c r="C1084" s="69" t="str">
        <x:v>-72.4453333</x:v>
      </x:c>
      <x:c r="D1084" s="78" t="n">
        <x:v>0.089</x:v>
      </x:c>
      <x:c r="E1084" s="78" t="n">
        <x:v>-72.4453333</x:v>
      </x:c>
      <x:c r="F1084" s="69" t="str">
        <x:v>Texto→número</x:v>
      </x:c>
      <x:c r="G1084" s="69" t="str">
        <x:v>Texto→número</x:v>
      </x:c>
      <x:c r="H1084" s="80" t="str">
        <x:v>OK</x:v>
      </x:c>
      <x:c r="I1084" s="69" t="str"/>
      <x:c r="J1084" s="69" t="str">
        <x:v>0.089|-72.4453333</x:v>
      </x:c>
      <x:c r="K1084" s="82" t="n">
        <x:v>0</x:v>
      </x:c>
    </x:row>
    <x:row r="1085">
      <x:c r="A1085" s="76" t="n">
        <x:v>1085</x:v>
      </x:c>
      <x:c r="B1085" s="69" t="str">
        <x:v>0.2730556</x:v>
      </x:c>
      <x:c r="C1085" s="69" t="str">
        <x:v>-72.5065</x:v>
      </x:c>
      <x:c r="D1085" s="78" t="n">
        <x:v>0.2730556</x:v>
      </x:c>
      <x:c r="E1085" s="78" t="n">
        <x:v>-72.5065</x:v>
      </x:c>
      <x:c r="F1085" s="69" t="str">
        <x:v>Texto→número</x:v>
      </x:c>
      <x:c r="G1085" s="69" t="str">
        <x:v>Texto→número</x:v>
      </x:c>
      <x:c r="H1085" s="80" t="str">
        <x:v>OK</x:v>
      </x:c>
      <x:c r="I1085" s="69" t="str"/>
      <x:c r="J1085" s="69" t="str">
        <x:v>0.2730556|-72.5065</x:v>
      </x:c>
      <x:c r="K1085" s="82" t="n">
        <x:v>0</x:v>
      </x:c>
    </x:row>
    <x:row r="1086">
      <x:c r="A1086" s="76" t="n">
        <x:v>1086</x:v>
      </x:c>
      <x:c r="B1086" s="69" t="str">
        <x:v>0.0711111</x:v>
      </x:c>
      <x:c r="C1086" s="69" t="str">
        <x:v>-72.4466667</x:v>
      </x:c>
      <x:c r="D1086" s="78" t="n">
        <x:v>0.0711111</x:v>
      </x:c>
      <x:c r="E1086" s="78" t="n">
        <x:v>-72.4466667</x:v>
      </x:c>
      <x:c r="F1086" s="69" t="str">
        <x:v>Texto→número</x:v>
      </x:c>
      <x:c r="G1086" s="69" t="str">
        <x:v>Texto→número</x:v>
      </x:c>
      <x:c r="H1086" s="80" t="str">
        <x:v>OK</x:v>
      </x:c>
      <x:c r="I1086" s="69" t="str"/>
      <x:c r="J1086" s="69" t="str">
        <x:v>0.0711111|-72.4466667</x:v>
      </x:c>
      <x:c r="K1086" s="82" t="n">
        <x:v>0</x:v>
      </x:c>
    </x:row>
    <x:row r="1087">
      <x:c r="A1087" s="76" t="n">
        <x:v>1087</x:v>
      </x:c>
      <x:c r="B1087" s="69" t="str">
        <x:v>0.9375</x:v>
      </x:c>
      <x:c r="C1087" s="69" t="str">
        <x:v>-72.7001667</x:v>
      </x:c>
      <x:c r="D1087" s="78" t="n">
        <x:v>0.9375</x:v>
      </x:c>
      <x:c r="E1087" s="78" t="n">
        <x:v>-72.7001667</x:v>
      </x:c>
      <x:c r="F1087" s="69" t="str">
        <x:v>Texto→número</x:v>
      </x:c>
      <x:c r="G1087" s="69" t="str">
        <x:v>Texto→número</x:v>
      </x:c>
      <x:c r="H1087" s="80" t="str">
        <x:v>OK</x:v>
      </x:c>
      <x:c r="I1087" s="69" t="str"/>
      <x:c r="J1087" s="69" t="str">
        <x:v>0.9375|-72.7001667</x:v>
      </x:c>
      <x:c r="K1087" s="82" t="n">
        <x:v>0</x:v>
      </x:c>
    </x:row>
    <x:row r="1088">
      <x:c r="A1088" s="76" t="n">
        <x:v>1088</x:v>
      </x:c>
      <x:c r="B1088" s="69" t="str">
        <x:v>2.2612778</x:v>
      </x:c>
      <x:c r="C1088" s="69" t="str">
        <x:v>-76.741425</x:v>
      </x:c>
      <x:c r="D1088" s="78" t="n">
        <x:v>2.2612778</x:v>
      </x:c>
      <x:c r="E1088" s="78" t="n">
        <x:v>-76.741425</x:v>
      </x:c>
      <x:c r="F1088" s="69" t="str">
        <x:v>Texto→número</x:v>
      </x:c>
      <x:c r="G1088" s="69" t="str">
        <x:v>Texto→número</x:v>
      </x:c>
      <x:c r="H1088" s="80" t="str">
        <x:v>OK</x:v>
      </x:c>
      <x:c r="I1088" s="69" t="str"/>
      <x:c r="J1088" s="69" t="str">
        <x:v>2.2612778|-76.741425</x:v>
      </x:c>
      <x:c r="K1088" s="82" t="n">
        <x:v>0</x:v>
      </x:c>
    </x:row>
    <x:row r="1089">
      <x:c r="A1089" s="76" t="n">
        <x:v>1089</x:v>
      </x:c>
      <x:c r="B1089" s="69" t="str">
        <x:v>2.55212</x:v>
      </x:c>
      <x:c r="C1089" s="69" t="str">
        <x:v>-77.86491</x:v>
      </x:c>
      <x:c r="D1089" s="78" t="n">
        <x:v>2.55212</x:v>
      </x:c>
      <x:c r="E1089" s="78" t="n">
        <x:v>-77.86491</x:v>
      </x:c>
      <x:c r="F1089" s="69" t="str">
        <x:v>Texto→número</x:v>
      </x:c>
      <x:c r="G1089" s="69" t="str">
        <x:v>Texto→número</x:v>
      </x:c>
      <x:c r="H1089" s="80" t="str">
        <x:v>OK</x:v>
      </x:c>
      <x:c r="I1089" s="69" t="str"/>
      <x:c r="J1089" s="69" t="str">
        <x:v>2.55212|-77.86491</x:v>
      </x:c>
      <x:c r="K1089" s="82" t="n">
        <x:v>0</x:v>
      </x:c>
    </x:row>
    <x:row r="1090">
      <x:c r="A1090" s="76" t="n">
        <x:v>1090</x:v>
      </x:c>
      <x:c r="B1090" s="69" t="str">
        <x:v>2.45</x:v>
      </x:c>
      <x:c r="C1090" s="69" t="str">
        <x:v>-76.6166667</x:v>
      </x:c>
      <x:c r="D1090" s="78" t="n">
        <x:v>2.45</x:v>
      </x:c>
      <x:c r="E1090" s="78" t="n">
        <x:v>-76.6166667</x:v>
      </x:c>
      <x:c r="F1090" s="69" t="str">
        <x:v>Texto→número</x:v>
      </x:c>
      <x:c r="G1090" s="69" t="str">
        <x:v>Texto→número</x:v>
      </x:c>
      <x:c r="H1090" s="80" t="str">
        <x:v>OK</x:v>
      </x:c>
      <x:c r="I1090" s="69" t="str"/>
      <x:c r="J1090" s="69"/>
      <x:c r="K1090" s="82" t="n">
        <x:v>1</x:v>
      </x:c>
    </x:row>
    <x:row r="1091">
      <x:c r="A1091" s="76" t="n">
        <x:v>1091</x:v>
      </x:c>
      <x:c r="B1091" s="69" t="str">
        <x:v>2.45</x:v>
      </x:c>
      <x:c r="C1091" s="69" t="str">
        <x:v>-76.6166667</x:v>
      </x:c>
      <x:c r="D1091" s="78" t="n">
        <x:v>2.45</x:v>
      </x:c>
      <x:c r="E1091" s="78" t="n">
        <x:v>-76.6166667</x:v>
      </x:c>
      <x:c r="F1091" s="69" t="str">
        <x:v>Texto→número</x:v>
      </x:c>
      <x:c r="G1091" s="69" t="str">
        <x:v>Texto→número</x:v>
      </x:c>
      <x:c r="H1091" s="80" t="str">
        <x:v>OK</x:v>
      </x:c>
      <x:c r="I1091" s="69" t="str"/>
      <x:c r="J1091" s="69"/>
      <x:c r="K1091" s="82" t="n">
        <x:v>1</x:v>
      </x:c>
    </x:row>
    <x:row r="1092">
      <x:c r="A1092" s="76" t="n">
        <x:v>1092</x:v>
      </x:c>
      <x:c r="B1092" s="69" t="str">
        <x:v>2.45</x:v>
      </x:c>
      <x:c r="C1092" s="69" t="str">
        <x:v>-76.6166667</x:v>
      </x:c>
      <x:c r="D1092" s="78" t="n">
        <x:v>2.45</x:v>
      </x:c>
      <x:c r="E1092" s="78" t="n">
        <x:v>-76.6166667</x:v>
      </x:c>
      <x:c r="F1092" s="69" t="str">
        <x:v>Texto→número</x:v>
      </x:c>
      <x:c r="G1092" s="69" t="str">
        <x:v>Texto→número</x:v>
      </x:c>
      <x:c r="H1092" s="80" t="str">
        <x:v>OK</x:v>
      </x:c>
      <x:c r="I1092" s="69" t="str"/>
      <x:c r="J1092" s="69"/>
      <x:c r="K1092" s="82" t="n">
        <x:v>1</x:v>
      </x:c>
    </x:row>
    <x:row r="1093">
      <x:c r="A1093" s="76" t="n">
        <x:v>1093</x:v>
      </x:c>
      <x:c r="B1093" s="69" t="str">
        <x:v>2.51058</x:v>
      </x:c>
      <x:c r="C1093" s="69" t="str">
        <x:v>-76.98421</x:v>
      </x:c>
      <x:c r="D1093" s="78" t="n">
        <x:v>2.51058</x:v>
      </x:c>
      <x:c r="E1093" s="78" t="n">
        <x:v>-76.98421</x:v>
      </x:c>
      <x:c r="F1093" s="69" t="str">
        <x:v>Texto→número</x:v>
      </x:c>
      <x:c r="G1093" s="69" t="str">
        <x:v>Texto→número</x:v>
      </x:c>
      <x:c r="H1093" s="80" t="str">
        <x:v>OK</x:v>
      </x:c>
      <x:c r="I1093" s="69" t="str"/>
      <x:c r="J1093" s="69"/>
      <x:c r="K1093" s="82" t="n">
        <x:v>1</x:v>
      </x:c>
    </x:row>
    <x:row r="1094">
      <x:c r="A1094" s="76" t="n">
        <x:v>1094</x:v>
      </x:c>
      <x:c r="B1094" s="69" t="str">
        <x:v>1.8520833</x:v>
      </x:c>
      <x:c r="C1094" s="69" t="str">
        <x:v>-76.9247222</x:v>
      </x:c>
      <x:c r="D1094" s="78" t="n">
        <x:v>1.8520833</x:v>
      </x:c>
      <x:c r="E1094" s="78" t="n">
        <x:v>-76.9247222</x:v>
      </x:c>
      <x:c r="F1094" s="69" t="str">
        <x:v>Texto→número</x:v>
      </x:c>
      <x:c r="G1094" s="69" t="str">
        <x:v>Texto→número</x:v>
      </x:c>
      <x:c r="H1094" s="80" t="str">
        <x:v>OK</x:v>
      </x:c>
      <x:c r="I1094" s="69" t="str"/>
      <x:c r="J1094" s="69" t="str">
        <x:v>1.8520833|-76.9247222</x:v>
      </x:c>
      <x:c r="K1094" s="82" t="n">
        <x:v>0</x:v>
      </x:c>
    </x:row>
    <x:row r="1095">
      <x:c r="A1095" s="76" t="n">
        <x:v>1095</x:v>
      </x:c>
      <x:c r="B1095" s="69" t="str">
        <x:v>5.40208</x:v>
      </x:c>
      <x:c r="C1095" s="69" t="str">
        <x:v>-77.39632</x:v>
      </x:c>
      <x:c r="D1095" s="78" t="n">
        <x:v>5.40208</x:v>
      </x:c>
      <x:c r="E1095" s="78" t="n">
        <x:v>-77.39632</x:v>
      </x:c>
      <x:c r="F1095" s="69" t="str">
        <x:v>Texto→número</x:v>
      </x:c>
      <x:c r="G1095" s="69" t="str">
        <x:v>Texto→número</x:v>
      </x:c>
      <x:c r="H1095" s="80" t="str">
        <x:v>OK</x:v>
      </x:c>
      <x:c r="I1095" s="69" t="str"/>
      <x:c r="J1095" s="69" t="str">
        <x:v>5.40208|-77.39632</x:v>
      </x:c>
      <x:c r="K1095" s="82" t="n">
        <x:v>0</x:v>
      </x:c>
    </x:row>
    <x:row r="1096">
      <x:c r="A1096" s="76" t="n">
        <x:v>1096</x:v>
      </x:c>
      <x:c r="B1096" s="69" t="str">
        <x:v>5.70249</x:v>
      </x:c>
      <x:c r="C1096" s="69" t="str">
        <x:v>-76.76426</x:v>
      </x:c>
      <x:c r="D1096" s="78" t="n">
        <x:v>5.70249</x:v>
      </x:c>
      <x:c r="E1096" s="78" t="n">
        <x:v>-76.76426</x:v>
      </x:c>
      <x:c r="F1096" s="69" t="str">
        <x:v>Texto→número</x:v>
      </x:c>
      <x:c r="G1096" s="69" t="str">
        <x:v>Texto→número</x:v>
      </x:c>
      <x:c r="H1096" s="80" t="str">
        <x:v>OK</x:v>
      </x:c>
      <x:c r="I1096" s="69" t="str"/>
      <x:c r="J1096" s="69" t="str">
        <x:v>5.70249|-76.76426</x:v>
      </x:c>
      <x:c r="K1096" s="82" t="n">
        <x:v>0</x:v>
      </x:c>
    </x:row>
    <x:row r="1097">
      <x:c r="A1097" s="76" t="n">
        <x:v>1097</x:v>
      </x:c>
      <x:c r="B1097" s="69" t="str">
        <x:v>4.1569</x:v>
      </x:c>
      <x:c r="C1097" s="69" t="str">
        <x:v>-77.13704</x:v>
      </x:c>
      <x:c r="D1097" s="78" t="n">
        <x:v>4.1569</x:v>
      </x:c>
      <x:c r="E1097" s="78" t="n">
        <x:v>-77.13704</x:v>
      </x:c>
      <x:c r="F1097" s="69" t="str">
        <x:v>Texto→número</x:v>
      </x:c>
      <x:c r="G1097" s="69" t="str">
        <x:v>Texto→número</x:v>
      </x:c>
      <x:c r="H1097" s="80" t="str">
        <x:v>OK</x:v>
      </x:c>
      <x:c r="I1097" s="69" t="str"/>
      <x:c r="J1097" s="69"/>
      <x:c r="K1097" s="82" t="n">
        <x:v>1</x:v>
      </x:c>
    </x:row>
    <x:row r="1098">
      <x:c r="A1098" s="76" t="n">
        <x:v>1098</x:v>
      </x:c>
      <x:c r="B1098" s="69" t="str">
        <x:v>5</x:v>
      </x:c>
      <x:c r="C1098" s="69" t="str">
        <x:v>-76.7333333</x:v>
      </x:c>
      <x:c r="D1098" s="78" t="n">
        <x:v>5</x:v>
      </x:c>
      <x:c r="E1098" s="78" t="n">
        <x:v>-76.7333333</x:v>
      </x:c>
      <x:c r="F1098" s="69" t="str">
        <x:v>Texto→número</x:v>
      </x:c>
      <x:c r="G1098" s="69" t="str">
        <x:v>Texto→número</x:v>
      </x:c>
      <x:c r="H1098" s="80" t="str">
        <x:v>OK</x:v>
      </x:c>
      <x:c r="I1098" s="69" t="str"/>
      <x:c r="J1098" s="69"/>
      <x:c r="K1098" s="82" t="n">
        <x:v>1</x:v>
      </x:c>
    </x:row>
    <x:row r="1099">
      <x:c r="A1099" s="76" t="n">
        <x:v>1099</x:v>
      </x:c>
      <x:c r="B1099" s="69" t="str">
        <x:v>5.6294</x:v>
      </x:c>
      <x:c r="C1099" s="69" t="str">
        <x:v>-76.62924</x:v>
      </x:c>
      <x:c r="D1099" s="78" t="n">
        <x:v>5.6294</x:v>
      </x:c>
      <x:c r="E1099" s="78" t="n">
        <x:v>-76.62924</x:v>
      </x:c>
      <x:c r="F1099" s="69" t="str">
        <x:v>Texto→número</x:v>
      </x:c>
      <x:c r="G1099" s="69" t="str">
        <x:v>Texto→número</x:v>
      </x:c>
      <x:c r="H1099" s="80" t="str">
        <x:v>OK</x:v>
      </x:c>
      <x:c r="I1099" s="69" t="str"/>
      <x:c r="J1099" s="69" t="str">
        <x:v>5.6294|-76.62924</x:v>
      </x:c>
      <x:c r="K1099" s="82" t="n">
        <x:v>0</x:v>
      </x:c>
    </x:row>
    <x:row r="1100">
      <x:c r="A1100" s="76" t="n">
        <x:v>1100</x:v>
      </x:c>
      <x:c r="B1100" s="69" t="str">
        <x:v>6.02912</x:v>
      </x:c>
      <x:c r="C1100" s="69" t="str">
        <x:v>-77.36486</x:v>
      </x:c>
      <x:c r="D1100" s="78" t="n">
        <x:v>6.02912</x:v>
      </x:c>
      <x:c r="E1100" s="78" t="n">
        <x:v>-77.36486</x:v>
      </x:c>
      <x:c r="F1100" s="69" t="str">
        <x:v>Texto→número</x:v>
      </x:c>
      <x:c r="G1100" s="69" t="str">
        <x:v>Texto→número</x:v>
      </x:c>
      <x:c r="H1100" s="80" t="str">
        <x:v>OK</x:v>
      </x:c>
      <x:c r="I1100" s="69" t="str"/>
      <x:c r="J1100" s="69"/>
      <x:c r="K1100" s="82" t="n">
        <x:v>1</x:v>
      </x:c>
    </x:row>
    <x:row r="1101">
      <x:c r="A1101" s="76" t="n">
        <x:v>1101</x:v>
      </x:c>
      <x:c r="B1101" s="69" t="str">
        <x:v>5.7</x:v>
      </x:c>
      <x:c r="C1101" s="69" t="str">
        <x:v>-77.2666667</x:v>
      </x:c>
      <x:c r="D1101" s="78" t="n">
        <x:v>5.7</x:v>
      </x:c>
      <x:c r="E1101" s="78" t="n">
        <x:v>-77.2666667</x:v>
      </x:c>
      <x:c r="F1101" s="69" t="str">
        <x:v>Texto→número</x:v>
      </x:c>
      <x:c r="G1101" s="69" t="str">
        <x:v>Texto→número</x:v>
      </x:c>
      <x:c r="H1101" s="80" t="str">
        <x:v>OK</x:v>
      </x:c>
      <x:c r="I1101" s="69" t="str"/>
      <x:c r="J1101" s="69" t="str">
        <x:v>5.7|-77.2666667</x:v>
      </x:c>
      <x:c r="K1101" s="82" t="n">
        <x:v>0</x:v>
      </x:c>
    </x:row>
    <x:row r="1102">
      <x:c r="A1102" s="76" t="n">
        <x:v>1102</x:v>
      </x:c>
      <x:c r="B1102" s="69" t="str">
        <x:v>5.2177806</x:v>
      </x:c>
      <x:c r="C1102" s="69" t="str">
        <x:v>-76.6348667</x:v>
      </x:c>
      <x:c r="D1102" s="78" t="n">
        <x:v>5.2177806</x:v>
      </x:c>
      <x:c r="E1102" s="78" t="n">
        <x:v>-76.6348667</x:v>
      </x:c>
      <x:c r="F1102" s="69" t="str">
        <x:v>Texto→número</x:v>
      </x:c>
      <x:c r="G1102" s="69" t="str">
        <x:v>Texto→número</x:v>
      </x:c>
      <x:c r="H1102" s="80" t="str">
        <x:v>OK</x:v>
      </x:c>
      <x:c r="I1102" s="69" t="str"/>
      <x:c r="J1102" s="69"/>
      <x:c r="K1102" s="82" t="n">
        <x:v>1</x:v>
      </x:c>
    </x:row>
    <x:row r="1103">
      <x:c r="A1103" s="76" t="n">
        <x:v>1103</x:v>
      </x:c>
      <x:c r="B1103" s="69" t="str">
        <x:v>4.8692722</x:v>
      </x:c>
      <x:c r="C1103" s="69" t="str">
        <x:v>-76.2506472</x:v>
      </x:c>
      <x:c r="D1103" s="78" t="n">
        <x:v>4.8692722</x:v>
      </x:c>
      <x:c r="E1103" s="78" t="n">
        <x:v>-76.2506472</x:v>
      </x:c>
      <x:c r="F1103" s="69" t="str">
        <x:v>Texto→número</x:v>
      </x:c>
      <x:c r="G1103" s="69" t="str">
        <x:v>Texto→número</x:v>
      </x:c>
      <x:c r="H1103" s="80" t="str">
        <x:v>OK</x:v>
      </x:c>
      <x:c r="I1103" s="69" t="str"/>
      <x:c r="J1103" s="69"/>
      <x:c r="K1103" s="82" t="n">
        <x:v>1</x:v>
      </x:c>
    </x:row>
    <x:row r="1104">
      <x:c r="A1104" s="76" t="n">
        <x:v>1104</x:v>
      </x:c>
      <x:c r="B1104" s="69" t="str">
        <x:v>4.84084</x:v>
      </x:c>
      <x:c r="C1104" s="69" t="str">
        <x:v>-73.65129</x:v>
      </x:c>
      <x:c r="D1104" s="78" t="n">
        <x:v>4.84084</x:v>
      </x:c>
      <x:c r="E1104" s="78" t="n">
        <x:v>-73.65129</x:v>
      </x:c>
      <x:c r="F1104" s="69" t="str">
        <x:v>Texto→número</x:v>
      </x:c>
      <x:c r="G1104" s="69" t="str">
        <x:v>Texto→número</x:v>
      </x:c>
      <x:c r="H1104" s="80" t="str">
        <x:v>OK</x:v>
      </x:c>
      <x:c r="I1104" s="69" t="str"/>
      <x:c r="J1104" s="69" t="str">
        <x:v>4.84084|-73.65129</x:v>
      </x:c>
      <x:c r="K1104" s="82" t="n">
        <x:v>0</x:v>
      </x:c>
    </x:row>
    <x:row r="1105">
      <x:c r="A1105" s="76" t="n">
        <x:v>1105</x:v>
      </x:c>
      <x:c r="B1105" s="69" t="str">
        <x:v>4.33948</x:v>
      </x:c>
      <x:c r="C1105" s="69" t="str">
        <x:v>-74.47888</x:v>
      </x:c>
      <x:c r="D1105" s="78" t="n">
        <x:v>4.33948</x:v>
      </x:c>
      <x:c r="E1105" s="78" t="n">
        <x:v>-74.47888</x:v>
      </x:c>
      <x:c r="F1105" s="69" t="str">
        <x:v>Texto→número</x:v>
      </x:c>
      <x:c r="G1105" s="69" t="str">
        <x:v>Texto→número</x:v>
      </x:c>
      <x:c r="H1105" s="80" t="str">
        <x:v>OK</x:v>
      </x:c>
      <x:c r="I1105" s="69" t="str"/>
      <x:c r="J1105" s="69" t="str">
        <x:v>4.33948|-74.47888</x:v>
      </x:c>
      <x:c r="K1105" s="82" t="n">
        <x:v>0</x:v>
      </x:c>
    </x:row>
    <x:row r="1106">
      <x:c r="A1106" s="76" t="n">
        <x:v>1106</x:v>
      </x:c>
      <x:c r="B1106" s="69" t="str">
        <x:v>5.55832</x:v>
      </x:c>
      <x:c r="C1106" s="69" t="str">
        <x:v>-74.29157</x:v>
      </x:c>
      <x:c r="D1106" s="78" t="n">
        <x:v>5.55832</x:v>
      </x:c>
      <x:c r="E1106" s="78" t="n">
        <x:v>-74.29157</x:v>
      </x:c>
      <x:c r="F1106" s="69" t="str">
        <x:v>Texto→número</x:v>
      </x:c>
      <x:c r="G1106" s="69" t="str">
        <x:v>Texto→número</x:v>
      </x:c>
      <x:c r="H1106" s="80" t="str">
        <x:v>OK</x:v>
      </x:c>
      <x:c r="I1106" s="69" t="str"/>
      <x:c r="J1106" s="69"/>
      <x:c r="K1106" s="82" t="n">
        <x:v>1</x:v>
      </x:c>
    </x:row>
    <x:row r="1107">
      <x:c r="A1107" s="76" t="n">
        <x:v>1107</x:v>
      </x:c>
      <x:c r="B1107" s="69" t="str">
        <x:v>4.8666667</x:v>
      </x:c>
      <x:c r="C1107" s="69" t="str">
        <x:v>-74.4333333</x:v>
      </x:c>
      <x:c r="D1107" s="78" t="n">
        <x:v>4.8666667</x:v>
      </x:c>
      <x:c r="E1107" s="78" t="n">
        <x:v>-74.4333333</x:v>
      </x:c>
      <x:c r="F1107" s="69" t="str">
        <x:v>Texto→número</x:v>
      </x:c>
      <x:c r="G1107" s="69" t="str">
        <x:v>Texto→número</x:v>
      </x:c>
      <x:c r="H1107" s="80" t="str">
        <x:v>OK</x:v>
      </x:c>
      <x:c r="I1107" s="69" t="str"/>
      <x:c r="J1107" s="69" t="str">
        <x:v>4.8666667|-74.4333333</x:v>
      </x:c>
      <x:c r="K1107" s="82" t="n">
        <x:v>0</x:v>
      </x:c>
    </x:row>
    <x:row r="1108">
      <x:c r="A1108" s="76" t="n">
        <x:v>1108</x:v>
      </x:c>
      <x:c r="B1108" s="69" t="str">
        <x:v>2.73598</x:v>
      </x:c>
      <x:c r="C1108" s="69" t="str">
        <x:v>-67.92102</x:v>
      </x:c>
      <x:c r="D1108" s="78" t="n">
        <x:v>2.73598</x:v>
      </x:c>
      <x:c r="E1108" s="78" t="n">
        <x:v>-67.92102</x:v>
      </x:c>
      <x:c r="F1108" s="69" t="str">
        <x:v>Texto→número</x:v>
      </x:c>
      <x:c r="G1108" s="69" t="str">
        <x:v>Texto→número</x:v>
      </x:c>
      <x:c r="H1108" s="80" t="str">
        <x:v>OK</x:v>
      </x:c>
      <x:c r="I1108" s="69" t="str"/>
      <x:c r="J1108" s="69" t="str">
        <x:v>2.73598|-67.92102</x:v>
      </x:c>
      <x:c r="K1108" s="82" t="n">
        <x:v>0</x:v>
      </x:c>
    </x:row>
    <x:row r="1109">
      <x:c r="A1109" s="76" t="n">
        <x:v>1109</x:v>
      </x:c>
      <x:c r="B1109" s="69" t="str">
        <x:v>2.38573</x:v>
      </x:c>
      <x:c r="C1109" s="69" t="str">
        <x:v>-68.61714</x:v>
      </x:c>
      <x:c r="D1109" s="78" t="n">
        <x:v>2.38573</x:v>
      </x:c>
      <x:c r="E1109" s="78" t="n">
        <x:v>-68.61714</x:v>
      </x:c>
      <x:c r="F1109" s="69" t="str">
        <x:v>Texto→número</x:v>
      </x:c>
      <x:c r="G1109" s="69" t="str">
        <x:v>Texto→número</x:v>
      </x:c>
      <x:c r="H1109" s="80" t="str">
        <x:v>OK</x:v>
      </x:c>
      <x:c r="I1109" s="69" t="str"/>
      <x:c r="J1109" s="69" t="str">
        <x:v>2.38573|-68.61714</x:v>
      </x:c>
      <x:c r="K1109" s="82" t="n">
        <x:v>0</x:v>
      </x:c>
    </x:row>
    <x:row r="1110">
      <x:c r="A1110" s="76" t="n">
        <x:v>1110</x:v>
      </x:c>
      <x:c r="B1110" s="69" t="str">
        <x:v>2.4744444</x:v>
      </x:c>
      <x:c r="C1110" s="69" t="str">
        <x:v>-72.6966667</x:v>
      </x:c>
      <x:c r="D1110" s="78" t="n">
        <x:v>2.4744444</x:v>
      </x:c>
      <x:c r="E1110" s="78" t="n">
        <x:v>-72.6966667</x:v>
      </x:c>
      <x:c r="F1110" s="69" t="str">
        <x:v>Texto→número</x:v>
      </x:c>
      <x:c r="G1110" s="69" t="str">
        <x:v>Texto→número</x:v>
      </x:c>
      <x:c r="H1110" s="80" t="str">
        <x:v>OK</x:v>
      </x:c>
      <x:c r="I1110" s="69" t="str"/>
      <x:c r="J1110" s="69" t="str">
        <x:v>2.4744444|-72.6966667</x:v>
      </x:c>
      <x:c r="K1110" s="82" t="n">
        <x:v>0</x:v>
      </x:c>
    </x:row>
    <x:row r="1111">
      <x:c r="A1111" s="76" t="n">
        <x:v>1111</x:v>
      </x:c>
      <x:c r="B1111" s="69" t="str">
        <x:v>1.8562917</x:v>
      </x:c>
      <x:c r="C1111" s="69" t="str">
        <x:v>-76.0393917</x:v>
      </x:c>
      <x:c r="D1111" s="78" t="n">
        <x:v>1.8562917</x:v>
      </x:c>
      <x:c r="E1111" s="78" t="n">
        <x:v>-76.0393917</x:v>
      </x:c>
      <x:c r="F1111" s="69" t="str">
        <x:v>Texto→número</x:v>
      </x:c>
      <x:c r="G1111" s="69" t="str">
        <x:v>Texto→número</x:v>
      </x:c>
      <x:c r="H1111" s="80" t="str">
        <x:v>OK</x:v>
      </x:c>
      <x:c r="I1111" s="69" t="str"/>
      <x:c r="J1111" s="69"/>
      <x:c r="K1111" s="82" t="n">
        <x:v>1</x:v>
      </x:c>
    </x:row>
    <x:row r="1112">
      <x:c r="A1112" s="76" t="n">
        <x:v>1112</x:v>
      </x:c>
      <x:c r="B1112" s="69" t="str">
        <x:v>1.8562917</x:v>
      </x:c>
      <x:c r="C1112" s="69" t="str">
        <x:v>-76.0393917</x:v>
      </x:c>
      <x:c r="D1112" s="78" t="n">
        <x:v>1.8562917</x:v>
      </x:c>
      <x:c r="E1112" s="78" t="n">
        <x:v>-76.0393917</x:v>
      </x:c>
      <x:c r="F1112" s="69" t="str">
        <x:v>Texto→número</x:v>
      </x:c>
      <x:c r="G1112" s="69" t="str">
        <x:v>Texto→número</x:v>
      </x:c>
      <x:c r="H1112" s="80" t="str">
        <x:v>OK</x:v>
      </x:c>
      <x:c r="I1112" s="69" t="str"/>
      <x:c r="J1112" s="69"/>
      <x:c r="K1112" s="82" t="n">
        <x:v>1</x:v>
      </x:c>
    </x:row>
    <x:row r="1113">
      <x:c r="A1113" s="76" t="n">
        <x:v>1113</x:v>
      </x:c>
      <x:c r="B1113" s="69" t="str">
        <x:v>3.377</x:v>
      </x:c>
      <x:c r="C1113" s="69" t="str">
        <x:v>-74.8024583</x:v>
      </x:c>
      <x:c r="D1113" s="78" t="n">
        <x:v>3.377</x:v>
      </x:c>
      <x:c r="E1113" s="78" t="n">
        <x:v>-74.8024583</x:v>
      </x:c>
      <x:c r="F1113" s="69" t="str">
        <x:v>Texto→número</x:v>
      </x:c>
      <x:c r="G1113" s="69" t="str">
        <x:v>Texto→número</x:v>
      </x:c>
      <x:c r="H1113" s="80" t="str">
        <x:v>OK</x:v>
      </x:c>
      <x:c r="I1113" s="69" t="str"/>
      <x:c r="J1113" s="69"/>
      <x:c r="K1113" s="82" t="n">
        <x:v>1</x:v>
      </x:c>
    </x:row>
    <x:row r="1114">
      <x:c r="A1114" s="76" t="n">
        <x:v>1114</x:v>
      </x:c>
      <x:c r="B1114" s="69" t="str">
        <x:v>2.9287361</x:v>
      </x:c>
      <x:c r="C1114" s="69" t="str">
        <x:v>-75.28415</x:v>
      </x:c>
      <x:c r="D1114" s="78" t="n">
        <x:v>2.9287361</x:v>
      </x:c>
      <x:c r="E1114" s="78" t="n">
        <x:v>-75.28415</x:v>
      </x:c>
      <x:c r="F1114" s="69" t="str">
        <x:v>Texto→número</x:v>
      </x:c>
      <x:c r="G1114" s="69" t="str">
        <x:v>Texto→número</x:v>
      </x:c>
      <x:c r="H1114" s="80" t="str">
        <x:v>OK</x:v>
      </x:c>
      <x:c r="I1114" s="69" t="str"/>
      <x:c r="J1114" s="69" t="str">
        <x:v>2.9287361|-75.28415</x:v>
      </x:c>
      <x:c r="K1114" s="82" t="n">
        <x:v>0</x:v>
      </x:c>
    </x:row>
    <x:row r="1115">
      <x:c r="A1115" s="76" t="n">
        <x:v>1115</x:v>
      </x:c>
      <x:c r="B1115" s="69" t="str">
        <x:v>1.7689806</x:v>
      </x:c>
      <x:c r="C1115" s="69" t="str">
        <x:v>-76.0187333</x:v>
      </x:c>
      <x:c r="D1115" s="78" t="n">
        <x:v>1.7689806</x:v>
      </x:c>
      <x:c r="E1115" s="78" t="n">
        <x:v>-76.0187333</x:v>
      </x:c>
      <x:c r="F1115" s="69" t="str">
        <x:v>Texto→número</x:v>
      </x:c>
      <x:c r="G1115" s="69" t="str">
        <x:v>Texto→número</x:v>
      </x:c>
      <x:c r="H1115" s="80" t="str">
        <x:v>OK</x:v>
      </x:c>
      <x:c r="I1115" s="69" t="str"/>
      <x:c r="J1115" s="69"/>
      <x:c r="K1115" s="82" t="n">
        <x:v>1</x:v>
      </x:c>
    </x:row>
    <x:row r="1116">
      <x:c r="A1116" s="76" t="n">
        <x:v>1116</x:v>
      </x:c>
      <x:c r="B1116" s="69" t="str">
        <x:v>1.7689806</x:v>
      </x:c>
      <x:c r="C1116" s="69" t="str">
        <x:v>-76.0187333</x:v>
      </x:c>
      <x:c r="D1116" s="78" t="n">
        <x:v>1.7689806</x:v>
      </x:c>
      <x:c r="E1116" s="78" t="n">
        <x:v>-76.0187333</x:v>
      </x:c>
      <x:c r="F1116" s="69" t="str">
        <x:v>Texto→número</x:v>
      </x:c>
      <x:c r="G1116" s="69" t="str">
        <x:v>Texto→número</x:v>
      </x:c>
      <x:c r="H1116" s="80" t="str">
        <x:v>OK</x:v>
      </x:c>
      <x:c r="I1116" s="69" t="str"/>
      <x:c r="J1116" s="69"/>
      <x:c r="K1116" s="82" t="n">
        <x:v>1</x:v>
      </x:c>
    </x:row>
    <x:row r="1117">
      <x:c r="A1117" s="76" t="n">
        <x:v>1117</x:v>
      </x:c>
      <x:c r="B1117" s="69" t="str">
        <x:v>10.9333333</x:v>
      </x:c>
      <x:c r="C1117" s="69" t="str">
        <x:v>-73.9666667</x:v>
      </x:c>
      <x:c r="D1117" s="78" t="n">
        <x:v>10.9333333</x:v>
      </x:c>
      <x:c r="E1117" s="78" t="n">
        <x:v>-73.9666667</x:v>
      </x:c>
      <x:c r="F1117" s="69" t="str">
        <x:v>Texto→número</x:v>
      </x:c>
      <x:c r="G1117" s="69" t="str">
        <x:v>Texto→número</x:v>
      </x:c>
      <x:c r="H1117" s="80" t="str">
        <x:v>OK</x:v>
      </x:c>
      <x:c r="I1117" s="69" t="str"/>
      <x:c r="J1117" s="69"/>
      <x:c r="K1117" s="82" t="n">
        <x:v>1</x:v>
      </x:c>
    </x:row>
    <x:row r="1118">
      <x:c r="A1118" s="76" t="n">
        <x:v>1118</x:v>
      </x:c>
      <x:c r="B1118" s="69" t="str">
        <x:v>2.9627</x:v>
      </x:c>
      <x:c r="C1118" s="69" t="str">
        <x:v>-73.88673</x:v>
      </x:c>
      <x:c r="D1118" s="78" t="n">
        <x:v>2.9627</x:v>
      </x:c>
      <x:c r="E1118" s="78" t="n">
        <x:v>-73.88673</x:v>
      </x:c>
      <x:c r="F1118" s="69" t="str">
        <x:v>Texto→número</x:v>
      </x:c>
      <x:c r="G1118" s="69" t="str">
        <x:v>Texto→número</x:v>
      </x:c>
      <x:c r="H1118" s="80" t="str">
        <x:v>OK</x:v>
      </x:c>
      <x:c r="I1118" s="69" t="str"/>
      <x:c r="J1118" s="69"/>
      <x:c r="K1118" s="82" t="n">
        <x:v>1</x:v>
      </x:c>
    </x:row>
    <x:row r="1119">
      <x:c r="A1119" s="76" t="n">
        <x:v>1119</x:v>
      </x:c>
      <x:c r="B1119" s="69" t="str">
        <x:v>3.40666</x:v>
      </x:c>
      <x:c r="C1119" s="69" t="str">
        <x:v>-73.45934</x:v>
      </x:c>
      <x:c r="D1119" s="78" t="n">
        <x:v>3.40666</x:v>
      </x:c>
      <x:c r="E1119" s="78" t="n">
        <x:v>-73.45934</x:v>
      </x:c>
      <x:c r="F1119" s="69" t="str">
        <x:v>Texto→número</x:v>
      </x:c>
      <x:c r="G1119" s="69" t="str">
        <x:v>Texto→número</x:v>
      </x:c>
      <x:c r="H1119" s="80" t="str">
        <x:v>OK</x:v>
      </x:c>
      <x:c r="I1119" s="69" t="str"/>
      <x:c r="J1119" s="69" t="str">
        <x:v>3.40666|-73.45934</x:v>
      </x:c>
      <x:c r="K1119" s="82" t="n">
        <x:v>0</x:v>
      </x:c>
    </x:row>
    <x:row r="1120">
      <x:c r="A1120" s="76" t="n">
        <x:v>1120</x:v>
      </x:c>
      <x:c r="B1120" s="69" t="str">
        <x:v>2.23431</x:v>
      </x:c>
      <x:c r="C1120" s="69" t="str">
        <x:v>-73.8128</x:v>
      </x:c>
      <x:c r="D1120" s="78" t="n">
        <x:v>2.23431</x:v>
      </x:c>
      <x:c r="E1120" s="78" t="n">
        <x:v>-73.8128</x:v>
      </x:c>
      <x:c r="F1120" s="69" t="str">
        <x:v>Texto→número</x:v>
      </x:c>
      <x:c r="G1120" s="69" t="str">
        <x:v>Texto→número</x:v>
      </x:c>
      <x:c r="H1120" s="80" t="str">
        <x:v>OK</x:v>
      </x:c>
      <x:c r="I1120" s="69" t="str"/>
      <x:c r="J1120" s="69" t="str">
        <x:v>2.23431|-73.8128</x:v>
      </x:c>
      <x:c r="K1120" s="82" t="n">
        <x:v>0</x:v>
      </x:c>
    </x:row>
    <x:row r="1121">
      <x:c r="A1121" s="76" t="n">
        <x:v>1121</x:v>
      </x:c>
      <x:c r="B1121" s="69" t="str">
        <x:v>2.23431</x:v>
      </x:c>
      <x:c r="C1121" s="69" t="str">
        <x:v>-73.8128</x:v>
      </x:c>
      <x:c r="D1121" s="78" t="n">
        <x:v>2.23431</x:v>
      </x:c>
      <x:c r="E1121" s="78" t="n">
        <x:v>-73.8128</x:v>
      </x:c>
      <x:c r="F1121" s="69" t="str">
        <x:v>Texto→número</x:v>
      </x:c>
      <x:c r="G1121" s="69" t="str">
        <x:v>Texto→número</x:v>
      </x:c>
      <x:c r="H1121" s="80" t="str">
        <x:v>OK</x:v>
      </x:c>
      <x:c r="I1121" s="69" t="str"/>
      <x:c r="J1121" s="69"/>
      <x:c r="K1121" s="82" t="n">
        <x:v>1</x:v>
      </x:c>
    </x:row>
    <x:row r="1122">
      <x:c r="A1122" s="76" t="n">
        <x:v>1122</x:v>
      </x:c>
      <x:c r="B1122" s="69" t="str">
        <x:v>3.99162</x:v>
      </x:c>
      <x:c r="C1122" s="69" t="str">
        <x:v>-73.35912</x:v>
      </x:c>
      <x:c r="D1122" s="78" t="n">
        <x:v>3.99162</x:v>
      </x:c>
      <x:c r="E1122" s="78" t="n">
        <x:v>-73.35912</x:v>
      </x:c>
      <x:c r="F1122" s="69" t="str">
        <x:v>Texto→número</x:v>
      </x:c>
      <x:c r="G1122" s="69" t="str">
        <x:v>Texto→número</x:v>
      </x:c>
      <x:c r="H1122" s="80" t="str">
        <x:v>OK</x:v>
      </x:c>
      <x:c r="I1122" s="69" t="str"/>
      <x:c r="J1122" s="69" t="str">
        <x:v>3.99162|-73.35912</x:v>
      </x:c>
      <x:c r="K1122" s="82" t="n">
        <x:v>0</x:v>
      </x:c>
    </x:row>
    <x:row r="1123">
      <x:c r="A1123" s="76" t="n">
        <x:v>1123</x:v>
      </x:c>
      <x:c r="B1123" s="69" t="str">
        <x:v>4.20102</x:v>
      </x:c>
      <x:c r="C1123" s="69" t="str">
        <x:v>-73.74347</x:v>
      </x:c>
      <x:c r="D1123" s="78" t="n">
        <x:v>4.20102</x:v>
      </x:c>
      <x:c r="E1123" s="78" t="n">
        <x:v>-73.74347</x:v>
      </x:c>
      <x:c r="F1123" s="69" t="str">
        <x:v>Texto→número</x:v>
      </x:c>
      <x:c r="G1123" s="69" t="str">
        <x:v>Texto→número</x:v>
      </x:c>
      <x:c r="H1123" s="80" t="str">
        <x:v>OK</x:v>
      </x:c>
      <x:c r="I1123" s="69" t="str"/>
      <x:c r="J1123" s="69" t="str">
        <x:v>4.20102|-73.74347</x:v>
      </x:c>
      <x:c r="K1123" s="82" t="n">
        <x:v>0</x:v>
      </x:c>
    </x:row>
    <x:row r="1124">
      <x:c r="A1124" s="76" t="n">
        <x:v>1124</x:v>
      </x:c>
      <x:c r="B1124" s="69" t="str">
        <x:v>4.27123</x:v>
      </x:c>
      <x:c r="C1124" s="69" t="str">
        <x:v>-73.51549</x:v>
      </x:c>
      <x:c r="D1124" s="78" t="n">
        <x:v>4.27123</x:v>
      </x:c>
      <x:c r="E1124" s="78" t="n">
        <x:v>-73.51549</x:v>
      </x:c>
      <x:c r="F1124" s="69" t="str">
        <x:v>Texto→número</x:v>
      </x:c>
      <x:c r="G1124" s="69" t="str">
        <x:v>Texto→número</x:v>
      </x:c>
      <x:c r="H1124" s="80" t="str">
        <x:v>OK</x:v>
      </x:c>
      <x:c r="I1124" s="69" t="str"/>
      <x:c r="J1124" s="69" t="str">
        <x:v>4.27123|-73.51549</x:v>
      </x:c>
      <x:c r="K1124" s="82" t="n">
        <x:v>0</x:v>
      </x:c>
    </x:row>
    <x:row r="1125">
      <x:c r="A1125" s="76" t="n">
        <x:v>1125</x:v>
      </x:c>
      <x:c r="B1125" s="69" t="str">
        <x:v>1.1176111</x:v>
      </x:c>
      <x:c r="C1125" s="69" t="str">
        <x:v>-76.3199722</x:v>
      </x:c>
      <x:c r="D1125" s="78" t="n">
        <x:v>1.1176111</x:v>
      </x:c>
      <x:c r="E1125" s="78" t="n">
        <x:v>-76.3199722</x:v>
      </x:c>
      <x:c r="F1125" s="69" t="str">
        <x:v>Texto→número</x:v>
      </x:c>
      <x:c r="G1125" s="69" t="str">
        <x:v>Texto→número</x:v>
      </x:c>
      <x:c r="H1125" s="80" t="str">
        <x:v>OK</x:v>
      </x:c>
      <x:c r="I1125" s="69" t="str"/>
      <x:c r="J1125" s="69" t="str">
        <x:v>1.1176111|-76.3199722</x:v>
      </x:c>
      <x:c r="K1125" s="82" t="n">
        <x:v>0</x:v>
      </x:c>
    </x:row>
    <x:row r="1126">
      <x:c r="A1126" s="76" t="n">
        <x:v>1126</x:v>
      </x:c>
      <x:c r="B1126" s="69" t="str">
        <x:v>1.08259</x:v>
      </x:c>
      <x:c r="C1126" s="69" t="str">
        <x:v>-76.66412</x:v>
      </x:c>
      <x:c r="D1126" s="78" t="n">
        <x:v>1.08259</x:v>
      </x:c>
      <x:c r="E1126" s="78" t="n">
        <x:v>-76.66412</x:v>
      </x:c>
      <x:c r="F1126" s="69" t="str">
        <x:v>Texto→número</x:v>
      </x:c>
      <x:c r="G1126" s="69" t="str">
        <x:v>Texto→número</x:v>
      </x:c>
      <x:c r="H1126" s="80" t="str">
        <x:v>OK</x:v>
      </x:c>
      <x:c r="I1126" s="69" t="str"/>
      <x:c r="J1126" s="69"/>
      <x:c r="K1126" s="82" t="n">
        <x:v>1</x:v>
      </x:c>
    </x:row>
    <x:row r="1127">
      <x:c r="A1127" s="76" t="n">
        <x:v>1127</x:v>
      </x:c>
      <x:c r="B1127" s="69" t="str">
        <x:v>1.08259</x:v>
      </x:c>
      <x:c r="C1127" s="69" t="str">
        <x:v>-76.66412</x:v>
      </x:c>
      <x:c r="D1127" s="78" t="n">
        <x:v>1.08259</x:v>
      </x:c>
      <x:c r="E1127" s="78" t="n">
        <x:v>-76.66412</x:v>
      </x:c>
      <x:c r="F1127" s="69" t="str">
        <x:v>Texto→número</x:v>
      </x:c>
      <x:c r="G1127" s="69" t="str">
        <x:v>Texto→número</x:v>
      </x:c>
      <x:c r="H1127" s="80" t="str">
        <x:v>OK</x:v>
      </x:c>
      <x:c r="I1127" s="69" t="str"/>
      <x:c r="J1127" s="69"/>
      <x:c r="K1127" s="82" t="n">
        <x:v>1</x:v>
      </x:c>
    </x:row>
    <x:row r="1128">
      <x:c r="A1128" s="76" t="n">
        <x:v>1128</x:v>
      </x:c>
      <x:c r="B1128" s="69" t="str">
        <x:v>4.4421944</x:v>
      </x:c>
      <x:c r="C1128" s="69" t="str">
        <x:v>-75.7915722</x:v>
      </x:c>
      <x:c r="D1128" s="78" t="n">
        <x:v>4.4421944</x:v>
      </x:c>
      <x:c r="E1128" s="78" t="n">
        <x:v>-75.7915722</x:v>
      </x:c>
      <x:c r="F1128" s="69" t="str">
        <x:v>Texto→número</x:v>
      </x:c>
      <x:c r="G1128" s="69" t="str">
        <x:v>Texto→número</x:v>
      </x:c>
      <x:c r="H1128" s="80" t="str">
        <x:v>OK</x:v>
      </x:c>
      <x:c r="I1128" s="69" t="str"/>
      <x:c r="J1128" s="69" t="str">
        <x:v>4.4421944|-75.7915722</x:v>
      </x:c>
      <x:c r="K1128" s="82" t="n">
        <x:v>0</x:v>
      </x:c>
    </x:row>
    <x:row r="1129">
      <x:c r="A1129" s="76" t="n">
        <x:v>1129</x:v>
      </x:c>
      <x:c r="B1129" s="69" t="str">
        <x:v>4.4421944</x:v>
      </x:c>
      <x:c r="C1129" s="69" t="str">
        <x:v>-75.7915722</x:v>
      </x:c>
      <x:c r="D1129" s="78" t="n">
        <x:v>4.4421944</x:v>
      </x:c>
      <x:c r="E1129" s="78" t="n">
        <x:v>-75.7915722</x:v>
      </x:c>
      <x:c r="F1129" s="69" t="str">
        <x:v>Texto→número</x:v>
      </x:c>
      <x:c r="G1129" s="69" t="str">
        <x:v>Texto→número</x:v>
      </x:c>
      <x:c r="H1129" s="80" t="str">
        <x:v>OK</x:v>
      </x:c>
      <x:c r="I1129" s="69" t="str"/>
      <x:c r="J1129" s="69"/>
      <x:c r="K1129" s="82" t="n">
        <x:v>1</x:v>
      </x:c>
    </x:row>
    <x:row r="1130">
      <x:c r="A1130" s="76" t="n">
        <x:v>1130</x:v>
      </x:c>
      <x:c r="B1130" s="69" t="str">
        <x:v>4.64853</x:v>
      </x:c>
      <x:c r="C1130" s="69" t="str">
        <x:v>-75.72979</x:v>
      </x:c>
      <x:c r="D1130" s="78" t="n">
        <x:v>4.64853</x:v>
      </x:c>
      <x:c r="E1130" s="78" t="n">
        <x:v>-75.72979</x:v>
      </x:c>
      <x:c r="F1130" s="69" t="str">
        <x:v>Texto→número</x:v>
      </x:c>
      <x:c r="G1130" s="69" t="str">
        <x:v>Texto→número</x:v>
      </x:c>
      <x:c r="H1130" s="80" t="str">
        <x:v>OK</x:v>
      </x:c>
      <x:c r="I1130" s="69" t="str"/>
      <x:c r="J1130" s="69" t="str">
        <x:v>4.64853|-75.72979</x:v>
      </x:c>
      <x:c r="K1130" s="82" t="n">
        <x:v>0</x:v>
      </x:c>
    </x:row>
    <x:row r="1131">
      <x:c r="A1131" s="76" t="n">
        <x:v>1131</x:v>
      </x:c>
      <x:c r="B1131" s="69" t="str">
        <x:v>4.59146</x:v>
      </x:c>
      <x:c r="C1131" s="69" t="str">
        <x:v>-75.68297</x:v>
      </x:c>
      <x:c r="D1131" s="78" t="n">
        <x:v>4.59146</x:v>
      </x:c>
      <x:c r="E1131" s="78" t="n">
        <x:v>-75.68297</x:v>
      </x:c>
      <x:c r="F1131" s="69" t="str">
        <x:v>Texto→número</x:v>
      </x:c>
      <x:c r="G1131" s="69" t="str">
        <x:v>Texto→número</x:v>
      </x:c>
      <x:c r="H1131" s="80" t="str">
        <x:v>OK</x:v>
      </x:c>
      <x:c r="I1131" s="69" t="str"/>
      <x:c r="J1131" s="69" t="str">
        <x:v>4.59146|-75.68297</x:v>
      </x:c>
      <x:c r="K1131" s="82" t="n">
        <x:v>0</x:v>
      </x:c>
    </x:row>
    <x:row r="1132">
      <x:c r="A1132" s="76" t="n">
        <x:v>1132</x:v>
      </x:c>
      <x:c r="B1132" s="69" t="str">
        <x:v>4.51003</x:v>
      </x:c>
      <x:c r="C1132" s="69" t="str">
        <x:v>-75.61334</x:v>
      </x:c>
      <x:c r="D1132" s="78" t="n">
        <x:v>4.51003</x:v>
      </x:c>
      <x:c r="E1132" s="78" t="n">
        <x:v>-75.61334</x:v>
      </x:c>
      <x:c r="F1132" s="69" t="str">
        <x:v>Texto→número</x:v>
      </x:c>
      <x:c r="G1132" s="69" t="str">
        <x:v>Texto→número</x:v>
      </x:c>
      <x:c r="H1132" s="80" t="str">
        <x:v>OK</x:v>
      </x:c>
      <x:c r="I1132" s="69" t="str"/>
      <x:c r="J1132" s="69" t="str">
        <x:v>4.51003|-75.61334</x:v>
      </x:c>
      <x:c r="K1132" s="82" t="n">
        <x:v>0</x:v>
      </x:c>
    </x:row>
    <x:row r="1133">
      <x:c r="A1133" s="76" t="n">
        <x:v>1133</x:v>
      </x:c>
      <x:c r="B1133" s="69" t="str">
        <x:v>4.68575</x:v>
      </x:c>
      <x:c r="C1133" s="69" t="str">
        <x:v>-75.6327</x:v>
      </x:c>
      <x:c r="D1133" s="78" t="n">
        <x:v>4.68575</x:v>
      </x:c>
      <x:c r="E1133" s="78" t="n">
        <x:v>-75.6327</x:v>
      </x:c>
      <x:c r="F1133" s="69" t="str">
        <x:v>Texto→número</x:v>
      </x:c>
      <x:c r="G1133" s="69" t="str">
        <x:v>Texto→número</x:v>
      </x:c>
      <x:c r="H1133" s="80" t="str">
        <x:v>OK</x:v>
      </x:c>
      <x:c r="I1133" s="69" t="str"/>
      <x:c r="J1133" s="69" t="str">
        <x:v>4.68575|-75.6327</x:v>
      </x:c>
      <x:c r="K1133" s="82" t="n">
        <x:v>0</x:v>
      </x:c>
    </x:row>
    <x:row r="1134">
      <x:c r="A1134" s="76" t="n">
        <x:v>1134</x:v>
      </x:c>
      <x:c r="B1134" s="69" t="str">
        <x:v>4.6666667</x:v>
      </x:c>
      <x:c r="C1134" s="69" t="str">
        <x:v>-75.6333333</x:v>
      </x:c>
      <x:c r="D1134" s="78" t="n">
        <x:v>4.6666667</x:v>
      </x:c>
      <x:c r="E1134" s="78" t="n">
        <x:v>-75.6333333</x:v>
      </x:c>
      <x:c r="F1134" s="69" t="str">
        <x:v>Texto→número</x:v>
      </x:c>
      <x:c r="G1134" s="69" t="str">
        <x:v>Texto→número</x:v>
      </x:c>
      <x:c r="H1134" s="80" t="str">
        <x:v>OK</x:v>
      </x:c>
      <x:c r="I1134" s="69" t="str"/>
      <x:c r="J1134" s="69" t="str">
        <x:v>4.6666667|-75.6333333</x:v>
      </x:c>
      <x:c r="K1134" s="82" t="n">
        <x:v>0</x:v>
      </x:c>
    </x:row>
    <x:row r="1135">
      <x:c r="A1135" s="76" t="n">
        <x:v>1135</x:v>
      </x:c>
      <x:c r="B1135" s="69" t="str">
        <x:v>4.6666667</x:v>
      </x:c>
      <x:c r="C1135" s="69" t="str">
        <x:v>-75.6333333</x:v>
      </x:c>
      <x:c r="D1135" s="78" t="n">
        <x:v>4.6666667</x:v>
      </x:c>
      <x:c r="E1135" s="78" t="n">
        <x:v>-75.6333333</x:v>
      </x:c>
      <x:c r="F1135" s="69" t="str">
        <x:v>Texto→número</x:v>
      </x:c>
      <x:c r="G1135" s="69" t="str">
        <x:v>Texto→número</x:v>
      </x:c>
      <x:c r="H1135" s="80" t="str">
        <x:v>OK</x:v>
      </x:c>
      <x:c r="I1135" s="69" t="str"/>
      <x:c r="J1135" s="69"/>
      <x:c r="K1135" s="82" t="n">
        <x:v>1</x:v>
      </x:c>
    </x:row>
    <x:row r="1136">
      <x:c r="A1136" s="76" t="n">
        <x:v>1136</x:v>
      </x:c>
      <x:c r="B1136" s="69" t="str">
        <x:v>4.6666667</x:v>
      </x:c>
      <x:c r="C1136" s="69" t="str">
        <x:v>-75.6333333</x:v>
      </x:c>
      <x:c r="D1136" s="78" t="n">
        <x:v>4.6666667</x:v>
      </x:c>
      <x:c r="E1136" s="78" t="n">
        <x:v>-75.6333333</x:v>
      </x:c>
      <x:c r="F1136" s="69" t="str">
        <x:v>Texto→número</x:v>
      </x:c>
      <x:c r="G1136" s="69" t="str">
        <x:v>Texto→número</x:v>
      </x:c>
      <x:c r="H1136" s="80" t="str">
        <x:v>OK</x:v>
      </x:c>
      <x:c r="I1136" s="69" t="str"/>
      <x:c r="J1136" s="69"/>
      <x:c r="K1136" s="82" t="n">
        <x:v>1</x:v>
      </x:c>
    </x:row>
    <x:row r="1137">
      <x:c r="A1137" s="76" t="n">
        <x:v>1137</x:v>
      </x:c>
      <x:c r="B1137" s="69" t="str">
        <x:v>4.5579278</x:v>
      </x:c>
      <x:c r="C1137" s="69" t="str">
        <x:v>-75.7545917</x:v>
      </x:c>
      <x:c r="D1137" s="78" t="n">
        <x:v>4.5579278</x:v>
      </x:c>
      <x:c r="E1137" s="78" t="n">
        <x:v>-75.7545917</x:v>
      </x:c>
      <x:c r="F1137" s="69" t="str">
        <x:v>Texto→número</x:v>
      </x:c>
      <x:c r="G1137" s="69" t="str">
        <x:v>Texto→número</x:v>
      </x:c>
      <x:c r="H1137" s="80" t="str">
        <x:v>OK</x:v>
      </x:c>
      <x:c r="I1137" s="69" t="str"/>
      <x:c r="J1137" s="69" t="str">
        <x:v>4.5579278|-75.7545917</x:v>
      </x:c>
      <x:c r="K1137" s="82" t="n">
        <x:v>0</x:v>
      </x:c>
    </x:row>
    <x:row r="1138">
      <x:c r="A1138" s="76" t="n">
        <x:v>1138</x:v>
      </x:c>
      <x:c r="B1138" s="69" t="str">
        <x:v>4.60903</x:v>
      </x:c>
      <x:c r="C1138" s="69" t="str">
        <x:v>-75.69347</x:v>
      </x:c>
      <x:c r="D1138" s="78" t="n">
        <x:v>4.60903</x:v>
      </x:c>
      <x:c r="E1138" s="78" t="n">
        <x:v>-75.69347</x:v>
      </x:c>
      <x:c r="F1138" s="69" t="str">
        <x:v>Texto→número</x:v>
      </x:c>
      <x:c r="G1138" s="69" t="str">
        <x:v>Texto→número</x:v>
      </x:c>
      <x:c r="H1138" s="80" t="str">
        <x:v>OK</x:v>
      </x:c>
      <x:c r="I1138" s="69" t="str"/>
      <x:c r="J1138" s="69" t="str">
        <x:v>4.60903|-75.69347</x:v>
      </x:c>
      <x:c r="K1138" s="82" t="n">
        <x:v>0</x:v>
      </x:c>
    </x:row>
    <x:row r="1139">
      <x:c r="A1139" s="76" t="n">
        <x:v>1139</x:v>
      </x:c>
      <x:c r="B1139" s="69" t="str">
        <x:v>4.72879</x:v>
      </x:c>
      <x:c r="C1139" s="69" t="str">
        <x:v>-75.5779</x:v>
      </x:c>
      <x:c r="D1139" s="78" t="n">
        <x:v>4.72879</x:v>
      </x:c>
      <x:c r="E1139" s="78" t="n">
        <x:v>-75.5779</x:v>
      </x:c>
      <x:c r="F1139" s="69" t="str">
        <x:v>Texto→número</x:v>
      </x:c>
      <x:c r="G1139" s="69" t="str">
        <x:v>Texto→número</x:v>
      </x:c>
      <x:c r="H1139" s="80" t="str">
        <x:v>OK</x:v>
      </x:c>
      <x:c r="I1139" s="69" t="str"/>
      <x:c r="J1139" s="69"/>
      <x:c r="K1139" s="82" t="n">
        <x:v>1</x:v>
      </x:c>
    </x:row>
    <x:row r="1140">
      <x:c r="A1140" s="76" t="n">
        <x:v>1140</x:v>
      </x:c>
      <x:c r="B1140" s="69" t="str">
        <x:v>6.30231</x:v>
      </x:c>
      <x:c r="C1140" s="69" t="str">
        <x:v>-73.18924</x:v>
      </x:c>
      <x:c r="D1140" s="78" t="n">
        <x:v>6.30231</x:v>
      </x:c>
      <x:c r="E1140" s="78" t="n">
        <x:v>-73.18924</x:v>
      </x:c>
      <x:c r="F1140" s="69" t="str">
        <x:v>Texto→número</x:v>
      </x:c>
      <x:c r="G1140" s="69" t="str">
        <x:v>Texto→número</x:v>
      </x:c>
      <x:c r="H1140" s="80" t="str">
        <x:v>OK</x:v>
      </x:c>
      <x:c r="I1140" s="69" t="str"/>
      <x:c r="J1140" s="69" t="str">
        <x:v>6.30231|-73.18924</x:v>
      </x:c>
      <x:c r="K1140" s="82" t="n">
        <x:v>0</x:v>
      </x:c>
    </x:row>
    <x:row r="1141">
      <x:c r="A1141" s="76" t="n">
        <x:v>1141</x:v>
      </x:c>
      <x:c r="B1141" s="69" t="str">
        <x:v>3.94207</x:v>
      </x:c>
      <x:c r="C1141" s="69" t="str">
        <x:v>-74.59131</x:v>
      </x:c>
      <x:c r="D1141" s="78" t="n">
        <x:v>3.94207</x:v>
      </x:c>
      <x:c r="E1141" s="78" t="n">
        <x:v>-74.59131</x:v>
      </x:c>
      <x:c r="F1141" s="69" t="str">
        <x:v>Texto→número</x:v>
      </x:c>
      <x:c r="G1141" s="69" t="str">
        <x:v>Texto→número</x:v>
      </x:c>
      <x:c r="H1141" s="80" t="str">
        <x:v>OK</x:v>
      </x:c>
      <x:c r="I1141" s="69" t="str"/>
      <x:c r="J1141" s="69" t="str">
        <x:v>3.94207|-74.59131</x:v>
      </x:c>
      <x:c r="K1141" s="82" t="n">
        <x:v>0</x:v>
      </x:c>
    </x:row>
    <x:row r="1142">
      <x:c r="A1142" s="76" t="n">
        <x:v>1142</x:v>
      </x:c>
      <x:c r="B1142" s="69" t="str">
        <x:v>4.4333333</x:v>
      </x:c>
      <x:c r="C1142" s="69" t="str">
        <x:v>-75.2333333</x:v>
      </x:c>
      <x:c r="D1142" s="78" t="n">
        <x:v>4.4333333</x:v>
      </x:c>
      <x:c r="E1142" s="78" t="n">
        <x:v>-75.2333333</x:v>
      </x:c>
      <x:c r="F1142" s="69" t="str">
        <x:v>Texto→número</x:v>
      </x:c>
      <x:c r="G1142" s="69" t="str">
        <x:v>Texto→número</x:v>
      </x:c>
      <x:c r="H1142" s="80" t="str">
        <x:v>OK</x:v>
      </x:c>
      <x:c r="I1142" s="69" t="str"/>
      <x:c r="J1142" s="69" t="str">
        <x:v>4.4333333|-75.2333333</x:v>
      </x:c>
      <x:c r="K1142" s="82" t="n">
        <x:v>0</x:v>
      </x:c>
    </x:row>
    <x:row r="1143">
      <x:c r="A1143" s="76" t="n">
        <x:v>1143</x:v>
      </x:c>
      <x:c r="B1143" s="69" t="str">
        <x:v>4.00206</x:v>
      </x:c>
      <x:c r="C1143" s="69" t="str">
        <x:v>-76.97832</x:v>
      </x:c>
      <x:c r="D1143" s="78" t="n">
        <x:v>4.00206</x:v>
      </x:c>
      <x:c r="E1143" s="78" t="n">
        <x:v>-76.97832</x:v>
      </x:c>
      <x:c r="F1143" s="69" t="str">
        <x:v>Texto→número</x:v>
      </x:c>
      <x:c r="G1143" s="69" t="str">
        <x:v>Texto→número</x:v>
      </x:c>
      <x:c r="H1143" s="80" t="str">
        <x:v>OK</x:v>
      </x:c>
      <x:c r="I1143" s="69" t="str"/>
      <x:c r="J1143" s="69"/>
      <x:c r="K1143" s="82" t="n">
        <x:v>1</x:v>
      </x:c>
    </x:row>
    <x:row r="1144">
      <x:c r="A1144" s="76" t="n">
        <x:v>1144</x:v>
      </x:c>
      <x:c r="B1144" s="69" t="str">
        <x:v>3.61633</x:v>
      </x:c>
      <x:c r="C1144" s="69" t="str">
        <x:v>-76.89806</x:v>
      </x:c>
      <x:c r="D1144" s="78" t="n">
        <x:v>3.61633</x:v>
      </x:c>
      <x:c r="E1144" s="78" t="n">
        <x:v>-76.89806</x:v>
      </x:c>
      <x:c r="F1144" s="69" t="str">
        <x:v>Texto→número</x:v>
      </x:c>
      <x:c r="G1144" s="69" t="str">
        <x:v>Texto→número</x:v>
      </x:c>
      <x:c r="H1144" s="80" t="str">
        <x:v>OK</x:v>
      </x:c>
      <x:c r="I1144" s="69" t="str"/>
      <x:c r="J1144" s="69"/>
      <x:c r="K1144" s="82" t="n">
        <x:v>1</x:v>
      </x:c>
    </x:row>
    <x:row r="1145">
      <x:c r="A1145" s="76" t="n">
        <x:v>1145</x:v>
      </x:c>
      <x:c r="B1145" s="69" t="str">
        <x:v>3.9286</x:v>
      </x:c>
      <x:c r="C1145" s="69" t="str">
        <x:v>-77.35646</x:v>
      </x:c>
      <x:c r="D1145" s="78" t="n">
        <x:v>3.9286</x:v>
      </x:c>
      <x:c r="E1145" s="78" t="n">
        <x:v>-77.35646</x:v>
      </x:c>
      <x:c r="F1145" s="69" t="str">
        <x:v>Texto→número</x:v>
      </x:c>
      <x:c r="G1145" s="69" t="str">
        <x:v>Texto→número</x:v>
      </x:c>
      <x:c r="H1145" s="80" t="str">
        <x:v>OK</x:v>
      </x:c>
      <x:c r="I1145" s="69" t="str"/>
      <x:c r="J1145" s="69" t="str">
        <x:v>3.9286|-77.35646</x:v>
      </x:c>
      <x:c r="K1145" s="82" t="n">
        <x:v>0</x:v>
      </x:c>
    </x:row>
    <x:row r="1146">
      <x:c r="A1146" s="76" t="n">
        <x:v>1146</x:v>
      </x:c>
      <x:c r="B1146" s="69" t="str">
        <x:v>3.61633</x:v>
      </x:c>
      <x:c r="C1146" s="69" t="str">
        <x:v>-76.89806</x:v>
      </x:c>
      <x:c r="D1146" s="78" t="n">
        <x:v>3.61633</x:v>
      </x:c>
      <x:c r="E1146" s="78" t="n">
        <x:v>-76.89806</x:v>
      </x:c>
      <x:c r="F1146" s="69" t="str">
        <x:v>Texto→número</x:v>
      </x:c>
      <x:c r="G1146" s="69" t="str">
        <x:v>Texto→número</x:v>
      </x:c>
      <x:c r="H1146" s="80" t="str">
        <x:v>OK</x:v>
      </x:c>
      <x:c r="I1146" s="69" t="str"/>
      <x:c r="J1146" s="69"/>
      <x:c r="K1146" s="82" t="n">
        <x:v>1</x:v>
      </x:c>
    </x:row>
    <x:row r="1147">
      <x:c r="A1147" s="76" t="n">
        <x:v>1147</x:v>
      </x:c>
      <x:c r="B1147" s="69" t="str">
        <x:v>4.67096</x:v>
      </x:c>
      <x:c r="C1147" s="69" t="str">
        <x:v>-75.76828</x:v>
      </x:c>
      <x:c r="D1147" s="78" t="n">
        <x:v>4.67096</x:v>
      </x:c>
      <x:c r="E1147" s="78" t="n">
        <x:v>-75.76828</x:v>
      </x:c>
      <x:c r="F1147" s="69" t="str">
        <x:v>Texto→número</x:v>
      </x:c>
      <x:c r="G1147" s="69" t="str">
        <x:v>Texto→número</x:v>
      </x:c>
      <x:c r="H1147" s="80" t="str">
        <x:v>OK</x:v>
      </x:c>
      <x:c r="I1147" s="69" t="str"/>
      <x:c r="J1147" s="69" t="str">
        <x:v>4.67096|-75.76828</x:v>
      </x:c>
      <x:c r="K1147" s="82" t="n">
        <x:v>0</x:v>
      </x:c>
    </x:row>
    <x:row r="1148">
      <x:c r="A1148" s="76" t="n">
        <x:v>1148</x:v>
      </x:c>
      <x:c r="B1148" s="69" t="str">
        <x:v>3.91164</x:v>
      </x:c>
      <x:c r="C1148" s="69" t="str">
        <x:v>-76.62072</x:v>
      </x:c>
      <x:c r="D1148" s="78" t="n">
        <x:v>3.91164</x:v>
      </x:c>
      <x:c r="E1148" s="78" t="n">
        <x:v>-76.62072</x:v>
      </x:c>
      <x:c r="F1148" s="69" t="str">
        <x:v>Texto→número</x:v>
      </x:c>
      <x:c r="G1148" s="69" t="str">
        <x:v>Texto→número</x:v>
      </x:c>
      <x:c r="H1148" s="80" t="str">
        <x:v>OK</x:v>
      </x:c>
      <x:c r="I1148" s="69" t="str"/>
      <x:c r="J1148" s="69" t="str">
        <x:v>3.91164|-76.62072</x:v>
      </x:c>
      <x:c r="K1148" s="82" t="n">
        <x:v>0</x:v>
      </x:c>
    </x:row>
    <x:row r="1149">
      <x:c r="A1149" s="76" t="n">
        <x:v>1149</x:v>
      </x:c>
      <x:c r="B1149" s="69" t="str">
        <x:v>3.37498</x:v>
      </x:c>
      <x:c r="C1149" s="69" t="str">
        <x:v>-76.53448</x:v>
      </x:c>
      <x:c r="D1149" s="78" t="n">
        <x:v>3.37498</x:v>
      </x:c>
      <x:c r="E1149" s="78" t="n">
        <x:v>-76.53448</x:v>
      </x:c>
      <x:c r="F1149" s="69" t="str">
        <x:v>Texto→número</x:v>
      </x:c>
      <x:c r="G1149" s="69" t="str">
        <x:v>Texto→número</x:v>
      </x:c>
      <x:c r="H1149" s="80" t="str">
        <x:v>OK</x:v>
      </x:c>
      <x:c r="I1149" s="69" t="str"/>
      <x:c r="J1149" s="69" t="str">
        <x:v>3.37498|-76.53448</x:v>
      </x:c>
      <x:c r="K1149" s="82" t="n">
        <x:v>0</x:v>
      </x:c>
    </x:row>
    <x:row r="1150">
      <x:c r="A1150" s="76" t="n">
        <x:v>1150</x:v>
      </x:c>
      <x:c r="B1150" s="69" t="str">
        <x:v>3.93678</x:v>
      </x:c>
      <x:c r="C1150" s="69" t="str">
        <x:v>-77.36533</x:v>
      </x:c>
      <x:c r="D1150" s="78" t="n">
        <x:v>3.93678</x:v>
      </x:c>
      <x:c r="E1150" s="78" t="n">
        <x:v>-77.36533</x:v>
      </x:c>
      <x:c r="F1150" s="69" t="str">
        <x:v>Texto→número</x:v>
      </x:c>
      <x:c r="G1150" s="69" t="str">
        <x:v>Texto→número</x:v>
      </x:c>
      <x:c r="H1150" s="80" t="str">
        <x:v>OK</x:v>
      </x:c>
      <x:c r="I1150" s="69" t="str"/>
      <x:c r="J1150" s="69" t="str">
        <x:v>3.93678|-77.36533</x:v>
      </x:c>
      <x:c r="K1150" s="82" t="n">
        <x:v>0</x:v>
      </x:c>
    </x:row>
    <x:row r="1151">
      <x:c r="A1151" s="76" t="n">
        <x:v>1151</x:v>
      </x:c>
      <x:c r="B1151" s="69" t="str">
        <x:v>3.93678</x:v>
      </x:c>
      <x:c r="C1151" s="69" t="str">
        <x:v>-77.36533</x:v>
      </x:c>
      <x:c r="D1151" s="78" t="n">
        <x:v>3.93678</x:v>
      </x:c>
      <x:c r="E1151" s="78" t="n">
        <x:v>-77.36533</x:v>
      </x:c>
      <x:c r="F1151" s="69" t="str">
        <x:v>Texto→número</x:v>
      </x:c>
      <x:c r="G1151" s="69" t="str">
        <x:v>Texto→número</x:v>
      </x:c>
      <x:c r="H1151" s="80" t="str">
        <x:v>OK</x:v>
      </x:c>
      <x:c r="I1151" s="69" t="str"/>
      <x:c r="J1151" s="69"/>
      <x:c r="K1151" s="82" t="n">
        <x:v>1</x:v>
      </x:c>
    </x:row>
    <x:row r="1152">
      <x:c r="A1152" s="76" t="n">
        <x:v>1152</x:v>
      </x:c>
      <x:c r="B1152" s="69" t="str">
        <x:v>3.75279</x:v>
      </x:c>
      <x:c r="C1152" s="69" t="str">
        <x:v>-76.58179</x:v>
      </x:c>
      <x:c r="D1152" s="78" t="n">
        <x:v>3.75279</x:v>
      </x:c>
      <x:c r="E1152" s="78" t="n">
        <x:v>-76.58179</x:v>
      </x:c>
      <x:c r="F1152" s="69" t="str">
        <x:v>Texto→número</x:v>
      </x:c>
      <x:c r="G1152" s="69" t="str">
        <x:v>Texto→número</x:v>
      </x:c>
      <x:c r="H1152" s="80" t="str">
        <x:v>OK</x:v>
      </x:c>
      <x:c r="I1152" s="69" t="str"/>
      <x:c r="J1152" s="69" t="str">
        <x:v>3.75279|-76.58179</x:v>
      </x:c>
      <x:c r="K1152" s="82" t="n">
        <x:v>0</x:v>
      </x:c>
    </x:row>
    <x:row r="1153">
      <x:c r="A1153" s="76" t="n">
        <x:v>1153</x:v>
      </x:c>
      <x:c r="B1153" s="69" t="str">
        <x:v>3.36338</x:v>
      </x:c>
      <x:c r="C1153" s="69" t="str">
        <x:v>-76.52325</x:v>
      </x:c>
      <x:c r="D1153" s="78" t="n">
        <x:v>3.36338</x:v>
      </x:c>
      <x:c r="E1153" s="78" t="n">
        <x:v>-76.52325</x:v>
      </x:c>
      <x:c r="F1153" s="69" t="str">
        <x:v>Texto→número</x:v>
      </x:c>
      <x:c r="G1153" s="69" t="str">
        <x:v>Texto→número</x:v>
      </x:c>
      <x:c r="H1153" s="80" t="str">
        <x:v>OK</x:v>
      </x:c>
      <x:c r="I1153" s="69" t="str"/>
      <x:c r="J1153" s="69" t="str">
        <x:v>3.36338|-76.52325</x:v>
      </x:c>
      <x:c r="K1153" s="82" t="n">
        <x:v>0</x:v>
      </x:c>
    </x:row>
    <x:row r="1154">
      <x:c r="A1154" s="76" t="n">
        <x:v>1154</x:v>
      </x:c>
      <x:c r="B1154" s="69" t="str">
        <x:v>3.83698</x:v>
      </x:c>
      <x:c r="C1154" s="69" t="str">
        <x:v>-77.19119</x:v>
      </x:c>
      <x:c r="D1154" s="78" t="n">
        <x:v>3.83698</x:v>
      </x:c>
      <x:c r="E1154" s="78" t="n">
        <x:v>-77.19119</x:v>
      </x:c>
      <x:c r="F1154" s="69" t="str">
        <x:v>Texto→número</x:v>
      </x:c>
      <x:c r="G1154" s="69" t="str">
        <x:v>Texto→número</x:v>
      </x:c>
      <x:c r="H1154" s="80" t="str">
        <x:v>OK</x:v>
      </x:c>
      <x:c r="I1154" s="69" t="str"/>
      <x:c r="J1154" s="69" t="str">
        <x:v>3.83698|-77.19119</x:v>
      </x:c>
      <x:c r="K1154" s="82" t="n">
        <x:v>0</x:v>
      </x:c>
    </x:row>
    <x:row r="1155">
      <x:c r="A1155" s="76" t="n">
        <x:v>1155</x:v>
      </x:c>
      <x:c r="B1155" s="69" t="str">
        <x:v>0.25</x:v>
      </x:c>
      <x:c r="C1155" s="69" t="str">
        <x:v>-70.5</x:v>
      </x:c>
      <x:c r="D1155" s="78" t="n">
        <x:v>0.25</x:v>
      </x:c>
      <x:c r="E1155" s="78" t="n">
        <x:v>-70.5</x:v>
      </x:c>
      <x:c r="F1155" s="69" t="str">
        <x:v>Texto→número</x:v>
      </x:c>
      <x:c r="G1155" s="69" t="str">
        <x:v>Texto→número</x:v>
      </x:c>
      <x:c r="H1155" s="80" t="str">
        <x:v>OK</x:v>
      </x:c>
      <x:c r="I1155" s="69" t="str"/>
      <x:c r="J1155" s="69" t="str">
        <x:v>0.25|-70.5</x:v>
      </x:c>
      <x:c r="K1155" s="82" t="n">
        <x:v>0</x:v>
      </x:c>
    </x:row>
    <x:row r="1156">
      <x:c r="A1156" s="76" t="n">
        <x:v>1156</x:v>
      </x:c>
      <x:c r="B1156" s="69" t="str">
        <x:v>0.25</x:v>
      </x:c>
      <x:c r="C1156" s="69" t="str">
        <x:v>-70.5</x:v>
      </x:c>
      <x:c r="D1156" s="78" t="n">
        <x:v>0.25</x:v>
      </x:c>
      <x:c r="E1156" s="78" t="n">
        <x:v>-70.5</x:v>
      </x:c>
      <x:c r="F1156" s="69" t="str">
        <x:v>Texto→número</x:v>
      </x:c>
      <x:c r="G1156" s="69" t="str">
        <x:v>Texto→número</x:v>
      </x:c>
      <x:c r="H1156" s="80" t="str">
        <x:v>OK</x:v>
      </x:c>
      <x:c r="I1156" s="69" t="str"/>
      <x:c r="J1156" s="69"/>
      <x:c r="K1156" s="82" t="n">
        <x:v>1</x:v>
      </x:c>
    </x:row>
    <x:row r="1157">
      <x:c r="A1157" s="76" t="n">
        <x:v>1157</x:v>
      </x:c>
      <x:c r="B1157" s="69" t="str">
        <x:v>4.89466</x:v>
      </x:c>
      <x:c r="C1157" s="69" t="str">
        <x:v>-71.01073</x:v>
      </x:c>
      <x:c r="D1157" s="78" t="n">
        <x:v>4.89466</x:v>
      </x:c>
      <x:c r="E1157" s="78" t="n">
        <x:v>-71.01073</x:v>
      </x:c>
      <x:c r="F1157" s="69" t="str">
        <x:v>Texto→número</x:v>
      </x:c>
      <x:c r="G1157" s="69" t="str">
        <x:v>Texto→número</x:v>
      </x:c>
      <x:c r="H1157" s="80" t="str">
        <x:v>OK</x:v>
      </x:c>
      <x:c r="I1157" s="69" t="str"/>
      <x:c r="J1157" s="69" t="str">
        <x:v>4.89466|-71.01073</x:v>
      </x:c>
      <x:c r="K1157" s="82" t="n">
        <x:v>0</x:v>
      </x:c>
    </x:row>
    <x:row r="1158">
      <x:c r="A1158" s="76" t="n">
        <x:v>1158</x:v>
      </x:c>
      <x:c r="B1158" s="69" t="str">
        <x:v>7.8333333</x:v>
      </x:c>
      <x:c r="C1158" s="69" t="str">
        <x:v>-75.4166667</x:v>
      </x:c>
      <x:c r="D1158" s="78" t="n">
        <x:v>7.8333333</x:v>
      </x:c>
      <x:c r="E1158" s="78" t="n">
        <x:v>-75.4166667</x:v>
      </x:c>
      <x:c r="F1158" s="69" t="str">
        <x:v>Texto→número</x:v>
      </x:c>
      <x:c r="G1158" s="69" t="str">
        <x:v>Texto→número</x:v>
      </x:c>
      <x:c r="H1158" s="80" t="str">
        <x:v>OK</x:v>
      </x:c>
      <x:c r="I1158" s="69" t="str"/>
      <x:c r="J1158" s="69" t="str">
        <x:v>7.8333333|-75.4166667</x:v>
      </x:c>
      <x:c r="K1158" s="82" t="n">
        <x:v>0</x:v>
      </x:c>
    </x:row>
    <x:row r="1159">
      <x:c r="A1159" s="76" t="n">
        <x:v>1159</x:v>
      </x:c>
      <x:c r="B1159" s="69" t="str">
        <x:v>7.2333333</x:v>
      </x:c>
      <x:c r="C1159" s="69" t="str">
        <x:v>-76.4166667</x:v>
      </x:c>
      <x:c r="D1159" s="78" t="n">
        <x:v>7.2333333</x:v>
      </x:c>
      <x:c r="E1159" s="78" t="n">
        <x:v>-76.4166667</x:v>
      </x:c>
      <x:c r="F1159" s="69" t="str">
        <x:v>Texto→número</x:v>
      </x:c>
      <x:c r="G1159" s="69" t="str">
        <x:v>Texto→número</x:v>
      </x:c>
      <x:c r="H1159" s="80" t="str">
        <x:v>OK</x:v>
      </x:c>
      <x:c r="I1159" s="69" t="str"/>
      <x:c r="J1159" s="69" t="str">
        <x:v>7.2333333|-76.4166667</x:v>
      </x:c>
      <x:c r="K1159" s="82" t="n">
        <x:v>0</x:v>
      </x:c>
    </x:row>
    <x:row r="1160">
      <x:c r="A1160" s="76" t="n">
        <x:v>1160</x:v>
      </x:c>
      <x:c r="B1160" s="69" t="str">
        <x:v>4.7694444</x:v>
      </x:c>
      <x:c r="C1160" s="69" t="str">
        <x:v>-73.3238889</x:v>
      </x:c>
      <x:c r="D1160" s="78" t="n">
        <x:v>4.7694444</x:v>
      </x:c>
      <x:c r="E1160" s="78" t="n">
        <x:v>-73.3238889</x:v>
      </x:c>
      <x:c r="F1160" s="69" t="str">
        <x:v>Texto→número</x:v>
      </x:c>
      <x:c r="G1160" s="69" t="str">
        <x:v>Texto→número</x:v>
      </x:c>
      <x:c r="H1160" s="80" t="str">
        <x:v>OK</x:v>
      </x:c>
      <x:c r="I1160" s="69" t="str"/>
      <x:c r="J1160" s="69" t="str">
        <x:v>4.7694444|-73.3238889</x:v>
      </x:c>
      <x:c r="K1160" s="82" t="n">
        <x:v>0</x:v>
      </x:c>
    </x:row>
    <x:row r="1161">
      <x:c r="A1161" s="76" t="n">
        <x:v>1161</x:v>
      </x:c>
      <x:c r="B1161" s="69" t="str">
        <x:v>4.7638889</x:v>
      </x:c>
      <x:c r="C1161" s="69" t="str">
        <x:v>-73.3488889</x:v>
      </x:c>
      <x:c r="D1161" s="78" t="n">
        <x:v>4.7638889</x:v>
      </x:c>
      <x:c r="E1161" s="78" t="n">
        <x:v>-73.3488889</x:v>
      </x:c>
      <x:c r="F1161" s="69" t="str">
        <x:v>Texto→número</x:v>
      </x:c>
      <x:c r="G1161" s="69" t="str">
        <x:v>Texto→número</x:v>
      </x:c>
      <x:c r="H1161" s="80" t="str">
        <x:v>OK</x:v>
      </x:c>
      <x:c r="I1161" s="69" t="str"/>
      <x:c r="J1161" s="69" t="str">
        <x:v>4.7638889|-73.3488889</x:v>
      </x:c>
      <x:c r="K1161" s="82" t="n">
        <x:v>0</x:v>
      </x:c>
    </x:row>
    <x:row r="1162">
      <x:c r="A1162" s="76" t="n">
        <x:v>1162</x:v>
      </x:c>
      <x:c r="B1162" s="69" t="str">
        <x:v>8.39106</x:v>
      </x:c>
      <x:c r="C1162" s="69" t="str">
        <x:v>-73.28801</x:v>
      </x:c>
      <x:c r="D1162" s="78" t="n">
        <x:v>8.39106</x:v>
      </x:c>
      <x:c r="E1162" s="78" t="n">
        <x:v>-73.28801</x:v>
      </x:c>
      <x:c r="F1162" s="69" t="str">
        <x:v>Texto→número</x:v>
      </x:c>
      <x:c r="G1162" s="69" t="str">
        <x:v>Texto→número</x:v>
      </x:c>
      <x:c r="H1162" s="80" t="str">
        <x:v>OK</x:v>
      </x:c>
      <x:c r="I1162" s="69" t="str"/>
      <x:c r="J1162" s="69" t="str">
        <x:v>8.39106|-73.28801</x:v>
      </x:c>
      <x:c r="K1162" s="82" t="n">
        <x:v>0</x:v>
      </x:c>
    </x:row>
    <x:row r="1163">
      <x:c r="A1163" s="76" t="n">
        <x:v>1163</x:v>
      </x:c>
      <x:c r="B1163" s="69" t="str">
        <x:v>5.0833333</x:v>
      </x:c>
      <x:c r="C1163" s="69" t="str">
        <x:v>-75.5084722</x:v>
      </x:c>
      <x:c r="D1163" s="78" t="n">
        <x:v>5.0833333</x:v>
      </x:c>
      <x:c r="E1163" s="78" t="n">
        <x:v>-75.5084722</x:v>
      </x:c>
      <x:c r="F1163" s="69" t="str">
        <x:v>Texto→número</x:v>
      </x:c>
      <x:c r="G1163" s="69" t="str">
        <x:v>Texto→número</x:v>
      </x:c>
      <x:c r="H1163" s="80" t="str">
        <x:v>OK</x:v>
      </x:c>
      <x:c r="I1163" s="69" t="str"/>
      <x:c r="J1163" s="69" t="str">
        <x:v>5.0833333|-75.5084722</x:v>
      </x:c>
      <x:c r="K1163" s="82" t="n">
        <x:v>0</x:v>
      </x:c>
    </x:row>
    <x:row r="1164">
      <x:c r="A1164" s="76" t="n">
        <x:v>1164</x:v>
      </x:c>
      <x:c r="B1164" s="69" t="str">
        <x:v>5.7897889</x:v>
      </x:c>
      <x:c r="C1164" s="69" t="str">
        <x:v>-75.7851111</x:v>
      </x:c>
      <x:c r="D1164" s="78" t="n">
        <x:v>5.7897889</x:v>
      </x:c>
      <x:c r="E1164" s="78" t="n">
        <x:v>-75.7851111</x:v>
      </x:c>
      <x:c r="F1164" s="69" t="str">
        <x:v>Texto→número</x:v>
      </x:c>
      <x:c r="G1164" s="69" t="str">
        <x:v>Texto→número</x:v>
      </x:c>
      <x:c r="H1164" s="80" t="str">
        <x:v>OK</x:v>
      </x:c>
      <x:c r="I1164" s="69" t="str"/>
      <x:c r="J1164" s="69" t="str">
        <x:v>5.7897889|-75.7851111</x:v>
      </x:c>
      <x:c r="K1164" s="82" t="n">
        <x:v>0</x:v>
      </x:c>
    </x:row>
    <x:row r="1165">
      <x:c r="A1165" s="76" t="n">
        <x:v>1165</x:v>
      </x:c>
      <x:c r="B1165" s="69" t="str">
        <x:v>6.155</x:v>
      </x:c>
      <x:c r="C1165" s="69" t="str">
        <x:v>-75.3888889</x:v>
      </x:c>
      <x:c r="D1165" s="78" t="n">
        <x:v>6.155</x:v>
      </x:c>
      <x:c r="E1165" s="78" t="n">
        <x:v>-75.3888889</x:v>
      </x:c>
      <x:c r="F1165" s="69" t="str">
        <x:v>Texto→número</x:v>
      </x:c>
      <x:c r="G1165" s="69" t="str">
        <x:v>Texto→número</x:v>
      </x:c>
      <x:c r="H1165" s="80" t="str">
        <x:v>OK</x:v>
      </x:c>
      <x:c r="I1165" s="69" t="str"/>
      <x:c r="J1165" s="69" t="str">
        <x:v>6.155|-75.3888889</x:v>
      </x:c>
      <x:c r="K1165" s="82" t="n">
        <x:v>0</x:v>
      </x:c>
    </x:row>
    <x:row r="1166">
      <x:c r="A1166" s="76" t="n">
        <x:v>1166</x:v>
      </x:c>
      <x:c r="B1166" s="69" t="str">
        <x:v>6.2800111</x:v>
      </x:c>
      <x:c r="C1166" s="69" t="str">
        <x:v>-75.4427333</x:v>
      </x:c>
      <x:c r="D1166" s="78" t="n">
        <x:v>6.2800111</x:v>
      </x:c>
      <x:c r="E1166" s="78" t="n">
        <x:v>-75.4427333</x:v>
      </x:c>
      <x:c r="F1166" s="69" t="str">
        <x:v>Texto→número</x:v>
      </x:c>
      <x:c r="G1166" s="69" t="str">
        <x:v>Texto→número</x:v>
      </x:c>
      <x:c r="H1166" s="80" t="str">
        <x:v>OK</x:v>
      </x:c>
      <x:c r="I1166" s="69" t="str"/>
      <x:c r="J1166" s="69"/>
      <x:c r="K1166" s="82" t="n">
        <x:v>1</x:v>
      </x:c>
    </x:row>
    <x:row r="1167">
      <x:c r="A1167" s="76" t="n">
        <x:v>1167</x:v>
      </x:c>
      <x:c r="B1167" s="69" t="str">
        <x:v>2.1971583</x:v>
      </x:c>
      <x:c r="C1167" s="69" t="str">
        <x:v>-75.6382667</x:v>
      </x:c>
      <x:c r="D1167" s="78" t="n">
        <x:v>2.1971583</x:v>
      </x:c>
      <x:c r="E1167" s="78" t="n">
        <x:v>-75.6382667</x:v>
      </x:c>
      <x:c r="F1167" s="69" t="str">
        <x:v>Texto→número</x:v>
      </x:c>
      <x:c r="G1167" s="69" t="str">
        <x:v>Texto→número</x:v>
      </x:c>
      <x:c r="H1167" s="80" t="str">
        <x:v>OK</x:v>
      </x:c>
      <x:c r="I1167" s="69" t="str"/>
      <x:c r="J1167" s="69" t="str">
        <x:v>2.1971583|-75.6382667</x:v>
      </x:c>
      <x:c r="K1167" s="82" t="n">
        <x:v>0</x:v>
      </x:c>
    </x:row>
    <x:row r="1168">
      <x:c r="A1168" s="76" t="n">
        <x:v>1168</x:v>
      </x:c>
      <x:c r="B1168" s="69" t="str">
        <x:v>6.22059</x:v>
      </x:c>
      <x:c r="C1168" s="69" t="str">
        <x:v>-75.55411</x:v>
      </x:c>
      <x:c r="D1168" s="78" t="n">
        <x:v>6.22059</x:v>
      </x:c>
      <x:c r="E1168" s="78" t="n">
        <x:v>-75.55411</x:v>
      </x:c>
      <x:c r="F1168" s="69" t="str">
        <x:v>Texto→número</x:v>
      </x:c>
      <x:c r="G1168" s="69" t="str">
        <x:v>Texto→número</x:v>
      </x:c>
      <x:c r="H1168" s="80" t="str">
        <x:v>OK</x:v>
      </x:c>
      <x:c r="I1168" s="69" t="str"/>
      <x:c r="J1168" s="69" t="str">
        <x:v>6.22059|-75.55411</x:v>
      </x:c>
      <x:c r="K1168" s="82" t="n">
        <x:v>0</x:v>
      </x:c>
    </x:row>
    <x:row r="1169">
      <x:c r="A1169" s="76" t="n">
        <x:v>1169</x:v>
      </x:c>
      <x:c r="B1169" s="69" t="str">
        <x:v>6.22059</x:v>
      </x:c>
      <x:c r="C1169" s="69" t="str">
        <x:v>-75.55411</x:v>
      </x:c>
      <x:c r="D1169" s="78" t="n">
        <x:v>6.22059</x:v>
      </x:c>
      <x:c r="E1169" s="78" t="n">
        <x:v>-75.55411</x:v>
      </x:c>
      <x:c r="F1169" s="69" t="str">
        <x:v>Texto→número</x:v>
      </x:c>
      <x:c r="G1169" s="69" t="str">
        <x:v>Texto→número</x:v>
      </x:c>
      <x:c r="H1169" s="80" t="str">
        <x:v>OK</x:v>
      </x:c>
      <x:c r="I1169" s="69" t="str"/>
      <x:c r="J1169" s="69"/>
      <x:c r="K1169" s="82" t="n">
        <x:v>1</x:v>
      </x:c>
    </x:row>
    <x:row r="1170">
      <x:c r="A1170" s="76" t="n">
        <x:v>1170</x:v>
      </x:c>
      <x:c r="B1170" s="69" t="str">
        <x:v>5.6833333</x:v>
      </x:c>
      <x:c r="C1170" s="69" t="str">
        <x:v>-75.2333333</x:v>
      </x:c>
      <x:c r="D1170" s="78" t="n">
        <x:v>5.6833333</x:v>
      </x:c>
      <x:c r="E1170" s="78" t="n">
        <x:v>-75.2333333</x:v>
      </x:c>
      <x:c r="F1170" s="69" t="str">
        <x:v>Texto→número</x:v>
      </x:c>
      <x:c r="G1170" s="69" t="str">
        <x:v>Texto→número</x:v>
      </x:c>
      <x:c r="H1170" s="80" t="str">
        <x:v>OK</x:v>
      </x:c>
      <x:c r="I1170" s="69" t="str"/>
      <x:c r="J1170" s="69"/>
      <x:c r="K1170" s="82" t="n">
        <x:v>1</x:v>
      </x:c>
    </x:row>
    <x:row r="1171">
      <x:c r="A1171" s="76" t="n">
        <x:v>1171</x:v>
      </x:c>
      <x:c r="B1171" s="69" t="str">
        <x:v>5.6833333</x:v>
      </x:c>
      <x:c r="C1171" s="69" t="str">
        <x:v>-75.2333333</x:v>
      </x:c>
      <x:c r="D1171" s="78" t="n">
        <x:v>5.6833333</x:v>
      </x:c>
      <x:c r="E1171" s="78" t="n">
        <x:v>-75.2333333</x:v>
      </x:c>
      <x:c r="F1171" s="69" t="str">
        <x:v>Texto→número</x:v>
      </x:c>
      <x:c r="G1171" s="69" t="str">
        <x:v>Texto→número</x:v>
      </x:c>
      <x:c r="H1171" s="80" t="str">
        <x:v>OK</x:v>
      </x:c>
      <x:c r="I1171" s="69" t="str"/>
      <x:c r="J1171" s="69"/>
      <x:c r="K1171" s="82" t="n">
        <x:v>1</x:v>
      </x:c>
    </x:row>
    <x:row r="1172">
      <x:c r="A1172" s="76" t="n">
        <x:v>1172</x:v>
      </x:c>
      <x:c r="B1172" s="69" t="str">
        <x:v>7.34367</x:v>
      </x:c>
      <x:c r="C1172" s="69" t="str">
        <x:v>-72.6416</x:v>
      </x:c>
      <x:c r="D1172" s="78" t="n">
        <x:v>7.34367</x:v>
      </x:c>
      <x:c r="E1172" s="78" t="n">
        <x:v>-72.6416</x:v>
      </x:c>
      <x:c r="F1172" s="69" t="str">
        <x:v>Texto→número</x:v>
      </x:c>
      <x:c r="G1172" s="69" t="str">
        <x:v>Texto→número</x:v>
      </x:c>
      <x:c r="H1172" s="80" t="str">
        <x:v>OK</x:v>
      </x:c>
      <x:c r="I1172" s="69" t="str"/>
      <x:c r="J1172" s="69" t="str">
        <x:v>7.34367|-72.6416</x:v>
      </x:c>
      <x:c r="K1172" s="82" t="n">
        <x:v>0</x:v>
      </x:c>
    </x:row>
    <x:row r="1173">
      <x:c r="A1173" s="76" t="n">
        <x:v>1173</x:v>
      </x:c>
      <x:c r="B1173" s="69" t="str">
        <x:v>6.2833333</x:v>
      </x:c>
      <x:c r="C1173" s="69" t="str">
        <x:v>-75.5</x:v>
      </x:c>
      <x:c r="D1173" s="78" t="n">
        <x:v>6.2833333</x:v>
      </x:c>
      <x:c r="E1173" s="78" t="n">
        <x:v>-75.5</x:v>
      </x:c>
      <x:c r="F1173" s="69" t="str">
        <x:v>Texto→número</x:v>
      </x:c>
      <x:c r="G1173" s="69" t="str">
        <x:v>Texto→número</x:v>
      </x:c>
      <x:c r="H1173" s="80" t="str">
        <x:v>OK</x:v>
      </x:c>
      <x:c r="I1173" s="69" t="str"/>
      <x:c r="J1173" s="69"/>
      <x:c r="K1173" s="82" t="n">
        <x:v>1</x:v>
      </x:c>
    </x:row>
    <x:row r="1174">
      <x:c r="A1174" s="76" t="n">
        <x:v>1174</x:v>
      </x:c>
      <x:c r="B1174" s="69" t="str">
        <x:v>6.2833333</x:v>
      </x:c>
      <x:c r="C1174" s="69" t="str">
        <x:v>-75.5</x:v>
      </x:c>
      <x:c r="D1174" s="78" t="n">
        <x:v>6.2833333</x:v>
      </x:c>
      <x:c r="E1174" s="78" t="n">
        <x:v>-75.5</x:v>
      </x:c>
      <x:c r="F1174" s="69" t="str">
        <x:v>Texto→número</x:v>
      </x:c>
      <x:c r="G1174" s="69" t="str">
        <x:v>Texto→número</x:v>
      </x:c>
      <x:c r="H1174" s="80" t="str">
        <x:v>OK</x:v>
      </x:c>
      <x:c r="I1174" s="69" t="str"/>
      <x:c r="J1174" s="69"/>
      <x:c r="K1174" s="82" t="n">
        <x:v>1</x:v>
      </x:c>
    </x:row>
    <x:row r="1175">
      <x:c r="A1175" s="76" t="n">
        <x:v>1175</x:v>
      </x:c>
      <x:c r="B1175" s="69" t="str">
        <x:v>7.31676</x:v>
      </x:c>
      <x:c r="C1175" s="69" t="str">
        <x:v>-75.05643</x:v>
      </x:c>
      <x:c r="D1175" s="78" t="n">
        <x:v>7.31676</x:v>
      </x:c>
      <x:c r="E1175" s="78" t="n">
        <x:v>-75.05643</x:v>
      </x:c>
      <x:c r="F1175" s="69" t="str">
        <x:v>Texto→número</x:v>
      </x:c>
      <x:c r="G1175" s="69" t="str">
        <x:v>Texto→número</x:v>
      </x:c>
      <x:c r="H1175" s="80" t="str">
        <x:v>OK</x:v>
      </x:c>
      <x:c r="I1175" s="69" t="str"/>
      <x:c r="J1175" s="69"/>
      <x:c r="K1175" s="82" t="n">
        <x:v>1</x:v>
      </x:c>
    </x:row>
    <x:row r="1176">
      <x:c r="A1176" s="76" t="n">
        <x:v>1176</x:v>
      </x:c>
      <x:c r="B1176" s="69" t="str">
        <x:v>6.2800111</x:v>
      </x:c>
      <x:c r="C1176" s="69" t="str">
        <x:v>-75.4427333</x:v>
      </x:c>
      <x:c r="D1176" s="78" t="n">
        <x:v>6.2800111</x:v>
      </x:c>
      <x:c r="E1176" s="78" t="n">
        <x:v>-75.4427333</x:v>
      </x:c>
      <x:c r="F1176" s="69" t="str">
        <x:v>Texto→número</x:v>
      </x:c>
      <x:c r="G1176" s="69" t="str">
        <x:v>Texto→número</x:v>
      </x:c>
      <x:c r="H1176" s="80" t="str">
        <x:v>OK</x:v>
      </x:c>
      <x:c r="I1176" s="69" t="str"/>
      <x:c r="J1176" s="69"/>
      <x:c r="K1176" s="82" t="n">
        <x:v>1</x:v>
      </x:c>
    </x:row>
    <x:row r="1177">
      <x:c r="A1177" s="76" t="n">
        <x:v>1177</x:v>
      </x:c>
      <x:c r="B1177" s="69" t="str">
        <x:v>6.2800111</x:v>
      </x:c>
      <x:c r="C1177" s="69" t="str">
        <x:v>-75.4427333</x:v>
      </x:c>
      <x:c r="D1177" s="78" t="n">
        <x:v>6.2800111</x:v>
      </x:c>
      <x:c r="E1177" s="78" t="n">
        <x:v>-75.4427333</x:v>
      </x:c>
      <x:c r="F1177" s="69" t="str">
        <x:v>Texto→número</x:v>
      </x:c>
      <x:c r="G1177" s="69" t="str">
        <x:v>Texto→número</x:v>
      </x:c>
      <x:c r="H1177" s="80" t="str">
        <x:v>OK</x:v>
      </x:c>
      <x:c r="I1177" s="69" t="str"/>
      <x:c r="J1177" s="69"/>
      <x:c r="K1177" s="82" t="n">
        <x:v>1</x:v>
      </x:c>
    </x:row>
    <x:row r="1178">
      <x:c r="A1178" s="76" t="n">
        <x:v>1178</x:v>
      </x:c>
      <x:c r="B1178" s="69" t="str">
        <x:v>6.235925</x:v>
      </x:c>
      <x:c r="C1178" s="69" t="str">
        <x:v>-75.5751361</x:v>
      </x:c>
      <x:c r="D1178" s="78" t="n">
        <x:v>6.235925</x:v>
      </x:c>
      <x:c r="E1178" s="78" t="n">
        <x:v>-75.5751361</x:v>
      </x:c>
      <x:c r="F1178" s="69" t="str">
        <x:v>Texto→número</x:v>
      </x:c>
      <x:c r="G1178" s="69" t="str">
        <x:v>Texto→número</x:v>
      </x:c>
      <x:c r="H1178" s="80" t="str">
        <x:v>OK</x:v>
      </x:c>
      <x:c r="I1178" s="69" t="str"/>
      <x:c r="J1178" s="69"/>
      <x:c r="K1178" s="82" t="n">
        <x:v>1</x:v>
      </x:c>
    </x:row>
    <x:row r="1179">
      <x:c r="A1179" s="76" t="n">
        <x:v>1179</x:v>
      </x:c>
      <x:c r="B1179" s="69" t="str">
        <x:v>6.09</x:v>
      </x:c>
      <x:c r="C1179" s="69" t="str">
        <x:v>-75.638</x:v>
      </x:c>
      <x:c r="D1179" s="78" t="n">
        <x:v>6.09</x:v>
      </x:c>
      <x:c r="E1179" s="78" t="n">
        <x:v>-75.638</x:v>
      </x:c>
      <x:c r="F1179" s="69" t="str">
        <x:v>Texto→número</x:v>
      </x:c>
      <x:c r="G1179" s="69" t="str">
        <x:v>Texto→número</x:v>
      </x:c>
      <x:c r="H1179" s="80" t="str">
        <x:v>OK</x:v>
      </x:c>
      <x:c r="I1179" s="69" t="str"/>
      <x:c r="J1179" s="69"/>
      <x:c r="K1179" s="82" t="n">
        <x:v>1</x:v>
      </x:c>
    </x:row>
    <x:row r="1180">
      <x:c r="A1180" s="76" t="n">
        <x:v>1180</x:v>
      </x:c>
      <x:c r="B1180" s="69" t="str">
        <x:v>6.31122</x:v>
      </x:c>
      <x:c r="C1180" s="69" t="str">
        <x:v>-75.14609</x:v>
      </x:c>
      <x:c r="D1180" s="78" t="n">
        <x:v>6.31122</x:v>
      </x:c>
      <x:c r="E1180" s="78" t="n">
        <x:v>-75.14609</x:v>
      </x:c>
      <x:c r="F1180" s="69" t="str">
        <x:v>Texto→número</x:v>
      </x:c>
      <x:c r="G1180" s="69" t="str">
        <x:v>Texto→número</x:v>
      </x:c>
      <x:c r="H1180" s="80" t="str">
        <x:v>OK</x:v>
      </x:c>
      <x:c r="I1180" s="69" t="str"/>
      <x:c r="J1180" s="69"/>
      <x:c r="K1180" s="82" t="n">
        <x:v>1</x:v>
      </x:c>
    </x:row>
    <x:row r="1181">
      <x:c r="A1181" s="76" t="n">
        <x:v>1181</x:v>
      </x:c>
      <x:c r="B1181" s="69" t="str">
        <x:v>6.09</x:v>
      </x:c>
      <x:c r="C1181" s="69" t="str">
        <x:v>-75.638</x:v>
      </x:c>
      <x:c r="D1181" s="78" t="n">
        <x:v>6.09</x:v>
      </x:c>
      <x:c r="E1181" s="78" t="n">
        <x:v>-75.638</x:v>
      </x:c>
      <x:c r="F1181" s="69" t="str">
        <x:v>Texto→número</x:v>
      </x:c>
      <x:c r="G1181" s="69" t="str">
        <x:v>Texto→número</x:v>
      </x:c>
      <x:c r="H1181" s="80" t="str">
        <x:v>OK</x:v>
      </x:c>
      <x:c r="I1181" s="69" t="str"/>
      <x:c r="J1181" s="69"/>
      <x:c r="K1181" s="82" t="n">
        <x:v>1</x:v>
      </x:c>
    </x:row>
    <x:row r="1182">
      <x:c r="A1182" s="76" t="n">
        <x:v>1182</x:v>
      </x:c>
      <x:c r="B1182" s="69" t="str">
        <x:v>6.09</x:v>
      </x:c>
      <x:c r="C1182" s="69" t="str">
        <x:v>-75.638</x:v>
      </x:c>
      <x:c r="D1182" s="78" t="n">
        <x:v>6.09</x:v>
      </x:c>
      <x:c r="E1182" s="78" t="n">
        <x:v>-75.638</x:v>
      </x:c>
      <x:c r="F1182" s="69" t="str">
        <x:v>Texto→número</x:v>
      </x:c>
      <x:c r="G1182" s="69" t="str">
        <x:v>Texto→número</x:v>
      </x:c>
      <x:c r="H1182" s="80" t="str">
        <x:v>OK</x:v>
      </x:c>
      <x:c r="I1182" s="69" t="str"/>
      <x:c r="J1182" s="69"/>
      <x:c r="K1182" s="82" t="n">
        <x:v>1</x:v>
      </x:c>
    </x:row>
    <x:row r="1183">
      <x:c r="A1183" s="76" t="n">
        <x:v>1183</x:v>
      </x:c>
      <x:c r="B1183" s="69" t="str">
        <x:v>4.8697778</x:v>
      </x:c>
      <x:c r="C1183" s="69" t="str">
        <x:v>-75.1773528</x:v>
      </x:c>
      <x:c r="D1183" s="78" t="n">
        <x:v>4.8697778</x:v>
      </x:c>
      <x:c r="E1183" s="78" t="n">
        <x:v>-75.1773528</x:v>
      </x:c>
      <x:c r="F1183" s="69" t="str">
        <x:v>Texto→número</x:v>
      </x:c>
      <x:c r="G1183" s="69" t="str">
        <x:v>Texto→número</x:v>
      </x:c>
      <x:c r="H1183" s="80" t="str">
        <x:v>OK</x:v>
      </x:c>
      <x:c r="I1183" s="69" t="str"/>
      <x:c r="J1183" s="69"/>
      <x:c r="K1183" s="82" t="n">
        <x:v>1</x:v>
      </x:c>
    </x:row>
    <x:row r="1184">
      <x:c r="A1184" s="76" t="n">
        <x:v>1184</x:v>
      </x:c>
      <x:c r="B1184" s="69" t="str">
        <x:v>6.2800111</x:v>
      </x:c>
      <x:c r="C1184" s="69" t="str">
        <x:v>-75.4427333</x:v>
      </x:c>
      <x:c r="D1184" s="78" t="n">
        <x:v>6.2800111</x:v>
      </x:c>
      <x:c r="E1184" s="78" t="n">
        <x:v>-75.4427333</x:v>
      </x:c>
      <x:c r="F1184" s="69" t="str">
        <x:v>Texto→número</x:v>
      </x:c>
      <x:c r="G1184" s="69" t="str">
        <x:v>Texto→número</x:v>
      </x:c>
      <x:c r="H1184" s="80" t="str">
        <x:v>OK</x:v>
      </x:c>
      <x:c r="I1184" s="69" t="str"/>
      <x:c r="J1184" s="69"/>
      <x:c r="K1184" s="82" t="n">
        <x:v>1</x:v>
      </x:c>
    </x:row>
    <x:row r="1185">
      <x:c r="A1185" s="76" t="n">
        <x:v>1185</x:v>
      </x:c>
      <x:c r="B1185" s="69" t="str">
        <x:v>5.6833333</x:v>
      </x:c>
      <x:c r="C1185" s="69" t="str">
        <x:v>-75.2333333</x:v>
      </x:c>
      <x:c r="D1185" s="78" t="n">
        <x:v>5.6833333</x:v>
      </x:c>
      <x:c r="E1185" s="78" t="n">
        <x:v>-75.2333333</x:v>
      </x:c>
      <x:c r="F1185" s="69" t="str">
        <x:v>Texto→número</x:v>
      </x:c>
      <x:c r="G1185" s="69" t="str">
        <x:v>Texto→número</x:v>
      </x:c>
      <x:c r="H1185" s="80" t="str">
        <x:v>OK</x:v>
      </x:c>
      <x:c r="I1185" s="69" t="str"/>
      <x:c r="J1185" s="69"/>
      <x:c r="K1185" s="82" t="n">
        <x:v>1</x:v>
      </x:c>
    </x:row>
    <x:row r="1186">
      <x:c r="A1186" s="76" t="n">
        <x:v>1186</x:v>
      </x:c>
      <x:c r="B1186" s="69" t="str">
        <x:v>5.6833333</x:v>
      </x:c>
      <x:c r="C1186" s="69" t="str">
        <x:v>-75.2333333</x:v>
      </x:c>
      <x:c r="D1186" s="78" t="n">
        <x:v>5.6833333</x:v>
      </x:c>
      <x:c r="E1186" s="78" t="n">
        <x:v>-75.2333333</x:v>
      </x:c>
      <x:c r="F1186" s="69" t="str">
        <x:v>Texto→número</x:v>
      </x:c>
      <x:c r="G1186" s="69" t="str">
        <x:v>Texto→número</x:v>
      </x:c>
      <x:c r="H1186" s="80" t="str">
        <x:v>OK</x:v>
      </x:c>
      <x:c r="I1186" s="69" t="str"/>
      <x:c r="J1186" s="69"/>
      <x:c r="K1186" s="82" t="n">
        <x:v>1</x:v>
      </x:c>
    </x:row>
    <x:row r="1187">
      <x:c r="A1187" s="76" t="n">
        <x:v>1187</x:v>
      </x:c>
      <x:c r="B1187" s="69" t="str">
        <x:v>6.5</x:v>
      </x:c>
      <x:c r="C1187" s="69" t="str">
        <x:v>-75.5333333</x:v>
      </x:c>
      <x:c r="D1187" s="78" t="n">
        <x:v>6.5</x:v>
      </x:c>
      <x:c r="E1187" s="78" t="n">
        <x:v>-75.5333333</x:v>
      </x:c>
      <x:c r="F1187" s="69" t="str">
        <x:v>Texto→número</x:v>
      </x:c>
      <x:c r="G1187" s="69" t="str">
        <x:v>Texto→número</x:v>
      </x:c>
      <x:c r="H1187" s="80" t="str">
        <x:v>OK</x:v>
      </x:c>
      <x:c r="I1187" s="69" t="str"/>
      <x:c r="J1187" s="69" t="str">
        <x:v>6.5|-75.5333333</x:v>
      </x:c>
      <x:c r="K1187" s="82" t="n">
        <x:v>0</x:v>
      </x:c>
    </x:row>
    <x:row r="1188">
      <x:c r="A1188" s="76" t="n">
        <x:v>1188</x:v>
      </x:c>
      <x:c r="B1188" s="69" t="str">
        <x:v>6.5333333</x:v>
      </x:c>
      <x:c r="C1188" s="69" t="str">
        <x:v>-75.5</x:v>
      </x:c>
      <x:c r="D1188" s="78" t="n">
        <x:v>6.5333333</x:v>
      </x:c>
      <x:c r="E1188" s="78" t="n">
        <x:v>-75.5</x:v>
      </x:c>
      <x:c r="F1188" s="69" t="str">
        <x:v>Texto→número</x:v>
      </x:c>
      <x:c r="G1188" s="69" t="str">
        <x:v>Texto→número</x:v>
      </x:c>
      <x:c r="H1188" s="80" t="str">
        <x:v>OK</x:v>
      </x:c>
      <x:c r="I1188" s="69" t="str"/>
      <x:c r="J1188" s="69"/>
      <x:c r="K1188" s="82" t="n">
        <x:v>1</x:v>
      </x:c>
    </x:row>
    <x:row r="1189">
      <x:c r="A1189" s="76" t="n">
        <x:v>1189</x:v>
      </x:c>
      <x:c r="B1189" s="69" t="str">
        <x:v>6.2022472</x:v>
      </x:c>
      <x:c r="C1189" s="69" t="str">
        <x:v>-75.5181167</x:v>
      </x:c>
      <x:c r="D1189" s="78" t="n">
        <x:v>6.2022472</x:v>
      </x:c>
      <x:c r="E1189" s="78" t="n">
        <x:v>-75.5181167</x:v>
      </x:c>
      <x:c r="F1189" s="69" t="str">
        <x:v>Texto→número</x:v>
      </x:c>
      <x:c r="G1189" s="69" t="str">
        <x:v>Texto→número</x:v>
      </x:c>
      <x:c r="H1189" s="80" t="str">
        <x:v>OK</x:v>
      </x:c>
      <x:c r="I1189" s="69" t="str"/>
      <x:c r="J1189" s="69" t="str">
        <x:v>6.2022472|-75.5181167</x:v>
      </x:c>
      <x:c r="K1189" s="82" t="n">
        <x:v>0</x:v>
      </x:c>
    </x:row>
    <x:row r="1190">
      <x:c r="A1190" s="76" t="n">
        <x:v>1190</x:v>
      </x:c>
      <x:c r="B1190" s="69" t="str">
        <x:v>6.2666667</x:v>
      </x:c>
      <x:c r="C1190" s="69" t="str">
        <x:v>-75.5666667</x:v>
      </x:c>
      <x:c r="D1190" s="78" t="n">
        <x:v>6.2666667</x:v>
      </x:c>
      <x:c r="E1190" s="78" t="n">
        <x:v>-75.5666667</x:v>
      </x:c>
      <x:c r="F1190" s="69" t="str">
        <x:v>Texto→número</x:v>
      </x:c>
      <x:c r="G1190" s="69" t="str">
        <x:v>Texto→número</x:v>
      </x:c>
      <x:c r="H1190" s="80" t="str">
        <x:v>OK</x:v>
      </x:c>
      <x:c r="I1190" s="69" t="str"/>
      <x:c r="J1190" s="69"/>
      <x:c r="K1190" s="82" t="n">
        <x:v>1</x:v>
      </x:c>
    </x:row>
    <x:row r="1191">
      <x:c r="A1191" s="76" t="n">
        <x:v>1191</x:v>
      </x:c>
      <x:c r="B1191" s="69" t="str">
        <x:v>6.3219444</x:v>
      </x:c>
      <x:c r="C1191" s="69" t="str">
        <x:v>-75.5858333</x:v>
      </x:c>
      <x:c r="D1191" s="78" t="n">
        <x:v>6.3219444</x:v>
      </x:c>
      <x:c r="E1191" s="78" t="n">
        <x:v>-75.5858333</x:v>
      </x:c>
      <x:c r="F1191" s="69" t="str">
        <x:v>Texto→número</x:v>
      </x:c>
      <x:c r="G1191" s="69" t="str">
        <x:v>Texto→número</x:v>
      </x:c>
      <x:c r="H1191" s="80" t="str">
        <x:v>OK</x:v>
      </x:c>
      <x:c r="I1191" s="69" t="str"/>
      <x:c r="J1191" s="69" t="str">
        <x:v>6.3219444|-75.5858333</x:v>
      </x:c>
      <x:c r="K1191" s="82" t="n">
        <x:v>0</x:v>
      </x:c>
    </x:row>
    <x:row r="1192">
      <x:c r="A1192" s="76" t="n">
        <x:v>1192</x:v>
      </x:c>
      <x:c r="B1192" s="69" t="str">
        <x:v>1.1758972</x:v>
      </x:c>
      <x:c r="C1192" s="69" t="str">
        <x:v>-76.8793556</x:v>
      </x:c>
      <x:c r="D1192" s="78" t="n">
        <x:v>1.1758972</x:v>
      </x:c>
      <x:c r="E1192" s="78" t="n">
        <x:v>-76.8793556</x:v>
      </x:c>
      <x:c r="F1192" s="69" t="str">
        <x:v>Texto→número</x:v>
      </x:c>
      <x:c r="G1192" s="69" t="str">
        <x:v>Texto→número</x:v>
      </x:c>
      <x:c r="H1192" s="80" t="str">
        <x:v>OK</x:v>
      </x:c>
      <x:c r="I1192" s="69" t="str"/>
      <x:c r="J1192" s="69"/>
      <x:c r="K1192" s="82" t="n">
        <x:v>1</x:v>
      </x:c>
    </x:row>
    <x:row r="1193">
      <x:c r="A1193" s="76" t="n">
        <x:v>1193</x:v>
      </x:c>
      <x:c r="B1193" s="69" t="str">
        <x:v>6.2621111</x:v>
      </x:c>
      <x:c r="C1193" s="69" t="str">
        <x:v>-75.5084722</x:v>
      </x:c>
      <x:c r="D1193" s="78" t="n">
        <x:v>6.2621111</x:v>
      </x:c>
      <x:c r="E1193" s="78" t="n">
        <x:v>-75.5084722</x:v>
      </x:c>
      <x:c r="F1193" s="69" t="str">
        <x:v>Texto→número</x:v>
      </x:c>
      <x:c r="G1193" s="69" t="str">
        <x:v>Texto→número</x:v>
      </x:c>
      <x:c r="H1193" s="80" t="str">
        <x:v>OK</x:v>
      </x:c>
      <x:c r="I1193" s="69" t="str"/>
      <x:c r="J1193" s="69" t="str">
        <x:v>6.2621111|-75.5084722</x:v>
      </x:c>
      <x:c r="K1193" s="82" t="n">
        <x:v>0</x:v>
      </x:c>
    </x:row>
    <x:row r="1194">
      <x:c r="A1194" s="76" t="n">
        <x:v>1194</x:v>
      </x:c>
      <x:c r="B1194" s="69" t="str">
        <x:v>6.2621111</x:v>
      </x:c>
      <x:c r="C1194" s="69" t="str">
        <x:v>-75.5084722</x:v>
      </x:c>
      <x:c r="D1194" s="78" t="n">
        <x:v>6.2621111</x:v>
      </x:c>
      <x:c r="E1194" s="78" t="n">
        <x:v>-75.5084722</x:v>
      </x:c>
      <x:c r="F1194" s="69" t="str">
        <x:v>Texto→número</x:v>
      </x:c>
      <x:c r="G1194" s="69" t="str">
        <x:v>Texto→número</x:v>
      </x:c>
      <x:c r="H1194" s="80" t="str">
        <x:v>OK</x:v>
      </x:c>
      <x:c r="I1194" s="69" t="str"/>
      <x:c r="J1194" s="69"/>
      <x:c r="K1194" s="82" t="n">
        <x:v>1</x:v>
      </x:c>
    </x:row>
    <x:row r="1195">
      <x:c r="A1195" s="76" t="n">
        <x:v>1195</x:v>
      </x:c>
      <x:c r="B1195" s="69" t="str">
        <x:v>6.2621111</x:v>
      </x:c>
      <x:c r="C1195" s="69" t="str">
        <x:v>-75.5084722</x:v>
      </x:c>
      <x:c r="D1195" s="78" t="n">
        <x:v>6.2621111</x:v>
      </x:c>
      <x:c r="E1195" s="78" t="n">
        <x:v>-75.5084722</x:v>
      </x:c>
      <x:c r="F1195" s="69" t="str">
        <x:v>Texto→número</x:v>
      </x:c>
      <x:c r="G1195" s="69" t="str">
        <x:v>Texto→número</x:v>
      </x:c>
      <x:c r="H1195" s="80" t="str">
        <x:v>OK</x:v>
      </x:c>
      <x:c r="I1195" s="69" t="str"/>
      <x:c r="J1195" s="69"/>
      <x:c r="K1195" s="82" t="n">
        <x:v>1</x:v>
      </x:c>
    </x:row>
    <x:row r="1196">
      <x:c r="A1196" s="76" t="n">
        <x:v>1196</x:v>
      </x:c>
      <x:c r="B1196" s="69" t="str">
        <x:v>6.2035</x:v>
      </x:c>
      <x:c r="C1196" s="69" t="str">
        <x:v>-75.48725</x:v>
      </x:c>
      <x:c r="D1196" s="78" t="n">
        <x:v>6.2035</x:v>
      </x:c>
      <x:c r="E1196" s="78" t="n">
        <x:v>-75.48725</x:v>
      </x:c>
      <x:c r="F1196" s="69" t="str">
        <x:v>Texto→número</x:v>
      </x:c>
      <x:c r="G1196" s="69" t="str">
        <x:v>Texto→número</x:v>
      </x:c>
      <x:c r="H1196" s="80" t="str">
        <x:v>OK</x:v>
      </x:c>
      <x:c r="I1196" s="69" t="str"/>
      <x:c r="J1196" s="69"/>
      <x:c r="K1196" s="82" t="n">
        <x:v>1</x:v>
      </x:c>
    </x:row>
    <x:row r="1197">
      <x:c r="A1197" s="76" t="n">
        <x:v>1197</x:v>
      </x:c>
      <x:c r="B1197" s="69" t="str">
        <x:v>6.24974</x:v>
      </x:c>
      <x:c r="C1197" s="69" t="str">
        <x:v>-75.4854</x:v>
      </x:c>
      <x:c r="D1197" s="78" t="n">
        <x:v>6.24974</x:v>
      </x:c>
      <x:c r="E1197" s="78" t="n">
        <x:v>-75.4854</x:v>
      </x:c>
      <x:c r="F1197" s="69" t="str">
        <x:v>Texto→número</x:v>
      </x:c>
      <x:c r="G1197" s="69" t="str">
        <x:v>Texto→número</x:v>
      </x:c>
      <x:c r="H1197" s="80" t="str">
        <x:v>OK</x:v>
      </x:c>
      <x:c r="I1197" s="69" t="str"/>
      <x:c r="J1197" s="69" t="str">
        <x:v>6.24974|-75.4854</x:v>
      </x:c>
      <x:c r="K1197" s="82" t="n">
        <x:v>0</x:v>
      </x:c>
    </x:row>
    <x:row r="1198">
      <x:c r="A1198" s="76" t="n">
        <x:v>1198</x:v>
      </x:c>
      <x:c r="B1198" s="69" t="str">
        <x:v>6.5870278</x:v>
      </x:c>
      <x:c r="C1198" s="69" t="str">
        <x:v>-75.6968889</x:v>
      </x:c>
      <x:c r="D1198" s="78" t="n">
        <x:v>6.5870278</x:v>
      </x:c>
      <x:c r="E1198" s="78" t="n">
        <x:v>-75.6968889</x:v>
      </x:c>
      <x:c r="F1198" s="69" t="str">
        <x:v>Texto→número</x:v>
      </x:c>
      <x:c r="G1198" s="69" t="str">
        <x:v>Texto→número</x:v>
      </x:c>
      <x:c r="H1198" s="80" t="str">
        <x:v>OK</x:v>
      </x:c>
      <x:c r="I1198" s="69" t="str"/>
      <x:c r="J1198" s="69" t="str">
        <x:v>6.5870278|-75.6968889</x:v>
      </x:c>
      <x:c r="K1198" s="82" t="n">
        <x:v>0</x:v>
      </x:c>
    </x:row>
    <x:row r="1199">
      <x:c r="A1199" s="76" t="n">
        <x:v>1199</x:v>
      </x:c>
      <x:c r="B1199" s="69" t="str">
        <x:v>6.5870278</x:v>
      </x:c>
      <x:c r="C1199" s="69" t="str">
        <x:v>-75.6968889</x:v>
      </x:c>
      <x:c r="D1199" s="78" t="n">
        <x:v>6.5870278</x:v>
      </x:c>
      <x:c r="E1199" s="78" t="n">
        <x:v>-75.6968889</x:v>
      </x:c>
      <x:c r="F1199" s="69" t="str">
        <x:v>Texto→número</x:v>
      </x:c>
      <x:c r="G1199" s="69" t="str">
        <x:v>Texto→número</x:v>
      </x:c>
      <x:c r="H1199" s="80" t="str">
        <x:v>OK</x:v>
      </x:c>
      <x:c r="I1199" s="69" t="str"/>
      <x:c r="J1199" s="69"/>
      <x:c r="K1199" s="82" t="n">
        <x:v>1</x:v>
      </x:c>
    </x:row>
    <x:row r="1200">
      <x:c r="A1200" s="76" t="n">
        <x:v>1200</x:v>
      </x:c>
      <x:c r="B1200" s="69" t="str">
        <x:v>6.5870278</x:v>
      </x:c>
      <x:c r="C1200" s="69" t="str">
        <x:v>-75.6968889</x:v>
      </x:c>
      <x:c r="D1200" s="78" t="n">
        <x:v>6.5870278</x:v>
      </x:c>
      <x:c r="E1200" s="78" t="n">
        <x:v>-75.6968889</x:v>
      </x:c>
      <x:c r="F1200" s="69" t="str">
        <x:v>Texto→número</x:v>
      </x:c>
      <x:c r="G1200" s="69" t="str">
        <x:v>Texto→número</x:v>
      </x:c>
      <x:c r="H1200" s="80" t="str">
        <x:v>OK</x:v>
      </x:c>
      <x:c r="I1200" s="69" t="str"/>
      <x:c r="J1200" s="69"/>
      <x:c r="K1200" s="82" t="n">
        <x:v>1</x:v>
      </x:c>
    </x:row>
    <x:row r="1201">
      <x:c r="A1201" s="76" t="n">
        <x:v>1201</x:v>
      </x:c>
      <x:c r="B1201" s="69" t="str">
        <x:v>6.2133333</x:v>
      </x:c>
      <x:c r="C1201" s="69" t="str">
        <x:v>-75.4922778</x:v>
      </x:c>
      <x:c r="D1201" s="78" t="n">
        <x:v>6.2133333</x:v>
      </x:c>
      <x:c r="E1201" s="78" t="n">
        <x:v>-75.4922778</x:v>
      </x:c>
      <x:c r="F1201" s="69" t="str">
        <x:v>Texto→número</x:v>
      </x:c>
      <x:c r="G1201" s="69" t="str">
        <x:v>Texto→número</x:v>
      </x:c>
      <x:c r="H1201" s="80" t="str">
        <x:v>OK</x:v>
      </x:c>
      <x:c r="I1201" s="69" t="str"/>
      <x:c r="J1201" s="69"/>
      <x:c r="K1201" s="82" t="n">
        <x:v>1</x:v>
      </x:c>
    </x:row>
    <x:row r="1202">
      <x:c r="A1202" s="76" t="n">
        <x:v>1202</x:v>
      </x:c>
      <x:c r="B1202" s="69" t="str">
        <x:v>4.99108</x:v>
      </x:c>
      <x:c r="C1202" s="69" t="str">
        <x:v>-74.13834</x:v>
      </x:c>
      <x:c r="D1202" s="78" t="n">
        <x:v>4.99108</x:v>
      </x:c>
      <x:c r="E1202" s="78" t="n">
        <x:v>-74.13834</x:v>
      </x:c>
      <x:c r="F1202" s="69" t="str">
        <x:v>Texto→número</x:v>
      </x:c>
      <x:c r="G1202" s="69" t="str">
        <x:v>Texto→número</x:v>
      </x:c>
      <x:c r="H1202" s="80" t="str">
        <x:v>OK</x:v>
      </x:c>
      <x:c r="I1202" s="69" t="str"/>
      <x:c r="J1202" s="69" t="str">
        <x:v>4.99108|-74.13834</x:v>
      </x:c>
      <x:c r="K1202" s="82" t="n">
        <x:v>0</x:v>
      </x:c>
    </x:row>
    <x:row r="1203">
      <x:c r="A1203" s="76" t="n">
        <x:v>1203</x:v>
      </x:c>
      <x:c r="B1203" s="69" t="str">
        <x:v>5.98865</x:v>
      </x:c>
      <x:c r="C1203" s="69" t="str">
        <x:v>-75.63363</x:v>
      </x:c>
      <x:c r="D1203" s="78" t="n">
        <x:v>5.98865</x:v>
      </x:c>
      <x:c r="E1203" s="78" t="n">
        <x:v>-75.63363</x:v>
      </x:c>
      <x:c r="F1203" s="69" t="str">
        <x:v>Texto→número</x:v>
      </x:c>
      <x:c r="G1203" s="69" t="str">
        <x:v>Texto→número</x:v>
      </x:c>
      <x:c r="H1203" s="80" t="str">
        <x:v>OK</x:v>
      </x:c>
      <x:c r="I1203" s="69" t="str"/>
      <x:c r="J1203" s="69" t="str">
        <x:v>5.98865|-75.63363</x:v>
      </x:c>
      <x:c r="K1203" s="82" t="n">
        <x:v>0</x:v>
      </x:c>
    </x:row>
    <x:row r="1204">
      <x:c r="A1204" s="76" t="n">
        <x:v>1204</x:v>
      </x:c>
      <x:c r="B1204" s="69" t="str">
        <x:v>6.2546472</x:v>
      </x:c>
      <x:c r="C1204" s="69" t="str">
        <x:v>-75.7113861</x:v>
      </x:c>
      <x:c r="D1204" s="78" t="n">
        <x:v>6.2546472</x:v>
      </x:c>
      <x:c r="E1204" s="78" t="n">
        <x:v>-75.7113861</x:v>
      </x:c>
      <x:c r="F1204" s="69" t="str">
        <x:v>Texto→número</x:v>
      </x:c>
      <x:c r="G1204" s="69" t="str">
        <x:v>Texto→número</x:v>
      </x:c>
      <x:c r="H1204" s="80" t="str">
        <x:v>OK</x:v>
      </x:c>
      <x:c r="I1204" s="69" t="str"/>
      <x:c r="J1204" s="69"/>
      <x:c r="K1204" s="82" t="n">
        <x:v>1</x:v>
      </x:c>
    </x:row>
    <x:row r="1205">
      <x:c r="A1205" s="76" t="n">
        <x:v>1205</x:v>
      </x:c>
      <x:c r="B1205" s="69" t="str">
        <x:v>6.2509611</x:v>
      </x:c>
      <x:c r="C1205" s="69" t="str">
        <x:v>-75.7125111</x:v>
      </x:c>
      <x:c r="D1205" s="78" t="n">
        <x:v>6.2509611</x:v>
      </x:c>
      <x:c r="E1205" s="78" t="n">
        <x:v>-75.7125111</x:v>
      </x:c>
      <x:c r="F1205" s="69" t="str">
        <x:v>Texto→número</x:v>
      </x:c>
      <x:c r="G1205" s="69" t="str">
        <x:v>Texto→número</x:v>
      </x:c>
      <x:c r="H1205" s="80" t="str">
        <x:v>OK</x:v>
      </x:c>
      <x:c r="I1205" s="69" t="str"/>
      <x:c r="J1205" s="69" t="str">
        <x:v>6.2509611|-75.7125111</x:v>
      </x:c>
      <x:c r="K1205" s="82" t="n">
        <x:v>0</x:v>
      </x:c>
    </x:row>
    <x:row r="1206">
      <x:c r="A1206" s="76" t="n">
        <x:v>1206</x:v>
      </x:c>
      <x:c r="B1206" s="69" t="str">
        <x:v>2.5450833</x:v>
      </x:c>
      <x:c r="C1206" s="69" t="str">
        <x:v>-75.808375</x:v>
      </x:c>
      <x:c r="D1206" s="78" t="n">
        <x:v>2.5450833</x:v>
      </x:c>
      <x:c r="E1206" s="78" t="n">
        <x:v>-75.808375</x:v>
      </x:c>
      <x:c r="F1206" s="69" t="str">
        <x:v>Texto→número</x:v>
      </x:c>
      <x:c r="G1206" s="69" t="str">
        <x:v>Texto→número</x:v>
      </x:c>
      <x:c r="H1206" s="80" t="str">
        <x:v>OK</x:v>
      </x:c>
      <x:c r="I1206" s="69" t="str"/>
      <x:c r="J1206" s="69" t="str">
        <x:v>2.5450833|-75.808375</x:v>
      </x:c>
      <x:c r="K1206" s="82" t="n">
        <x:v>0</x:v>
      </x:c>
    </x:row>
    <x:row r="1207">
      <x:c r="A1207" s="76" t="n">
        <x:v>1207</x:v>
      </x:c>
      <x:c r="B1207" s="69" t="str">
        <x:v>6.2110278</x:v>
      </x:c>
      <x:c r="C1207" s="69" t="str">
        <x:v>-75.6551389</x:v>
      </x:c>
      <x:c r="D1207" s="78" t="n">
        <x:v>6.2110278</x:v>
      </x:c>
      <x:c r="E1207" s="78" t="n">
        <x:v>-75.6551389</x:v>
      </x:c>
      <x:c r="F1207" s="69" t="str">
        <x:v>Texto→número</x:v>
      </x:c>
      <x:c r="G1207" s="69" t="str">
        <x:v>Texto→número</x:v>
      </x:c>
      <x:c r="H1207" s="80" t="str">
        <x:v>OK</x:v>
      </x:c>
      <x:c r="I1207" s="69" t="str"/>
      <x:c r="J1207" s="69"/>
      <x:c r="K1207" s="82" t="n">
        <x:v>1</x:v>
      </x:c>
    </x:row>
    <x:row r="1208">
      <x:c r="A1208" s="76" t="n">
        <x:v>1208</x:v>
      </x:c>
      <x:c r="B1208" s="69" t="str">
        <x:v>1.9998611</x:v>
      </x:c>
      <x:c r="C1208" s="69" t="str">
        <x:v>-76.2855028</x:v>
      </x:c>
      <x:c r="D1208" s="78" t="n">
        <x:v>1.9998611</x:v>
      </x:c>
      <x:c r="E1208" s="78" t="n">
        <x:v>-76.2855028</x:v>
      </x:c>
      <x:c r="F1208" s="69" t="str">
        <x:v>Texto→número</x:v>
      </x:c>
      <x:c r="G1208" s="69" t="str">
        <x:v>Texto→número</x:v>
      </x:c>
      <x:c r="H1208" s="80" t="str">
        <x:v>OK</x:v>
      </x:c>
      <x:c r="I1208" s="69" t="str"/>
      <x:c r="J1208" s="69"/>
      <x:c r="K1208" s="82" t="n">
        <x:v>1</x:v>
      </x:c>
    </x:row>
    <x:row r="1209">
      <x:c r="A1209" s="76" t="n">
        <x:v>1209</x:v>
      </x:c>
      <x:c r="B1209" s="69" t="str">
        <x:v>1.7689806</x:v>
      </x:c>
      <x:c r="C1209" s="69" t="str">
        <x:v>-76.0187333</x:v>
      </x:c>
      <x:c r="D1209" s="78" t="n">
        <x:v>1.7689806</x:v>
      </x:c>
      <x:c r="E1209" s="78" t="n">
        <x:v>-76.0187333</x:v>
      </x:c>
      <x:c r="F1209" s="69" t="str">
        <x:v>Texto→número</x:v>
      </x:c>
      <x:c r="G1209" s="69" t="str">
        <x:v>Texto→número</x:v>
      </x:c>
      <x:c r="H1209" s="80" t="str">
        <x:v>OK</x:v>
      </x:c>
      <x:c r="I1209" s="69" t="str"/>
      <x:c r="J1209" s="69"/>
      <x:c r="K1209" s="82" t="n">
        <x:v>1</x:v>
      </x:c>
    </x:row>
    <x:row r="1210">
      <x:c r="A1210" s="76" t="n">
        <x:v>1210</x:v>
      </x:c>
      <x:c r="B1210" s="69" t="str">
        <x:v>6.31122</x:v>
      </x:c>
      <x:c r="C1210" s="69" t="str">
        <x:v>-75.14609</x:v>
      </x:c>
      <x:c r="D1210" s="78" t="n">
        <x:v>6.31122</x:v>
      </x:c>
      <x:c r="E1210" s="78" t="n">
        <x:v>-75.14609</x:v>
      </x:c>
      <x:c r="F1210" s="69" t="str">
        <x:v>Texto→número</x:v>
      </x:c>
      <x:c r="G1210" s="69" t="str">
        <x:v>Texto→número</x:v>
      </x:c>
      <x:c r="H1210" s="80" t="str">
        <x:v>OK</x:v>
      </x:c>
      <x:c r="I1210" s="69" t="str"/>
      <x:c r="J1210" s="69"/>
      <x:c r="K1210" s="82" t="n">
        <x:v>1</x:v>
      </x:c>
    </x:row>
    <x:row r="1211">
      <x:c r="A1211" s="76" t="n">
        <x:v>1211</x:v>
      </x:c>
      <x:c r="B1211" s="69" t="str">
        <x:v>5.62831</x:v>
      </x:c>
      <x:c r="C1211" s="69" t="str">
        <x:v>-73.90248</x:v>
      </x:c>
      <x:c r="D1211" s="78" t="n">
        <x:v>5.62831</x:v>
      </x:c>
      <x:c r="E1211" s="78" t="n">
        <x:v>-73.90248</x:v>
      </x:c>
      <x:c r="F1211" s="69" t="str">
        <x:v>Texto→número</x:v>
      </x:c>
      <x:c r="G1211" s="69" t="str">
        <x:v>Texto→número</x:v>
      </x:c>
      <x:c r="H1211" s="80" t="str">
        <x:v>OK</x:v>
      </x:c>
      <x:c r="I1211" s="69" t="str"/>
      <x:c r="J1211" s="69"/>
      <x:c r="K1211" s="82" t="n">
        <x:v>1</x:v>
      </x:c>
    </x:row>
    <x:row r="1212">
      <x:c r="A1212" s="76" t="n">
        <x:v>1212</x:v>
      </x:c>
      <x:c r="B1212" s="69" t="str">
        <x:v>1.8788889</x:v>
      </x:c>
      <x:c r="C1212" s="69" t="str">
        <x:v>-75.6827778</x:v>
      </x:c>
      <x:c r="D1212" s="78" t="n">
        <x:v>1.8788889</x:v>
      </x:c>
      <x:c r="E1212" s="78" t="n">
        <x:v>-75.6827778</x:v>
      </x:c>
      <x:c r="F1212" s="69" t="str">
        <x:v>Ya numérico</x:v>
      </x:c>
      <x:c r="G1212" s="69" t="str">
        <x:v>Ya numérico</x:v>
      </x:c>
      <x:c r="H1212" s="80" t="str">
        <x:v>OK</x:v>
      </x:c>
      <x:c r="I1212" s="69" t="str"/>
      <x:c r="J1212" s="69" t="str">
        <x:v>1.8788889|-75.6827778</x:v>
      </x:c>
      <x:c r="K1212" s="82" t="n">
        <x:v>0</x:v>
      </x:c>
    </x:row>
    <x:row r="1213">
      <x:c r="A1213" s="76" t="n">
        <x:v>1213</x:v>
      </x:c>
      <x:c r="B1213" s="69" t="str">
        <x:v>1.7697222</x:v>
      </x:c>
      <x:c r="C1213" s="69" t="str">
        <x:v>-75.7770889</x:v>
      </x:c>
      <x:c r="D1213" s="78" t="n">
        <x:v>1.7697222</x:v>
      </x:c>
      <x:c r="E1213" s="78" t="n">
        <x:v>-75.7770889</x:v>
      </x:c>
      <x:c r="F1213" s="69" t="str">
        <x:v>Ya numérico</x:v>
      </x:c>
      <x:c r="G1213" s="69" t="str">
        <x:v>Texto→número</x:v>
      </x:c>
      <x:c r="H1213" s="80" t="str">
        <x:v>OK</x:v>
      </x:c>
      <x:c r="I1213" s="69" t="str"/>
      <x:c r="J1213" s="69" t="str">
        <x:v>1.7697222|-75.7770889</x:v>
      </x:c>
      <x:c r="K1213" s="82" t="n">
        <x:v>0</x:v>
      </x:c>
    </x:row>
    <x:row r="1214">
      <x:c r="A1214" s="76" t="n">
        <x:v>1214</x:v>
      </x:c>
      <x:c r="B1214" s="69" t="str">
        <x:v>5.52821</x:v>
      </x:c>
      <x:c r="C1214" s="69" t="str">
        <x:v>-75.03066</x:v>
      </x:c>
      <x:c r="D1214" s="78" t="n">
        <x:v>5.52821</x:v>
      </x:c>
      <x:c r="E1214" s="78" t="n">
        <x:v>-75.03066</x:v>
      </x:c>
      <x:c r="F1214" s="69" t="str">
        <x:v>Texto→número</x:v>
      </x:c>
      <x:c r="G1214" s="69" t="str">
        <x:v>Texto→número</x:v>
      </x:c>
      <x:c r="H1214" s="80" t="str">
        <x:v>OK</x:v>
      </x:c>
      <x:c r="I1214" s="69" t="str"/>
      <x:c r="J1214" s="69" t="str">
        <x:v>5.52821|-75.03066</x:v>
      </x:c>
      <x:c r="K1214" s="82" t="n">
        <x:v>0</x:v>
      </x:c>
    </x:row>
    <x:row r="1215">
      <x:c r="A1215" s="76" t="n">
        <x:v>1215</x:v>
      </x:c>
      <x:c r="B1215" s="69"/>
      <x:c r="C1215" s="69"/>
      <x:c r="D1215" s="78"/>
      <x:c r="E1215" s="78"/>
      <x:c r="F1215" s="69" t="str">
        <x:v>Vacío</x:v>
      </x:c>
      <x:c r="G1215" s="69" t="str">
        <x:v>Vacío</x:v>
      </x:c>
      <x:c r="H1215" s="80" t="str">
        <x:v>FALTA_COORDENADA</x:v>
      </x:c>
      <x:c r="I1215" s="69" t="str">
        <x:v>Latitud y longitud vacías</x:v>
      </x:c>
      <x:c r="J1215" s="69"/>
      <x:c r="K1215" s="82" t="n">
        <x:v>0</x:v>
      </x:c>
    </x:row>
    <x:row r="1216">
      <x:c r="A1216" s="76" t="n">
        <x:v>1216</x:v>
      </x:c>
      <x:c r="B1216" s="69"/>
      <x:c r="C1216" s="69"/>
      <x:c r="D1216" s="78"/>
      <x:c r="E1216" s="78"/>
      <x:c r="F1216" s="69" t="str">
        <x:v>Vacío</x:v>
      </x:c>
      <x:c r="G1216" s="69" t="str">
        <x:v>Vacío</x:v>
      </x:c>
      <x:c r="H1216" s="80" t="str">
        <x:v>FALTA_COORDENADA</x:v>
      </x:c>
      <x:c r="I1216" s="69" t="str">
        <x:v>Latitud y longitud vacías</x:v>
      </x:c>
      <x:c r="J1216" s="69"/>
      <x:c r="K1216" s="82" t="n">
        <x:v>0</x:v>
      </x:c>
    </x:row>
    <x:row r="1217">
      <x:c r="A1217" s="76" t="n">
        <x:v>1217</x:v>
      </x:c>
      <x:c r="B1217" s="69" t="str">
        <x:v>2.3623111</x:v>
      </x:c>
      <x:c r="C1217" s="69" t="str">
        <x:v>-72.8260083</x:v>
      </x:c>
      <x:c r="D1217" s="78" t="n">
        <x:v>2.3623111</x:v>
      </x:c>
      <x:c r="E1217" s="78" t="n">
        <x:v>-72.8260083</x:v>
      </x:c>
      <x:c r="F1217" s="69" t="str">
        <x:v>Texto→número</x:v>
      </x:c>
      <x:c r="G1217" s="69" t="str">
        <x:v>Texto→número</x:v>
      </x:c>
      <x:c r="H1217" s="80" t="str">
        <x:v>OK</x:v>
      </x:c>
      <x:c r="I1217" s="69" t="str"/>
      <x:c r="J1217" s="69" t="str">
        <x:v>2.3623111|-72.8260083</x:v>
      </x:c>
      <x:c r="K1217" s="82" t="n">
        <x:v>0</x:v>
      </x:c>
    </x:row>
    <x:row r="1218">
      <x:c r="A1218" s="76" t="n">
        <x:v>1218</x:v>
      </x:c>
      <x:c r="B1218" s="69" t="str">
        <x:v>2.22486</x:v>
      </x:c>
      <x:c r="C1218" s="69" t="str">
        <x:v>-73,80461</x:v>
      </x:c>
      <x:c r="D1218" s="78" t="n">
        <x:v>2.22486</x:v>
      </x:c>
      <x:c r="E1218" s="78" t="n">
        <x:v>-73.80461</x:v>
      </x:c>
      <x:c r="F1218" s="69" t="str">
        <x:v>Texto→número</x:v>
      </x:c>
      <x:c r="G1218" s="69" t="str">
        <x:v>Coma→punto; Texto→número</x:v>
      </x:c>
      <x:c r="H1218" s="80" t="str">
        <x:v>OK</x:v>
      </x:c>
      <x:c r="I1218" s="69" t="str"/>
      <x:c r="J1218" s="69" t="str">
        <x:v>2.22486|-73.80461</x:v>
      </x:c>
      <x:c r="K1218" s="82" t="n">
        <x:v>0</x:v>
      </x:c>
    </x:row>
    <x:row r="1219">
      <x:c r="A1219" s="76" t="n">
        <x:v>1219</x:v>
      </x:c>
      <x:c r="B1219" s="69" t="str">
        <x:v>2.5308333</x:v>
      </x:c>
      <x:c r="C1219" s="69" t="str">
        <x:v>-72.8108333</x:v>
      </x:c>
      <x:c r="D1219" s="78" t="n">
        <x:v>2.5308333</x:v>
      </x:c>
      <x:c r="E1219" s="78" t="n">
        <x:v>-72.8108333</x:v>
      </x:c>
      <x:c r="F1219" s="69" t="str">
        <x:v>Texto→número</x:v>
      </x:c>
      <x:c r="G1219" s="69" t="str">
        <x:v>Texto→número</x:v>
      </x:c>
      <x:c r="H1219" s="80" t="str">
        <x:v>OK</x:v>
      </x:c>
      <x:c r="I1219" s="69" t="str"/>
      <x:c r="J1219" s="69" t="str">
        <x:v>2.5308333|-72.8108333</x:v>
      </x:c>
      <x:c r="K1219" s="82" t="n">
        <x:v>0</x:v>
      </x:c>
    </x:row>
    <x:row r="1220">
      <x:c r="A1220" s="76" t="n">
        <x:v>1220</x:v>
      </x:c>
      <x:c r="B1220" s="69" t="str">
        <x:v>3.901155</x:v>
      </x:c>
      <x:c r="C1220" s="69" t="str">
        <x:v>-73.073369</x:v>
      </x:c>
      <x:c r="D1220" s="78" t="n">
        <x:v>3.901155</x:v>
      </x:c>
      <x:c r="E1220" s="78" t="n">
        <x:v>-73.073369</x:v>
      </x:c>
      <x:c r="F1220" s="69" t="str">
        <x:v>Texto→número</x:v>
      </x:c>
      <x:c r="G1220" s="69" t="str">
        <x:v>Texto→número</x:v>
      </x:c>
      <x:c r="H1220" s="80" t="str">
        <x:v>OK</x:v>
      </x:c>
      <x:c r="I1220" s="69" t="str"/>
      <x:c r="J1220" s="69" t="str">
        <x:v>3.901155|-73.073369</x:v>
      </x:c>
      <x:c r="K1220" s="82" t="n">
        <x:v>0</x:v>
      </x:c>
    </x:row>
    <x:row r="1221">
      <x:c r="A1221" s="76" t="n">
        <x:v>1221</x:v>
      </x:c>
      <x:c r="B1221" s="69" t="str">
        <x:v>1.7472222</x:v>
      </x:c>
      <x:c r="C1221" s="69" t="str">
        <x:v>-75.6783333</x:v>
      </x:c>
      <x:c r="D1221" s="78" t="n">
        <x:v>1.7472222</x:v>
      </x:c>
      <x:c r="E1221" s="78" t="n">
        <x:v>-75.6783333</x:v>
      </x:c>
      <x:c r="F1221" s="69" t="str">
        <x:v>Texto→número</x:v>
      </x:c>
      <x:c r="G1221" s="69" t="str">
        <x:v>Texto→número</x:v>
      </x:c>
      <x:c r="H1221" s="80" t="str">
        <x:v>OK</x:v>
      </x:c>
      <x:c r="I1221" s="69" t="str"/>
      <x:c r="J1221" s="69" t="str">
        <x:v>1.7472222|-75.6783333</x:v>
      </x:c>
      <x:c r="K1221" s="82" t="n">
        <x:v>0</x:v>
      </x:c>
    </x:row>
    <x:row r="1222">
      <x:c r="A1222" s="76" t="n">
        <x:v>1222</x:v>
      </x:c>
      <x:c r="B1222" s="69" t="str">
        <x:v>1.1</x:v>
      </x:c>
      <x:c r="C1222" s="69" t="str">
        <x:v>-77.8833333</x:v>
      </x:c>
      <x:c r="D1222" s="78" t="n">
        <x:v>1.1</x:v>
      </x:c>
      <x:c r="E1222" s="78" t="n">
        <x:v>-77.8833333</x:v>
      </x:c>
      <x:c r="F1222" s="69" t="str">
        <x:v>Texto→número</x:v>
      </x:c>
      <x:c r="G1222" s="69" t="str">
        <x:v>Texto→número</x:v>
      </x:c>
      <x:c r="H1222" s="80" t="str">
        <x:v>OK</x:v>
      </x:c>
      <x:c r="I1222" s="69" t="str"/>
      <x:c r="J1222" s="69" t="str">
        <x:v>1.1|-77.8833333</x:v>
      </x:c>
      <x:c r="K1222" s="82" t="n">
        <x:v>0</x:v>
      </x:c>
    </x:row>
    <x:row r="1223">
      <x:c r="A1223" s="76" t="n">
        <x:v>1223</x:v>
      </x:c>
      <x:c r="B1223" s="69" t="str">
        <x:v>8.12</x:v>
      </x:c>
      <x:c r="C1223" s="69" t="str">
        <x:v>-77.1336111</x:v>
      </x:c>
      <x:c r="D1223" s="78" t="n">
        <x:v>8.12</x:v>
      </x:c>
      <x:c r="E1223" s="78" t="n">
        <x:v>-77.1336111</x:v>
      </x:c>
      <x:c r="F1223" s="69" t="str">
        <x:v>Texto→número</x:v>
      </x:c>
      <x:c r="G1223" s="69" t="str">
        <x:v>Texto→número</x:v>
      </x:c>
      <x:c r="H1223" s="80" t="str">
        <x:v>OK</x:v>
      </x:c>
      <x:c r="I1223" s="69" t="str"/>
      <x:c r="J1223" s="69" t="str">
        <x:v>8.12|-77.1336111</x:v>
      </x:c>
      <x:c r="K1223" s="82" t="n">
        <x:v>0</x:v>
      </x:c>
    </x:row>
    <x:row r="1224">
      <x:c r="A1224" s="77" t="n">
        <x:v>1224</x:v>
      </x:c>
      <x:c r="B1224" s="73" t="str">
        <x:v>7.1177778</x:v>
      </x:c>
      <x:c r="C1224" s="73" t="str">
        <x:v>-74.2683333</x:v>
      </x:c>
      <x:c r="D1224" s="79" t="n">
        <x:v>7.1177778</x:v>
      </x:c>
      <x:c r="E1224" s="79" t="n">
        <x:v>-74.2683333</x:v>
      </x:c>
      <x:c r="F1224" s="73" t="str">
        <x:v>Texto→número</x:v>
      </x:c>
      <x:c r="G1224" s="73" t="str">
        <x:v>Texto→número</x:v>
      </x:c>
      <x:c r="H1224" s="81" t="str">
        <x:v>OK</x:v>
      </x:c>
      <x:c r="I1224" s="73" t="str"/>
      <x:c r="J1224" s="73" t="str">
        <x:v>7.1177778|-74.2683333</x:v>
      </x:c>
      <x:c r="K1224" s="83" t="n">
        <x:v>0</x:v>
      </x:c>
    </x:row>
  </x:sheetData>
  <x:conditionalFormatting sqref="H2:H1224">
    <x:cfRule type="containsText" dxfId="442" priority="1" operator="containsText" text="FALTA_COORDENADA"/>
    <x:cfRule type="containsText" dxfId="443" priority="2" operator="containsText" text="ERROR_COORDENADA"/>
  </x:conditionalFormatting>
  <x:pageMargins left="0.7" right="0.7" top="0.75" bottom="0.75" header="0.3" footer="0.3"/>
  <x:tableParts count="1">
    <x:tablePart xmlns:r="http://schemas.openxmlformats.org/officeDocument/2006/relationships" r:id="R93b93a15617248f9"/>
  </x:tableParts>
</x:worksheet>
</file>